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105" yWindow="-105" windowWidth="20595" windowHeight="8115" activeTab="1"/>
  </bookViews>
  <sheets>
    <sheet name="Supermarket Sales" sheetId="1" r:id="rId1"/>
    <sheet name="Branch Performance Dashboard" sheetId="5" r:id="rId2"/>
    <sheet name="Sales Distribution by Dimension" sheetId="2" r:id="rId3"/>
    <sheet name="Customer Analysis" sheetId="3" r:id="rId4"/>
    <sheet name="Graph Pivot tables" sheetId="6" r:id="rId5"/>
  </sheets>
  <definedNames>
    <definedName name="Slicer_Branch">#N/A</definedName>
  </definedNames>
  <calcPr calcId="144525"/>
  <pivotCaches>
    <pivotCache cacheId="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1" l="1"/>
  <c r="K5058"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2" i="1"/>
  <c r="H5058" i="1" l="1"/>
  <c r="H5056" i="1"/>
  <c r="I12" i="1" l="1"/>
  <c r="I24" i="1"/>
  <c r="I36" i="1"/>
  <c r="I48" i="1"/>
  <c r="I60" i="1"/>
  <c r="I72" i="1"/>
  <c r="I84" i="1"/>
  <c r="I96" i="1"/>
  <c r="I108" i="1"/>
  <c r="I120" i="1"/>
  <c r="I132" i="1"/>
  <c r="I144" i="1"/>
  <c r="I156" i="1"/>
  <c r="I168" i="1"/>
  <c r="I180" i="1"/>
  <c r="I192" i="1"/>
  <c r="I204" i="1"/>
  <c r="I216" i="1"/>
  <c r="I228" i="1"/>
  <c r="I240" i="1"/>
  <c r="I252" i="1"/>
  <c r="I264" i="1"/>
  <c r="I276" i="1"/>
  <c r="I288" i="1"/>
  <c r="I300" i="1"/>
  <c r="I312" i="1"/>
  <c r="I324" i="1"/>
  <c r="I336" i="1"/>
  <c r="I348" i="1"/>
  <c r="I360" i="1"/>
  <c r="I372" i="1"/>
  <c r="I384" i="1"/>
  <c r="I396" i="1"/>
  <c r="I408" i="1"/>
  <c r="I420" i="1"/>
  <c r="I432" i="1"/>
  <c r="I444" i="1"/>
  <c r="I456" i="1"/>
  <c r="I468" i="1"/>
  <c r="I480" i="1"/>
  <c r="I492" i="1"/>
  <c r="I504" i="1"/>
  <c r="I516" i="1"/>
  <c r="I528" i="1"/>
  <c r="I540" i="1"/>
  <c r="I552" i="1"/>
  <c r="I564" i="1"/>
  <c r="I576" i="1"/>
  <c r="I588" i="1"/>
  <c r="I600" i="1"/>
  <c r="I612" i="1"/>
  <c r="I624" i="1"/>
  <c r="I636" i="1"/>
  <c r="I648" i="1"/>
  <c r="I660" i="1"/>
  <c r="I672" i="1"/>
  <c r="I684" i="1"/>
  <c r="I696" i="1"/>
  <c r="I708" i="1"/>
  <c r="I720" i="1"/>
  <c r="I732" i="1"/>
  <c r="I744" i="1"/>
  <c r="I756" i="1"/>
  <c r="I768" i="1"/>
  <c r="I780" i="1"/>
  <c r="I792" i="1"/>
  <c r="I804" i="1"/>
  <c r="I816" i="1"/>
  <c r="I828" i="1"/>
  <c r="I840" i="1"/>
  <c r="I852" i="1"/>
  <c r="I864" i="1"/>
  <c r="I876" i="1"/>
  <c r="I888" i="1"/>
  <c r="I900" i="1"/>
  <c r="I912" i="1"/>
  <c r="I924" i="1"/>
  <c r="I936" i="1"/>
  <c r="I948" i="1"/>
  <c r="I960" i="1"/>
  <c r="I972" i="1"/>
  <c r="I984" i="1"/>
  <c r="I996" i="1"/>
  <c r="I1008" i="1"/>
  <c r="I5053" i="1"/>
  <c r="I13" i="1"/>
  <c r="I25" i="1"/>
  <c r="I37" i="1"/>
  <c r="I49" i="1"/>
  <c r="I61" i="1"/>
  <c r="I73" i="1"/>
  <c r="I85" i="1"/>
  <c r="I97" i="1"/>
  <c r="I109" i="1"/>
  <c r="I121" i="1"/>
  <c r="I133" i="1"/>
  <c r="I145" i="1"/>
  <c r="I157" i="1"/>
  <c r="I169" i="1"/>
  <c r="I181" i="1"/>
  <c r="I193" i="1"/>
  <c r="I205" i="1"/>
  <c r="I217" i="1"/>
  <c r="I229" i="1"/>
  <c r="I241" i="1"/>
  <c r="I253" i="1"/>
  <c r="I265" i="1"/>
  <c r="I277" i="1"/>
  <c r="I289" i="1"/>
  <c r="I301" i="1"/>
  <c r="I313" i="1"/>
  <c r="I325" i="1"/>
  <c r="I337" i="1"/>
  <c r="I349" i="1"/>
  <c r="I361" i="1"/>
  <c r="I373" i="1"/>
  <c r="I385" i="1"/>
  <c r="I397" i="1"/>
  <c r="I409" i="1"/>
  <c r="I421" i="1"/>
  <c r="I433" i="1"/>
  <c r="I445" i="1"/>
  <c r="I457" i="1"/>
  <c r="I469" i="1"/>
  <c r="I481" i="1"/>
  <c r="I493" i="1"/>
  <c r="I505" i="1"/>
  <c r="I517" i="1"/>
  <c r="I529" i="1"/>
  <c r="I541" i="1"/>
  <c r="I553" i="1"/>
  <c r="I565" i="1"/>
  <c r="I577" i="1"/>
  <c r="I589" i="1"/>
  <c r="I601" i="1"/>
  <c r="I613" i="1"/>
  <c r="I625" i="1"/>
  <c r="I637" i="1"/>
  <c r="I649" i="1"/>
  <c r="I661" i="1"/>
  <c r="I673" i="1"/>
  <c r="I685" i="1"/>
  <c r="I697" i="1"/>
  <c r="I709" i="1"/>
  <c r="I721" i="1"/>
  <c r="I733" i="1"/>
  <c r="I745" i="1"/>
  <c r="I757" i="1"/>
  <c r="I769" i="1"/>
  <c r="I781" i="1"/>
  <c r="I793" i="1"/>
  <c r="I805" i="1"/>
  <c r="I817" i="1"/>
  <c r="I829" i="1"/>
  <c r="I841" i="1"/>
  <c r="I853" i="1"/>
  <c r="I865" i="1"/>
  <c r="I877" i="1"/>
  <c r="I889" i="1"/>
  <c r="I901" i="1"/>
  <c r="I913" i="1"/>
  <c r="I925" i="1"/>
  <c r="I937" i="1"/>
  <c r="I949" i="1"/>
  <c r="I961" i="1"/>
  <c r="I973" i="1"/>
  <c r="I985" i="1"/>
  <c r="I997" i="1"/>
  <c r="I1009" i="1"/>
  <c r="I3" i="1"/>
  <c r="I15" i="1"/>
  <c r="I27" i="1"/>
  <c r="I39" i="1"/>
  <c r="I51" i="1"/>
  <c r="I63" i="1"/>
  <c r="I75" i="1"/>
  <c r="I87" i="1"/>
  <c r="I99" i="1"/>
  <c r="I111" i="1"/>
  <c r="I123" i="1"/>
  <c r="I135" i="1"/>
  <c r="I147" i="1"/>
  <c r="I159" i="1"/>
  <c r="I171" i="1"/>
  <c r="I183" i="1"/>
  <c r="I195" i="1"/>
  <c r="I207" i="1"/>
  <c r="I219" i="1"/>
  <c r="I231" i="1"/>
  <c r="I243" i="1"/>
  <c r="I255" i="1"/>
  <c r="I267" i="1"/>
  <c r="I279" i="1"/>
  <c r="I291" i="1"/>
  <c r="I303" i="1"/>
  <c r="I315" i="1"/>
  <c r="I327" i="1"/>
  <c r="I339" i="1"/>
  <c r="I351" i="1"/>
  <c r="I363" i="1"/>
  <c r="I375" i="1"/>
  <c r="I387" i="1"/>
  <c r="I399" i="1"/>
  <c r="I411" i="1"/>
  <c r="I423" i="1"/>
  <c r="I435" i="1"/>
  <c r="I447" i="1"/>
  <c r="I459" i="1"/>
  <c r="I471" i="1"/>
  <c r="I483" i="1"/>
  <c r="I495" i="1"/>
  <c r="I507" i="1"/>
  <c r="I519" i="1"/>
  <c r="I531" i="1"/>
  <c r="I543" i="1"/>
  <c r="I555" i="1"/>
  <c r="I567" i="1"/>
  <c r="I579" i="1"/>
  <c r="I591" i="1"/>
  <c r="I603" i="1"/>
  <c r="I615" i="1"/>
  <c r="I627" i="1"/>
  <c r="I639" i="1"/>
  <c r="I651" i="1"/>
  <c r="I663" i="1"/>
  <c r="I675" i="1"/>
  <c r="I687" i="1"/>
  <c r="I699" i="1"/>
  <c r="I711" i="1"/>
  <c r="I723" i="1"/>
  <c r="I735" i="1"/>
  <c r="I747" i="1"/>
  <c r="I759" i="1"/>
  <c r="I771" i="1"/>
  <c r="I783" i="1"/>
  <c r="I795" i="1"/>
  <c r="I807" i="1"/>
  <c r="I819" i="1"/>
  <c r="I831" i="1"/>
  <c r="I843" i="1"/>
  <c r="I855" i="1"/>
  <c r="I867" i="1"/>
  <c r="I5050" i="1"/>
  <c r="I18" i="1"/>
  <c r="I33" i="1"/>
  <c r="I50" i="1"/>
  <c r="I66" i="1"/>
  <c r="I81" i="1"/>
  <c r="I98" i="1"/>
  <c r="I114" i="1"/>
  <c r="I129" i="1"/>
  <c r="I146" i="1"/>
  <c r="I162" i="1"/>
  <c r="I177" i="1"/>
  <c r="I194" i="1"/>
  <c r="I210" i="1"/>
  <c r="I225" i="1"/>
  <c r="I242" i="1"/>
  <c r="I258" i="1"/>
  <c r="I273" i="1"/>
  <c r="I290" i="1"/>
  <c r="I306" i="1"/>
  <c r="I321" i="1"/>
  <c r="I338" i="1"/>
  <c r="I354" i="1"/>
  <c r="I369" i="1"/>
  <c r="I386" i="1"/>
  <c r="I402" i="1"/>
  <c r="I417" i="1"/>
  <c r="I434" i="1"/>
  <c r="I450" i="1"/>
  <c r="I465" i="1"/>
  <c r="I482" i="1"/>
  <c r="I498" i="1"/>
  <c r="I513" i="1"/>
  <c r="I530" i="1"/>
  <c r="I546" i="1"/>
  <c r="I561" i="1"/>
  <c r="I578" i="1"/>
  <c r="I594" i="1"/>
  <c r="I609" i="1"/>
  <c r="I626" i="1"/>
  <c r="I642" i="1"/>
  <c r="I657" i="1"/>
  <c r="I674" i="1"/>
  <c r="I690" i="1"/>
  <c r="I705" i="1"/>
  <c r="I722" i="1"/>
  <c r="I738" i="1"/>
  <c r="I753" i="1"/>
  <c r="I770" i="1"/>
  <c r="I786" i="1"/>
  <c r="I801" i="1"/>
  <c r="I818" i="1"/>
  <c r="I834" i="1"/>
  <c r="I849" i="1"/>
  <c r="I866" i="1"/>
  <c r="I881" i="1"/>
  <c r="I895" i="1"/>
  <c r="I909" i="1"/>
  <c r="I923" i="1"/>
  <c r="I939" i="1"/>
  <c r="I953" i="1"/>
  <c r="I967" i="1"/>
  <c r="I981" i="1"/>
  <c r="I995" i="1"/>
  <c r="I1011" i="1"/>
  <c r="I1023" i="1"/>
  <c r="I1035" i="1"/>
  <c r="I1047" i="1"/>
  <c r="I1059" i="1"/>
  <c r="I1071" i="1"/>
  <c r="I1083" i="1"/>
  <c r="I1095" i="1"/>
  <c r="I1107" i="1"/>
  <c r="I1119" i="1"/>
  <c r="I1131" i="1"/>
  <c r="I1143" i="1"/>
  <c r="I1155" i="1"/>
  <c r="I1167" i="1"/>
  <c r="I1179" i="1"/>
  <c r="I1191" i="1"/>
  <c r="I1203" i="1"/>
  <c r="I1215" i="1"/>
  <c r="I1227" i="1"/>
  <c r="I1239" i="1"/>
  <c r="I1251" i="1"/>
  <c r="I4" i="1"/>
  <c r="I19" i="1"/>
  <c r="I34" i="1"/>
  <c r="I52" i="1"/>
  <c r="I67" i="1"/>
  <c r="I82" i="1"/>
  <c r="I100" i="1"/>
  <c r="I115" i="1"/>
  <c r="I130" i="1"/>
  <c r="I148" i="1"/>
  <c r="I163" i="1"/>
  <c r="I178" i="1"/>
  <c r="I196" i="1"/>
  <c r="I211" i="1"/>
  <c r="I226" i="1"/>
  <c r="I244" i="1"/>
  <c r="I259" i="1"/>
  <c r="I274" i="1"/>
  <c r="I292" i="1"/>
  <c r="I307" i="1"/>
  <c r="I322" i="1"/>
  <c r="I340" i="1"/>
  <c r="I355" i="1"/>
  <c r="I370" i="1"/>
  <c r="I388" i="1"/>
  <c r="I403" i="1"/>
  <c r="I418" i="1"/>
  <c r="I436" i="1"/>
  <c r="I451" i="1"/>
  <c r="I466" i="1"/>
  <c r="I484" i="1"/>
  <c r="I499" i="1"/>
  <c r="I514" i="1"/>
  <c r="I532" i="1"/>
  <c r="I547" i="1"/>
  <c r="I562" i="1"/>
  <c r="I580" i="1"/>
  <c r="I595" i="1"/>
  <c r="I610" i="1"/>
  <c r="I628" i="1"/>
  <c r="I643" i="1"/>
  <c r="I658" i="1"/>
  <c r="I676" i="1"/>
  <c r="I691" i="1"/>
  <c r="I706" i="1"/>
  <c r="I724" i="1"/>
  <c r="I739" i="1"/>
  <c r="I754" i="1"/>
  <c r="I772" i="1"/>
  <c r="I787" i="1"/>
  <c r="I802" i="1"/>
  <c r="I820" i="1"/>
  <c r="I835" i="1"/>
  <c r="I850" i="1"/>
  <c r="I868" i="1"/>
  <c r="I882" i="1"/>
  <c r="I896" i="1"/>
  <c r="I910" i="1"/>
  <c r="I926" i="1"/>
  <c r="I940" i="1"/>
  <c r="I954" i="1"/>
  <c r="I968" i="1"/>
  <c r="I982" i="1"/>
  <c r="I998" i="1"/>
  <c r="I1012" i="1"/>
  <c r="I1024" i="1"/>
  <c r="I1036" i="1"/>
  <c r="I1048" i="1"/>
  <c r="I1060" i="1"/>
  <c r="I1072" i="1"/>
  <c r="I1084" i="1"/>
  <c r="I1096" i="1"/>
  <c r="I1108" i="1"/>
  <c r="I1120" i="1"/>
  <c r="I1132" i="1"/>
  <c r="I1144" i="1"/>
  <c r="I1156" i="1"/>
  <c r="I1168" i="1"/>
  <c r="I1180" i="1"/>
  <c r="I1192" i="1"/>
  <c r="I1204" i="1"/>
  <c r="I1216" i="1"/>
  <c r="I1228" i="1"/>
  <c r="I1240" i="1"/>
  <c r="I1252" i="1"/>
  <c r="I7" i="1"/>
  <c r="I22" i="1"/>
  <c r="I40" i="1"/>
  <c r="I55" i="1"/>
  <c r="I70" i="1"/>
  <c r="I88" i="1"/>
  <c r="I103" i="1"/>
  <c r="I118" i="1"/>
  <c r="I136" i="1"/>
  <c r="I151" i="1"/>
  <c r="I166" i="1"/>
  <c r="I184" i="1"/>
  <c r="I199" i="1"/>
  <c r="I214" i="1"/>
  <c r="I232" i="1"/>
  <c r="I247" i="1"/>
  <c r="I262" i="1"/>
  <c r="I280" i="1"/>
  <c r="I295" i="1"/>
  <c r="I310" i="1"/>
  <c r="I328" i="1"/>
  <c r="I343" i="1"/>
  <c r="I358" i="1"/>
  <c r="I376" i="1"/>
  <c r="I391" i="1"/>
  <c r="I406" i="1"/>
  <c r="I424" i="1"/>
  <c r="I439" i="1"/>
  <c r="I454" i="1"/>
  <c r="I472" i="1"/>
  <c r="I487" i="1"/>
  <c r="I502" i="1"/>
  <c r="I520" i="1"/>
  <c r="I535" i="1"/>
  <c r="I550" i="1"/>
  <c r="I568" i="1"/>
  <c r="I583" i="1"/>
  <c r="I598" i="1"/>
  <c r="I616" i="1"/>
  <c r="I631" i="1"/>
  <c r="I646" i="1"/>
  <c r="I664" i="1"/>
  <c r="I679" i="1"/>
  <c r="I694" i="1"/>
  <c r="I712" i="1"/>
  <c r="I727" i="1"/>
  <c r="I742" i="1"/>
  <c r="I760" i="1"/>
  <c r="I775" i="1"/>
  <c r="I790" i="1"/>
  <c r="I808" i="1"/>
  <c r="I823" i="1"/>
  <c r="I838" i="1"/>
  <c r="I856" i="1"/>
  <c r="I871" i="1"/>
  <c r="I885" i="1"/>
  <c r="I899" i="1"/>
  <c r="I915" i="1"/>
  <c r="I929" i="1"/>
  <c r="I943" i="1"/>
  <c r="I957" i="1"/>
  <c r="I971" i="1"/>
  <c r="I987" i="1"/>
  <c r="I1001" i="1"/>
  <c r="I1015" i="1"/>
  <c r="I1027" i="1"/>
  <c r="I1039" i="1"/>
  <c r="I1051" i="1"/>
  <c r="I1063" i="1"/>
  <c r="I1075" i="1"/>
  <c r="I1087" i="1"/>
  <c r="I1099" i="1"/>
  <c r="I1111" i="1"/>
  <c r="I1123" i="1"/>
  <c r="I1135" i="1"/>
  <c r="I1147" i="1"/>
  <c r="I1159" i="1"/>
  <c r="I1171" i="1"/>
  <c r="I1183" i="1"/>
  <c r="I1195" i="1"/>
  <c r="I1207" i="1"/>
  <c r="I1219" i="1"/>
  <c r="I1231" i="1"/>
  <c r="I1243" i="1"/>
  <c r="I1255" i="1"/>
  <c r="I5" i="1"/>
  <c r="I26" i="1"/>
  <c r="I45" i="1"/>
  <c r="I68" i="1"/>
  <c r="I90" i="1"/>
  <c r="I110" i="1"/>
  <c r="I131" i="1"/>
  <c r="I153" i="1"/>
  <c r="I174" i="1"/>
  <c r="I197" i="1"/>
  <c r="I218" i="1"/>
  <c r="I237" i="1"/>
  <c r="I260" i="1"/>
  <c r="I282" i="1"/>
  <c r="I302" i="1"/>
  <c r="I323" i="1"/>
  <c r="I345" i="1"/>
  <c r="I366" i="1"/>
  <c r="I389" i="1"/>
  <c r="I410" i="1"/>
  <c r="I429" i="1"/>
  <c r="I452" i="1"/>
  <c r="I474" i="1"/>
  <c r="I494" i="1"/>
  <c r="I515" i="1"/>
  <c r="I537" i="1"/>
  <c r="I558" i="1"/>
  <c r="I581" i="1"/>
  <c r="I602" i="1"/>
  <c r="I621" i="1"/>
  <c r="I644" i="1"/>
  <c r="I666" i="1"/>
  <c r="I686" i="1"/>
  <c r="I707" i="1"/>
  <c r="I729" i="1"/>
  <c r="I750" i="1"/>
  <c r="I773" i="1"/>
  <c r="I794" i="1"/>
  <c r="I813" i="1"/>
  <c r="I836" i="1"/>
  <c r="I858" i="1"/>
  <c r="I878" i="1"/>
  <c r="I897" i="1"/>
  <c r="I917" i="1"/>
  <c r="I934" i="1"/>
  <c r="I955" i="1"/>
  <c r="I975" i="1"/>
  <c r="I992" i="1"/>
  <c r="I1013" i="1"/>
  <c r="I1029" i="1"/>
  <c r="I1044" i="1"/>
  <c r="I1061" i="1"/>
  <c r="I1077" i="1"/>
  <c r="I1092" i="1"/>
  <c r="I1109" i="1"/>
  <c r="I1125" i="1"/>
  <c r="I6" i="1"/>
  <c r="I28" i="1"/>
  <c r="I46" i="1"/>
  <c r="I69" i="1"/>
  <c r="I91" i="1"/>
  <c r="I112" i="1"/>
  <c r="I134" i="1"/>
  <c r="I154" i="1"/>
  <c r="I175" i="1"/>
  <c r="I198" i="1"/>
  <c r="I220" i="1"/>
  <c r="I238" i="1"/>
  <c r="I261" i="1"/>
  <c r="I283" i="1"/>
  <c r="I304" i="1"/>
  <c r="I326" i="1"/>
  <c r="I346" i="1"/>
  <c r="I367" i="1"/>
  <c r="I390" i="1"/>
  <c r="I412" i="1"/>
  <c r="I430" i="1"/>
  <c r="I453" i="1"/>
  <c r="I475" i="1"/>
  <c r="I496" i="1"/>
  <c r="I518" i="1"/>
  <c r="I538" i="1"/>
  <c r="I559" i="1"/>
  <c r="I582" i="1"/>
  <c r="I604" i="1"/>
  <c r="I622" i="1"/>
  <c r="I645" i="1"/>
  <c r="I667" i="1"/>
  <c r="I688" i="1"/>
  <c r="I710" i="1"/>
  <c r="I730" i="1"/>
  <c r="I751" i="1"/>
  <c r="I774" i="1"/>
  <c r="I796" i="1"/>
  <c r="I814" i="1"/>
  <c r="I837" i="1"/>
  <c r="I859" i="1"/>
  <c r="I879" i="1"/>
  <c r="I898" i="1"/>
  <c r="I918" i="1"/>
  <c r="I935" i="1"/>
  <c r="I956" i="1"/>
  <c r="I976" i="1"/>
  <c r="I993" i="1"/>
  <c r="I1014" i="1"/>
  <c r="I1030" i="1"/>
  <c r="I1045" i="1"/>
  <c r="I1062" i="1"/>
  <c r="I1078" i="1"/>
  <c r="I1093" i="1"/>
  <c r="I1110" i="1"/>
  <c r="I1126" i="1"/>
  <c r="I1141" i="1"/>
  <c r="I1158" i="1"/>
  <c r="I1174" i="1"/>
  <c r="I1189" i="1"/>
  <c r="I1206" i="1"/>
  <c r="I1222" i="1"/>
  <c r="I1237" i="1"/>
  <c r="I1254" i="1"/>
  <c r="I1267" i="1"/>
  <c r="I1279" i="1"/>
  <c r="I1291" i="1"/>
  <c r="I1303" i="1"/>
  <c r="I1315" i="1"/>
  <c r="I1327" i="1"/>
  <c r="I1339" i="1"/>
  <c r="I1351" i="1"/>
  <c r="I1363" i="1"/>
  <c r="I1375" i="1"/>
  <c r="I1387" i="1"/>
  <c r="I1399" i="1"/>
  <c r="I1411" i="1"/>
  <c r="I1423" i="1"/>
  <c r="I1435" i="1"/>
  <c r="I1447" i="1"/>
  <c r="I1459" i="1"/>
  <c r="I1471" i="1"/>
  <c r="I1483" i="1"/>
  <c r="I1495" i="1"/>
  <c r="I1507" i="1"/>
  <c r="I8" i="1"/>
  <c r="I31" i="1"/>
  <c r="I57" i="1"/>
  <c r="I80" i="1"/>
  <c r="I106" i="1"/>
  <c r="I137" i="1"/>
  <c r="I160" i="1"/>
  <c r="I186" i="1"/>
  <c r="I209" i="1"/>
  <c r="I235" i="1"/>
  <c r="I263" i="1"/>
  <c r="I286" i="1"/>
  <c r="I314" i="1"/>
  <c r="I335" i="1"/>
  <c r="I364" i="1"/>
  <c r="I392" i="1"/>
  <c r="I415" i="1"/>
  <c r="I441" i="1"/>
  <c r="I464" i="1"/>
  <c r="I490" i="1"/>
  <c r="I521" i="1"/>
  <c r="I544" i="1"/>
  <c r="I570" i="1"/>
  <c r="I593" i="1"/>
  <c r="I619" i="1"/>
  <c r="I647" i="1"/>
  <c r="I670" i="1"/>
  <c r="I698" i="1"/>
  <c r="I719" i="1"/>
  <c r="I748" i="1"/>
  <c r="I776" i="1"/>
  <c r="I799" i="1"/>
  <c r="I825" i="1"/>
  <c r="I848" i="1"/>
  <c r="I874" i="1"/>
  <c r="I902" i="1"/>
  <c r="I921" i="1"/>
  <c r="I945" i="1"/>
  <c r="I966" i="1"/>
  <c r="I990" i="1"/>
  <c r="I1016" i="1"/>
  <c r="I1033" i="1"/>
  <c r="I1053" i="1"/>
  <c r="I1070" i="1"/>
  <c r="I1090" i="1"/>
  <c r="I1112" i="1"/>
  <c r="I1129" i="1"/>
  <c r="I1148" i="1"/>
  <c r="I1164" i="1"/>
  <c r="I1182" i="1"/>
  <c r="I1199" i="1"/>
  <c r="I1217" i="1"/>
  <c r="I1234" i="1"/>
  <c r="I1250" i="1"/>
  <c r="I1266" i="1"/>
  <c r="I1280" i="1"/>
  <c r="I1293" i="1"/>
  <c r="I1306" i="1"/>
  <c r="I1319" i="1"/>
  <c r="I1332" i="1"/>
  <c r="I1345" i="1"/>
  <c r="I1358" i="1"/>
  <c r="I1371" i="1"/>
  <c r="I1384" i="1"/>
  <c r="I1397" i="1"/>
  <c r="I1410" i="1"/>
  <c r="I1424" i="1"/>
  <c r="I1437" i="1"/>
  <c r="I1450" i="1"/>
  <c r="I1463" i="1"/>
  <c r="I1476" i="1"/>
  <c r="I1489" i="1"/>
  <c r="I1502" i="1"/>
  <c r="I1515" i="1"/>
  <c r="I1527" i="1"/>
  <c r="I1539" i="1"/>
  <c r="I1551" i="1"/>
  <c r="I1563" i="1"/>
  <c r="I1575" i="1"/>
  <c r="I1587" i="1"/>
  <c r="I1599" i="1"/>
  <c r="I1611" i="1"/>
  <c r="I1623" i="1"/>
  <c r="I1635" i="1"/>
  <c r="I1647" i="1"/>
  <c r="I1659" i="1"/>
  <c r="I1671" i="1"/>
  <c r="I1683" i="1"/>
  <c r="I1695" i="1"/>
  <c r="I1707" i="1"/>
  <c r="I1719" i="1"/>
  <c r="I1731" i="1"/>
  <c r="I1743" i="1"/>
  <c r="I1755" i="1"/>
  <c r="I1767" i="1"/>
  <c r="I1779" i="1"/>
  <c r="I1791" i="1"/>
  <c r="I1803" i="1"/>
  <c r="I1815" i="1"/>
  <c r="I1827" i="1"/>
  <c r="I9" i="1"/>
  <c r="I32" i="1"/>
  <c r="I58" i="1"/>
  <c r="I83" i="1"/>
  <c r="I107" i="1"/>
  <c r="I138" i="1"/>
  <c r="I161" i="1"/>
  <c r="I187" i="1"/>
  <c r="I212" i="1"/>
  <c r="I236" i="1"/>
  <c r="I266" i="1"/>
  <c r="I287" i="1"/>
  <c r="I316" i="1"/>
  <c r="I341" i="1"/>
  <c r="I365" i="1"/>
  <c r="I393" i="1"/>
  <c r="I416" i="1"/>
  <c r="I442" i="1"/>
  <c r="I467" i="1"/>
  <c r="I491" i="1"/>
  <c r="I522" i="1"/>
  <c r="I545" i="1"/>
  <c r="I571" i="1"/>
  <c r="I596" i="1"/>
  <c r="I620" i="1"/>
  <c r="I650" i="1"/>
  <c r="I671" i="1"/>
  <c r="I700" i="1"/>
  <c r="I725" i="1"/>
  <c r="I749" i="1"/>
  <c r="I777" i="1"/>
  <c r="I800" i="1"/>
  <c r="I826" i="1"/>
  <c r="I851" i="1"/>
  <c r="I875" i="1"/>
  <c r="I903" i="1"/>
  <c r="I922" i="1"/>
  <c r="I946" i="1"/>
  <c r="I969" i="1"/>
  <c r="I991" i="1"/>
  <c r="I1017" i="1"/>
  <c r="I1034" i="1"/>
  <c r="I1054" i="1"/>
  <c r="I1073" i="1"/>
  <c r="I1091" i="1"/>
  <c r="I1113" i="1"/>
  <c r="I1130" i="1"/>
  <c r="I1149" i="1"/>
  <c r="I1165" i="1"/>
  <c r="I1184" i="1"/>
  <c r="I1200" i="1"/>
  <c r="I1218" i="1"/>
  <c r="I1235" i="1"/>
  <c r="I1253" i="1"/>
  <c r="I1268" i="1"/>
  <c r="I1281" i="1"/>
  <c r="I1294" i="1"/>
  <c r="I1307" i="1"/>
  <c r="I1320" i="1"/>
  <c r="I1333" i="1"/>
  <c r="I1346" i="1"/>
  <c r="I1359" i="1"/>
  <c r="I1372" i="1"/>
  <c r="I1385" i="1"/>
  <c r="I1398" i="1"/>
  <c r="I1412" i="1"/>
  <c r="I1425" i="1"/>
  <c r="I1438" i="1"/>
  <c r="I1451" i="1"/>
  <c r="I1464" i="1"/>
  <c r="I1477" i="1"/>
  <c r="I1490" i="1"/>
  <c r="I1503" i="1"/>
  <c r="I1516" i="1"/>
  <c r="I1528" i="1"/>
  <c r="I1540" i="1"/>
  <c r="I1552" i="1"/>
  <c r="I1564" i="1"/>
  <c r="I1576" i="1"/>
  <c r="I1588" i="1"/>
  <c r="I1600" i="1"/>
  <c r="I1612" i="1"/>
  <c r="I1624" i="1"/>
  <c r="I1636" i="1"/>
  <c r="I1648" i="1"/>
  <c r="I1660" i="1"/>
  <c r="I1672" i="1"/>
  <c r="I1684" i="1"/>
  <c r="I1696" i="1"/>
  <c r="I1708" i="1"/>
  <c r="I1720" i="1"/>
  <c r="I1732" i="1"/>
  <c r="I1744" i="1"/>
  <c r="I1756" i="1"/>
  <c r="I1768" i="1"/>
  <c r="I1780" i="1"/>
  <c r="I1792" i="1"/>
  <c r="I1804" i="1"/>
  <c r="I1816" i="1"/>
  <c r="I10" i="1"/>
  <c r="I35" i="1"/>
  <c r="I59" i="1"/>
  <c r="I86" i="1"/>
  <c r="I113" i="1"/>
  <c r="I139" i="1"/>
  <c r="I164" i="1"/>
  <c r="I188" i="1"/>
  <c r="I213" i="1"/>
  <c r="I239" i="1"/>
  <c r="I268" i="1"/>
  <c r="I293" i="1"/>
  <c r="I317" i="1"/>
  <c r="I342" i="1"/>
  <c r="I368" i="1"/>
  <c r="I394" i="1"/>
  <c r="I419" i="1"/>
  <c r="I443" i="1"/>
  <c r="I470" i="1"/>
  <c r="I497" i="1"/>
  <c r="I523" i="1"/>
  <c r="I548" i="1"/>
  <c r="I572" i="1"/>
  <c r="I597" i="1"/>
  <c r="I623" i="1"/>
  <c r="I652" i="1"/>
  <c r="I677" i="1"/>
  <c r="I701" i="1"/>
  <c r="I726" i="1"/>
  <c r="I752" i="1"/>
  <c r="I778" i="1"/>
  <c r="I803" i="1"/>
  <c r="I827" i="1"/>
  <c r="I854" i="1"/>
  <c r="I880" i="1"/>
  <c r="I904" i="1"/>
  <c r="I927" i="1"/>
  <c r="I947" i="1"/>
  <c r="I970" i="1"/>
  <c r="I994" i="1"/>
  <c r="I1018" i="1"/>
  <c r="I1037" i="1"/>
  <c r="I1055" i="1"/>
  <c r="I1074" i="1"/>
  <c r="I1094" i="1"/>
  <c r="I1114" i="1"/>
  <c r="I1133" i="1"/>
  <c r="I1150" i="1"/>
  <c r="I1166" i="1"/>
  <c r="I1185" i="1"/>
  <c r="I1201" i="1"/>
  <c r="I1220" i="1"/>
  <c r="I1236" i="1"/>
  <c r="I1256" i="1"/>
  <c r="I1269" i="1"/>
  <c r="I1282" i="1"/>
  <c r="I1295" i="1"/>
  <c r="I1308" i="1"/>
  <c r="I1321" i="1"/>
  <c r="I1334" i="1"/>
  <c r="I1347" i="1"/>
  <c r="I1360" i="1"/>
  <c r="I1373" i="1"/>
  <c r="I1386" i="1"/>
  <c r="I1400" i="1"/>
  <c r="I1413" i="1"/>
  <c r="I1426" i="1"/>
  <c r="I1439" i="1"/>
  <c r="I1452" i="1"/>
  <c r="I1465" i="1"/>
  <c r="I1478" i="1"/>
  <c r="I1491" i="1"/>
  <c r="I1504" i="1"/>
  <c r="I1517" i="1"/>
  <c r="I1529" i="1"/>
  <c r="I1541" i="1"/>
  <c r="I1553" i="1"/>
  <c r="I1565" i="1"/>
  <c r="I1577" i="1"/>
  <c r="I1589" i="1"/>
  <c r="I1601" i="1"/>
  <c r="I1613" i="1"/>
  <c r="I1625" i="1"/>
  <c r="I1637" i="1"/>
  <c r="I1649" i="1"/>
  <c r="I14" i="1"/>
  <c r="I41" i="1"/>
  <c r="I64" i="1"/>
  <c r="I92" i="1"/>
  <c r="I117" i="1"/>
  <c r="I141" i="1"/>
  <c r="I167" i="1"/>
  <c r="I190" i="1"/>
  <c r="I221" i="1"/>
  <c r="I246" i="1"/>
  <c r="I270" i="1"/>
  <c r="I296" i="1"/>
  <c r="I319" i="1"/>
  <c r="I347" i="1"/>
  <c r="I374" i="1"/>
  <c r="I398" i="1"/>
  <c r="I425" i="1"/>
  <c r="I448" i="1"/>
  <c r="I476" i="1"/>
  <c r="I501" i="1"/>
  <c r="I525" i="1"/>
  <c r="I551" i="1"/>
  <c r="I574" i="1"/>
  <c r="I605" i="1"/>
  <c r="I630" i="1"/>
  <c r="I654" i="1"/>
  <c r="I680" i="1"/>
  <c r="I703" i="1"/>
  <c r="I731" i="1"/>
  <c r="I758" i="1"/>
  <c r="I782" i="1"/>
  <c r="I809" i="1"/>
  <c r="I832" i="1"/>
  <c r="I860" i="1"/>
  <c r="I884" i="1"/>
  <c r="I906" i="1"/>
  <c r="I930" i="1"/>
  <c r="I951" i="1"/>
  <c r="I977" i="1"/>
  <c r="I1000" i="1"/>
  <c r="I1020" i="1"/>
  <c r="I1040" i="1"/>
  <c r="I1057" i="1"/>
  <c r="I1079" i="1"/>
  <c r="I1098" i="1"/>
  <c r="I1116" i="1"/>
  <c r="I1136" i="1"/>
  <c r="I1152" i="1"/>
  <c r="I1170" i="1"/>
  <c r="I1187" i="1"/>
  <c r="I1205" i="1"/>
  <c r="I1223" i="1"/>
  <c r="I1241" i="1"/>
  <c r="I1258" i="1"/>
  <c r="I1271" i="1"/>
  <c r="I1284" i="1"/>
  <c r="I1297" i="1"/>
  <c r="I1310" i="1"/>
  <c r="I1323" i="1"/>
  <c r="I1336" i="1"/>
  <c r="I1349" i="1"/>
  <c r="I1362" i="1"/>
  <c r="I1376" i="1"/>
  <c r="I1389" i="1"/>
  <c r="I1402" i="1"/>
  <c r="I1415" i="1"/>
  <c r="I1428" i="1"/>
  <c r="I1441" i="1"/>
  <c r="I1454" i="1"/>
  <c r="I1467" i="1"/>
  <c r="I1480" i="1"/>
  <c r="I1493" i="1"/>
  <c r="I1506" i="1"/>
  <c r="I1519" i="1"/>
  <c r="I1531" i="1"/>
  <c r="I1543" i="1"/>
  <c r="I1555" i="1"/>
  <c r="I1567" i="1"/>
  <c r="I1579" i="1"/>
  <c r="I1591" i="1"/>
  <c r="I1603" i="1"/>
  <c r="I1615" i="1"/>
  <c r="I1627" i="1"/>
  <c r="I1639" i="1"/>
  <c r="I1651" i="1"/>
  <c r="I1663" i="1"/>
  <c r="I1675" i="1"/>
  <c r="I1687" i="1"/>
  <c r="I1699" i="1"/>
  <c r="I1711" i="1"/>
  <c r="I1723" i="1"/>
  <c r="I1735" i="1"/>
  <c r="I1747" i="1"/>
  <c r="I1759" i="1"/>
  <c r="I1771" i="1"/>
  <c r="I1783" i="1"/>
  <c r="I1795" i="1"/>
  <c r="I1807" i="1"/>
  <c r="I1819" i="1"/>
  <c r="I1831" i="1"/>
  <c r="I30" i="1"/>
  <c r="I16" i="1"/>
  <c r="I54" i="1"/>
  <c r="I94" i="1"/>
  <c r="I127" i="1"/>
  <c r="I172" i="1"/>
  <c r="I206" i="1"/>
  <c r="I249" i="1"/>
  <c r="I284" i="1"/>
  <c r="I329" i="1"/>
  <c r="I359" i="1"/>
  <c r="I401" i="1"/>
  <c r="I438" i="1"/>
  <c r="I478" i="1"/>
  <c r="I511" i="1"/>
  <c r="I556" i="1"/>
  <c r="I590" i="1"/>
  <c r="I633" i="1"/>
  <c r="I668" i="1"/>
  <c r="I713" i="1"/>
  <c r="I743" i="1"/>
  <c r="I785" i="1"/>
  <c r="I822" i="1"/>
  <c r="I862" i="1"/>
  <c r="I893" i="1"/>
  <c r="I932" i="1"/>
  <c r="I964" i="1"/>
  <c r="I1003" i="1"/>
  <c r="I1031" i="1"/>
  <c r="I1064" i="1"/>
  <c r="I1088" i="1"/>
  <c r="I1118" i="1"/>
  <c r="I1145" i="1"/>
  <c r="I1173" i="1"/>
  <c r="I1197" i="1"/>
  <c r="I1225" i="1"/>
  <c r="I1248" i="1"/>
  <c r="I1273" i="1"/>
  <c r="I1290" i="1"/>
  <c r="I1312" i="1"/>
  <c r="I1330" i="1"/>
  <c r="I1352" i="1"/>
  <c r="I1369" i="1"/>
  <c r="I1391" i="1"/>
  <c r="I1408" i="1"/>
  <c r="I1430" i="1"/>
  <c r="I1448" i="1"/>
  <c r="I1469" i="1"/>
  <c r="I1487" i="1"/>
  <c r="I1509" i="1"/>
  <c r="I1525" i="1"/>
  <c r="I1545" i="1"/>
  <c r="I1561" i="1"/>
  <c r="I1581" i="1"/>
  <c r="I1597" i="1"/>
  <c r="I1617" i="1"/>
  <c r="I1633" i="1"/>
  <c r="I1653" i="1"/>
  <c r="I1668" i="1"/>
  <c r="I1685" i="1"/>
  <c r="I1701" i="1"/>
  <c r="I1716" i="1"/>
  <c r="I1733" i="1"/>
  <c r="I1749" i="1"/>
  <c r="I1764" i="1"/>
  <c r="I1781" i="1"/>
  <c r="I1797" i="1"/>
  <c r="I1812" i="1"/>
  <c r="I1828" i="1"/>
  <c r="I1841" i="1"/>
  <c r="I1853" i="1"/>
  <c r="I1865" i="1"/>
  <c r="I1877" i="1"/>
  <c r="I1889" i="1"/>
  <c r="I1901" i="1"/>
  <c r="I1913" i="1"/>
  <c r="I1925" i="1"/>
  <c r="I1937" i="1"/>
  <c r="I1949" i="1"/>
  <c r="I1961" i="1"/>
  <c r="I1973" i="1"/>
  <c r="I1985" i="1"/>
  <c r="I1997" i="1"/>
  <c r="I2009" i="1"/>
  <c r="I2021" i="1"/>
  <c r="I2033" i="1"/>
  <c r="I2045" i="1"/>
  <c r="I2057" i="1"/>
  <c r="I2069" i="1"/>
  <c r="I2081" i="1"/>
  <c r="I2093" i="1"/>
  <c r="I2105" i="1"/>
  <c r="I2117" i="1"/>
  <c r="I2129" i="1"/>
  <c r="I2141" i="1"/>
  <c r="I2153" i="1"/>
  <c r="I2165" i="1"/>
  <c r="I2177" i="1"/>
  <c r="I2189" i="1"/>
  <c r="I2201" i="1"/>
  <c r="I2213" i="1"/>
  <c r="I2225" i="1"/>
  <c r="I2237" i="1"/>
  <c r="I2249" i="1"/>
  <c r="I2261" i="1"/>
  <c r="I2273" i="1"/>
  <c r="I2285" i="1"/>
  <c r="I2297" i="1"/>
  <c r="I2309" i="1"/>
  <c r="I2321" i="1"/>
  <c r="I2333" i="1"/>
  <c r="I2345" i="1"/>
  <c r="I2357" i="1"/>
  <c r="I2369" i="1"/>
  <c r="I2381" i="1"/>
  <c r="I2393" i="1"/>
  <c r="I2405" i="1"/>
  <c r="I2417" i="1"/>
  <c r="I2429" i="1"/>
  <c r="I2441" i="1"/>
  <c r="I2453" i="1"/>
  <c r="I2465" i="1"/>
  <c r="I2477" i="1"/>
  <c r="I2489" i="1"/>
  <c r="I2501" i="1"/>
  <c r="I2513" i="1"/>
  <c r="I2525" i="1"/>
  <c r="I2537" i="1"/>
  <c r="I2549" i="1"/>
  <c r="I2561" i="1"/>
  <c r="I2573" i="1"/>
  <c r="I2585" i="1"/>
  <c r="I2597" i="1"/>
  <c r="I2609" i="1"/>
  <c r="I2621" i="1"/>
  <c r="I2633" i="1"/>
  <c r="I2645" i="1"/>
  <c r="I2657" i="1"/>
  <c r="I2669" i="1"/>
  <c r="I2681" i="1"/>
  <c r="I2693" i="1"/>
  <c r="I2705" i="1"/>
  <c r="I2717" i="1"/>
  <c r="I2729" i="1"/>
  <c r="I2741" i="1"/>
  <c r="I2753" i="1"/>
  <c r="I2765" i="1"/>
  <c r="I2777" i="1"/>
  <c r="I2789" i="1"/>
  <c r="I2801" i="1"/>
  <c r="I2813" i="1"/>
  <c r="I2825" i="1"/>
  <c r="I2837" i="1"/>
  <c r="I2849" i="1"/>
  <c r="I2861" i="1"/>
  <c r="I2873" i="1"/>
  <c r="I2885" i="1"/>
  <c r="I2897" i="1"/>
  <c r="I2909" i="1"/>
  <c r="I2921" i="1"/>
  <c r="I2933" i="1"/>
  <c r="I2945" i="1"/>
  <c r="I2957" i="1"/>
  <c r="I2969" i="1"/>
  <c r="I2981" i="1"/>
  <c r="I2993" i="1"/>
  <c r="I3005" i="1"/>
  <c r="I3017" i="1"/>
  <c r="I3029" i="1"/>
  <c r="I3041" i="1"/>
  <c r="I3053" i="1"/>
  <c r="I17" i="1"/>
  <c r="I56" i="1"/>
  <c r="I95" i="1"/>
  <c r="I128" i="1"/>
  <c r="I173" i="1"/>
  <c r="I208" i="1"/>
  <c r="I250" i="1"/>
  <c r="I285" i="1"/>
  <c r="I330" i="1"/>
  <c r="I362" i="1"/>
  <c r="I404" i="1"/>
  <c r="I440" i="1"/>
  <c r="I479" i="1"/>
  <c r="I512" i="1"/>
  <c r="I557" i="1"/>
  <c r="I592" i="1"/>
  <c r="I634" i="1"/>
  <c r="I669" i="1"/>
  <c r="I714" i="1"/>
  <c r="I746" i="1"/>
  <c r="I788" i="1"/>
  <c r="I824" i="1"/>
  <c r="I863" i="1"/>
  <c r="I894" i="1"/>
  <c r="I933" i="1"/>
  <c r="I965" i="1"/>
  <c r="I1004" i="1"/>
  <c r="I1032" i="1"/>
  <c r="I1065" i="1"/>
  <c r="I1089" i="1"/>
  <c r="I1121" i="1"/>
  <c r="I1146" i="1"/>
  <c r="I1175" i="1"/>
  <c r="I1198" i="1"/>
  <c r="I1226" i="1"/>
  <c r="I1249" i="1"/>
  <c r="I1274" i="1"/>
  <c r="I1292" i="1"/>
  <c r="I1313" i="1"/>
  <c r="I1331" i="1"/>
  <c r="I1353" i="1"/>
  <c r="I1370" i="1"/>
  <c r="I1392" i="1"/>
  <c r="I1409" i="1"/>
  <c r="I1431" i="1"/>
  <c r="I1449" i="1"/>
  <c r="I1470" i="1"/>
  <c r="I1488" i="1"/>
  <c r="I1510" i="1"/>
  <c r="I1526" i="1"/>
  <c r="I1546" i="1"/>
  <c r="I1562" i="1"/>
  <c r="I1582" i="1"/>
  <c r="I1598" i="1"/>
  <c r="I1618" i="1"/>
  <c r="I1634" i="1"/>
  <c r="I1654" i="1"/>
  <c r="I1669" i="1"/>
  <c r="I1686" i="1"/>
  <c r="I1702" i="1"/>
  <c r="I1717" i="1"/>
  <c r="I1734" i="1"/>
  <c r="I1750" i="1"/>
  <c r="I1765" i="1"/>
  <c r="I1782" i="1"/>
  <c r="I1798" i="1"/>
  <c r="I1813" i="1"/>
  <c r="I1829" i="1"/>
  <c r="I1842" i="1"/>
  <c r="I1854" i="1"/>
  <c r="I1866" i="1"/>
  <c r="I1878" i="1"/>
  <c r="I1890" i="1"/>
  <c r="I1902" i="1"/>
  <c r="I1914" i="1"/>
  <c r="I1926" i="1"/>
  <c r="I1938" i="1"/>
  <c r="I1950" i="1"/>
  <c r="I1962" i="1"/>
  <c r="I1974" i="1"/>
  <c r="I1986" i="1"/>
  <c r="I1998" i="1"/>
  <c r="I2010" i="1"/>
  <c r="I2022" i="1"/>
  <c r="I2034" i="1"/>
  <c r="I2046" i="1"/>
  <c r="I2058" i="1"/>
  <c r="I2070" i="1"/>
  <c r="I2082" i="1"/>
  <c r="I2094" i="1"/>
  <c r="I2106" i="1"/>
  <c r="I2118" i="1"/>
  <c r="I2130" i="1"/>
  <c r="I2142" i="1"/>
  <c r="I2154" i="1"/>
  <c r="I2166" i="1"/>
  <c r="I2178" i="1"/>
  <c r="I2190" i="1"/>
  <c r="I2202" i="1"/>
  <c r="I2214" i="1"/>
  <c r="I2226" i="1"/>
  <c r="I2238" i="1"/>
  <c r="I2250" i="1"/>
  <c r="I2262" i="1"/>
  <c r="I2274" i="1"/>
  <c r="I2286" i="1"/>
  <c r="I2298" i="1"/>
  <c r="I2310" i="1"/>
  <c r="I2322" i="1"/>
  <c r="I2334" i="1"/>
  <c r="I2346" i="1"/>
  <c r="I2358" i="1"/>
  <c r="I2370" i="1"/>
  <c r="I2382" i="1"/>
  <c r="I2394" i="1"/>
  <c r="I2406" i="1"/>
  <c r="I2418" i="1"/>
  <c r="I2430" i="1"/>
  <c r="I2442" i="1"/>
  <c r="I2454" i="1"/>
  <c r="I2466" i="1"/>
  <c r="I2478" i="1"/>
  <c r="I2490" i="1"/>
  <c r="I2502" i="1"/>
  <c r="I2514" i="1"/>
  <c r="I2526" i="1"/>
  <c r="I2538" i="1"/>
  <c r="I2550" i="1"/>
  <c r="I2562" i="1"/>
  <c r="I2574" i="1"/>
  <c r="I2586" i="1"/>
  <c r="I2598" i="1"/>
  <c r="I2610" i="1"/>
  <c r="I2622" i="1"/>
  <c r="I2634" i="1"/>
  <c r="I2646" i="1"/>
  <c r="I2658" i="1"/>
  <c r="I2670" i="1"/>
  <c r="I2682" i="1"/>
  <c r="I2694" i="1"/>
  <c r="I2706" i="1"/>
  <c r="I2718" i="1"/>
  <c r="I2730" i="1"/>
  <c r="I2742" i="1"/>
  <c r="I2754" i="1"/>
  <c r="I2766" i="1"/>
  <c r="I2778" i="1"/>
  <c r="I2790" i="1"/>
  <c r="I2802" i="1"/>
  <c r="I2814" i="1"/>
  <c r="I2826" i="1"/>
  <c r="I2838" i="1"/>
  <c r="I2850" i="1"/>
  <c r="I2862" i="1"/>
  <c r="I2874" i="1"/>
  <c r="I2886" i="1"/>
  <c r="I2898" i="1"/>
  <c r="I2910" i="1"/>
  <c r="I2922" i="1"/>
  <c r="I2934" i="1"/>
  <c r="I2946" i="1"/>
  <c r="I2958" i="1"/>
  <c r="I2970" i="1"/>
  <c r="I2982" i="1"/>
  <c r="I2994" i="1"/>
  <c r="I3006" i="1"/>
  <c r="I3018" i="1"/>
  <c r="I3030" i="1"/>
  <c r="I3042" i="1"/>
  <c r="I3054" i="1"/>
  <c r="I20" i="1"/>
  <c r="I21" i="1"/>
  <c r="I65" i="1"/>
  <c r="I102" i="1"/>
  <c r="I142" i="1"/>
  <c r="I179" i="1"/>
  <c r="I222" i="1"/>
  <c r="I254" i="1"/>
  <c r="I297" i="1"/>
  <c r="I332" i="1"/>
  <c r="I377" i="1"/>
  <c r="I407" i="1"/>
  <c r="I449" i="1"/>
  <c r="I486" i="1"/>
  <c r="I526" i="1"/>
  <c r="I563" i="1"/>
  <c r="I606" i="1"/>
  <c r="I638" i="1"/>
  <c r="I681" i="1"/>
  <c r="I716" i="1"/>
  <c r="I761" i="1"/>
  <c r="I791" i="1"/>
  <c r="I833" i="1"/>
  <c r="I870" i="1"/>
  <c r="I907" i="1"/>
  <c r="I941" i="1"/>
  <c r="I978" i="1"/>
  <c r="I1006" i="1"/>
  <c r="I1041" i="1"/>
  <c r="I1067" i="1"/>
  <c r="I1100" i="1"/>
  <c r="I1124" i="1"/>
  <c r="I1153" i="1"/>
  <c r="I1177" i="1"/>
  <c r="I1208" i="1"/>
  <c r="I1230" i="1"/>
  <c r="I1259" i="1"/>
  <c r="I1276" i="1"/>
  <c r="I1298" i="1"/>
  <c r="I1316" i="1"/>
  <c r="I1337" i="1"/>
  <c r="I1355" i="1"/>
  <c r="I1377" i="1"/>
  <c r="I1394" i="1"/>
  <c r="I1416" i="1"/>
  <c r="I1433" i="1"/>
  <c r="I1455" i="1"/>
  <c r="I1473" i="1"/>
  <c r="I1494" i="1"/>
  <c r="I1512" i="1"/>
  <c r="I1532" i="1"/>
  <c r="I1548" i="1"/>
  <c r="I1568" i="1"/>
  <c r="I1584" i="1"/>
  <c r="I1604" i="1"/>
  <c r="I1620" i="1"/>
  <c r="I1640" i="1"/>
  <c r="I1656" i="1"/>
  <c r="I1673" i="1"/>
  <c r="I1689" i="1"/>
  <c r="I1704" i="1"/>
  <c r="I1721" i="1"/>
  <c r="I1737" i="1"/>
  <c r="I1752" i="1"/>
  <c r="I1769" i="1"/>
  <c r="I1785" i="1"/>
  <c r="I1800" i="1"/>
  <c r="I1817" i="1"/>
  <c r="I1832" i="1"/>
  <c r="I1844" i="1"/>
  <c r="I1856" i="1"/>
  <c r="I1868" i="1"/>
  <c r="I1880" i="1"/>
  <c r="I1892" i="1"/>
  <c r="I1904" i="1"/>
  <c r="I1916" i="1"/>
  <c r="I1928" i="1"/>
  <c r="I1940" i="1"/>
  <c r="I1952" i="1"/>
  <c r="I1964" i="1"/>
  <c r="I1976" i="1"/>
  <c r="I1988" i="1"/>
  <c r="I2000" i="1"/>
  <c r="I2012" i="1"/>
  <c r="I2024" i="1"/>
  <c r="I2036" i="1"/>
  <c r="I2048" i="1"/>
  <c r="I2060" i="1"/>
  <c r="I2072" i="1"/>
  <c r="I2084" i="1"/>
  <c r="I2096" i="1"/>
  <c r="I2108" i="1"/>
  <c r="I2120" i="1"/>
  <c r="I2132" i="1"/>
  <c r="I2144" i="1"/>
  <c r="I2156" i="1"/>
  <c r="I2168" i="1"/>
  <c r="I2180" i="1"/>
  <c r="I2192" i="1"/>
  <c r="I2204" i="1"/>
  <c r="I2216" i="1"/>
  <c r="I2228" i="1"/>
  <c r="I2240" i="1"/>
  <c r="I2252" i="1"/>
  <c r="I2264" i="1"/>
  <c r="I2276" i="1"/>
  <c r="I2288" i="1"/>
  <c r="I2300" i="1"/>
  <c r="I2312" i="1"/>
  <c r="I2324" i="1"/>
  <c r="I2336" i="1"/>
  <c r="I2348" i="1"/>
  <c r="I2360" i="1"/>
  <c r="I2372" i="1"/>
  <c r="I2384" i="1"/>
  <c r="I2396" i="1"/>
  <c r="I2408" i="1"/>
  <c r="I2420" i="1"/>
  <c r="I2432" i="1"/>
  <c r="I2444" i="1"/>
  <c r="I2456" i="1"/>
  <c r="I2468" i="1"/>
  <c r="I2480" i="1"/>
  <c r="I2492" i="1"/>
  <c r="I2504" i="1"/>
  <c r="I2516" i="1"/>
  <c r="I2528" i="1"/>
  <c r="I2540" i="1"/>
  <c r="I2552" i="1"/>
  <c r="I2564" i="1"/>
  <c r="I2576" i="1"/>
  <c r="I2588" i="1"/>
  <c r="I2600" i="1"/>
  <c r="I2612" i="1"/>
  <c r="I2624" i="1"/>
  <c r="I2636" i="1"/>
  <c r="I2648" i="1"/>
  <c r="I2660" i="1"/>
  <c r="I2672" i="1"/>
  <c r="I2684" i="1"/>
  <c r="I2696" i="1"/>
  <c r="I2708" i="1"/>
  <c r="I2720" i="1"/>
  <c r="I2732" i="1"/>
  <c r="I2744" i="1"/>
  <c r="I2756" i="1"/>
  <c r="I2768" i="1"/>
  <c r="I2780" i="1"/>
  <c r="I2792" i="1"/>
  <c r="I2804" i="1"/>
  <c r="I2816" i="1"/>
  <c r="I2828" i="1"/>
  <c r="I2840" i="1"/>
  <c r="I2852" i="1"/>
  <c r="I2864" i="1"/>
  <c r="I2876" i="1"/>
  <c r="I2888" i="1"/>
  <c r="I2900" i="1"/>
  <c r="I2912" i="1"/>
  <c r="I2924" i="1"/>
  <c r="I2936" i="1"/>
  <c r="I2948" i="1"/>
  <c r="I2960" i="1"/>
  <c r="I2972" i="1"/>
  <c r="I2984" i="1"/>
  <c r="I2996" i="1"/>
  <c r="I3008" i="1"/>
  <c r="I3020" i="1"/>
  <c r="I3032" i="1"/>
  <c r="I3044" i="1"/>
  <c r="I3056" i="1"/>
  <c r="I23" i="1"/>
  <c r="I71" i="1"/>
  <c r="I104" i="1"/>
  <c r="I143" i="1"/>
  <c r="I11" i="1"/>
  <c r="I78" i="1"/>
  <c r="I140" i="1"/>
  <c r="I191" i="1"/>
  <c r="I245" i="1"/>
  <c r="I298" i="1"/>
  <c r="I350" i="1"/>
  <c r="I395" i="1"/>
  <c r="I455" i="1"/>
  <c r="I503" i="1"/>
  <c r="I549" i="1"/>
  <c r="I607" i="1"/>
  <c r="I655" i="1"/>
  <c r="I702" i="1"/>
  <c r="I762" i="1"/>
  <c r="I810" i="1"/>
  <c r="I857" i="1"/>
  <c r="I908" i="1"/>
  <c r="I952" i="1"/>
  <c r="I999" i="1"/>
  <c r="I1042" i="1"/>
  <c r="I1080" i="1"/>
  <c r="I1115" i="1"/>
  <c r="I1154" i="1"/>
  <c r="I1188" i="1"/>
  <c r="I1221" i="1"/>
  <c r="I1260" i="1"/>
  <c r="I1285" i="1"/>
  <c r="I1309" i="1"/>
  <c r="I1338" i="1"/>
  <c r="I1364" i="1"/>
  <c r="I1388" i="1"/>
  <c r="I1417" i="1"/>
  <c r="I1442" i="1"/>
  <c r="I1466" i="1"/>
  <c r="I1496" i="1"/>
  <c r="I1520" i="1"/>
  <c r="I1542" i="1"/>
  <c r="I1569" i="1"/>
  <c r="I1592" i="1"/>
  <c r="I1614" i="1"/>
  <c r="I1641" i="1"/>
  <c r="I1662" i="1"/>
  <c r="I1681" i="1"/>
  <c r="I1705" i="1"/>
  <c r="I1726" i="1"/>
  <c r="I1746" i="1"/>
  <c r="I1770" i="1"/>
  <c r="I1789" i="1"/>
  <c r="I1810" i="1"/>
  <c r="I1833" i="1"/>
  <c r="I1848" i="1"/>
  <c r="I1863" i="1"/>
  <c r="I1881" i="1"/>
  <c r="I1896" i="1"/>
  <c r="I1911" i="1"/>
  <c r="I1929" i="1"/>
  <c r="I1944" i="1"/>
  <c r="I1959" i="1"/>
  <c r="I1977" i="1"/>
  <c r="I1992" i="1"/>
  <c r="I2007" i="1"/>
  <c r="I2025" i="1"/>
  <c r="I2040" i="1"/>
  <c r="I2055" i="1"/>
  <c r="I2073" i="1"/>
  <c r="I2088" i="1"/>
  <c r="I2103" i="1"/>
  <c r="I2121" i="1"/>
  <c r="I2136" i="1"/>
  <c r="I2151" i="1"/>
  <c r="I2169" i="1"/>
  <c r="I2184" i="1"/>
  <c r="I2199" i="1"/>
  <c r="I2217" i="1"/>
  <c r="I2232" i="1"/>
  <c r="I2247" i="1"/>
  <c r="I2265" i="1"/>
  <c r="I2280" i="1"/>
  <c r="I2295" i="1"/>
  <c r="I2313" i="1"/>
  <c r="I2328" i="1"/>
  <c r="I2343" i="1"/>
  <c r="I2361" i="1"/>
  <c r="I2376" i="1"/>
  <c r="I2391" i="1"/>
  <c r="I2409" i="1"/>
  <c r="I2424" i="1"/>
  <c r="I2439" i="1"/>
  <c r="I2457" i="1"/>
  <c r="I2472" i="1"/>
  <c r="I2487" i="1"/>
  <c r="I2505" i="1"/>
  <c r="I2520" i="1"/>
  <c r="I2535" i="1"/>
  <c r="I2553" i="1"/>
  <c r="I2568" i="1"/>
  <c r="I2583" i="1"/>
  <c r="I2601" i="1"/>
  <c r="I2616" i="1"/>
  <c r="I2631" i="1"/>
  <c r="I2649" i="1"/>
  <c r="I2664" i="1"/>
  <c r="I2679" i="1"/>
  <c r="I2697" i="1"/>
  <c r="I2712" i="1"/>
  <c r="I2727" i="1"/>
  <c r="I2745" i="1"/>
  <c r="I2760" i="1"/>
  <c r="I2775" i="1"/>
  <c r="I2793" i="1"/>
  <c r="I2808" i="1"/>
  <c r="I2823" i="1"/>
  <c r="I2841" i="1"/>
  <c r="I2856" i="1"/>
  <c r="I2871" i="1"/>
  <c r="I2889" i="1"/>
  <c r="I2904" i="1"/>
  <c r="I2919" i="1"/>
  <c r="I2937" i="1"/>
  <c r="I2952" i="1"/>
  <c r="I2967" i="1"/>
  <c r="I2985" i="1"/>
  <c r="I3000" i="1"/>
  <c r="I3015" i="1"/>
  <c r="I3033" i="1"/>
  <c r="I3048" i="1"/>
  <c r="I3063" i="1"/>
  <c r="I3075" i="1"/>
  <c r="I3087" i="1"/>
  <c r="I3099" i="1"/>
  <c r="I3111" i="1"/>
  <c r="I3123" i="1"/>
  <c r="I3135" i="1"/>
  <c r="I3147" i="1"/>
  <c r="I3159" i="1"/>
  <c r="I3171" i="1"/>
  <c r="I3183" i="1"/>
  <c r="I3195" i="1"/>
  <c r="I3207" i="1"/>
  <c r="I3219" i="1"/>
  <c r="I3231" i="1"/>
  <c r="I3243" i="1"/>
  <c r="I3255" i="1"/>
  <c r="I3267" i="1"/>
  <c r="I3279" i="1"/>
  <c r="I3291" i="1"/>
  <c r="I3303" i="1"/>
  <c r="I3315" i="1"/>
  <c r="I3327" i="1"/>
  <c r="I3339" i="1"/>
  <c r="I3351" i="1"/>
  <c r="I3363" i="1"/>
  <c r="I3375" i="1"/>
  <c r="I3387" i="1"/>
  <c r="I3399" i="1"/>
  <c r="I3411" i="1"/>
  <c r="I3423" i="1"/>
  <c r="I3435" i="1"/>
  <c r="I3447" i="1"/>
  <c r="I3459" i="1"/>
  <c r="I3471" i="1"/>
  <c r="I3483" i="1"/>
  <c r="I3495" i="1"/>
  <c r="I3507" i="1"/>
  <c r="I3519" i="1"/>
  <c r="I3531" i="1"/>
  <c r="I3543" i="1"/>
  <c r="I3555" i="1"/>
  <c r="I3567" i="1"/>
  <c r="I38" i="1"/>
  <c r="I89" i="1"/>
  <c r="I150" i="1"/>
  <c r="I201" i="1"/>
  <c r="I251" i="1"/>
  <c r="I305" i="1"/>
  <c r="I353" i="1"/>
  <c r="I405" i="1"/>
  <c r="I460" i="1"/>
  <c r="I508" i="1"/>
  <c r="I560" i="1"/>
  <c r="I611" i="1"/>
  <c r="I659" i="1"/>
  <c r="I715" i="1"/>
  <c r="I764" i="1"/>
  <c r="I812" i="1"/>
  <c r="I869" i="1"/>
  <c r="I914" i="1"/>
  <c r="I959" i="1"/>
  <c r="I1005" i="1"/>
  <c r="I1046" i="1"/>
  <c r="I1082" i="1"/>
  <c r="I1122" i="1"/>
  <c r="I1160" i="1"/>
  <c r="I1193" i="1"/>
  <c r="I1229" i="1"/>
  <c r="I1262" i="1"/>
  <c r="I1287" i="1"/>
  <c r="I1314" i="1"/>
  <c r="I1341" i="1"/>
  <c r="I1366" i="1"/>
  <c r="I1393" i="1"/>
  <c r="I1419" i="1"/>
  <c r="I1444" i="1"/>
  <c r="I1472" i="1"/>
  <c r="I43" i="1"/>
  <c r="I101" i="1"/>
  <c r="I155" i="1"/>
  <c r="I203" i="1"/>
  <c r="I257" i="1"/>
  <c r="I309" i="1"/>
  <c r="I357" i="1"/>
  <c r="I414" i="1"/>
  <c r="I462" i="1"/>
  <c r="I510" i="1"/>
  <c r="I569" i="1"/>
  <c r="I617" i="1"/>
  <c r="I665" i="1"/>
  <c r="I718" i="1"/>
  <c r="I766" i="1"/>
  <c r="I821" i="1"/>
  <c r="I873" i="1"/>
  <c r="I919" i="1"/>
  <c r="I963" i="1"/>
  <c r="I1010" i="1"/>
  <c r="I1050" i="1"/>
  <c r="I1086" i="1"/>
  <c r="I1128" i="1"/>
  <c r="I1162" i="1"/>
  <c r="I1196" i="1"/>
  <c r="I1233" i="1"/>
  <c r="I1264" i="1"/>
  <c r="I1289" i="1"/>
  <c r="I1318" i="1"/>
  <c r="I1343" i="1"/>
  <c r="I1368" i="1"/>
  <c r="I1396" i="1"/>
  <c r="I1421" i="1"/>
  <c r="I1446" i="1"/>
  <c r="I1475" i="1"/>
  <c r="I1500" i="1"/>
  <c r="I1524" i="1"/>
  <c r="I1550" i="1"/>
  <c r="I1573" i="1"/>
  <c r="I1596" i="1"/>
  <c r="I1622" i="1"/>
  <c r="I1645" i="1"/>
  <c r="I1667" i="1"/>
  <c r="I1691" i="1"/>
  <c r="I1712" i="1"/>
  <c r="I44" i="1"/>
  <c r="I105" i="1"/>
  <c r="I158" i="1"/>
  <c r="I215" i="1"/>
  <c r="I269" i="1"/>
  <c r="I311" i="1"/>
  <c r="I371" i="1"/>
  <c r="I422" i="1"/>
  <c r="I463" i="1"/>
  <c r="I524" i="1"/>
  <c r="I573" i="1"/>
  <c r="I618" i="1"/>
  <c r="I678" i="1"/>
  <c r="I728" i="1"/>
  <c r="I767" i="1"/>
  <c r="I830" i="1"/>
  <c r="I883" i="1"/>
  <c r="I920" i="1"/>
  <c r="I974" i="1"/>
  <c r="I1019" i="1"/>
  <c r="I1052" i="1"/>
  <c r="I1097" i="1"/>
  <c r="I53" i="1"/>
  <c r="I119" i="1"/>
  <c r="I170" i="1"/>
  <c r="I224" i="1"/>
  <c r="I272" i="1"/>
  <c r="I320" i="1"/>
  <c r="I379" i="1"/>
  <c r="I427" i="1"/>
  <c r="I477" i="1"/>
  <c r="I533" i="1"/>
  <c r="I584" i="1"/>
  <c r="I632" i="1"/>
  <c r="I683" i="1"/>
  <c r="I736" i="1"/>
  <c r="I784" i="1"/>
  <c r="I842" i="1"/>
  <c r="I887" i="1"/>
  <c r="I931" i="1"/>
  <c r="I980" i="1"/>
  <c r="I1022" i="1"/>
  <c r="I1058" i="1"/>
  <c r="I1102" i="1"/>
  <c r="I1138" i="1"/>
  <c r="I1172" i="1"/>
  <c r="I1210" i="1"/>
  <c r="I1244" i="1"/>
  <c r="I1272" i="1"/>
  <c r="I1300" i="1"/>
  <c r="I1325" i="1"/>
  <c r="I1350" i="1"/>
  <c r="I1379" i="1"/>
  <c r="I1404" i="1"/>
  <c r="I1429" i="1"/>
  <c r="I1457" i="1"/>
  <c r="I1482" i="1"/>
  <c r="I1508" i="1"/>
  <c r="I1534" i="1"/>
  <c r="I1557" i="1"/>
  <c r="I1580" i="1"/>
  <c r="I1606" i="1"/>
  <c r="I1629" i="1"/>
  <c r="I1652" i="1"/>
  <c r="I1676" i="1"/>
  <c r="I1694" i="1"/>
  <c r="I1715" i="1"/>
  <c r="I1739" i="1"/>
  <c r="I1760" i="1"/>
  <c r="I1778" i="1"/>
  <c r="I1802" i="1"/>
  <c r="I1823" i="1"/>
  <c r="I29" i="1"/>
  <c r="I125" i="1"/>
  <c r="I227" i="1"/>
  <c r="I308" i="1"/>
  <c r="I383" i="1"/>
  <c r="I488" i="1"/>
  <c r="I575" i="1"/>
  <c r="I656" i="1"/>
  <c r="I741" i="1"/>
  <c r="I844" i="1"/>
  <c r="I916" i="1"/>
  <c r="I989" i="1"/>
  <c r="I1068" i="1"/>
  <c r="I1134" i="1"/>
  <c r="I1181" i="1"/>
  <c r="I1238" i="1"/>
  <c r="I1278" i="1"/>
  <c r="I1322" i="1"/>
  <c r="I1357" i="1"/>
  <c r="I1401" i="1"/>
  <c r="I1436" i="1"/>
  <c r="I1479" i="1"/>
  <c r="I1513" i="1"/>
  <c r="I1544" i="1"/>
  <c r="I1574" i="1"/>
  <c r="I1608" i="1"/>
  <c r="I1642" i="1"/>
  <c r="I1670" i="1"/>
  <c r="I1698" i="1"/>
  <c r="I1727" i="1"/>
  <c r="I1753" i="1"/>
  <c r="I1776" i="1"/>
  <c r="I1805" i="1"/>
  <c r="I1826" i="1"/>
  <c r="I1847" i="1"/>
  <c r="I1864" i="1"/>
  <c r="I1883" i="1"/>
  <c r="I1899" i="1"/>
  <c r="I1918" i="1"/>
  <c r="I1934" i="1"/>
  <c r="I1953" i="1"/>
  <c r="I1969" i="1"/>
  <c r="I1987" i="1"/>
  <c r="I2004" i="1"/>
  <c r="I2020" i="1"/>
  <c r="I2039" i="1"/>
  <c r="I2056" i="1"/>
  <c r="I2075" i="1"/>
  <c r="I2091" i="1"/>
  <c r="I2110" i="1"/>
  <c r="I2126" i="1"/>
  <c r="I2145" i="1"/>
  <c r="I2161" i="1"/>
  <c r="I2179" i="1"/>
  <c r="I2196" i="1"/>
  <c r="I2212" i="1"/>
  <c r="I2231" i="1"/>
  <c r="I2248" i="1"/>
  <c r="I2267" i="1"/>
  <c r="I2283" i="1"/>
  <c r="I2302" i="1"/>
  <c r="I2318" i="1"/>
  <c r="I2337" i="1"/>
  <c r="I2353" i="1"/>
  <c r="I2371" i="1"/>
  <c r="I2388" i="1"/>
  <c r="I2404" i="1"/>
  <c r="I2423" i="1"/>
  <c r="I2440" i="1"/>
  <c r="I2459" i="1"/>
  <c r="I2475" i="1"/>
  <c r="I2494" i="1"/>
  <c r="I2510" i="1"/>
  <c r="I2529" i="1"/>
  <c r="I2545" i="1"/>
  <c r="I2563" i="1"/>
  <c r="I2580" i="1"/>
  <c r="I2596" i="1"/>
  <c r="I2615" i="1"/>
  <c r="I2632" i="1"/>
  <c r="I2651" i="1"/>
  <c r="I2667" i="1"/>
  <c r="I2686" i="1"/>
  <c r="I2702" i="1"/>
  <c r="I2721" i="1"/>
  <c r="I2737" i="1"/>
  <c r="I2755" i="1"/>
  <c r="I2772" i="1"/>
  <c r="I2788" i="1"/>
  <c r="I2807" i="1"/>
  <c r="I2824" i="1"/>
  <c r="I2843" i="1"/>
  <c r="I2859" i="1"/>
  <c r="I2878" i="1"/>
  <c r="I2894" i="1"/>
  <c r="I2913" i="1"/>
  <c r="I2929" i="1"/>
  <c r="I2947" i="1"/>
  <c r="I2964" i="1"/>
  <c r="I2980" i="1"/>
  <c r="I2999" i="1"/>
  <c r="I3016" i="1"/>
  <c r="I3035" i="1"/>
  <c r="I3051" i="1"/>
  <c r="I3067" i="1"/>
  <c r="I3080" i="1"/>
  <c r="I3093" i="1"/>
  <c r="I3106" i="1"/>
  <c r="I3119" i="1"/>
  <c r="I3132" i="1"/>
  <c r="I3145" i="1"/>
  <c r="I3158" i="1"/>
  <c r="I3172" i="1"/>
  <c r="I3185" i="1"/>
  <c r="I3198" i="1"/>
  <c r="I3211" i="1"/>
  <c r="I3224" i="1"/>
  <c r="I3237" i="1"/>
  <c r="I3250" i="1"/>
  <c r="I3263" i="1"/>
  <c r="I3276" i="1"/>
  <c r="I3289" i="1"/>
  <c r="I3302" i="1"/>
  <c r="I3316" i="1"/>
  <c r="I3329" i="1"/>
  <c r="I3342" i="1"/>
  <c r="I3355" i="1"/>
  <c r="I3368" i="1"/>
  <c r="I3381" i="1"/>
  <c r="I3394" i="1"/>
  <c r="I3407" i="1"/>
  <c r="I3420" i="1"/>
  <c r="I3433" i="1"/>
  <c r="I3446" i="1"/>
  <c r="I3460" i="1"/>
  <c r="I3473" i="1"/>
  <c r="I3486" i="1"/>
  <c r="I3499" i="1"/>
  <c r="I3512" i="1"/>
  <c r="I3525" i="1"/>
  <c r="I3538" i="1"/>
  <c r="I3551" i="1"/>
  <c r="I3564" i="1"/>
  <c r="I3577" i="1"/>
  <c r="I3589" i="1"/>
  <c r="I3601" i="1"/>
  <c r="I3613" i="1"/>
  <c r="I3625" i="1"/>
  <c r="I3637" i="1"/>
  <c r="I3649" i="1"/>
  <c r="I3661" i="1"/>
  <c r="I3673" i="1"/>
  <c r="I3685" i="1"/>
  <c r="I3697" i="1"/>
  <c r="I3709" i="1"/>
  <c r="I3721" i="1"/>
  <c r="I3733" i="1"/>
  <c r="I3745" i="1"/>
  <c r="I3757" i="1"/>
  <c r="I3769" i="1"/>
  <c r="I3781" i="1"/>
  <c r="I3793" i="1"/>
  <c r="I3805" i="1"/>
  <c r="I3817" i="1"/>
  <c r="I3829" i="1"/>
  <c r="I3841" i="1"/>
  <c r="I3853" i="1"/>
  <c r="I3865" i="1"/>
  <c r="I3877" i="1"/>
  <c r="I3889" i="1"/>
  <c r="I3901" i="1"/>
  <c r="I42" i="1"/>
  <c r="I126" i="1"/>
  <c r="I230" i="1"/>
  <c r="I318" i="1"/>
  <c r="I400" i="1"/>
  <c r="I489" i="1"/>
  <c r="I585" i="1"/>
  <c r="I662" i="1"/>
  <c r="I755" i="1"/>
  <c r="I845" i="1"/>
  <c r="I928" i="1"/>
  <c r="I1002" i="1"/>
  <c r="I1069" i="1"/>
  <c r="I1137" i="1"/>
  <c r="I1186" i="1"/>
  <c r="I1242" i="1"/>
  <c r="I1283" i="1"/>
  <c r="I1324" i="1"/>
  <c r="I1361" i="1"/>
  <c r="I1403" i="1"/>
  <c r="I1440" i="1"/>
  <c r="I1481" i="1"/>
  <c r="I1514" i="1"/>
  <c r="I1547" i="1"/>
  <c r="I1578" i="1"/>
  <c r="I1609" i="1"/>
  <c r="I1643" i="1"/>
  <c r="I1674" i="1"/>
  <c r="I1700" i="1"/>
  <c r="I1728" i="1"/>
  <c r="I1754" i="1"/>
  <c r="I1777" i="1"/>
  <c r="I1806" i="1"/>
  <c r="I1830" i="1"/>
  <c r="I1849" i="1"/>
  <c r="I1867" i="1"/>
  <c r="I1884" i="1"/>
  <c r="I1900" i="1"/>
  <c r="I1919" i="1"/>
  <c r="I1935" i="1"/>
  <c r="I1954" i="1"/>
  <c r="I1970" i="1"/>
  <c r="I1989" i="1"/>
  <c r="I2005" i="1"/>
  <c r="I2023" i="1"/>
  <c r="I2041" i="1"/>
  <c r="I2059" i="1"/>
  <c r="I2076" i="1"/>
  <c r="I2092" i="1"/>
  <c r="I2111" i="1"/>
  <c r="I2127" i="1"/>
  <c r="I2146" i="1"/>
  <c r="I2162" i="1"/>
  <c r="I2181" i="1"/>
  <c r="I2197" i="1"/>
  <c r="I2215" i="1"/>
  <c r="I2233" i="1"/>
  <c r="I2251" i="1"/>
  <c r="I2268" i="1"/>
  <c r="I2284" i="1"/>
  <c r="I2303" i="1"/>
  <c r="I2319" i="1"/>
  <c r="I2338" i="1"/>
  <c r="I2354" i="1"/>
  <c r="I2373" i="1"/>
  <c r="I2389" i="1"/>
  <c r="I2407" i="1"/>
  <c r="I2425" i="1"/>
  <c r="I2443" i="1"/>
  <c r="I2460" i="1"/>
  <c r="I2476" i="1"/>
  <c r="I2495" i="1"/>
  <c r="I2511" i="1"/>
  <c r="I2530" i="1"/>
  <c r="I2546" i="1"/>
  <c r="I2565" i="1"/>
  <c r="I2581" i="1"/>
  <c r="I2599" i="1"/>
  <c r="I2617" i="1"/>
  <c r="I2635" i="1"/>
  <c r="I2652" i="1"/>
  <c r="I2668" i="1"/>
  <c r="I2687" i="1"/>
  <c r="I2703" i="1"/>
  <c r="I2722" i="1"/>
  <c r="I2738" i="1"/>
  <c r="I2757" i="1"/>
  <c r="I2773" i="1"/>
  <c r="I2791" i="1"/>
  <c r="I2809" i="1"/>
  <c r="I2827" i="1"/>
  <c r="I2844" i="1"/>
  <c r="I2860" i="1"/>
  <c r="I2879" i="1"/>
  <c r="I2895" i="1"/>
  <c r="I2914" i="1"/>
  <c r="I2930" i="1"/>
  <c r="I2949" i="1"/>
  <c r="I2965" i="1"/>
  <c r="I2983" i="1"/>
  <c r="I3001" i="1"/>
  <c r="I3019" i="1"/>
  <c r="I3036" i="1"/>
  <c r="I3052" i="1"/>
  <c r="I3068" i="1"/>
  <c r="I3081" i="1"/>
  <c r="I3094" i="1"/>
  <c r="I3107" i="1"/>
  <c r="I3120" i="1"/>
  <c r="I3133" i="1"/>
  <c r="I3146" i="1"/>
  <c r="I3160" i="1"/>
  <c r="I3173" i="1"/>
  <c r="I3186" i="1"/>
  <c r="I3199" i="1"/>
  <c r="I3212" i="1"/>
  <c r="I3225" i="1"/>
  <c r="I3238" i="1"/>
  <c r="I3251" i="1"/>
  <c r="I3264" i="1"/>
  <c r="I3277" i="1"/>
  <c r="I3290" i="1"/>
  <c r="I3304" i="1"/>
  <c r="I3317" i="1"/>
  <c r="I3330" i="1"/>
  <c r="I3343" i="1"/>
  <c r="I3356" i="1"/>
  <c r="I3369" i="1"/>
  <c r="I3382" i="1"/>
  <c r="I3395" i="1"/>
  <c r="I3408" i="1"/>
  <c r="I3421" i="1"/>
  <c r="I3434" i="1"/>
  <c r="I3448" i="1"/>
  <c r="I3461" i="1"/>
  <c r="I3474" i="1"/>
  <c r="I3487" i="1"/>
  <c r="I3500" i="1"/>
  <c r="I3513" i="1"/>
  <c r="I3526" i="1"/>
  <c r="I3539" i="1"/>
  <c r="I3552" i="1"/>
  <c r="I3565" i="1"/>
  <c r="I3578" i="1"/>
  <c r="I3590" i="1"/>
  <c r="I3602" i="1"/>
  <c r="I3614" i="1"/>
  <c r="I3626" i="1"/>
  <c r="I3638" i="1"/>
  <c r="I3650" i="1"/>
  <c r="I3662" i="1"/>
  <c r="I3674" i="1"/>
  <c r="I3686" i="1"/>
  <c r="I3698" i="1"/>
  <c r="I3710" i="1"/>
  <c r="I3722" i="1"/>
  <c r="I3734" i="1"/>
  <c r="I3746" i="1"/>
  <c r="I3758" i="1"/>
  <c r="I3770" i="1"/>
  <c r="I3782" i="1"/>
  <c r="I3794" i="1"/>
  <c r="I3806" i="1"/>
  <c r="I3818" i="1"/>
  <c r="I3830" i="1"/>
  <c r="I3842" i="1"/>
  <c r="I3854" i="1"/>
  <c r="I3866" i="1"/>
  <c r="I47" i="1"/>
  <c r="I149" i="1"/>
  <c r="I233" i="1"/>
  <c r="I331" i="1"/>
  <c r="I413" i="1"/>
  <c r="I500" i="1"/>
  <c r="I586" i="1"/>
  <c r="I682" i="1"/>
  <c r="I763" i="1"/>
  <c r="I846" i="1"/>
  <c r="I938" i="1"/>
  <c r="I1007" i="1"/>
  <c r="I1076" i="1"/>
  <c r="I1139" i="1"/>
  <c r="I1190" i="1"/>
  <c r="I1245" i="1"/>
  <c r="I1286" i="1"/>
  <c r="I1326" i="1"/>
  <c r="I1365" i="1"/>
  <c r="I1405" i="1"/>
  <c r="I1443" i="1"/>
  <c r="I1484" i="1"/>
  <c r="I1518" i="1"/>
  <c r="I1549" i="1"/>
  <c r="I1583" i="1"/>
  <c r="I1610" i="1"/>
  <c r="I1644" i="1"/>
  <c r="I1677" i="1"/>
  <c r="I1703" i="1"/>
  <c r="I1729" i="1"/>
  <c r="I1757" i="1"/>
  <c r="I1784" i="1"/>
  <c r="I1808" i="1"/>
  <c r="I1834" i="1"/>
  <c r="I1850" i="1"/>
  <c r="I1869" i="1"/>
  <c r="I1885" i="1"/>
  <c r="I1903" i="1"/>
  <c r="I1920" i="1"/>
  <c r="I1936" i="1"/>
  <c r="I1955" i="1"/>
  <c r="I1971" i="1"/>
  <c r="I1990" i="1"/>
  <c r="I2006" i="1"/>
  <c r="I2026" i="1"/>
  <c r="I2042" i="1"/>
  <c r="I2061" i="1"/>
  <c r="I2077" i="1"/>
  <c r="I2095" i="1"/>
  <c r="I2112" i="1"/>
  <c r="I2128" i="1"/>
  <c r="I2147" i="1"/>
  <c r="I2163" i="1"/>
  <c r="I2182" i="1"/>
  <c r="I2198" i="1"/>
  <c r="I2218" i="1"/>
  <c r="I2234" i="1"/>
  <c r="I2253" i="1"/>
  <c r="I2269" i="1"/>
  <c r="I2287" i="1"/>
  <c r="I2304" i="1"/>
  <c r="I2320" i="1"/>
  <c r="I2339" i="1"/>
  <c r="I2355" i="1"/>
  <c r="I2374" i="1"/>
  <c r="I2390" i="1"/>
  <c r="I2410" i="1"/>
  <c r="I2426" i="1"/>
  <c r="I2445" i="1"/>
  <c r="I2461" i="1"/>
  <c r="I2479" i="1"/>
  <c r="I2496" i="1"/>
  <c r="I2512" i="1"/>
  <c r="I2531" i="1"/>
  <c r="I2547" i="1"/>
  <c r="I2566" i="1"/>
  <c r="I2582" i="1"/>
  <c r="I2602" i="1"/>
  <c r="I2618" i="1"/>
  <c r="I2637" i="1"/>
  <c r="I2653" i="1"/>
  <c r="I2671" i="1"/>
  <c r="I2688" i="1"/>
  <c r="I2704" i="1"/>
  <c r="I2723" i="1"/>
  <c r="I2739" i="1"/>
  <c r="I2758" i="1"/>
  <c r="I2774" i="1"/>
  <c r="I2794" i="1"/>
  <c r="I2810" i="1"/>
  <c r="I2829" i="1"/>
  <c r="I2845" i="1"/>
  <c r="I2863" i="1"/>
  <c r="I2880" i="1"/>
  <c r="I2896" i="1"/>
  <c r="I2915" i="1"/>
  <c r="I2931" i="1"/>
  <c r="I2950" i="1"/>
  <c r="I2966" i="1"/>
  <c r="I2986" i="1"/>
  <c r="I3002" i="1"/>
  <c r="I3021" i="1"/>
  <c r="I3037" i="1"/>
  <c r="I3055" i="1"/>
  <c r="I3069" i="1"/>
  <c r="I3082" i="1"/>
  <c r="I3095" i="1"/>
  <c r="I3108" i="1"/>
  <c r="I3121" i="1"/>
  <c r="I3134" i="1"/>
  <c r="I3148" i="1"/>
  <c r="I3161" i="1"/>
  <c r="I3174" i="1"/>
  <c r="I3187" i="1"/>
  <c r="I3200" i="1"/>
  <c r="I3213" i="1"/>
  <c r="I3226" i="1"/>
  <c r="I3239" i="1"/>
  <c r="I3252" i="1"/>
  <c r="I3265" i="1"/>
  <c r="I3278" i="1"/>
  <c r="I3292" i="1"/>
  <c r="I3305" i="1"/>
  <c r="I3318" i="1"/>
  <c r="I3331" i="1"/>
  <c r="I3344" i="1"/>
  <c r="I3357" i="1"/>
  <c r="I3370" i="1"/>
  <c r="I3383" i="1"/>
  <c r="I3396" i="1"/>
  <c r="I3409" i="1"/>
  <c r="I3422" i="1"/>
  <c r="I3436" i="1"/>
  <c r="I3449" i="1"/>
  <c r="I3462" i="1"/>
  <c r="I3475" i="1"/>
  <c r="I3488" i="1"/>
  <c r="I3501" i="1"/>
  <c r="I3514" i="1"/>
  <c r="I3527" i="1"/>
  <c r="I3540" i="1"/>
  <c r="I3553" i="1"/>
  <c r="I74" i="1"/>
  <c r="I165" i="1"/>
  <c r="I248" i="1"/>
  <c r="I334" i="1"/>
  <c r="I428" i="1"/>
  <c r="I509" i="1"/>
  <c r="I599" i="1"/>
  <c r="I692" i="1"/>
  <c r="I779" i="1"/>
  <c r="I861" i="1"/>
  <c r="I944" i="1"/>
  <c r="I1025" i="1"/>
  <c r="I1085" i="1"/>
  <c r="I1142" i="1"/>
  <c r="I1202" i="1"/>
  <c r="I1247" i="1"/>
  <c r="I1296" i="1"/>
  <c r="I1329" i="1"/>
  <c r="I1374" i="1"/>
  <c r="I1407" i="1"/>
  <c r="I1453" i="1"/>
  <c r="I1486" i="1"/>
  <c r="I1522" i="1"/>
  <c r="I1556" i="1"/>
  <c r="I1586" i="1"/>
  <c r="I1619" i="1"/>
  <c r="I1650" i="1"/>
  <c r="I1679" i="1"/>
  <c r="I1709" i="1"/>
  <c r="I1736" i="1"/>
  <c r="I1761" i="1"/>
  <c r="I1787" i="1"/>
  <c r="I1811" i="1"/>
  <c r="I1836" i="1"/>
  <c r="I1852" i="1"/>
  <c r="I1871" i="1"/>
  <c r="I1887" i="1"/>
  <c r="I1906" i="1"/>
  <c r="I1922" i="1"/>
  <c r="I1941" i="1"/>
  <c r="I1957" i="1"/>
  <c r="I1975" i="1"/>
  <c r="I1993" i="1"/>
  <c r="I2011" i="1"/>
  <c r="I2028" i="1"/>
  <c r="I2044" i="1"/>
  <c r="I2063" i="1"/>
  <c r="I2079" i="1"/>
  <c r="I2098" i="1"/>
  <c r="I2114" i="1"/>
  <c r="I2133" i="1"/>
  <c r="I2149" i="1"/>
  <c r="I2167" i="1"/>
  <c r="I2185" i="1"/>
  <c r="I2203" i="1"/>
  <c r="I2220" i="1"/>
  <c r="I2236" i="1"/>
  <c r="I2255" i="1"/>
  <c r="I2271" i="1"/>
  <c r="I2290" i="1"/>
  <c r="I2306" i="1"/>
  <c r="I2325" i="1"/>
  <c r="I2341" i="1"/>
  <c r="I2359" i="1"/>
  <c r="I2377" i="1"/>
  <c r="I2395" i="1"/>
  <c r="I2412" i="1"/>
  <c r="I2428" i="1"/>
  <c r="I2447" i="1"/>
  <c r="I2463" i="1"/>
  <c r="I2482" i="1"/>
  <c r="I2498" i="1"/>
  <c r="I2517" i="1"/>
  <c r="I2533" i="1"/>
  <c r="I2551" i="1"/>
  <c r="I2569" i="1"/>
  <c r="I2587" i="1"/>
  <c r="I2604" i="1"/>
  <c r="I2620" i="1"/>
  <c r="I2639" i="1"/>
  <c r="I2655" i="1"/>
  <c r="I2674" i="1"/>
  <c r="I2690" i="1"/>
  <c r="I2709" i="1"/>
  <c r="I2725" i="1"/>
  <c r="I2743" i="1"/>
  <c r="I2761" i="1"/>
  <c r="I2779" i="1"/>
  <c r="I2796" i="1"/>
  <c r="I2812" i="1"/>
  <c r="I2831" i="1"/>
  <c r="I2847" i="1"/>
  <c r="I2866" i="1"/>
  <c r="I2882" i="1"/>
  <c r="I2901" i="1"/>
  <c r="I2917" i="1"/>
  <c r="I2935" i="1"/>
  <c r="I2953" i="1"/>
  <c r="I2971" i="1"/>
  <c r="I2988" i="1"/>
  <c r="I3004" i="1"/>
  <c r="I3023" i="1"/>
  <c r="I3039" i="1"/>
  <c r="I3058" i="1"/>
  <c r="I3071" i="1"/>
  <c r="I3084" i="1"/>
  <c r="I3097" i="1"/>
  <c r="I3110" i="1"/>
  <c r="I3124" i="1"/>
  <c r="I3137" i="1"/>
  <c r="I3150" i="1"/>
  <c r="I3163" i="1"/>
  <c r="I3176" i="1"/>
  <c r="I3189" i="1"/>
  <c r="I3202" i="1"/>
  <c r="I3215" i="1"/>
  <c r="I3228" i="1"/>
  <c r="I3241" i="1"/>
  <c r="I3254" i="1"/>
  <c r="I3268" i="1"/>
  <c r="I3281" i="1"/>
  <c r="I3294" i="1"/>
  <c r="I3307" i="1"/>
  <c r="I3320" i="1"/>
  <c r="I3333" i="1"/>
  <c r="I3346" i="1"/>
  <c r="I3359" i="1"/>
  <c r="I3372" i="1"/>
  <c r="I3385" i="1"/>
  <c r="I3398" i="1"/>
  <c r="I3412" i="1"/>
  <c r="I3425" i="1"/>
  <c r="I3438" i="1"/>
  <c r="I3451" i="1"/>
  <c r="I3464" i="1"/>
  <c r="I3477" i="1"/>
  <c r="I3490" i="1"/>
  <c r="I3503" i="1"/>
  <c r="I3516" i="1"/>
  <c r="I3529" i="1"/>
  <c r="I3542" i="1"/>
  <c r="I3556" i="1"/>
  <c r="I3569" i="1"/>
  <c r="I3581" i="1"/>
  <c r="I3593" i="1"/>
  <c r="I3605" i="1"/>
  <c r="I3617" i="1"/>
  <c r="I3629" i="1"/>
  <c r="I3641" i="1"/>
  <c r="I3653" i="1"/>
  <c r="I3665" i="1"/>
  <c r="I3677" i="1"/>
  <c r="I3689" i="1"/>
  <c r="I3701" i="1"/>
  <c r="I3713" i="1"/>
  <c r="I3725" i="1"/>
  <c r="I3737" i="1"/>
  <c r="I3749" i="1"/>
  <c r="I3761" i="1"/>
  <c r="I3773" i="1"/>
  <c r="I3785" i="1"/>
  <c r="I3797" i="1"/>
  <c r="I3809" i="1"/>
  <c r="I3821" i="1"/>
  <c r="I3833" i="1"/>
  <c r="I3845" i="1"/>
  <c r="I3857" i="1"/>
  <c r="I3869" i="1"/>
  <c r="I3881" i="1"/>
  <c r="I3893" i="1"/>
  <c r="I79" i="1"/>
  <c r="I185" i="1"/>
  <c r="I275" i="1"/>
  <c r="I356" i="1"/>
  <c r="I446" i="1"/>
  <c r="I536" i="1"/>
  <c r="I629" i="1"/>
  <c r="I704" i="1"/>
  <c r="I122" i="1"/>
  <c r="I62" i="1"/>
  <c r="I223" i="1"/>
  <c r="I380" i="1"/>
  <c r="I534" i="1"/>
  <c r="I689" i="1"/>
  <c r="I811" i="1"/>
  <c r="I950" i="1"/>
  <c r="I1049" i="1"/>
  <c r="I1151" i="1"/>
  <c r="I1214" i="1"/>
  <c r="I1299" i="1"/>
  <c r="I1348" i="1"/>
  <c r="I1414" i="1"/>
  <c r="I1462" i="1"/>
  <c r="I1523" i="1"/>
  <c r="I1570" i="1"/>
  <c r="I1621" i="1"/>
  <c r="I1664" i="1"/>
  <c r="I1710" i="1"/>
  <c r="I1745" i="1"/>
  <c r="I1788" i="1"/>
  <c r="I1822" i="1"/>
  <c r="I1855" i="1"/>
  <c r="I1876" i="1"/>
  <c r="I1907" i="1"/>
  <c r="I1931" i="1"/>
  <c r="I1958" i="1"/>
  <c r="I1982" i="1"/>
  <c r="I2013" i="1"/>
  <c r="I2035" i="1"/>
  <c r="I2064" i="1"/>
  <c r="I2087" i="1"/>
  <c r="I2115" i="1"/>
  <c r="I2139" i="1"/>
  <c r="I2170" i="1"/>
  <c r="I2193" i="1"/>
  <c r="I2221" i="1"/>
  <c r="I2244" i="1"/>
  <c r="I2272" i="1"/>
  <c r="I2296" i="1"/>
  <c r="I2326" i="1"/>
  <c r="I2350" i="1"/>
  <c r="I2378" i="1"/>
  <c r="I2401" i="1"/>
  <c r="I2431" i="1"/>
  <c r="I2452" i="1"/>
  <c r="I2483" i="1"/>
  <c r="I2507" i="1"/>
  <c r="I2534" i="1"/>
  <c r="I2558" i="1"/>
  <c r="I2589" i="1"/>
  <c r="I2611" i="1"/>
  <c r="I2640" i="1"/>
  <c r="I2663" i="1"/>
  <c r="I2691" i="1"/>
  <c r="I2715" i="1"/>
  <c r="I2746" i="1"/>
  <c r="I2769" i="1"/>
  <c r="I2797" i="1"/>
  <c r="I2820" i="1"/>
  <c r="I2848" i="1"/>
  <c r="I2872" i="1"/>
  <c r="I2902" i="1"/>
  <c r="I2926" i="1"/>
  <c r="I2954" i="1"/>
  <c r="I2977" i="1"/>
  <c r="I3007" i="1"/>
  <c r="I3028" i="1"/>
  <c r="I3059" i="1"/>
  <c r="I3077" i="1"/>
  <c r="I3098" i="1"/>
  <c r="I3116" i="1"/>
  <c r="I3138" i="1"/>
  <c r="I3155" i="1"/>
  <c r="I3177" i="1"/>
  <c r="I3194" i="1"/>
  <c r="I3216" i="1"/>
  <c r="I3234" i="1"/>
  <c r="I3256" i="1"/>
  <c r="I3273" i="1"/>
  <c r="I3295" i="1"/>
  <c r="I3312" i="1"/>
  <c r="I3334" i="1"/>
  <c r="I3352" i="1"/>
  <c r="I3373" i="1"/>
  <c r="I3391" i="1"/>
  <c r="I3413" i="1"/>
  <c r="I3430" i="1"/>
  <c r="I3452" i="1"/>
  <c r="I3469" i="1"/>
  <c r="I3491" i="1"/>
  <c r="I3509" i="1"/>
  <c r="I3530" i="1"/>
  <c r="I3548" i="1"/>
  <c r="I3568" i="1"/>
  <c r="I3584" i="1"/>
  <c r="I3599" i="1"/>
  <c r="I3616" i="1"/>
  <c r="I3632" i="1"/>
  <c r="I3647" i="1"/>
  <c r="I3664" i="1"/>
  <c r="I3680" i="1"/>
  <c r="I3695" i="1"/>
  <c r="I3712" i="1"/>
  <c r="I3728" i="1"/>
  <c r="I3743" i="1"/>
  <c r="I3760" i="1"/>
  <c r="I3776" i="1"/>
  <c r="I3791" i="1"/>
  <c r="I3808" i="1"/>
  <c r="I3824" i="1"/>
  <c r="I3839" i="1"/>
  <c r="I3856" i="1"/>
  <c r="I3872" i="1"/>
  <c r="I3886" i="1"/>
  <c r="I3900" i="1"/>
  <c r="I3913" i="1"/>
  <c r="I3925" i="1"/>
  <c r="I3937" i="1"/>
  <c r="I3949" i="1"/>
  <c r="I3961" i="1"/>
  <c r="I3973" i="1"/>
  <c r="I3985" i="1"/>
  <c r="I3997" i="1"/>
  <c r="I4009" i="1"/>
  <c r="I4021" i="1"/>
  <c r="I4033" i="1"/>
  <c r="I4045" i="1"/>
  <c r="I4057" i="1"/>
  <c r="I4069" i="1"/>
  <c r="I4081" i="1"/>
  <c r="I4093" i="1"/>
  <c r="I4105" i="1"/>
  <c r="I4117" i="1"/>
  <c r="I4129" i="1"/>
  <c r="I4141" i="1"/>
  <c r="I4153" i="1"/>
  <c r="I4165" i="1"/>
  <c r="I4177" i="1"/>
  <c r="I4189" i="1"/>
  <c r="I4201" i="1"/>
  <c r="I4213" i="1"/>
  <c r="I4225" i="1"/>
  <c r="I4237" i="1"/>
  <c r="I4249" i="1"/>
  <c r="I4261" i="1"/>
  <c r="I4273" i="1"/>
  <c r="I4285" i="1"/>
  <c r="I4297" i="1"/>
  <c r="I4309" i="1"/>
  <c r="I4321" i="1"/>
  <c r="I4333" i="1"/>
  <c r="I4345" i="1"/>
  <c r="I4357" i="1"/>
  <c r="I4369" i="1"/>
  <c r="I4381" i="1"/>
  <c r="I4393" i="1"/>
  <c r="I4405" i="1"/>
  <c r="I4417" i="1"/>
  <c r="I4429" i="1"/>
  <c r="I4441" i="1"/>
  <c r="I4453" i="1"/>
  <c r="I4465" i="1"/>
  <c r="I4477" i="1"/>
  <c r="I4489" i="1"/>
  <c r="I4501" i="1"/>
  <c r="I4513" i="1"/>
  <c r="I4525" i="1"/>
  <c r="I4537" i="1"/>
  <c r="I4549" i="1"/>
  <c r="I4561" i="1"/>
  <c r="I76" i="1"/>
  <c r="I234" i="1"/>
  <c r="I381" i="1"/>
  <c r="I539" i="1"/>
  <c r="I693" i="1"/>
  <c r="I815" i="1"/>
  <c r="I958" i="1"/>
  <c r="I1056" i="1"/>
  <c r="I1157" i="1"/>
  <c r="I1224" i="1"/>
  <c r="I1301" i="1"/>
  <c r="I1354" i="1"/>
  <c r="I1418" i="1"/>
  <c r="I1468" i="1"/>
  <c r="I1530" i="1"/>
  <c r="I1571" i="1"/>
  <c r="I1626" i="1"/>
  <c r="I1665" i="1"/>
  <c r="I1713" i="1"/>
  <c r="I1748" i="1"/>
  <c r="I1790" i="1"/>
  <c r="I1824" i="1"/>
  <c r="I1857" i="1"/>
  <c r="I1879" i="1"/>
  <c r="I1908" i="1"/>
  <c r="I1932" i="1"/>
  <c r="I1960" i="1"/>
  <c r="I1983" i="1"/>
  <c r="I2014" i="1"/>
  <c r="I2037" i="1"/>
  <c r="I2065" i="1"/>
  <c r="I2089" i="1"/>
  <c r="I2116" i="1"/>
  <c r="I2140" i="1"/>
  <c r="I2171" i="1"/>
  <c r="I2194" i="1"/>
  <c r="I2222" i="1"/>
  <c r="I2245" i="1"/>
  <c r="I2275" i="1"/>
  <c r="I2299" i="1"/>
  <c r="I2327" i="1"/>
  <c r="I2351" i="1"/>
  <c r="I2379" i="1"/>
  <c r="I2402" i="1"/>
  <c r="I2433" i="1"/>
  <c r="I2455" i="1"/>
  <c r="I2484" i="1"/>
  <c r="I2508" i="1"/>
  <c r="I2536" i="1"/>
  <c r="I2559" i="1"/>
  <c r="I2590" i="1"/>
  <c r="I2613" i="1"/>
  <c r="I2641" i="1"/>
  <c r="I2665" i="1"/>
  <c r="I2692" i="1"/>
  <c r="I2716" i="1"/>
  <c r="I2747" i="1"/>
  <c r="I2770" i="1"/>
  <c r="I2798" i="1"/>
  <c r="I2821" i="1"/>
  <c r="I2851" i="1"/>
  <c r="I2875" i="1"/>
  <c r="I2903" i="1"/>
  <c r="I2927" i="1"/>
  <c r="I2955" i="1"/>
  <c r="I2978" i="1"/>
  <c r="I3009" i="1"/>
  <c r="I3031" i="1"/>
  <c r="I3060" i="1"/>
  <c r="I3078" i="1"/>
  <c r="I3100" i="1"/>
  <c r="I3117" i="1"/>
  <c r="I3139" i="1"/>
  <c r="I3156" i="1"/>
  <c r="I3178" i="1"/>
  <c r="I3196" i="1"/>
  <c r="I3217" i="1"/>
  <c r="I3235" i="1"/>
  <c r="I3257" i="1"/>
  <c r="I3274" i="1"/>
  <c r="I3296" i="1"/>
  <c r="I3313" i="1"/>
  <c r="I3335" i="1"/>
  <c r="I3353" i="1"/>
  <c r="I3374" i="1"/>
  <c r="I3392" i="1"/>
  <c r="I3414" i="1"/>
  <c r="I3431" i="1"/>
  <c r="I3453" i="1"/>
  <c r="I3470" i="1"/>
  <c r="I3492" i="1"/>
  <c r="I3510" i="1"/>
  <c r="I3532" i="1"/>
  <c r="I3549" i="1"/>
  <c r="I3570" i="1"/>
  <c r="I3585" i="1"/>
  <c r="I3600" i="1"/>
  <c r="I3618" i="1"/>
  <c r="I3633" i="1"/>
  <c r="I3648" i="1"/>
  <c r="I3666" i="1"/>
  <c r="I3681" i="1"/>
  <c r="I3696" i="1"/>
  <c r="I3714" i="1"/>
  <c r="I3729" i="1"/>
  <c r="I3744" i="1"/>
  <c r="I3762" i="1"/>
  <c r="I3777" i="1"/>
  <c r="I3792" i="1"/>
  <c r="I3810" i="1"/>
  <c r="I3825" i="1"/>
  <c r="I3840" i="1"/>
  <c r="I3858" i="1"/>
  <c r="I3873" i="1"/>
  <c r="I3887" i="1"/>
  <c r="I3902" i="1"/>
  <c r="I3914" i="1"/>
  <c r="I3926" i="1"/>
  <c r="I3938" i="1"/>
  <c r="I3950" i="1"/>
  <c r="I3962" i="1"/>
  <c r="I3974" i="1"/>
  <c r="I3986" i="1"/>
  <c r="I3998" i="1"/>
  <c r="I4010" i="1"/>
  <c r="I4022" i="1"/>
  <c r="I4034" i="1"/>
  <c r="I4046" i="1"/>
  <c r="I4058" i="1"/>
  <c r="I4070" i="1"/>
  <c r="I4082" i="1"/>
  <c r="I4094" i="1"/>
  <c r="I4106" i="1"/>
  <c r="I4118" i="1"/>
  <c r="I4130" i="1"/>
  <c r="I4142" i="1"/>
  <c r="I4154" i="1"/>
  <c r="I4166" i="1"/>
  <c r="I4178" i="1"/>
  <c r="I4190" i="1"/>
  <c r="I4202" i="1"/>
  <c r="I4214" i="1"/>
  <c r="I4226" i="1"/>
  <c r="I4238" i="1"/>
  <c r="I4250" i="1"/>
  <c r="I4262" i="1"/>
  <c r="I4274" i="1"/>
  <c r="I4286" i="1"/>
  <c r="I4298" i="1"/>
  <c r="I4310" i="1"/>
  <c r="I4322" i="1"/>
  <c r="I4334" i="1"/>
  <c r="I4346" i="1"/>
  <c r="I4358" i="1"/>
  <c r="I4370" i="1"/>
  <c r="I4382" i="1"/>
  <c r="I4394" i="1"/>
  <c r="I4406" i="1"/>
  <c r="I4418" i="1"/>
  <c r="I4430" i="1"/>
  <c r="I4442" i="1"/>
  <c r="I4454" i="1"/>
  <c r="I4466" i="1"/>
  <c r="I4478" i="1"/>
  <c r="I4490" i="1"/>
  <c r="I4502" i="1"/>
  <c r="I4514" i="1"/>
  <c r="I4526" i="1"/>
  <c r="I4538" i="1"/>
  <c r="I4550" i="1"/>
  <c r="I4562" i="1"/>
  <c r="I77" i="1"/>
  <c r="I256" i="1"/>
  <c r="I382" i="1"/>
  <c r="I542" i="1"/>
  <c r="I695" i="1"/>
  <c r="I839" i="1"/>
  <c r="I962" i="1"/>
  <c r="I1066" i="1"/>
  <c r="I1161" i="1"/>
  <c r="I1232" i="1"/>
  <c r="I1302" i="1"/>
  <c r="I1356" i="1"/>
  <c r="I1420" i="1"/>
  <c r="I1474" i="1"/>
  <c r="I1533" i="1"/>
  <c r="I1572" i="1"/>
  <c r="I1628" i="1"/>
  <c r="I1666" i="1"/>
  <c r="I1714" i="1"/>
  <c r="I1751" i="1"/>
  <c r="I1793" i="1"/>
  <c r="I1825" i="1"/>
  <c r="I1858" i="1"/>
  <c r="I1882" i="1"/>
  <c r="I1909" i="1"/>
  <c r="I1933" i="1"/>
  <c r="I1963" i="1"/>
  <c r="I1984" i="1"/>
  <c r="I2015" i="1"/>
  <c r="I2038" i="1"/>
  <c r="I2066" i="1"/>
  <c r="I2090" i="1"/>
  <c r="I2119" i="1"/>
  <c r="I2143" i="1"/>
  <c r="I2172" i="1"/>
  <c r="I2195" i="1"/>
  <c r="I2223" i="1"/>
  <c r="I2246" i="1"/>
  <c r="I2277" i="1"/>
  <c r="I2301" i="1"/>
  <c r="I2329" i="1"/>
  <c r="I2352" i="1"/>
  <c r="I2380" i="1"/>
  <c r="I2403" i="1"/>
  <c r="I2434" i="1"/>
  <c r="I2458" i="1"/>
  <c r="I2485" i="1"/>
  <c r="I2509" i="1"/>
  <c r="I2539" i="1"/>
  <c r="I2560" i="1"/>
  <c r="I2591" i="1"/>
  <c r="I2614" i="1"/>
  <c r="I2642" i="1"/>
  <c r="I2666" i="1"/>
  <c r="I2695" i="1"/>
  <c r="I2719" i="1"/>
  <c r="I2748" i="1"/>
  <c r="I2771" i="1"/>
  <c r="I2799" i="1"/>
  <c r="I2822" i="1"/>
  <c r="I2853" i="1"/>
  <c r="I2877" i="1"/>
  <c r="I2905" i="1"/>
  <c r="I2928" i="1"/>
  <c r="I2956" i="1"/>
  <c r="I2979" i="1"/>
  <c r="I3010" i="1"/>
  <c r="I3034" i="1"/>
  <c r="I3061" i="1"/>
  <c r="I3079" i="1"/>
  <c r="I3101" i="1"/>
  <c r="I3118" i="1"/>
  <c r="I3140" i="1"/>
  <c r="I3157" i="1"/>
  <c r="I3179" i="1"/>
  <c r="I3197" i="1"/>
  <c r="I3218" i="1"/>
  <c r="I3236" i="1"/>
  <c r="I3258" i="1"/>
  <c r="I3275" i="1"/>
  <c r="I3297" i="1"/>
  <c r="I3314" i="1"/>
  <c r="I3336" i="1"/>
  <c r="I3354" i="1"/>
  <c r="I3376" i="1"/>
  <c r="I3393" i="1"/>
  <c r="I3415" i="1"/>
  <c r="I3432" i="1"/>
  <c r="I3454" i="1"/>
  <c r="I3472" i="1"/>
  <c r="I3493" i="1"/>
  <c r="I3511" i="1"/>
  <c r="I3533" i="1"/>
  <c r="I3550" i="1"/>
  <c r="I3571" i="1"/>
  <c r="I3586" i="1"/>
  <c r="I3603" i="1"/>
  <c r="I3619" i="1"/>
  <c r="I3634" i="1"/>
  <c r="I3651" i="1"/>
  <c r="I3667" i="1"/>
  <c r="I3682" i="1"/>
  <c r="I3699" i="1"/>
  <c r="I3715" i="1"/>
  <c r="I3730" i="1"/>
  <c r="I3747" i="1"/>
  <c r="I3763" i="1"/>
  <c r="I3778" i="1"/>
  <c r="I3795" i="1"/>
  <c r="I3811" i="1"/>
  <c r="I3826" i="1"/>
  <c r="I3843" i="1"/>
  <c r="I3859" i="1"/>
  <c r="I3874" i="1"/>
  <c r="I3888" i="1"/>
  <c r="I3903" i="1"/>
  <c r="I3915" i="1"/>
  <c r="I3927" i="1"/>
  <c r="I3939" i="1"/>
  <c r="I3951" i="1"/>
  <c r="I3963" i="1"/>
  <c r="I3975" i="1"/>
  <c r="I3987" i="1"/>
  <c r="I3999" i="1"/>
  <c r="I4011" i="1"/>
  <c r="I4023" i="1"/>
  <c r="I4035" i="1"/>
  <c r="I4047" i="1"/>
  <c r="I4059" i="1"/>
  <c r="I4071" i="1"/>
  <c r="I4083" i="1"/>
  <c r="I4095" i="1"/>
  <c r="I4107" i="1"/>
  <c r="I4119" i="1"/>
  <c r="I4131" i="1"/>
  <c r="I4143" i="1"/>
  <c r="I4155" i="1"/>
  <c r="I4167" i="1"/>
  <c r="I4179" i="1"/>
  <c r="I4191" i="1"/>
  <c r="I4203" i="1"/>
  <c r="I4215" i="1"/>
  <c r="I4227" i="1"/>
  <c r="I4239" i="1"/>
  <c r="I4251" i="1"/>
  <c r="I4263" i="1"/>
  <c r="I4275" i="1"/>
  <c r="I4287" i="1"/>
  <c r="I4299" i="1"/>
  <c r="I4311" i="1"/>
  <c r="I4323" i="1"/>
  <c r="I4335" i="1"/>
  <c r="I4347" i="1"/>
  <c r="I4359" i="1"/>
  <c r="I4371" i="1"/>
  <c r="I4383" i="1"/>
  <c r="I4395" i="1"/>
  <c r="I4407" i="1"/>
  <c r="I4419" i="1"/>
  <c r="I4431" i="1"/>
  <c r="I4443" i="1"/>
  <c r="I4455" i="1"/>
  <c r="I4467" i="1"/>
  <c r="I4479" i="1"/>
  <c r="I4491" i="1"/>
  <c r="I4503" i="1"/>
  <c r="I4515" i="1"/>
  <c r="I4527" i="1"/>
  <c r="I4539" i="1"/>
  <c r="I4551" i="1"/>
  <c r="I116" i="1"/>
  <c r="I278" i="1"/>
  <c r="I431" i="1"/>
  <c r="I566" i="1"/>
  <c r="I734" i="1"/>
  <c r="I872" i="1"/>
  <c r="I983" i="1"/>
  <c r="I1101" i="1"/>
  <c r="I1169" i="1"/>
  <c r="I1257" i="1"/>
  <c r="I1305" i="1"/>
  <c r="I1378" i="1"/>
  <c r="I1427" i="1"/>
  <c r="I1492" i="1"/>
  <c r="I1536" i="1"/>
  <c r="I1590" i="1"/>
  <c r="I1631" i="1"/>
  <c r="I1680" i="1"/>
  <c r="I1722" i="1"/>
  <c r="I1762" i="1"/>
  <c r="I1796" i="1"/>
  <c r="I1837" i="1"/>
  <c r="I1860" i="1"/>
  <c r="I1888" i="1"/>
  <c r="I1912" i="1"/>
  <c r="I1942" i="1"/>
  <c r="I1966" i="1"/>
  <c r="I1994" i="1"/>
  <c r="I2017" i="1"/>
  <c r="I2047" i="1"/>
  <c r="I2068" i="1"/>
  <c r="I2099" i="1"/>
  <c r="I2123" i="1"/>
  <c r="I2150" i="1"/>
  <c r="I2174" i="1"/>
  <c r="I2205" i="1"/>
  <c r="I2227" i="1"/>
  <c r="I2256" i="1"/>
  <c r="I2279" i="1"/>
  <c r="I2307" i="1"/>
  <c r="I2331" i="1"/>
  <c r="I2362" i="1"/>
  <c r="I2385" i="1"/>
  <c r="I2413" i="1"/>
  <c r="I2436" i="1"/>
  <c r="I2464" i="1"/>
  <c r="I2488" i="1"/>
  <c r="I2518" i="1"/>
  <c r="I2542" i="1"/>
  <c r="I2570" i="1"/>
  <c r="I2593" i="1"/>
  <c r="I2623" i="1"/>
  <c r="I2644" i="1"/>
  <c r="I2675" i="1"/>
  <c r="I2699" i="1"/>
  <c r="I2726" i="1"/>
  <c r="I2750" i="1"/>
  <c r="I2781" i="1"/>
  <c r="I2803" i="1"/>
  <c r="I2832" i="1"/>
  <c r="I2855" i="1"/>
  <c r="I2883" i="1"/>
  <c r="I2907" i="1"/>
  <c r="I2938" i="1"/>
  <c r="I2961" i="1"/>
  <c r="I2989" i="1"/>
  <c r="I3012" i="1"/>
  <c r="I3040" i="1"/>
  <c r="I3064" i="1"/>
  <c r="I3085" i="1"/>
  <c r="I3103" i="1"/>
  <c r="I3125" i="1"/>
  <c r="I3142" i="1"/>
  <c r="I3164" i="1"/>
  <c r="I3181" i="1"/>
  <c r="I3203" i="1"/>
  <c r="I3221" i="1"/>
  <c r="I3242" i="1"/>
  <c r="I3260" i="1"/>
  <c r="I3282" i="1"/>
  <c r="I3299" i="1"/>
  <c r="I3321" i="1"/>
  <c r="I3338" i="1"/>
  <c r="I3360" i="1"/>
  <c r="I3378" i="1"/>
  <c r="I3400" i="1"/>
  <c r="I3417" i="1"/>
  <c r="I3439" i="1"/>
  <c r="I3456" i="1"/>
  <c r="I3478" i="1"/>
  <c r="I3496" i="1"/>
  <c r="I3517" i="1"/>
  <c r="I3535" i="1"/>
  <c r="I3557" i="1"/>
  <c r="I3573" i="1"/>
  <c r="I3588" i="1"/>
  <c r="I3606" i="1"/>
  <c r="I3621" i="1"/>
  <c r="I3636" i="1"/>
  <c r="I3654" i="1"/>
  <c r="I3669" i="1"/>
  <c r="I3684" i="1"/>
  <c r="I3702" i="1"/>
  <c r="I3717" i="1"/>
  <c r="I3732" i="1"/>
  <c r="I3750" i="1"/>
  <c r="I3765" i="1"/>
  <c r="I3780" i="1"/>
  <c r="I3798" i="1"/>
  <c r="I3813" i="1"/>
  <c r="I3828" i="1"/>
  <c r="I3846" i="1"/>
  <c r="I3861" i="1"/>
  <c r="I3876" i="1"/>
  <c r="I3891" i="1"/>
  <c r="I3905" i="1"/>
  <c r="I3917" i="1"/>
  <c r="I3929" i="1"/>
  <c r="I3941" i="1"/>
  <c r="I3953" i="1"/>
  <c r="I3965" i="1"/>
  <c r="I3977" i="1"/>
  <c r="I3989" i="1"/>
  <c r="I4001" i="1"/>
  <c r="I4013" i="1"/>
  <c r="I4025" i="1"/>
  <c r="I4037" i="1"/>
  <c r="I4049" i="1"/>
  <c r="I4061" i="1"/>
  <c r="I4073" i="1"/>
  <c r="I4085" i="1"/>
  <c r="I4097" i="1"/>
  <c r="I4109" i="1"/>
  <c r="I4121" i="1"/>
  <c r="I4133" i="1"/>
  <c r="I4145" i="1"/>
  <c r="I4157" i="1"/>
  <c r="I4169" i="1"/>
  <c r="I4181" i="1"/>
  <c r="I4193" i="1"/>
  <c r="I4205" i="1"/>
  <c r="I4217" i="1"/>
  <c r="I4229" i="1"/>
  <c r="I4241" i="1"/>
  <c r="I4253" i="1"/>
  <c r="I4265" i="1"/>
  <c r="I4277" i="1"/>
  <c r="I4289" i="1"/>
  <c r="I4301" i="1"/>
  <c r="I4313" i="1"/>
  <c r="I4325" i="1"/>
  <c r="I4337" i="1"/>
  <c r="I4349" i="1"/>
  <c r="I4361" i="1"/>
  <c r="I4373" i="1"/>
  <c r="I4385" i="1"/>
  <c r="I4397" i="1"/>
  <c r="I4409" i="1"/>
  <c r="I4421" i="1"/>
  <c r="I4433" i="1"/>
  <c r="I4445" i="1"/>
  <c r="I4457" i="1"/>
  <c r="I4469" i="1"/>
  <c r="I4481" i="1"/>
  <c r="I4493" i="1"/>
  <c r="I4505" i="1"/>
  <c r="I4517" i="1"/>
  <c r="I4529" i="1"/>
  <c r="I4541" i="1"/>
  <c r="I4553" i="1"/>
  <c r="I4565" i="1"/>
  <c r="I93" i="1"/>
  <c r="I333" i="1"/>
  <c r="I554" i="1"/>
  <c r="I789" i="1"/>
  <c r="I979" i="1"/>
  <c r="I1106" i="1"/>
  <c r="I1246" i="1"/>
  <c r="I1335" i="1"/>
  <c r="I1422" i="1"/>
  <c r="I1501" i="1"/>
  <c r="I1585" i="1"/>
  <c r="I1655" i="1"/>
  <c r="I1718" i="1"/>
  <c r="I1773" i="1"/>
  <c r="I1835" i="1"/>
  <c r="I1872" i="1"/>
  <c r="I1910" i="1"/>
  <c r="I1947" i="1"/>
  <c r="I1991" i="1"/>
  <c r="I2029" i="1"/>
  <c r="I2067" i="1"/>
  <c r="I2104" i="1"/>
  <c r="I2148" i="1"/>
  <c r="I2186" i="1"/>
  <c r="I2224" i="1"/>
  <c r="I2260" i="1"/>
  <c r="I2305" i="1"/>
  <c r="I2342" i="1"/>
  <c r="I2383" i="1"/>
  <c r="I2419" i="1"/>
  <c r="I2462" i="1"/>
  <c r="I2499" i="1"/>
  <c r="I2541" i="1"/>
  <c r="I2577" i="1"/>
  <c r="I2619" i="1"/>
  <c r="I2656" i="1"/>
  <c r="I2698" i="1"/>
  <c r="I2734" i="1"/>
  <c r="I2776" i="1"/>
  <c r="I2815" i="1"/>
  <c r="I2854" i="1"/>
  <c r="I2891" i="1"/>
  <c r="I2932" i="1"/>
  <c r="I2973" i="1"/>
  <c r="I3011" i="1"/>
  <c r="I3047" i="1"/>
  <c r="I3083" i="1"/>
  <c r="I3112" i="1"/>
  <c r="I3141" i="1"/>
  <c r="I3168" i="1"/>
  <c r="I3201" i="1"/>
  <c r="I3229" i="1"/>
  <c r="I3259" i="1"/>
  <c r="I3286" i="1"/>
  <c r="I3319" i="1"/>
  <c r="I3347" i="1"/>
  <c r="I3377" i="1"/>
  <c r="I3404" i="1"/>
  <c r="I3437" i="1"/>
  <c r="I3465" i="1"/>
  <c r="I3494" i="1"/>
  <c r="I3522" i="1"/>
  <c r="I3554" i="1"/>
  <c r="I3579" i="1"/>
  <c r="I3604" i="1"/>
  <c r="I3627" i="1"/>
  <c r="I3652" i="1"/>
  <c r="I3675" i="1"/>
  <c r="I3700" i="1"/>
  <c r="I3723" i="1"/>
  <c r="I3748" i="1"/>
  <c r="I3771" i="1"/>
  <c r="I3796" i="1"/>
  <c r="I3819" i="1"/>
  <c r="I3844" i="1"/>
  <c r="I3867" i="1"/>
  <c r="I3890" i="1"/>
  <c r="I3909" i="1"/>
  <c r="I3928" i="1"/>
  <c r="I3945" i="1"/>
  <c r="I3964" i="1"/>
  <c r="I3981" i="1"/>
  <c r="I4000" i="1"/>
  <c r="I4017" i="1"/>
  <c r="I4036" i="1"/>
  <c r="I4053" i="1"/>
  <c r="I4072" i="1"/>
  <c r="I4089" i="1"/>
  <c r="I4108" i="1"/>
  <c r="I4125" i="1"/>
  <c r="I4144" i="1"/>
  <c r="I4161" i="1"/>
  <c r="I4180" i="1"/>
  <c r="I4197" i="1"/>
  <c r="I4216" i="1"/>
  <c r="I4233" i="1"/>
  <c r="I4252" i="1"/>
  <c r="I4269" i="1"/>
  <c r="I4288" i="1"/>
  <c r="I4305" i="1"/>
  <c r="I4324" i="1"/>
  <c r="I4341" i="1"/>
  <c r="I4360" i="1"/>
  <c r="I4377" i="1"/>
  <c r="I4396" i="1"/>
  <c r="I4413" i="1"/>
  <c r="I4432" i="1"/>
  <c r="I4449" i="1"/>
  <c r="I4468" i="1"/>
  <c r="I4485" i="1"/>
  <c r="I4504" i="1"/>
  <c r="I4521" i="1"/>
  <c r="I4540" i="1"/>
  <c r="I4557" i="1"/>
  <c r="I4572" i="1"/>
  <c r="I4584" i="1"/>
  <c r="I4596" i="1"/>
  <c r="I4608" i="1"/>
  <c r="I4620" i="1"/>
  <c r="I4632" i="1"/>
  <c r="I4644" i="1"/>
  <c r="I4656" i="1"/>
  <c r="I4668" i="1"/>
  <c r="I4680" i="1"/>
  <c r="I4692" i="1"/>
  <c r="I4704" i="1"/>
  <c r="I4716" i="1"/>
  <c r="I4728" i="1"/>
  <c r="I4740" i="1"/>
  <c r="I4752" i="1"/>
  <c r="I4764" i="1"/>
  <c r="I4776" i="1"/>
  <c r="I4788" i="1"/>
  <c r="I4800" i="1"/>
  <c r="I4812" i="1"/>
  <c r="I4824" i="1"/>
  <c r="I4836" i="1"/>
  <c r="I4848" i="1"/>
  <c r="I4860" i="1"/>
  <c r="I4872" i="1"/>
  <c r="I4884" i="1"/>
  <c r="I4896" i="1"/>
  <c r="I4908" i="1"/>
  <c r="I4920" i="1"/>
  <c r="I4932" i="1"/>
  <c r="I4944" i="1"/>
  <c r="I4956" i="1"/>
  <c r="I4968" i="1"/>
  <c r="I4980" i="1"/>
  <c r="I4992" i="1"/>
  <c r="I5004" i="1"/>
  <c r="I5016" i="1"/>
  <c r="I5028" i="1"/>
  <c r="I5040" i="1"/>
  <c r="I5054" i="1"/>
  <c r="I4470" i="1"/>
  <c r="I4597" i="1"/>
  <c r="I4621" i="1"/>
  <c r="I4645" i="1"/>
  <c r="I4669" i="1"/>
  <c r="I4693" i="1"/>
  <c r="I124" i="1"/>
  <c r="I344" i="1"/>
  <c r="I587" i="1"/>
  <c r="I797" i="1"/>
  <c r="I986" i="1"/>
  <c r="I1117" i="1"/>
  <c r="I1261" i="1"/>
  <c r="I1340" i="1"/>
  <c r="I1432" i="1"/>
  <c r="I1505" i="1"/>
  <c r="I1593" i="1"/>
  <c r="I1657" i="1"/>
  <c r="I1724" i="1"/>
  <c r="I1774" i="1"/>
  <c r="I1838" i="1"/>
  <c r="I1873" i="1"/>
  <c r="I1915" i="1"/>
  <c r="I1948" i="1"/>
  <c r="I1995" i="1"/>
  <c r="I2030" i="1"/>
  <c r="I2071" i="1"/>
  <c r="I2107" i="1"/>
  <c r="I2152" i="1"/>
  <c r="I2187" i="1"/>
  <c r="I2229" i="1"/>
  <c r="I2263" i="1"/>
  <c r="I2308" i="1"/>
  <c r="I2344" i="1"/>
  <c r="I2386" i="1"/>
  <c r="I2421" i="1"/>
  <c r="I2467" i="1"/>
  <c r="I2500" i="1"/>
  <c r="I2543" i="1"/>
  <c r="I2578" i="1"/>
  <c r="I2625" i="1"/>
  <c r="I2659" i="1"/>
  <c r="I2700" i="1"/>
  <c r="I2735" i="1"/>
  <c r="I2782" i="1"/>
  <c r="I2817" i="1"/>
  <c r="I2857" i="1"/>
  <c r="I2892" i="1"/>
  <c r="I2939" i="1"/>
  <c r="I2974" i="1"/>
  <c r="I3013" i="1"/>
  <c r="I3049" i="1"/>
  <c r="I3086" i="1"/>
  <c r="I3113" i="1"/>
  <c r="I3143" i="1"/>
  <c r="I3169" i="1"/>
  <c r="I3204" i="1"/>
  <c r="I3230" i="1"/>
  <c r="I3261" i="1"/>
  <c r="I3287" i="1"/>
  <c r="I3322" i="1"/>
  <c r="I3348" i="1"/>
  <c r="I3379" i="1"/>
  <c r="I3405" i="1"/>
  <c r="I3440" i="1"/>
  <c r="I3466" i="1"/>
  <c r="I3497" i="1"/>
  <c r="I3523" i="1"/>
  <c r="I3558" i="1"/>
  <c r="I3580" i="1"/>
  <c r="I3607" i="1"/>
  <c r="I3628" i="1"/>
  <c r="I3655" i="1"/>
  <c r="I3676" i="1"/>
  <c r="I3703" i="1"/>
  <c r="I3724" i="1"/>
  <c r="I3751" i="1"/>
  <c r="I3772" i="1"/>
  <c r="I3799" i="1"/>
  <c r="I3820" i="1"/>
  <c r="I3847" i="1"/>
  <c r="I3868" i="1"/>
  <c r="I3892" i="1"/>
  <c r="I3910" i="1"/>
  <c r="I3930" i="1"/>
  <c r="I3946" i="1"/>
  <c r="I3966" i="1"/>
  <c r="I3982" i="1"/>
  <c r="I4002" i="1"/>
  <c r="I4018" i="1"/>
  <c r="I4038" i="1"/>
  <c r="I4054" i="1"/>
  <c r="I4074" i="1"/>
  <c r="I4090" i="1"/>
  <c r="I4110" i="1"/>
  <c r="I4126" i="1"/>
  <c r="I4146" i="1"/>
  <c r="I4162" i="1"/>
  <c r="I4182" i="1"/>
  <c r="I4198" i="1"/>
  <c r="I4218" i="1"/>
  <c r="I4234" i="1"/>
  <c r="I4254" i="1"/>
  <c r="I4270" i="1"/>
  <c r="I4290" i="1"/>
  <c r="I4306" i="1"/>
  <c r="I4326" i="1"/>
  <c r="I4342" i="1"/>
  <c r="I4362" i="1"/>
  <c r="I4378" i="1"/>
  <c r="I4398" i="1"/>
  <c r="I4414" i="1"/>
  <c r="I4434" i="1"/>
  <c r="I4450" i="1"/>
  <c r="I4486" i="1"/>
  <c r="I4506" i="1"/>
  <c r="I4522" i="1"/>
  <c r="I4542" i="1"/>
  <c r="I4558" i="1"/>
  <c r="I4573" i="1"/>
  <c r="I4585" i="1"/>
  <c r="I4609" i="1"/>
  <c r="I4633" i="1"/>
  <c r="I4657" i="1"/>
  <c r="I4681" i="1"/>
  <c r="I152" i="1"/>
  <c r="I352" i="1"/>
  <c r="I608" i="1"/>
  <c r="I798" i="1"/>
  <c r="I988" i="1"/>
  <c r="I1127" i="1"/>
  <c r="I1263" i="1"/>
  <c r="I1342" i="1"/>
  <c r="I1434" i="1"/>
  <c r="I1511" i="1"/>
  <c r="I1594" i="1"/>
  <c r="I1658" i="1"/>
  <c r="I1725" i="1"/>
  <c r="I1775" i="1"/>
  <c r="I1839" i="1"/>
  <c r="I1874" i="1"/>
  <c r="I1917" i="1"/>
  <c r="I1951" i="1"/>
  <c r="I1996" i="1"/>
  <c r="I2031" i="1"/>
  <c r="I2074" i="1"/>
  <c r="I2109" i="1"/>
  <c r="I2155" i="1"/>
  <c r="I2188" i="1"/>
  <c r="I2230" i="1"/>
  <c r="I2266" i="1"/>
  <c r="I2311" i="1"/>
  <c r="I2347" i="1"/>
  <c r="I2387" i="1"/>
  <c r="I2422" i="1"/>
  <c r="I2469" i="1"/>
  <c r="I2503" i="1"/>
  <c r="I2544" i="1"/>
  <c r="I2579" i="1"/>
  <c r="I2626" i="1"/>
  <c r="I2661" i="1"/>
  <c r="I2701" i="1"/>
  <c r="I2736" i="1"/>
  <c r="I2783" i="1"/>
  <c r="I2818" i="1"/>
  <c r="I2858" i="1"/>
  <c r="I2893" i="1"/>
  <c r="I2940" i="1"/>
  <c r="I2975" i="1"/>
  <c r="I3014" i="1"/>
  <c r="I3050" i="1"/>
  <c r="I3088" i="1"/>
  <c r="I3114" i="1"/>
  <c r="I3144" i="1"/>
  <c r="I3170" i="1"/>
  <c r="I3205" i="1"/>
  <c r="I3232" i="1"/>
  <c r="I3262" i="1"/>
  <c r="I3288" i="1"/>
  <c r="I3323" i="1"/>
  <c r="I3349" i="1"/>
  <c r="I3380" i="1"/>
  <c r="I3406" i="1"/>
  <c r="I3441" i="1"/>
  <c r="I3467" i="1"/>
  <c r="I3498" i="1"/>
  <c r="I3524" i="1"/>
  <c r="I3559" i="1"/>
  <c r="I3582" i="1"/>
  <c r="I3608" i="1"/>
  <c r="I3630" i="1"/>
  <c r="I3656" i="1"/>
  <c r="I3678" i="1"/>
  <c r="I3704" i="1"/>
  <c r="I3726" i="1"/>
  <c r="I3752" i="1"/>
  <c r="I3774" i="1"/>
  <c r="I3800" i="1"/>
  <c r="I3822" i="1"/>
  <c r="I3848" i="1"/>
  <c r="I3870" i="1"/>
  <c r="I3894" i="1"/>
  <c r="I3911" i="1"/>
  <c r="I3931" i="1"/>
  <c r="I3947" i="1"/>
  <c r="I3967" i="1"/>
  <c r="I3983" i="1"/>
  <c r="I4003" i="1"/>
  <c r="I4019" i="1"/>
  <c r="I4039" i="1"/>
  <c r="I4055" i="1"/>
  <c r="I4075" i="1"/>
  <c r="I4091" i="1"/>
  <c r="I4111" i="1"/>
  <c r="I4127" i="1"/>
  <c r="I4147" i="1"/>
  <c r="I4163" i="1"/>
  <c r="I4183" i="1"/>
  <c r="I4199" i="1"/>
  <c r="I4219" i="1"/>
  <c r="I4235" i="1"/>
  <c r="I4255" i="1"/>
  <c r="I4271" i="1"/>
  <c r="I4291" i="1"/>
  <c r="I4307" i="1"/>
  <c r="I4327" i="1"/>
  <c r="I4343" i="1"/>
  <c r="I4363" i="1"/>
  <c r="I4379" i="1"/>
  <c r="I4399" i="1"/>
  <c r="I4415" i="1"/>
  <c r="I4435" i="1"/>
  <c r="I182" i="1"/>
  <c r="I426" i="1"/>
  <c r="I635" i="1"/>
  <c r="I847" i="1"/>
  <c r="I1026" i="1"/>
  <c r="I1163" i="1"/>
  <c r="I1270" i="1"/>
  <c r="I1367" i="1"/>
  <c r="I1456" i="1"/>
  <c r="I1535" i="1"/>
  <c r="I1602" i="1"/>
  <c r="I1678" i="1"/>
  <c r="I1738" i="1"/>
  <c r="I1794" i="1"/>
  <c r="I1843" i="1"/>
  <c r="I1886" i="1"/>
  <c r="I1923" i="1"/>
  <c r="I1965" i="1"/>
  <c r="I2001" i="1"/>
  <c r="I2043" i="1"/>
  <c r="I2080" i="1"/>
  <c r="I2122" i="1"/>
  <c r="I2158" i="1"/>
  <c r="I2200" i="1"/>
  <c r="I2239" i="1"/>
  <c r="I2278" i="1"/>
  <c r="I2315" i="1"/>
  <c r="I2356" i="1"/>
  <c r="I2397" i="1"/>
  <c r="I2435" i="1"/>
  <c r="I2471" i="1"/>
  <c r="I2515" i="1"/>
  <c r="I2554" i="1"/>
  <c r="I2592" i="1"/>
  <c r="I2628" i="1"/>
  <c r="I2673" i="1"/>
  <c r="I2710" i="1"/>
  <c r="I2749" i="1"/>
  <c r="I2785" i="1"/>
  <c r="I2830" i="1"/>
  <c r="I2867" i="1"/>
  <c r="I2906" i="1"/>
  <c r="I2942" i="1"/>
  <c r="I2987" i="1"/>
  <c r="I3024" i="1"/>
  <c r="I3062" i="1"/>
  <c r="I3090" i="1"/>
  <c r="I3122" i="1"/>
  <c r="I3151" i="1"/>
  <c r="I3180" i="1"/>
  <c r="I3208" i="1"/>
  <c r="I3240" i="1"/>
  <c r="I3269" i="1"/>
  <c r="I3298" i="1"/>
  <c r="I3325" i="1"/>
  <c r="I3358" i="1"/>
  <c r="I3386" i="1"/>
  <c r="I3416" i="1"/>
  <c r="I3443" i="1"/>
  <c r="I3476" i="1"/>
  <c r="I3504" i="1"/>
  <c r="I3534" i="1"/>
  <c r="I3561" i="1"/>
  <c r="I3587" i="1"/>
  <c r="I3610" i="1"/>
  <c r="I3635" i="1"/>
  <c r="I3658" i="1"/>
  <c r="I3683" i="1"/>
  <c r="I3706" i="1"/>
  <c r="I3731" i="1"/>
  <c r="I3754" i="1"/>
  <c r="I3779" i="1"/>
  <c r="I3802" i="1"/>
  <c r="I3827" i="1"/>
  <c r="I3850" i="1"/>
  <c r="I3875" i="1"/>
  <c r="I3896" i="1"/>
  <c r="I3916" i="1"/>
  <c r="I3933" i="1"/>
  <c r="I3952" i="1"/>
  <c r="I3969" i="1"/>
  <c r="I3988" i="1"/>
  <c r="I4005" i="1"/>
  <c r="I4024" i="1"/>
  <c r="I4041" i="1"/>
  <c r="I4060" i="1"/>
  <c r="I4077" i="1"/>
  <c r="I4096" i="1"/>
  <c r="I4113" i="1"/>
  <c r="I4132" i="1"/>
  <c r="I4149" i="1"/>
  <c r="I4168" i="1"/>
  <c r="I4185" i="1"/>
  <c r="I4204" i="1"/>
  <c r="I4221" i="1"/>
  <c r="I4240" i="1"/>
  <c r="I4257" i="1"/>
  <c r="I4276" i="1"/>
  <c r="I4293" i="1"/>
  <c r="I4312" i="1"/>
  <c r="I4329" i="1"/>
  <c r="I4348" i="1"/>
  <c r="I4365" i="1"/>
  <c r="I4384" i="1"/>
  <c r="I4401" i="1"/>
  <c r="I4420" i="1"/>
  <c r="I4437" i="1"/>
  <c r="I4456" i="1"/>
  <c r="I4473" i="1"/>
  <c r="I4492" i="1"/>
  <c r="I4509" i="1"/>
  <c r="I4528" i="1"/>
  <c r="I4545" i="1"/>
  <c r="I4563" i="1"/>
  <c r="I4576" i="1"/>
  <c r="I4588" i="1"/>
  <c r="I4600" i="1"/>
  <c r="I4612" i="1"/>
  <c r="I4624" i="1"/>
  <c r="I4636" i="1"/>
  <c r="I4648" i="1"/>
  <c r="I4660" i="1"/>
  <c r="I4672" i="1"/>
  <c r="I4684" i="1"/>
  <c r="I4696" i="1"/>
  <c r="I271" i="1"/>
  <c r="I473" i="1"/>
  <c r="I717" i="1"/>
  <c r="I892" i="1"/>
  <c r="I1081" i="1"/>
  <c r="I1209" i="1"/>
  <c r="I1304" i="1"/>
  <c r="I1383" i="1"/>
  <c r="I1485" i="1"/>
  <c r="I1558" i="1"/>
  <c r="I1630" i="1"/>
  <c r="I1692" i="1"/>
  <c r="I1758" i="1"/>
  <c r="I1814" i="1"/>
  <c r="I1859" i="1"/>
  <c r="I1895" i="1"/>
  <c r="I1939" i="1"/>
  <c r="I1978" i="1"/>
  <c r="I2016" i="1"/>
  <c r="I2052" i="1"/>
  <c r="I2097" i="1"/>
  <c r="I2134" i="1"/>
  <c r="I2173" i="1"/>
  <c r="I2209" i="1"/>
  <c r="I2254" i="1"/>
  <c r="I2291" i="1"/>
  <c r="I2330" i="1"/>
  <c r="I2366" i="1"/>
  <c r="I2411" i="1"/>
  <c r="I2448" i="1"/>
  <c r="I2486" i="1"/>
  <c r="I2523" i="1"/>
  <c r="I2567" i="1"/>
  <c r="I2605" i="1"/>
  <c r="I2643" i="1"/>
  <c r="I2680" i="1"/>
  <c r="I2724" i="1"/>
  <c r="I2762" i="1"/>
  <c r="I2800" i="1"/>
  <c r="I2836" i="1"/>
  <c r="I2881" i="1"/>
  <c r="I2918" i="1"/>
  <c r="I2959" i="1"/>
  <c r="I2995" i="1"/>
  <c r="I3038" i="1"/>
  <c r="I3072" i="1"/>
  <c r="I3102" i="1"/>
  <c r="I3129" i="1"/>
  <c r="I3162" i="1"/>
  <c r="I3190" i="1"/>
  <c r="I3220" i="1"/>
  <c r="I3247" i="1"/>
  <c r="I3280" i="1"/>
  <c r="I3308" i="1"/>
  <c r="I3337" i="1"/>
  <c r="I3365" i="1"/>
  <c r="I3397" i="1"/>
  <c r="I3426" i="1"/>
  <c r="I3455" i="1"/>
  <c r="I3482" i="1"/>
  <c r="I3515" i="1"/>
  <c r="I3544" i="1"/>
  <c r="I3572" i="1"/>
  <c r="I3595" i="1"/>
  <c r="I3620" i="1"/>
  <c r="I3643" i="1"/>
  <c r="I3668" i="1"/>
  <c r="I3691" i="1"/>
  <c r="I3716" i="1"/>
  <c r="I3739" i="1"/>
  <c r="I3764" i="1"/>
  <c r="I3787" i="1"/>
  <c r="I3812" i="1"/>
  <c r="I3835" i="1"/>
  <c r="I3860" i="1"/>
  <c r="I3882" i="1"/>
  <c r="I3904" i="1"/>
  <c r="I3921" i="1"/>
  <c r="I3940" i="1"/>
  <c r="I3957" i="1"/>
  <c r="I3976" i="1"/>
  <c r="I3993" i="1"/>
  <c r="I4012" i="1"/>
  <c r="I4029" i="1"/>
  <c r="I4048" i="1"/>
  <c r="I176" i="1"/>
  <c r="I506" i="1"/>
  <c r="I891" i="1"/>
  <c r="I1176" i="1"/>
  <c r="I1328" i="1"/>
  <c r="I1497" i="1"/>
  <c r="I1607" i="1"/>
  <c r="I1730" i="1"/>
  <c r="I1820" i="1"/>
  <c r="I1894" i="1"/>
  <c r="I1967" i="1"/>
  <c r="I2027" i="1"/>
  <c r="I2100" i="1"/>
  <c r="I2160" i="1"/>
  <c r="I2235" i="1"/>
  <c r="I2293" i="1"/>
  <c r="I2365" i="1"/>
  <c r="I2437" i="1"/>
  <c r="I2497" i="1"/>
  <c r="I2571" i="1"/>
  <c r="I2630" i="1"/>
  <c r="I2707" i="1"/>
  <c r="I2764" i="1"/>
  <c r="I2835" i="1"/>
  <c r="I2908" i="1"/>
  <c r="I2968" i="1"/>
  <c r="I3043" i="1"/>
  <c r="I3092" i="1"/>
  <c r="I3149" i="1"/>
  <c r="I3192" i="1"/>
  <c r="I3246" i="1"/>
  <c r="I3300" i="1"/>
  <c r="I3345" i="1"/>
  <c r="I3401" i="1"/>
  <c r="I3445" i="1"/>
  <c r="I3502" i="1"/>
  <c r="I3546" i="1"/>
  <c r="I3594" i="1"/>
  <c r="I3639" i="1"/>
  <c r="I3672" i="1"/>
  <c r="I3718" i="1"/>
  <c r="I3756" i="1"/>
  <c r="I3801" i="1"/>
  <c r="I3837" i="1"/>
  <c r="I3880" i="1"/>
  <c r="I3918" i="1"/>
  <c r="I3944" i="1"/>
  <c r="I3978" i="1"/>
  <c r="I4007" i="1"/>
  <c r="I4040" i="1"/>
  <c r="I4066" i="1"/>
  <c r="I4098" i="1"/>
  <c r="I4122" i="1"/>
  <c r="I4150" i="1"/>
  <c r="I4174" i="1"/>
  <c r="I4206" i="1"/>
  <c r="I4230" i="1"/>
  <c r="I4258" i="1"/>
  <c r="I4282" i="1"/>
  <c r="I4314" i="1"/>
  <c r="I4338" i="1"/>
  <c r="I4366" i="1"/>
  <c r="I4390" i="1"/>
  <c r="I4422" i="1"/>
  <c r="I4446" i="1"/>
  <c r="I4471" i="1"/>
  <c r="I4495" i="1"/>
  <c r="I4518" i="1"/>
  <c r="I4543" i="1"/>
  <c r="I4566" i="1"/>
  <c r="I4581" i="1"/>
  <c r="I4598" i="1"/>
  <c r="I4614" i="1"/>
  <c r="I4629" i="1"/>
  <c r="I4646" i="1"/>
  <c r="I4662" i="1"/>
  <c r="I4677" i="1"/>
  <c r="I4694" i="1"/>
  <c r="I4708" i="1"/>
  <c r="I4721" i="1"/>
  <c r="I4734" i="1"/>
  <c r="I4747" i="1"/>
  <c r="I4760" i="1"/>
  <c r="I4773" i="1"/>
  <c r="I4786" i="1"/>
  <c r="I4799" i="1"/>
  <c r="I4813" i="1"/>
  <c r="I4826" i="1"/>
  <c r="I4839" i="1"/>
  <c r="I4852" i="1"/>
  <c r="I4865" i="1"/>
  <c r="I4878" i="1"/>
  <c r="I4891" i="1"/>
  <c r="I4904" i="1"/>
  <c r="I4917" i="1"/>
  <c r="I4930" i="1"/>
  <c r="I4943" i="1"/>
  <c r="I4957" i="1"/>
  <c r="I4970" i="1"/>
  <c r="I4983" i="1"/>
  <c r="I4996" i="1"/>
  <c r="I5009" i="1"/>
  <c r="I5022" i="1"/>
  <c r="I5035" i="1"/>
  <c r="I5048" i="1"/>
  <c r="I3450" i="1"/>
  <c r="I3803" i="1"/>
  <c r="I3948" i="1"/>
  <c r="I4042" i="1"/>
  <c r="I4099" i="1"/>
  <c r="I4123" i="1"/>
  <c r="I4151" i="1"/>
  <c r="I4175" i="1"/>
  <c r="I4231" i="1"/>
  <c r="I4259" i="1"/>
  <c r="I4283" i="1"/>
  <c r="I4315" i="1"/>
  <c r="I4339" i="1"/>
  <c r="I4367" i="1"/>
  <c r="I4391" i="1"/>
  <c r="I4423" i="1"/>
  <c r="I4447" i="1"/>
  <c r="I4496" i="1"/>
  <c r="I4519" i="1"/>
  <c r="I4544" i="1"/>
  <c r="I4567" i="1"/>
  <c r="I4582" i="1"/>
  <c r="I4599" i="1"/>
  <c r="I4615" i="1"/>
  <c r="I4630" i="1"/>
  <c r="I4647" i="1"/>
  <c r="I4663" i="1"/>
  <c r="I4678" i="1"/>
  <c r="I4695" i="1"/>
  <c r="I4709" i="1"/>
  <c r="I4722" i="1"/>
  <c r="I4735" i="1"/>
  <c r="I4748" i="1"/>
  <c r="I4761" i="1"/>
  <c r="I4787" i="1"/>
  <c r="I4801" i="1"/>
  <c r="I4814" i="1"/>
  <c r="I4827" i="1"/>
  <c r="I4840" i="1"/>
  <c r="I4853" i="1"/>
  <c r="I4866" i="1"/>
  <c r="I4879" i="1"/>
  <c r="I4892" i="1"/>
  <c r="I4905" i="1"/>
  <c r="I4918" i="1"/>
  <c r="I4931" i="1"/>
  <c r="I4945" i="1"/>
  <c r="I4958" i="1"/>
  <c r="I4971" i="1"/>
  <c r="I4984" i="1"/>
  <c r="I4997" i="1"/>
  <c r="I5010" i="1"/>
  <c r="I5023" i="1"/>
  <c r="I5036" i="1"/>
  <c r="I5049" i="1"/>
  <c r="I3920" i="1"/>
  <c r="I4316" i="1"/>
  <c r="I4424" i="1"/>
  <c r="I4497" i="1"/>
  <c r="I4546" i="1"/>
  <c r="I4583" i="1"/>
  <c r="I4616" i="1"/>
  <c r="I4649" i="1"/>
  <c r="I4679" i="1"/>
  <c r="I4710" i="1"/>
  <c r="I4749" i="1"/>
  <c r="I4789" i="1"/>
  <c r="I4815" i="1"/>
  <c r="I4854" i="1"/>
  <c r="I4880" i="1"/>
  <c r="I4906" i="1"/>
  <c r="I4946" i="1"/>
  <c r="I4972" i="1"/>
  <c r="I4998" i="1"/>
  <c r="I5037" i="1"/>
  <c r="I202" i="1"/>
  <c r="I1211" i="1"/>
  <c r="I1638" i="1"/>
  <c r="I1905" i="1"/>
  <c r="I2176" i="1"/>
  <c r="I2375" i="1"/>
  <c r="I2584" i="1"/>
  <c r="I2714" i="1"/>
  <c r="I2846" i="1"/>
  <c r="I2991" i="1"/>
  <c r="I3105" i="1"/>
  <c r="I3253" i="1"/>
  <c r="I3410" i="1"/>
  <c r="I3508" i="1"/>
  <c r="I3598" i="1"/>
  <c r="I3727" i="1"/>
  <c r="I3807" i="1"/>
  <c r="I3922" i="1"/>
  <c r="I3984" i="1"/>
  <c r="I4044" i="1"/>
  <c r="I4128" i="1"/>
  <c r="I4184" i="1"/>
  <c r="I4236" i="1"/>
  <c r="I4317" i="1"/>
  <c r="I4372" i="1"/>
  <c r="I4425" i="1"/>
  <c r="I4498" i="1"/>
  <c r="I4547" i="1"/>
  <c r="I4586" i="1"/>
  <c r="I4634" i="1"/>
  <c r="I4665" i="1"/>
  <c r="I4711" i="1"/>
  <c r="I4737" i="1"/>
  <c r="I4763" i="1"/>
  <c r="I4803" i="1"/>
  <c r="I4842" i="1"/>
  <c r="I4868" i="1"/>
  <c r="I4894" i="1"/>
  <c r="I4934" i="1"/>
  <c r="I4960" i="1"/>
  <c r="I4999" i="1"/>
  <c r="I5038" i="1"/>
  <c r="I4779" i="1"/>
  <c r="I4870" i="1"/>
  <c r="I4936" i="1"/>
  <c r="I4962" i="1"/>
  <c r="I189" i="1"/>
  <c r="I527" i="1"/>
  <c r="I905" i="1"/>
  <c r="I1178" i="1"/>
  <c r="I1344" i="1"/>
  <c r="I1498" i="1"/>
  <c r="I1616" i="1"/>
  <c r="I1740" i="1"/>
  <c r="I1821" i="1"/>
  <c r="I1897" i="1"/>
  <c r="I1968" i="1"/>
  <c r="I2032" i="1"/>
  <c r="I2101" i="1"/>
  <c r="I2164" i="1"/>
  <c r="I2241" i="1"/>
  <c r="I2294" i="1"/>
  <c r="I2367" i="1"/>
  <c r="I2438" i="1"/>
  <c r="I2506" i="1"/>
  <c r="I2572" i="1"/>
  <c r="I2638" i="1"/>
  <c r="I2711" i="1"/>
  <c r="I2767" i="1"/>
  <c r="I2839" i="1"/>
  <c r="I2911" i="1"/>
  <c r="I2976" i="1"/>
  <c r="I3045" i="1"/>
  <c r="I3096" i="1"/>
  <c r="I3152" i="1"/>
  <c r="I3193" i="1"/>
  <c r="I3248" i="1"/>
  <c r="I3301" i="1"/>
  <c r="I3350" i="1"/>
  <c r="I3402" i="1"/>
  <c r="I3505" i="1"/>
  <c r="I3547" i="1"/>
  <c r="I3596" i="1"/>
  <c r="I3640" i="1"/>
  <c r="I3679" i="1"/>
  <c r="I3719" i="1"/>
  <c r="I3759" i="1"/>
  <c r="I3838" i="1"/>
  <c r="I3883" i="1"/>
  <c r="I3919" i="1"/>
  <c r="I3979" i="1"/>
  <c r="I4008" i="1"/>
  <c r="I4067" i="1"/>
  <c r="I4207" i="1"/>
  <c r="I4472" i="1"/>
  <c r="I4774" i="1"/>
  <c r="I4208" i="1"/>
  <c r="I4631" i="1"/>
  <c r="I4736" i="1"/>
  <c r="I4775" i="1"/>
  <c r="I4828" i="1"/>
  <c r="I4867" i="1"/>
  <c r="I4919" i="1"/>
  <c r="I4959" i="1"/>
  <c r="I5011" i="1"/>
  <c r="I5051" i="1"/>
  <c r="I942" i="1"/>
  <c r="I1845" i="1"/>
  <c r="I2050" i="1"/>
  <c r="I2243" i="1"/>
  <c r="I2449" i="1"/>
  <c r="I2650" i="1"/>
  <c r="I2920" i="1"/>
  <c r="I3154" i="1"/>
  <c r="I3309" i="1"/>
  <c r="I3458" i="1"/>
  <c r="I3644" i="1"/>
  <c r="I3885" i="1"/>
  <c r="I4076" i="1"/>
  <c r="I4264" i="1"/>
  <c r="I4451" i="1"/>
  <c r="I4602" i="1"/>
  <c r="I4698" i="1"/>
  <c r="I4777" i="1"/>
  <c r="I4829" i="1"/>
  <c r="I4881" i="1"/>
  <c r="I4921" i="1"/>
  <c r="I4973" i="1"/>
  <c r="I5025" i="1"/>
  <c r="I4792" i="1"/>
  <c r="I4910" i="1"/>
  <c r="I5001" i="1"/>
  <c r="I200" i="1"/>
  <c r="I614" i="1"/>
  <c r="I911" i="1"/>
  <c r="I1194" i="1"/>
  <c r="I1380" i="1"/>
  <c r="I1499" i="1"/>
  <c r="I1632" i="1"/>
  <c r="I1741" i="1"/>
  <c r="I1840" i="1"/>
  <c r="I1898" i="1"/>
  <c r="I1972" i="1"/>
  <c r="I2049" i="1"/>
  <c r="I2102" i="1"/>
  <c r="I2175" i="1"/>
  <c r="I2242" i="1"/>
  <c r="I2314" i="1"/>
  <c r="I2368" i="1"/>
  <c r="I2446" i="1"/>
  <c r="I2519" i="1"/>
  <c r="I2575" i="1"/>
  <c r="I2647" i="1"/>
  <c r="I2713" i="1"/>
  <c r="I2784" i="1"/>
  <c r="I2842" i="1"/>
  <c r="I2916" i="1"/>
  <c r="I2990" i="1"/>
  <c r="I3046" i="1"/>
  <c r="I3104" i="1"/>
  <c r="I3153" i="1"/>
  <c r="I3206" i="1"/>
  <c r="I3249" i="1"/>
  <c r="I3306" i="1"/>
  <c r="I3361" i="1"/>
  <c r="I3403" i="1"/>
  <c r="I3457" i="1"/>
  <c r="I3506" i="1"/>
  <c r="I3560" i="1"/>
  <c r="I3597" i="1"/>
  <c r="I3642" i="1"/>
  <c r="I3687" i="1"/>
  <c r="I3720" i="1"/>
  <c r="I3766" i="1"/>
  <c r="I3804" i="1"/>
  <c r="I3849" i="1"/>
  <c r="I3884" i="1"/>
  <c r="I3954" i="1"/>
  <c r="I3980" i="1"/>
  <c r="I4014" i="1"/>
  <c r="I4043" i="1"/>
  <c r="I4068" i="1"/>
  <c r="I4100" i="1"/>
  <c r="I4124" i="1"/>
  <c r="I4152" i="1"/>
  <c r="I4176" i="1"/>
  <c r="I4232" i="1"/>
  <c r="I4260" i="1"/>
  <c r="I4284" i="1"/>
  <c r="I4340" i="1"/>
  <c r="I4368" i="1"/>
  <c r="I4392" i="1"/>
  <c r="I4448" i="1"/>
  <c r="I4474" i="1"/>
  <c r="I4520" i="1"/>
  <c r="I4568" i="1"/>
  <c r="I4601" i="1"/>
  <c r="I4664" i="1"/>
  <c r="I4697" i="1"/>
  <c r="I4723" i="1"/>
  <c r="I4762" i="1"/>
  <c r="I4802" i="1"/>
  <c r="I4841" i="1"/>
  <c r="I4893" i="1"/>
  <c r="I4933" i="1"/>
  <c r="I4985" i="1"/>
  <c r="I5024" i="1"/>
  <c r="I640" i="1"/>
  <c r="I1381" i="1"/>
  <c r="I1521" i="1"/>
  <c r="I1742" i="1"/>
  <c r="I1979" i="1"/>
  <c r="I2113" i="1"/>
  <c r="I2316" i="1"/>
  <c r="I2521" i="1"/>
  <c r="I2786" i="1"/>
  <c r="I3057" i="1"/>
  <c r="I3209" i="1"/>
  <c r="I3362" i="1"/>
  <c r="I3562" i="1"/>
  <c r="I3688" i="1"/>
  <c r="I3767" i="1"/>
  <c r="I3851" i="1"/>
  <c r="I3955" i="1"/>
  <c r="I4015" i="1"/>
  <c r="I4101" i="1"/>
  <c r="I4156" i="1"/>
  <c r="I4209" i="1"/>
  <c r="I4292" i="1"/>
  <c r="I4344" i="1"/>
  <c r="I4400" i="1"/>
  <c r="I4475" i="1"/>
  <c r="I4523" i="1"/>
  <c r="I4569" i="1"/>
  <c r="I4617" i="1"/>
  <c r="I4650" i="1"/>
  <c r="I4682" i="1"/>
  <c r="I4724" i="1"/>
  <c r="I4750" i="1"/>
  <c r="I4790" i="1"/>
  <c r="I4816" i="1"/>
  <c r="I4855" i="1"/>
  <c r="I4907" i="1"/>
  <c r="I4947" i="1"/>
  <c r="I4986" i="1"/>
  <c r="I5012" i="1"/>
  <c r="I5052" i="1"/>
  <c r="I4818" i="1"/>
  <c r="I4883" i="1"/>
  <c r="I4923" i="1"/>
  <c r="I4975" i="1"/>
  <c r="I5014" i="1"/>
  <c r="I5041" i="1"/>
  <c r="I281" i="1"/>
  <c r="I641" i="1"/>
  <c r="I1021" i="1"/>
  <c r="I1212" i="1"/>
  <c r="I1382" i="1"/>
  <c r="I1537" i="1"/>
  <c r="I1646" i="1"/>
  <c r="I1763" i="1"/>
  <c r="I1846" i="1"/>
  <c r="I1921" i="1"/>
  <c r="I1980" i="1"/>
  <c r="I2051" i="1"/>
  <c r="I2124" i="1"/>
  <c r="I2183" i="1"/>
  <c r="I2257" i="1"/>
  <c r="I2317" i="1"/>
  <c r="I2392" i="1"/>
  <c r="I2450" i="1"/>
  <c r="I2522" i="1"/>
  <c r="I2594" i="1"/>
  <c r="I2654" i="1"/>
  <c r="I2728" i="1"/>
  <c r="I2787" i="1"/>
  <c r="I2865" i="1"/>
  <c r="I2923" i="1"/>
  <c r="I2992" i="1"/>
  <c r="I3065" i="1"/>
  <c r="I3109" i="1"/>
  <c r="I3165" i="1"/>
  <c r="I3210" i="1"/>
  <c r="I3266" i="1"/>
  <c r="I3310" i="1"/>
  <c r="I3364" i="1"/>
  <c r="I3418" i="1"/>
  <c r="I3463" i="1"/>
  <c r="I3518" i="1"/>
  <c r="I3563" i="1"/>
  <c r="I3609" i="1"/>
  <c r="I3645" i="1"/>
  <c r="I3690" i="1"/>
  <c r="I3735" i="1"/>
  <c r="I3768" i="1"/>
  <c r="I3814" i="1"/>
  <c r="I3852" i="1"/>
  <c r="I3895" i="1"/>
  <c r="I3923" i="1"/>
  <c r="I3956" i="1"/>
  <c r="I3990" i="1"/>
  <c r="I4016" i="1"/>
  <c r="I4050" i="1"/>
  <c r="I4078" i="1"/>
  <c r="I4102" i="1"/>
  <c r="I4134" i="1"/>
  <c r="I4158" i="1"/>
  <c r="I4186" i="1"/>
  <c r="I4210" i="1"/>
  <c r="I4242" i="1"/>
  <c r="I4266" i="1"/>
  <c r="I4294" i="1"/>
  <c r="I4318" i="1"/>
  <c r="I4350" i="1"/>
  <c r="I4374" i="1"/>
  <c r="I4402" i="1"/>
  <c r="I4426" i="1"/>
  <c r="I4452" i="1"/>
  <c r="I4476" i="1"/>
  <c r="I4499" i="1"/>
  <c r="I4524" i="1"/>
  <c r="I4548" i="1"/>
  <c r="I4570" i="1"/>
  <c r="I4587" i="1"/>
  <c r="I4603" i="1"/>
  <c r="I4618" i="1"/>
  <c r="I4635" i="1"/>
  <c r="I4651" i="1"/>
  <c r="I4666" i="1"/>
  <c r="I4683" i="1"/>
  <c r="I4699" i="1"/>
  <c r="I4712" i="1"/>
  <c r="I4725" i="1"/>
  <c r="I4738" i="1"/>
  <c r="I4751" i="1"/>
  <c r="I4765" i="1"/>
  <c r="I4778" i="1"/>
  <c r="I4791" i="1"/>
  <c r="I4804" i="1"/>
  <c r="I4817" i="1"/>
  <c r="I4830" i="1"/>
  <c r="I4843" i="1"/>
  <c r="I4856" i="1"/>
  <c r="I4869" i="1"/>
  <c r="I4882" i="1"/>
  <c r="I4895" i="1"/>
  <c r="I4909" i="1"/>
  <c r="I4922" i="1"/>
  <c r="I4935" i="1"/>
  <c r="I4948" i="1"/>
  <c r="I4961" i="1"/>
  <c r="I4974" i="1"/>
  <c r="I4987" i="1"/>
  <c r="I5000" i="1"/>
  <c r="I5013" i="1"/>
  <c r="I5026" i="1"/>
  <c r="I5039" i="1"/>
  <c r="I2" i="1"/>
  <c r="I294" i="1"/>
  <c r="I653" i="1"/>
  <c r="I1028" i="1"/>
  <c r="I1213" i="1"/>
  <c r="I1390" i="1"/>
  <c r="I1538" i="1"/>
  <c r="I1661" i="1"/>
  <c r="I1766" i="1"/>
  <c r="I1851" i="1"/>
  <c r="I1924" i="1"/>
  <c r="I1981" i="1"/>
  <c r="I2053" i="1"/>
  <c r="I2125" i="1"/>
  <c r="I2191" i="1"/>
  <c r="I2258" i="1"/>
  <c r="I2323" i="1"/>
  <c r="I2398" i="1"/>
  <c r="I2451" i="1"/>
  <c r="I2524" i="1"/>
  <c r="I2595" i="1"/>
  <c r="I2662" i="1"/>
  <c r="I2731" i="1"/>
  <c r="I2795" i="1"/>
  <c r="I2868" i="1"/>
  <c r="I2925" i="1"/>
  <c r="I2997" i="1"/>
  <c r="I3066" i="1"/>
  <c r="I3115" i="1"/>
  <c r="I3166" i="1"/>
  <c r="I3214" i="1"/>
  <c r="I3270" i="1"/>
  <c r="I3311" i="1"/>
  <c r="I3366" i="1"/>
  <c r="I3419" i="1"/>
  <c r="I3468" i="1"/>
  <c r="I3520" i="1"/>
  <c r="I3566" i="1"/>
  <c r="I3611" i="1"/>
  <c r="I3646" i="1"/>
  <c r="I3692" i="1"/>
  <c r="I3736" i="1"/>
  <c r="I3775" i="1"/>
  <c r="I3815" i="1"/>
  <c r="I3855" i="1"/>
  <c r="I3897" i="1"/>
  <c r="I3924" i="1"/>
  <c r="I3958" i="1"/>
  <c r="I3991" i="1"/>
  <c r="I4020" i="1"/>
  <c r="I4051" i="1"/>
  <c r="I4079" i="1"/>
  <c r="I4103" i="1"/>
  <c r="I4135" i="1"/>
  <c r="I4159" i="1"/>
  <c r="I4187" i="1"/>
  <c r="I4211" i="1"/>
  <c r="I4243" i="1"/>
  <c r="I4267" i="1"/>
  <c r="I4295" i="1"/>
  <c r="I4319" i="1"/>
  <c r="I4351" i="1"/>
  <c r="I4375" i="1"/>
  <c r="I4403" i="1"/>
  <c r="I4427" i="1"/>
  <c r="I4458" i="1"/>
  <c r="I4480" i="1"/>
  <c r="I4500" i="1"/>
  <c r="I4530" i="1"/>
  <c r="I4552" i="1"/>
  <c r="I4571" i="1"/>
  <c r="I4589" i="1"/>
  <c r="I4604" i="1"/>
  <c r="I4619" i="1"/>
  <c r="I4637" i="1"/>
  <c r="I4652" i="1"/>
  <c r="I4667" i="1"/>
  <c r="I4685" i="1"/>
  <c r="I4700" i="1"/>
  <c r="I4713" i="1"/>
  <c r="I4726" i="1"/>
  <c r="I4739" i="1"/>
  <c r="I4753" i="1"/>
  <c r="I4766" i="1"/>
  <c r="I4805" i="1"/>
  <c r="I4831" i="1"/>
  <c r="I4844" i="1"/>
  <c r="I4857" i="1"/>
  <c r="I4897" i="1"/>
  <c r="I4949" i="1"/>
  <c r="I4988" i="1"/>
  <c r="I5027" i="1"/>
  <c r="I437" i="1"/>
  <c r="I765" i="1"/>
  <c r="I1103" i="1"/>
  <c r="I1277" i="1"/>
  <c r="I1445" i="1"/>
  <c r="I1560" i="1"/>
  <c r="I1690" i="1"/>
  <c r="I1799" i="1"/>
  <c r="I1870" i="1"/>
  <c r="I1943" i="1"/>
  <c r="I2003" i="1"/>
  <c r="I2078" i="1"/>
  <c r="I2137" i="1"/>
  <c r="I2208" i="1"/>
  <c r="I2281" i="1"/>
  <c r="I2340" i="1"/>
  <c r="I2414" i="1"/>
  <c r="I2474" i="1"/>
  <c r="I2548" i="1"/>
  <c r="I2607" i="1"/>
  <c r="I2678" i="1"/>
  <c r="I2751" i="1"/>
  <c r="I2811" i="1"/>
  <c r="I2884" i="1"/>
  <c r="I2944" i="1"/>
  <c r="I3022" i="1"/>
  <c r="I3074" i="1"/>
  <c r="I3128" i="1"/>
  <c r="I3182" i="1"/>
  <c r="I3227" i="1"/>
  <c r="I3283" i="1"/>
  <c r="I3328" i="1"/>
  <c r="I3384" i="1"/>
  <c r="I3428" i="1"/>
  <c r="I3481" i="1"/>
  <c r="I3536" i="1"/>
  <c r="I3576" i="1"/>
  <c r="I3622" i="1"/>
  <c r="I3660" i="1"/>
  <c r="I3705" i="1"/>
  <c r="I3741" i="1"/>
  <c r="I3786" i="1"/>
  <c r="I3831" i="1"/>
  <c r="I3864" i="1"/>
  <c r="I3906" i="1"/>
  <c r="I3935" i="1"/>
  <c r="I3968" i="1"/>
  <c r="I3995" i="1"/>
  <c r="I4028" i="1"/>
  <c r="I4062" i="1"/>
  <c r="I4086" i="1"/>
  <c r="I4114" i="1"/>
  <c r="I4138" i="1"/>
  <c r="I4170" i="1"/>
  <c r="I4194" i="1"/>
  <c r="I4222" i="1"/>
  <c r="I4246" i="1"/>
  <c r="I4278" i="1"/>
  <c r="I4302" i="1"/>
  <c r="I4330" i="1"/>
  <c r="I4354" i="1"/>
  <c r="I4386" i="1"/>
  <c r="I4410" i="1"/>
  <c r="I4438" i="1"/>
  <c r="I4461" i="1"/>
  <c r="I4484" i="1"/>
  <c r="I4510" i="1"/>
  <c r="I4533" i="1"/>
  <c r="I4556" i="1"/>
  <c r="I4577" i="1"/>
  <c r="I4592" i="1"/>
  <c r="I4607" i="1"/>
  <c r="I4625" i="1"/>
  <c r="I4640" i="1"/>
  <c r="I4655" i="1"/>
  <c r="I4673" i="1"/>
  <c r="I4688" i="1"/>
  <c r="I4703" i="1"/>
  <c r="I4717" i="1"/>
  <c r="I4730" i="1"/>
  <c r="I4743" i="1"/>
  <c r="I4756" i="1"/>
  <c r="I4769" i="1"/>
  <c r="I4782" i="1"/>
  <c r="I4795" i="1"/>
  <c r="I4808" i="1"/>
  <c r="I4821" i="1"/>
  <c r="I4834" i="1"/>
  <c r="I4847" i="1"/>
  <c r="I4861" i="1"/>
  <c r="I4874" i="1"/>
  <c r="I4887" i="1"/>
  <c r="I4900" i="1"/>
  <c r="I4913" i="1"/>
  <c r="I4926" i="1"/>
  <c r="I4939" i="1"/>
  <c r="I4952" i="1"/>
  <c r="I4965" i="1"/>
  <c r="I4978" i="1"/>
  <c r="I4991" i="1"/>
  <c r="I5005" i="1"/>
  <c r="I5018" i="1"/>
  <c r="I5031" i="1"/>
  <c r="I5044" i="1"/>
  <c r="I458" i="1"/>
  <c r="I806" i="1"/>
  <c r="I1104" i="1"/>
  <c r="I1288" i="1"/>
  <c r="I1458" i="1"/>
  <c r="I1566" i="1"/>
  <c r="I1693" i="1"/>
  <c r="I1801" i="1"/>
  <c r="I1875" i="1"/>
  <c r="I1945" i="1"/>
  <c r="I2008" i="1"/>
  <c r="I2083" i="1"/>
  <c r="I2138" i="1"/>
  <c r="I2210" i="1"/>
  <c r="I2282" i="1"/>
  <c r="I2349" i="1"/>
  <c r="I2415" i="1"/>
  <c r="I2481" i="1"/>
  <c r="I2555" i="1"/>
  <c r="I2608" i="1"/>
  <c r="I2683" i="1"/>
  <c r="I2752" i="1"/>
  <c r="I2819" i="1"/>
  <c r="I2887" i="1"/>
  <c r="I2951" i="1"/>
  <c r="I3025" i="1"/>
  <c r="I3076" i="1"/>
  <c r="I3130" i="1"/>
  <c r="I3184" i="1"/>
  <c r="I3233" i="1"/>
  <c r="I3284" i="1"/>
  <c r="I3332" i="1"/>
  <c r="I3388" i="1"/>
  <c r="I3429" i="1"/>
  <c r="I3484" i="1"/>
  <c r="I3537" i="1"/>
  <c r="I3583" i="1"/>
  <c r="I3623" i="1"/>
  <c r="I3663" i="1"/>
  <c r="I3707" i="1"/>
  <c r="I3742" i="1"/>
  <c r="I3788" i="1"/>
  <c r="I3832" i="1"/>
  <c r="I3871" i="1"/>
  <c r="I3907" i="1"/>
  <c r="I3936" i="1"/>
  <c r="I3970" i="1"/>
  <c r="I3996" i="1"/>
  <c r="I4030" i="1"/>
  <c r="I4063" i="1"/>
  <c r="I4087" i="1"/>
  <c r="I4115" i="1"/>
  <c r="I4139" i="1"/>
  <c r="I4171" i="1"/>
  <c r="I4195" i="1"/>
  <c r="I4223" i="1"/>
  <c r="I4247" i="1"/>
  <c r="I4279" i="1"/>
  <c r="I4303" i="1"/>
  <c r="I4331" i="1"/>
  <c r="I4355" i="1"/>
  <c r="I4387" i="1"/>
  <c r="I4411" i="1"/>
  <c r="I4439" i="1"/>
  <c r="I4462" i="1"/>
  <c r="I4487" i="1"/>
  <c r="I299" i="1"/>
  <c r="I1265" i="1"/>
  <c r="I1682" i="1"/>
  <c r="I1927" i="1"/>
  <c r="I2131" i="1"/>
  <c r="I2332" i="1"/>
  <c r="I2527" i="1"/>
  <c r="I2733" i="1"/>
  <c r="I2941" i="1"/>
  <c r="I3126" i="1"/>
  <c r="I3271" i="1"/>
  <c r="I3424" i="1"/>
  <c r="I3574" i="1"/>
  <c r="I3693" i="1"/>
  <c r="I3816" i="1"/>
  <c r="I3932" i="1"/>
  <c r="I4026" i="1"/>
  <c r="I4104" i="1"/>
  <c r="I4188" i="1"/>
  <c r="I4268" i="1"/>
  <c r="I4352" i="1"/>
  <c r="I4428" i="1"/>
  <c r="I4507" i="1"/>
  <c r="I4559" i="1"/>
  <c r="I4595" i="1"/>
  <c r="I4639" i="1"/>
  <c r="I4675" i="1"/>
  <c r="I4714" i="1"/>
  <c r="I4744" i="1"/>
  <c r="I4772" i="1"/>
  <c r="I4807" i="1"/>
  <c r="I4837" i="1"/>
  <c r="I4871" i="1"/>
  <c r="I4901" i="1"/>
  <c r="I4929" i="1"/>
  <c r="I4964" i="1"/>
  <c r="I4994" i="1"/>
  <c r="I5029" i="1"/>
  <c r="I3127" i="1"/>
  <c r="I3427" i="1"/>
  <c r="I3694" i="1"/>
  <c r="I3934" i="1"/>
  <c r="I4027" i="1"/>
  <c r="I4112" i="1"/>
  <c r="I4192" i="1"/>
  <c r="I4272" i="1"/>
  <c r="I4353" i="1"/>
  <c r="I4436" i="1"/>
  <c r="I4560" i="1"/>
  <c r="I4605" i="1"/>
  <c r="I4641" i="1"/>
  <c r="I4676" i="1"/>
  <c r="I4715" i="1"/>
  <c r="I4745" i="1"/>
  <c r="I4780" i="1"/>
  <c r="I4809" i="1"/>
  <c r="I4838" i="1"/>
  <c r="I4873" i="1"/>
  <c r="I4902" i="1"/>
  <c r="I4937" i="1"/>
  <c r="I4966" i="1"/>
  <c r="I4995" i="1"/>
  <c r="I5030" i="1"/>
  <c r="I461" i="1"/>
  <c r="I1311" i="1"/>
  <c r="I1697" i="1"/>
  <c r="I2157" i="1"/>
  <c r="I2363" i="1"/>
  <c r="I2556" i="1"/>
  <c r="I2759" i="1"/>
  <c r="I2962" i="1"/>
  <c r="I3131" i="1"/>
  <c r="I3285" i="1"/>
  <c r="I3442" i="1"/>
  <c r="I3708" i="1"/>
  <c r="I3834" i="1"/>
  <c r="I4031" i="1"/>
  <c r="I4116" i="1"/>
  <c r="I4280" i="1"/>
  <c r="I4511" i="1"/>
  <c r="I4686" i="1"/>
  <c r="I4845" i="1"/>
  <c r="I5002" i="1"/>
  <c r="I1317" i="1"/>
  <c r="I2159" i="1"/>
  <c r="I2763" i="1"/>
  <c r="I3293" i="1"/>
  <c r="I3592" i="1"/>
  <c r="I3943" i="1"/>
  <c r="I4120" i="1"/>
  <c r="I4364" i="1"/>
  <c r="I4512" i="1"/>
  <c r="I4643" i="1"/>
  <c r="I4719" i="1"/>
  <c r="I4811" i="1"/>
  <c r="I4876" i="1"/>
  <c r="I4940" i="1"/>
  <c r="I5033" i="1"/>
  <c r="I4914" i="1"/>
  <c r="I5042" i="1"/>
  <c r="I1809" i="1"/>
  <c r="I2211" i="1"/>
  <c r="I2627" i="1"/>
  <c r="I3188" i="1"/>
  <c r="I3624" i="1"/>
  <c r="I4140" i="1"/>
  <c r="I4388" i="1"/>
  <c r="I4658" i="1"/>
  <c r="I4822" i="1"/>
  <c r="I4950" i="1"/>
  <c r="I1461" i="1"/>
  <c r="I2427" i="1"/>
  <c r="I3027" i="1"/>
  <c r="I3631" i="1"/>
  <c r="I4065" i="1"/>
  <c r="I4228" i="1"/>
  <c r="I4534" i="1"/>
  <c r="I4659" i="1"/>
  <c r="I4794" i="1"/>
  <c r="I4858" i="1"/>
  <c r="I5015" i="1"/>
  <c r="I4862" i="1"/>
  <c r="I4954" i="1"/>
  <c r="I1595" i="1"/>
  <c r="I3089" i="1"/>
  <c r="I3789" i="1"/>
  <c r="I4412" i="1"/>
  <c r="I4706" i="1"/>
  <c r="I4927" i="1"/>
  <c r="I1893" i="1"/>
  <c r="I3245" i="1"/>
  <c r="I4256" i="1"/>
  <c r="I4674" i="1"/>
  <c r="I4899" i="1"/>
  <c r="I378" i="1"/>
  <c r="I1275" i="1"/>
  <c r="I1688" i="1"/>
  <c r="I1930" i="1"/>
  <c r="I2135" i="1"/>
  <c r="I2335" i="1"/>
  <c r="I2532" i="1"/>
  <c r="I2740" i="1"/>
  <c r="I2943" i="1"/>
  <c r="I3272" i="1"/>
  <c r="I3575" i="1"/>
  <c r="I3823" i="1"/>
  <c r="I4508" i="1"/>
  <c r="I1946" i="1"/>
  <c r="I3942" i="1"/>
  <c r="I4196" i="1"/>
  <c r="I4440" i="1"/>
  <c r="I4564" i="1"/>
  <c r="I4642" i="1"/>
  <c r="I4718" i="1"/>
  <c r="I4746" i="1"/>
  <c r="I4810" i="1"/>
  <c r="I4875" i="1"/>
  <c r="I4903" i="1"/>
  <c r="I4967" i="1"/>
  <c r="I5032" i="1"/>
  <c r="I485" i="1"/>
  <c r="I1956" i="1"/>
  <c r="I2557" i="1"/>
  <c r="I3136" i="1"/>
  <c r="I3711" i="1"/>
  <c r="I4281" i="1"/>
  <c r="I4574" i="1"/>
  <c r="I4754" i="1"/>
  <c r="I4846" i="1"/>
  <c r="I4969" i="1"/>
  <c r="I4977" i="1"/>
  <c r="I1460" i="1"/>
  <c r="I3026" i="1"/>
  <c r="I3878" i="1"/>
  <c r="I4304" i="1"/>
  <c r="I4579" i="1"/>
  <c r="I4758" i="1"/>
  <c r="I4915" i="1"/>
  <c r="I5043" i="1"/>
  <c r="I2019" i="1"/>
  <c r="I3755" i="1"/>
  <c r="I4389" i="1"/>
  <c r="I4701" i="1"/>
  <c r="I4951" i="1"/>
  <c r="I4989" i="1"/>
  <c r="I1891" i="1"/>
  <c r="I4004" i="1"/>
  <c r="I4671" i="1"/>
  <c r="I4955" i="1"/>
  <c r="I2292" i="1"/>
  <c r="I3790" i="1"/>
  <c r="I4494" i="1"/>
  <c r="I4771" i="1"/>
  <c r="I4993" i="1"/>
  <c r="I3591" i="1"/>
  <c r="I4356" i="1"/>
  <c r="I4606" i="1"/>
  <c r="I4781" i="1"/>
  <c r="I4938" i="1"/>
  <c r="I1706" i="1"/>
  <c r="I2364" i="1"/>
  <c r="I2963" i="1"/>
  <c r="I3444" i="1"/>
  <c r="I3836" i="1"/>
  <c r="I4032" i="1"/>
  <c r="I4200" i="1"/>
  <c r="I4444" i="1"/>
  <c r="I4610" i="1"/>
  <c r="I4687" i="1"/>
  <c r="I4783" i="1"/>
  <c r="I4911" i="1"/>
  <c r="I5003" i="1"/>
  <c r="I4942" i="1"/>
  <c r="I886" i="1"/>
  <c r="I2416" i="1"/>
  <c r="I3340" i="1"/>
  <c r="I3971" i="1"/>
  <c r="I4532" i="1"/>
  <c r="I4729" i="1"/>
  <c r="I4886" i="1"/>
  <c r="I5008" i="1"/>
  <c r="I1818" i="1"/>
  <c r="I2834" i="1"/>
  <c r="I3489" i="1"/>
  <c r="I3972" i="1"/>
  <c r="I4308" i="1"/>
  <c r="I4580" i="1"/>
  <c r="I4759" i="1"/>
  <c r="I4916" i="1"/>
  <c r="I5045" i="1"/>
  <c r="I4797" i="1"/>
  <c r="I5019" i="1"/>
  <c r="I2289" i="1"/>
  <c r="I2491" i="1"/>
  <c r="I3389" i="1"/>
  <c r="I4172" i="1"/>
  <c r="I4593" i="1"/>
  <c r="I4798" i="1"/>
  <c r="I5020" i="1"/>
  <c r="I2086" i="1"/>
  <c r="I2689" i="1"/>
  <c r="I3390" i="1"/>
  <c r="I4092" i="1"/>
  <c r="I4594" i="1"/>
  <c r="I4864" i="1"/>
  <c r="I737" i="1"/>
  <c r="I1395" i="1"/>
  <c r="I1772" i="1"/>
  <c r="I1999" i="1"/>
  <c r="I2206" i="1"/>
  <c r="I2399" i="1"/>
  <c r="I2603" i="1"/>
  <c r="I2805" i="1"/>
  <c r="I2998" i="1"/>
  <c r="I3167" i="1"/>
  <c r="I3324" i="1"/>
  <c r="I3479" i="1"/>
  <c r="I3612" i="1"/>
  <c r="I3738" i="1"/>
  <c r="I3862" i="1"/>
  <c r="I3959" i="1"/>
  <c r="I4052" i="1"/>
  <c r="I4136" i="1"/>
  <c r="I4212" i="1"/>
  <c r="I4296" i="1"/>
  <c r="I4376" i="1"/>
  <c r="I4459" i="1"/>
  <c r="I4516" i="1"/>
  <c r="I4575" i="1"/>
  <c r="I4611" i="1"/>
  <c r="I4653" i="1"/>
  <c r="I4689" i="1"/>
  <c r="I4720" i="1"/>
  <c r="I4755" i="1"/>
  <c r="I4784" i="1"/>
  <c r="I4819" i="1"/>
  <c r="I4849" i="1"/>
  <c r="I4877" i="1"/>
  <c r="I4912" i="1"/>
  <c r="I4941" i="1"/>
  <c r="I4976" i="1"/>
  <c r="I5006" i="1"/>
  <c r="I5034" i="1"/>
  <c r="I740" i="1"/>
  <c r="I1406" i="1"/>
  <c r="I1786" i="1"/>
  <c r="I2002" i="1"/>
  <c r="I2207" i="1"/>
  <c r="I2400" i="1"/>
  <c r="I2606" i="1"/>
  <c r="I2806" i="1"/>
  <c r="I3003" i="1"/>
  <c r="I3175" i="1"/>
  <c r="I3326" i="1"/>
  <c r="I3480" i="1"/>
  <c r="I3615" i="1"/>
  <c r="I3740" i="1"/>
  <c r="I3863" i="1"/>
  <c r="I3960" i="1"/>
  <c r="I4056" i="1"/>
  <c r="I4137" i="1"/>
  <c r="I4220" i="1"/>
  <c r="I4300" i="1"/>
  <c r="I4380" i="1"/>
  <c r="I4460" i="1"/>
  <c r="I4531" i="1"/>
  <c r="I4578" i="1"/>
  <c r="I4613" i="1"/>
  <c r="I4654" i="1"/>
  <c r="I4690" i="1"/>
  <c r="I4727" i="1"/>
  <c r="I4757" i="1"/>
  <c r="I4785" i="1"/>
  <c r="I4820" i="1"/>
  <c r="I4850" i="1"/>
  <c r="I4885" i="1"/>
  <c r="I5007" i="1"/>
  <c r="I2018" i="1"/>
  <c r="I2833" i="1"/>
  <c r="I3485" i="1"/>
  <c r="I3753" i="1"/>
  <c r="I4064" i="1"/>
  <c r="I4224" i="1"/>
  <c r="I4463" i="1"/>
  <c r="I4622" i="1"/>
  <c r="I4691" i="1"/>
  <c r="I4793" i="1"/>
  <c r="I4851" i="1"/>
  <c r="I4979" i="1"/>
  <c r="I890" i="1"/>
  <c r="I2219" i="1"/>
  <c r="I2629" i="1"/>
  <c r="I3191" i="1"/>
  <c r="I3341" i="1"/>
  <c r="I3879" i="1"/>
  <c r="I4148" i="1"/>
  <c r="I4464" i="1"/>
  <c r="I4623" i="1"/>
  <c r="I4731" i="1"/>
  <c r="I4823" i="1"/>
  <c r="I4888" i="1"/>
  <c r="I4981" i="1"/>
  <c r="I4832" i="1"/>
  <c r="I4925" i="1"/>
  <c r="I5047" i="1"/>
  <c r="I1105" i="1"/>
  <c r="I2890" i="1"/>
  <c r="I3541" i="1"/>
  <c r="I3908" i="1"/>
  <c r="I4248" i="1"/>
  <c r="I4554" i="1"/>
  <c r="I4741" i="1"/>
  <c r="I4863" i="1"/>
  <c r="I4990" i="1"/>
  <c r="I1605" i="1"/>
  <c r="I2899" i="1"/>
  <c r="I3545" i="1"/>
  <c r="I3912" i="1"/>
  <c r="I4173" i="1"/>
  <c r="I4416" i="1"/>
  <c r="I4638" i="1"/>
  <c r="I4742" i="1"/>
  <c r="I4835" i="1"/>
  <c r="I4963" i="1"/>
  <c r="I1038" i="1"/>
  <c r="I1554" i="1"/>
  <c r="I1861" i="1"/>
  <c r="I2054" i="1"/>
  <c r="I2259" i="1"/>
  <c r="I2470" i="1"/>
  <c r="I2676" i="1"/>
  <c r="I2869" i="1"/>
  <c r="I3070" i="1"/>
  <c r="I3222" i="1"/>
  <c r="I3367" i="1"/>
  <c r="I3521" i="1"/>
  <c r="I3657" i="1"/>
  <c r="I3783" i="1"/>
  <c r="I3898" i="1"/>
  <c r="I3992" i="1"/>
  <c r="I4080" i="1"/>
  <c r="I4160" i="1"/>
  <c r="I4244" i="1"/>
  <c r="I4320" i="1"/>
  <c r="I4404" i="1"/>
  <c r="I4482" i="1"/>
  <c r="I4535" i="1"/>
  <c r="I4590" i="1"/>
  <c r="I4626" i="1"/>
  <c r="I4661" i="1"/>
  <c r="I4702" i="1"/>
  <c r="I4732" i="1"/>
  <c r="I4767" i="1"/>
  <c r="I4796" i="1"/>
  <c r="I4825" i="1"/>
  <c r="I4859" i="1"/>
  <c r="I4889" i="1"/>
  <c r="I4924" i="1"/>
  <c r="I4953" i="1"/>
  <c r="I4982" i="1"/>
  <c r="I5017" i="1"/>
  <c r="I5046" i="1"/>
  <c r="I1043" i="1"/>
  <c r="I1559" i="1"/>
  <c r="I1862" i="1"/>
  <c r="I2062" i="1"/>
  <c r="I2270" i="1"/>
  <c r="I2473" i="1"/>
  <c r="I2677" i="1"/>
  <c r="I2870" i="1"/>
  <c r="I3073" i="1"/>
  <c r="I3223" i="1"/>
  <c r="I3371" i="1"/>
  <c r="I3528" i="1"/>
  <c r="I3659" i="1"/>
  <c r="I3784" i="1"/>
  <c r="I3899" i="1"/>
  <c r="I3994" i="1"/>
  <c r="I4084" i="1"/>
  <c r="I4164" i="1"/>
  <c r="I4245" i="1"/>
  <c r="I4328" i="1"/>
  <c r="I4408" i="1"/>
  <c r="I4483" i="1"/>
  <c r="I4536" i="1"/>
  <c r="I4591" i="1"/>
  <c r="I4627" i="1"/>
  <c r="I4670" i="1"/>
  <c r="I4705" i="1"/>
  <c r="I4733" i="1"/>
  <c r="I4768" i="1"/>
  <c r="I4890" i="1"/>
  <c r="I2085" i="1"/>
  <c r="I2685" i="1"/>
  <c r="I3244" i="1"/>
  <c r="I3670" i="1"/>
  <c r="I4088" i="1"/>
  <c r="I4332" i="1"/>
  <c r="I4488" i="1"/>
  <c r="I4628" i="1"/>
  <c r="I4770" i="1"/>
  <c r="I4833" i="1"/>
  <c r="I4898" i="1"/>
  <c r="I1140" i="1"/>
  <c r="I2493" i="1"/>
  <c r="I3091" i="1"/>
  <c r="I3671" i="1"/>
  <c r="I4006" i="1"/>
  <c r="I4336" i="1"/>
  <c r="I4555" i="1"/>
  <c r="I4707" i="1"/>
  <c r="I4806" i="1"/>
  <c r="I4928" i="1"/>
  <c r="I5021" i="1"/>
  <c r="I5056" i="1" l="1"/>
</calcChain>
</file>

<file path=xl/sharedStrings.xml><?xml version="1.0" encoding="utf-8"?>
<sst xmlns="http://schemas.openxmlformats.org/spreadsheetml/2006/main" count="28261" uniqueCount="265">
  <si>
    <t>Date</t>
  </si>
  <si>
    <t>Branch</t>
  </si>
  <si>
    <t>Customer type</t>
  </si>
  <si>
    <t>Gender</t>
  </si>
  <si>
    <t>Product line</t>
  </si>
  <si>
    <t>Unit price</t>
  </si>
  <si>
    <t>Quantity</t>
  </si>
  <si>
    <t>Payment</t>
  </si>
  <si>
    <t>Rating</t>
  </si>
  <si>
    <t>Member</t>
  </si>
  <si>
    <t>Female</t>
  </si>
  <si>
    <t>Food &amp; Beverages</t>
  </si>
  <si>
    <t>Credit card</t>
  </si>
  <si>
    <t>Normal</t>
  </si>
  <si>
    <t>Electronics</t>
  </si>
  <si>
    <t>Cash</t>
  </si>
  <si>
    <t>Sports &amp; Travel</t>
  </si>
  <si>
    <t>Ewallet</t>
  </si>
  <si>
    <t>Fashion &amp; Accs</t>
  </si>
  <si>
    <t>Male</t>
  </si>
  <si>
    <t>Home &amp; Lifestyle</t>
  </si>
  <si>
    <t>Health &amp; Beauty</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</si>
  <si>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</si>
  <si>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</si>
  <si>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</si>
  <si>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</si>
  <si>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</si>
  <si>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</si>
  <si>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</si>
  <si>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</si>
  <si>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</si>
  <si>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</si>
  <si>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</si>
  <si>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</si>
  <si>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</si>
  <si>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</si>
  <si>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</si>
  <si>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</si>
  <si>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</si>
  <si>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</si>
  <si>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</si>
  <si>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</si>
  <si>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</si>
  <si>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</si>
  <si>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</si>
  <si>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</si>
  <si>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</si>
  <si>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</si>
  <si>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</si>
  <si>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</si>
  <si>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</si>
  <si>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</si>
  <si>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</si>
  <si>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</si>
  <si>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</si>
  <si>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</si>
  <si>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</si>
  <si>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</si>
  <si>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</si>
  <si>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</si>
  <si>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</si>
  <si>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</si>
  <si>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</si>
  <si>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</si>
  <si>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</si>
  <si>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</si>
  <si>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</si>
  <si>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</si>
  <si>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</si>
  <si>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</si>
  <si>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</si>
  <si>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</si>
  <si>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</si>
  <si>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</si>
  <si>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</si>
  <si>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</si>
  <si>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</si>
  <si>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</si>
  <si>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</si>
  <si>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</si>
  <si>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</si>
  <si>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</si>
  <si>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</si>
  <si>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</si>
  <si>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</si>
  <si>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</si>
  <si>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</si>
  <si>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</si>
  <si>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</si>
  <si>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</si>
  <si>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</si>
  <si>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</si>
  <si>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</si>
  <si>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</si>
  <si>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</si>
  <si>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</si>
  <si>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</si>
  <si>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</si>
  <si>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</si>
  <si>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</si>
  <si>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</si>
  <si>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</si>
  <si>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</si>
  <si>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</si>
  <si>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</si>
  <si>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</si>
  <si>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</si>
  <si>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</si>
  <si>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</si>
  <si>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</si>
  <si>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</si>
  <si>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</si>
  <si>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</si>
  <si>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</si>
  <si>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</si>
  <si>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</si>
  <si>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</si>
  <si>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</si>
  <si>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</si>
  <si>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</si>
  <si>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</si>
  <si>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</si>
  <si>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</si>
  <si>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</si>
  <si>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</si>
  <si>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</si>
  <si>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</si>
  <si>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</si>
  <si>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</si>
  <si>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</si>
  <si>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</si>
  <si>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</si>
  <si>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</si>
  <si>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</si>
  <si>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</si>
  <si>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</si>
  <si>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</si>
  <si>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</si>
  <si>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</si>
  <si>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</si>
  <si>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</si>
  <si>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</si>
  <si>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</si>
  <si>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</si>
  <si>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</si>
  <si>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</si>
  <si>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</si>
  <si>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</si>
  <si>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</si>
  <si>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</si>
  <si>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</si>
  <si>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</si>
  <si>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</si>
  <si>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</si>
  <si>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</si>
  <si>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</si>
  <si>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</si>
  <si>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</si>
  <si>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</si>
  <si>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</si>
  <si>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</si>
  <si>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</si>
  <si>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</si>
  <si>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</si>
  <si>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</si>
  <si>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</si>
  <si>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</si>
  <si>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</si>
  <si>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</si>
  <si>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</si>
  <si>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</si>
  <si>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</si>
  <si>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</si>
  <si>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</si>
  <si>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</si>
  <si>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</si>
  <si>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</si>
  <si>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</si>
  <si>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</si>
  <si>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</si>
  <si>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</si>
  <si>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</si>
  <si>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</si>
  <si>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</si>
  <si>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</si>
  <si>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</si>
  <si>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</si>
  <si>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</si>
  <si>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</si>
  <si>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</si>
  <si>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</si>
  <si>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</si>
  <si>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</si>
  <si>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</si>
  <si>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</si>
  <si>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</si>
  <si>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</si>
  <si>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</si>
  <si>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</si>
  <si>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</si>
  <si>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</si>
  <si>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</si>
  <si>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</si>
  <si>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</si>
  <si>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</si>
  <si>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</si>
  <si>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</si>
  <si>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</si>
  <si>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</si>
  <si>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</si>
  <si>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</si>
  <si>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</si>
  <si>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</si>
  <si>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</si>
  <si>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</si>
  <si>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</si>
  <si>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</si>
  <si>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</si>
  <si>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</si>
  <si>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</si>
  <si>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</si>
  <si>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</si>
  <si>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</si>
  <si>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</si>
  <si>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</si>
  <si>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</si>
  <si>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</si>
  <si>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</si>
  <si>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</si>
  <si>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</si>
  <si>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</si>
  <si>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</si>
  <si>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</si>
  <si>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</si>
  <si>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</si>
  <si>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</si>
  <si>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</si>
  <si>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</si>
  <si>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</si>
  <si>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</si>
  <si>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</si>
  <si>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</si>
  <si>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</si>
  <si>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Gaborone</t>
  </si>
  <si>
    <t>Palapye</t>
  </si>
  <si>
    <t>F/Town</t>
  </si>
  <si>
    <t>Total Revenue</t>
  </si>
  <si>
    <t>Total transactions</t>
  </si>
  <si>
    <t>Total</t>
  </si>
  <si>
    <t>Average</t>
  </si>
  <si>
    <t>Row Labels</t>
  </si>
  <si>
    <t>Grand Total</t>
  </si>
  <si>
    <t>Sum of Total Revenue</t>
  </si>
  <si>
    <t>MOST REVENUE BY BRANCH</t>
  </si>
  <si>
    <t>Average of Total Revenue</t>
  </si>
  <si>
    <t>POPULAR PRODUCT LINE BY UNITS SOLD</t>
  </si>
  <si>
    <t>COMMON PAYMENT METHOD</t>
  </si>
  <si>
    <t>COMPARING CUSTOMER SEGMENTS</t>
  </si>
  <si>
    <t>SEGMENTS AVERAGE TRANSACTION VALUE</t>
  </si>
  <si>
    <t>SEGMENT CONTRIBUTION TO TOTAL REVENUE</t>
  </si>
  <si>
    <t>% of Total Rev</t>
  </si>
  <si>
    <t>Average of Rating</t>
  </si>
  <si>
    <t>Transactions</t>
  </si>
  <si>
    <t>THAMART SUPERMARKET</t>
  </si>
  <si>
    <t>No. of Customers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</si>
</sst>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quot;P&quot;#,##0.00"/>
  </numFmts>
  <fonts count="22" x14ac:knownFonts="1">
    <font>
      <sz val="11"/>
      <color theme="1"/>
      <name val="Calibri"/>
      <family val="2"/>
      <charset val="1"/>
      <scheme val="minor"/>
    </font>
    <font>
      <sz val="11"/>
      <color theme="1"/>
      <name val="Calibri"/>
      <family val="2"/>
      <charset val="1"/>
      <scheme val="minor"/>
    </font>
    <font>
      <b/>
      <sz val="18"/>
      <color theme="3"/>
      <name val="Cambria"/>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1"/>
      <color theme="1"/>
      <name val="Calibri"/>
      <family val="2"/>
      <scheme val="minor"/>
    </font>
    <font>
      <b/>
      <sz val="12"/>
      <color theme="1"/>
      <name val="Calibri"/>
      <family val="2"/>
      <scheme val="minor"/>
    </font>
    <font>
      <b/>
      <sz val="14"/>
      <color theme="1"/>
      <name val="Calibri"/>
      <family val="2"/>
      <scheme val="minor"/>
    </font>
    <font>
      <b/>
      <sz val="26"/>
      <color theme="4" tint="-0.249977111117893"/>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249977111117893"/>
        <bgColor indexed="64"/>
      </patternFill>
    </fill>
    <fill>
      <patternFill patternType="solid">
        <fgColor theme="2"/>
        <bgColor indexed="64"/>
      </patternFill>
    </fill>
    <fill>
      <patternFill patternType="solid">
        <fgColor theme="2"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1">
    <xf numFmtId="0" fontId="0" fillId="0" borderId="0" xfId="0"/>
    <xf numFmtId="0" fontId="18" fillId="0" borderId="0" xfId="0" applyFont="1"/>
    <xf numFmtId="14" fontId="0" fillId="0" borderId="10" xfId="0" applyNumberFormat="1" applyBorder="1"/>
    <xf numFmtId="0" fontId="0" fillId="0" borderId="10" xfId="0" applyBorder="1"/>
    <xf numFmtId="2" fontId="0" fillId="0" borderId="10" xfId="0" applyNumberFormat="1" applyBorder="1"/>
    <xf numFmtId="0" fontId="0" fillId="0" borderId="10" xfId="0" applyNumberFormat="1" applyBorder="1"/>
    <xf numFmtId="2" fontId="18" fillId="0" borderId="0" xfId="0" applyNumberFormat="1" applyFont="1"/>
    <xf numFmtId="2" fontId="0" fillId="0" borderId="0" xfId="0" applyNumberFormat="1"/>
    <xf numFmtId="0" fontId="18" fillId="33" borderId="10" xfId="0" applyFont="1" applyFill="1" applyBorder="1"/>
    <xf numFmtId="43" fontId="18" fillId="33" borderId="0" xfId="1" applyFont="1" applyFill="1"/>
    <xf numFmtId="43" fontId="0" fillId="0" borderId="0" xfId="1" applyFont="1"/>
    <xf numFmtId="43" fontId="18" fillId="0" borderId="0" xfId="1" applyFont="1" applyBorder="1"/>
    <xf numFmtId="0" fontId="18" fillId="34" borderId="0" xfId="0" applyFont="1" applyFill="1"/>
    <xf numFmtId="0" fontId="0" fillId="34" borderId="0" xfId="0" applyFill="1"/>
    <xf numFmtId="43" fontId="18" fillId="34" borderId="11" xfId="1" applyFont="1" applyFill="1" applyBorder="1"/>
    <xf numFmtId="2" fontId="0" fillId="34" borderId="0" xfId="0" applyNumberFormat="1" applyFill="1"/>
    <xf numFmtId="2" fontId="18" fillId="34" borderId="11" xfId="0" applyNumberFormat="1" applyFont="1" applyFill="1" applyBorder="1"/>
    <xf numFmtId="164" fontId="0" fillId="0" borderId="10" xfId="0" applyNumberFormat="1" applyBorder="1"/>
    <xf numFmtId="164" fontId="0" fillId="0" borderId="0" xfId="0" applyNumberFormat="1" applyBorder="1"/>
    <xf numFmtId="0" fontId="0" fillId="0" borderId="0" xfId="0" applyBorder="1"/>
    <xf numFmtId="164" fontId="18" fillId="34" borderId="11" xfId="0" applyNumberFormat="1" applyFont="1" applyFill="1" applyBorder="1"/>
    <xf numFmtId="0" fontId="0" fillId="35" borderId="0" xfId="0" applyFill="1"/>
    <xf numFmtId="0" fontId="0" fillId="35" borderId="10" xfId="0" applyFill="1" applyBorder="1"/>
    <xf numFmtId="164" fontId="0" fillId="35" borderId="10" xfId="0" applyNumberFormat="1" applyFill="1" applyBorder="1"/>
    <xf numFmtId="0" fontId="19" fillId="35" borderId="0" xfId="0" applyFont="1" applyFill="1" applyAlignment="1">
      <alignment vertical="center"/>
    </xf>
    <xf numFmtId="0" fontId="20" fillId="35" borderId="0" xfId="0" applyFont="1" applyFill="1" applyBorder="1" applyAlignment="1">
      <alignment vertical="center"/>
    </xf>
    <xf numFmtId="0" fontId="20" fillId="35" borderId="0" xfId="0" applyFont="1" applyFill="1" applyAlignment="1"/>
    <xf numFmtId="2" fontId="0" fillId="35" borderId="10" xfId="0" applyNumberFormat="1" applyFill="1" applyBorder="1"/>
    <xf numFmtId="43" fontId="18" fillId="34" borderId="0" xfId="1" applyFont="1" applyFill="1" applyBorder="1"/>
    <xf numFmtId="9" fontId="0" fillId="0" borderId="10" xfId="2" applyFont="1" applyBorder="1"/>
    <xf numFmtId="9" fontId="18" fillId="34" borderId="0" xfId="2" applyNumberFormat="1" applyFont="1" applyFill="1" applyBorder="1"/>
    <xf numFmtId="0" fontId="0" fillId="0" borderId="0" xfId="0" pivotButton="1"/>
    <xf numFmtId="10" fontId="0" fillId="0" borderId="0" xfId="0" applyNumberFormat="1"/>
    <xf numFmtId="0" fontId="0" fillId="35" borderId="0" xfId="0" applyNumberFormat="1" applyFill="1"/>
    <xf numFmtId="0" fontId="0" fillId="35" borderId="0" xfId="0" applyFill="1" applyBorder="1"/>
    <xf numFmtId="0" fontId="20" fillId="35" borderId="11" xfId="0" applyFont="1" applyFill="1" applyBorder="1" applyAlignment="1">
      <alignment horizontal="center"/>
    </xf>
    <xf numFmtId="0" fontId="20" fillId="35" borderId="11" xfId="0" applyFont="1" applyFill="1" applyBorder="1" applyAlignment="1">
      <alignment horizontal="center" vertical="center"/>
    </xf>
    <xf numFmtId="0" fontId="18" fillId="35" borderId="11" xfId="0" applyFont="1" applyFill="1" applyBorder="1" applyAlignment="1">
      <alignment horizontal="center"/>
    </xf>
    <xf numFmtId="0" fontId="18" fillId="35" borderId="0" xfId="0" applyFont="1" applyFill="1" applyBorder="1" applyAlignment="1">
      <alignment horizontal="center"/>
    </xf>
    <xf numFmtId="0" fontId="21" fillId="36" borderId="0" xfId="0" applyFont="1" applyFill="1" applyAlignment="1">
      <alignment horizontal="center" vertical="center"/>
    </xf>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49">
    <dxf>
      <font>
        <color rgb="FF9C0006"/>
      </font>
      <fill>
        <patternFill>
          <bgColor rgb="FFFFC7CE"/>
        </patternFill>
      </fill>
    </dxf>
    <dxf>
      <numFmt numFmtId="2" formatCode="0.00"/>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P&quot;#,##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4" formatCode="&quot;P&quot;#,##0.00"/>
      <border diagonalUp="0" diagonalDown="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scheme val="minor"/>
      </font>
    </dxf>
    <dxf>
      <fill>
        <patternFill>
          <bgColor theme="2"/>
        </patternFill>
      </fill>
    </dxf>
    <dxf>
      <numFmt numFmtId="2" formatCode="0.0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patternFill>
      </fill>
    </dxf>
    <dxf>
      <numFmt numFmtId="2" formatCode="0.00"/>
    </dxf>
    <dxf>
      <fill>
        <patternFill>
          <bgColor theme="2"/>
        </patternFill>
      </fill>
    </dxf>
    <dxf>
      <fill>
        <patternFill patternType="solid">
          <bgColor them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P&quot;#,##0.0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patternFill>
      </fill>
    </dxf>
    <dxf>
      <numFmt numFmtId="164" formatCode="&quot;P&quot;#,##0.00"/>
    </dxf>
    <dxf>
      <fill>
        <patternFill>
          <bgColor theme="2"/>
        </patternFill>
      </fill>
    </dxf>
    <dxf>
      <numFmt numFmtId="164" formatCode="&quot;P&quot;#,##0.0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patternFill>
      </fill>
    </dxf>
    <dxf>
      <fill>
        <patternFill>
          <bgColor them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patternFill>
      </fill>
    </dxf>
    <dxf>
      <fill>
        <patternFill patternType="solid">
          <bgColor theme="0" tint="-0.249977111117893"/>
        </patternFill>
      </fill>
    </dxf>
    <dxf>
      <numFmt numFmtId="164" formatCode="&quot;P&quot;#,##0.00"/>
    </dxf>
    <dxf>
      <numFmt numFmtId="7" formatCode="#,##0.00;\-#,##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Sales.xlsx]Graph Pivot tables!PivotTable1</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a:t>
            </a:r>
            <a:r>
              <a:rPr lang="en-US" b="1" baseline="0">
                <a:solidFill>
                  <a:sysClr val="windowText" lastClr="000000"/>
                </a:solidFill>
              </a:rPr>
              <a:t> by Branch</a:t>
            </a:r>
            <a:endParaRPr lang="en-US" b="1">
              <a:solidFill>
                <a:sysClr val="windowText" lastClr="000000"/>
              </a:solidFill>
            </a:endParaRPr>
          </a:p>
        </c:rich>
      </c:tx>
      <c:layout/>
      <c:overlay val="0"/>
      <c:spPr>
        <a:noFill/>
        <a:ln>
          <a:noFill/>
        </a:ln>
        <a:effectLst/>
      </c:spPr>
    </c:title>
    <c:autoTitleDeleted val="0"/>
    <c:pivotFmts>
      <c:pivotFmt>
        <c:idx val="0"/>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eparator>
</c:separator>
          <c:extLst xmlns:c16r2="http://schemas.microsoft.com/office/drawing/2015/06/char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3"/>
          </a:solidFill>
          <a:ln w="25400">
            <a:solidFill>
              <a:schemeClr val="lt1"/>
            </a:solidFill>
          </a:ln>
          <a:effectLst/>
          <a:sp3d contourW="25400">
            <a:contourClr>
              <a:schemeClr val="lt1"/>
            </a:contourClr>
          </a:sp3d>
        </c:spPr>
      </c:pivotFmt>
    </c:pivotFmts>
    <c:view3D>
      <c:rotX val="30"/>
      <c:rotY val="0"/>
      <c:depthPercent val="100"/>
      <c:rAngAx val="0"/>
      <c:perspective val="3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806594558322366E-2"/>
          <c:y val="0.16504636920384952"/>
          <c:w val="0.90183592378015587"/>
          <c:h val="0.7462498687664042"/>
        </c:manualLayout>
      </c:layout>
      <c:pie3DChart>
        <c:varyColors val="1"/>
        <c:ser>
          <c:idx val="0"/>
          <c:order val="0"/>
          <c:tx>
            <c:strRef>
              <c:f>'Graph Pivot tables'!$B$2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dLbls>
          <c:cat>
            <c:strRef>
              <c:f>'Graph Pivot tables'!$A$3:$A$6</c:f>
              <c:strCache>
                <c:ptCount val="3"/>
                <c:pt idx="0">
                  <c:v>F/Town</c:v>
                </c:pt>
                <c:pt idx="1">
                  <c:v>Gaborone</c:v>
                </c:pt>
                <c:pt idx="2">
                  <c:v>Palapye</c:v>
                </c:pt>
              </c:strCache>
            </c:strRef>
          </c:cat>
          <c:val>
            <c:numRef>
              <c:f>'Graph Pivot tables'!$B$3:$B$6</c:f>
              <c:numCache>
                <c:formatCode>0.00%</c:formatCode>
                <c:ptCount val="3"/>
                <c:pt idx="0">
                  <c:v>0.3319129270081948</c:v>
                </c:pt>
                <c:pt idx="1">
                  <c:v>0.32889315558829896</c:v>
                </c:pt>
                <c:pt idx="2">
                  <c:v>0.33919391740350624</c:v>
                </c:pt>
              </c:numCache>
            </c:numRef>
          </c:val>
          <c:extLst xmlns:c16r2="http://schemas.microsoft.com/office/drawing/2015/06/chart">
            <c:ext xmlns:c16="http://schemas.microsoft.com/office/drawing/2014/chart" uri="{C3380CC4-5D6E-409C-BE32-E72D297353CC}">
              <c16:uniqueId val="{00000000-A1AC-4884-A91E-DD0C1B27BE8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gradFill>
        <a:gsLst>
          <a:gs pos="2700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Sales.xlsx]Graph Pivot tables!PivotTable4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Poduct performance by Branch</a:t>
            </a:r>
          </a:p>
        </c:rich>
      </c:tx>
      <c:layout/>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'Graph Pivot tables'!$G$2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dLbls>
          <c:cat>
            <c:strRef>
              <c:f>'Graph Pivot tables'!$F$3:$F$9</c:f>
              <c:strCache>
                <c:ptCount val="6"/>
                <c:pt idx="0">
                  <c:v>Electronics</c:v>
                </c:pt>
                <c:pt idx="1">
                  <c:v>Fashion &amp; Accs</c:v>
                </c:pt>
                <c:pt idx="2">
                  <c:v>Food &amp; Beverages</c:v>
                </c:pt>
                <c:pt idx="3">
                  <c:v>Health &amp; Beauty</c:v>
                </c:pt>
                <c:pt idx="4">
                  <c:v>Home &amp; Lifestyle</c:v>
                </c:pt>
                <c:pt idx="5">
                  <c:v>Sports &amp; Travel</c:v>
                </c:pt>
              </c:strCache>
            </c:strRef>
          </c:cat>
          <c:val>
            <c:numRef>
              <c:f>'Graph Pivot tables'!$G$3:$G$9</c:f>
              <c:numCache>
                <c:formatCode>General</c:formatCode>
                <c:ptCount val="6"/>
                <c:pt idx="0">
                  <c:v>159259.09999999992</c:v>
                </c:pt>
                <c:pt idx="1">
                  <c:v>101843.9099999999</c:v>
                </c:pt>
                <c:pt idx="2">
                  <c:v>151357.72999999975</c:v>
                </c:pt>
                <c:pt idx="3">
                  <c:v>168570.61000000007</c:v>
                </c:pt>
                <c:pt idx="4">
                  <c:v>197260.56000000014</c:v>
                </c:pt>
                <c:pt idx="5">
                  <c:v>164252.94</c:v>
                </c:pt>
              </c:numCache>
            </c:numRef>
          </c:val>
          <c:extLst xmlns:c16r2="http://schemas.microsoft.com/office/drawing/2015/06/chart">
            <c:ext xmlns:c16="http://schemas.microsoft.com/office/drawing/2014/chart" uri="{C3380CC4-5D6E-409C-BE32-E72D297353CC}">
              <c16:uniqueId val="{00000000-B8CC-49E3-B98E-E50E1A269993}"/>
            </c:ext>
          </c:extLst>
        </c:ser>
        <c:dLbls>
          <c:showLegendKey val="0"/>
          <c:showVal val="0"/>
          <c:showCatName val="0"/>
          <c:showSerName val="0"/>
          <c:showPercent val="0"/>
          <c:showBubbleSize val="0"/>
        </c:dLbls>
        <c:gapWidth val="150"/>
        <c:shape val="box"/>
        <c:axId val="424647680"/>
        <c:axId val="424731392"/>
        <c:axId val="0"/>
      </c:bar3DChart>
      <c:catAx>
        <c:axId val="424647680"/>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731392"/>
        <c:crosses val="autoZero"/>
        <c:auto val="1"/>
        <c:lblAlgn val="ctr"/>
        <c:lblOffset val="100"/>
        <c:noMultiLvlLbl val="0"/>
      </c:catAx>
      <c:valAx>
        <c:axId val="424731392"/>
        <c:scaling>
          <c:orientation val="minMax"/>
        </c:scaling>
        <c:delete val="1"/>
        <c:axPos val="b"/>
        <c:numFmt formatCode="General" sourceLinked="1"/>
        <c:majorTickMark val="out"/>
        <c:minorTickMark val="none"/>
        <c:tickLblPos val="nextTo"/>
        <c:crossAx val="4246476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gradFill>
        <a:gsLst>
          <a:gs pos="2500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Sales.xlsx]Graph Pivot tables!PivotTable2</c:name>
    <c:fmtId val="1"/>
  </c:pivotSource>
  <c:chart>
    <c:title>
      <c:tx>
        <c:rich>
          <a:bodyPr/>
          <a:lstStyle/>
          <a:p>
            <a:pPr>
              <a:defRPr sz="1400"/>
            </a:pPr>
            <a:r>
              <a:rPr lang="en-US" sz="1400"/>
              <a:t>Average rating per Branch</a:t>
            </a:r>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s>
    <c:view3D>
      <c:rotX val="15"/>
      <c:rotY val="20"/>
      <c:rAngAx val="1"/>
    </c:view3D>
    <c:floor>
      <c:thickness val="0"/>
      <c:spPr>
        <a:noFill/>
        <a:ln w="9525">
          <a:noFill/>
        </a:ln>
      </c:spPr>
    </c:floor>
    <c:sideWall>
      <c:thickness val="0"/>
      <c:spPr>
        <a:noFill/>
      </c:spPr>
    </c:sideWall>
    <c:backWall>
      <c:thickness val="0"/>
      <c:spPr>
        <a:noFill/>
        <a:ln w="25400">
          <a:noFill/>
        </a:ln>
      </c:spPr>
    </c:backWall>
    <c:plotArea>
      <c:layout/>
      <c:bar3DChart>
        <c:barDir val="col"/>
        <c:grouping val="clustered"/>
        <c:varyColors val="0"/>
        <c:ser>
          <c:idx val="0"/>
          <c:order val="0"/>
          <c:tx>
            <c:strRef>
              <c:f>'Graph Pivot tables'!$B$15</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'Graph Pivot tables'!$A$16:$A$19</c:f>
              <c:strCache>
                <c:ptCount val="3"/>
                <c:pt idx="0">
                  <c:v>F/Town</c:v>
                </c:pt>
                <c:pt idx="1">
                  <c:v>Gaborone</c:v>
                </c:pt>
                <c:pt idx="2">
                  <c:v>Palapye</c:v>
                </c:pt>
              </c:strCache>
            </c:strRef>
          </c:cat>
          <c:val>
            <c:numRef>
              <c:f>'Graph Pivot tables'!$B$16:$B$19</c:f>
              <c:numCache>
                <c:formatCode>0.00</c:formatCode>
                <c:ptCount val="3"/>
                <c:pt idx="0">
                  <c:v>6.8711897106109321</c:v>
                </c:pt>
                <c:pt idx="1">
                  <c:v>6.9090909090909056</c:v>
                </c:pt>
                <c:pt idx="2">
                  <c:v>6.8713329615170151</c:v>
                </c:pt>
              </c:numCache>
            </c:numRef>
          </c:val>
        </c:ser>
        <c:dLbls>
          <c:showLegendKey val="0"/>
          <c:showVal val="1"/>
          <c:showCatName val="0"/>
          <c:showSerName val="0"/>
          <c:showPercent val="0"/>
          <c:showBubbleSize val="0"/>
        </c:dLbls>
        <c:gapWidth val="150"/>
        <c:shape val="box"/>
        <c:axId val="425621376"/>
        <c:axId val="425661952"/>
        <c:axId val="0"/>
      </c:bar3DChart>
      <c:catAx>
        <c:axId val="425621376"/>
        <c:scaling>
          <c:orientation val="minMax"/>
        </c:scaling>
        <c:delete val="0"/>
        <c:axPos val="b"/>
        <c:majorTickMark val="out"/>
        <c:minorTickMark val="none"/>
        <c:tickLblPos val="nextTo"/>
        <c:crossAx val="425661952"/>
        <c:crosses val="autoZero"/>
        <c:auto val="1"/>
        <c:lblAlgn val="ctr"/>
        <c:lblOffset val="100"/>
        <c:noMultiLvlLbl val="0"/>
      </c:catAx>
      <c:valAx>
        <c:axId val="425661952"/>
        <c:scaling>
          <c:orientation val="minMax"/>
        </c:scaling>
        <c:delete val="1"/>
        <c:axPos val="l"/>
        <c:numFmt formatCode="0.00" sourceLinked="1"/>
        <c:majorTickMark val="out"/>
        <c:minorTickMark val="none"/>
        <c:tickLblPos val="nextTo"/>
        <c:crossAx val="425621376"/>
        <c:crosses val="autoZero"/>
        <c:crossBetween val="between"/>
      </c:valAx>
      <c:spPr>
        <a:ln w="25400">
          <a:noFill/>
        </a:ln>
      </c:spPr>
    </c:plotArea>
    <c:plotVisOnly val="1"/>
    <c:dispBlanksAs val="gap"/>
    <c:showDLblsOverMax val="0"/>
  </c:chart>
  <c:spPr>
    <a:noFill/>
    <a:ln>
      <a:gradFill>
        <a:gsLst>
          <a:gs pos="2500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Sales.xlsx]Graph Pivot tables!PivotTable3</c:name>
    <c:fmtId val="0"/>
  </c:pivotSource>
  <c:chart>
    <c:title>
      <c:tx>
        <c:rich>
          <a:bodyPr/>
          <a:lstStyle/>
          <a:p>
            <a:pPr>
              <a:defRPr sz="1400"/>
            </a:pPr>
            <a:r>
              <a:rPr lang="en-US" sz="1400"/>
              <a:t>Transaction</a:t>
            </a:r>
            <a:r>
              <a:rPr lang="en-US" sz="1400" baseline="0"/>
              <a:t>s by Branch</a:t>
            </a:r>
            <a:endParaRPr lang="en-US" sz="1400"/>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pivotFmt>
    </c:pivotFmts>
    <c:plotArea>
      <c:layout/>
      <c:lineChart>
        <c:grouping val="stacked"/>
        <c:varyColors val="0"/>
        <c:ser>
          <c:idx val="0"/>
          <c:order val="0"/>
          <c:tx>
            <c:strRef>
              <c:f>'Graph Pivot tables'!$G$15</c:f>
              <c:strCache>
                <c:ptCount val="1"/>
                <c:pt idx="0">
                  <c:v>Total</c:v>
                </c:pt>
              </c:strCache>
            </c:strRef>
          </c:tx>
          <c:marker>
            <c:symbol val="none"/>
          </c:marker>
          <c:dLbls>
            <c:spPr/>
            <c:txPr>
              <a:bodyPr/>
              <a:lstStyle/>
              <a:p>
                <a:pPr>
                  <a:defRPr/>
                </a:pPr>
                <a:endParaRPr lang="en-US"/>
              </a:p>
            </c:txPr>
            <c:showLegendKey val="0"/>
            <c:showVal val="1"/>
            <c:showCatName val="0"/>
            <c:showSerName val="0"/>
            <c:showPercent val="0"/>
            <c:showBubbleSize val="0"/>
            <c:showLeaderLines val="0"/>
          </c:dLbls>
          <c:cat>
            <c:strRef>
              <c:f>'Graph Pivot tables'!$F$16:$F$19</c:f>
              <c:strCache>
                <c:ptCount val="3"/>
                <c:pt idx="0">
                  <c:v>F/Town</c:v>
                </c:pt>
                <c:pt idx="1">
                  <c:v>Gaborone</c:v>
                </c:pt>
                <c:pt idx="2">
                  <c:v>Palapye</c:v>
                </c:pt>
              </c:strCache>
            </c:strRef>
          </c:cat>
          <c:val>
            <c:numRef>
              <c:f>'Graph Pivot tables'!$G$16:$G$19</c:f>
              <c:numCache>
                <c:formatCode>General</c:formatCode>
                <c:ptCount val="3"/>
                <c:pt idx="0">
                  <c:v>1555</c:v>
                </c:pt>
                <c:pt idx="1">
                  <c:v>1705</c:v>
                </c:pt>
                <c:pt idx="2">
                  <c:v>1793</c:v>
                </c:pt>
              </c:numCache>
            </c:numRef>
          </c:val>
          <c:smooth val="0"/>
        </c:ser>
        <c:dLbls>
          <c:showLegendKey val="0"/>
          <c:showVal val="1"/>
          <c:showCatName val="0"/>
          <c:showSerName val="0"/>
          <c:showPercent val="0"/>
          <c:showBubbleSize val="0"/>
        </c:dLbls>
        <c:marker val="1"/>
        <c:smooth val="0"/>
        <c:axId val="425796352"/>
        <c:axId val="425799040"/>
      </c:lineChart>
      <c:catAx>
        <c:axId val="425796352"/>
        <c:scaling>
          <c:orientation val="minMax"/>
        </c:scaling>
        <c:delete val="0"/>
        <c:axPos val="b"/>
        <c:majorTickMark val="none"/>
        <c:minorTickMark val="none"/>
        <c:tickLblPos val="nextTo"/>
        <c:crossAx val="425799040"/>
        <c:crosses val="autoZero"/>
        <c:auto val="1"/>
        <c:lblAlgn val="ctr"/>
        <c:lblOffset val="100"/>
        <c:noMultiLvlLbl val="0"/>
      </c:catAx>
      <c:valAx>
        <c:axId val="425799040"/>
        <c:scaling>
          <c:orientation val="minMax"/>
        </c:scaling>
        <c:delete val="1"/>
        <c:axPos val="l"/>
        <c:numFmt formatCode="General" sourceLinked="1"/>
        <c:majorTickMark val="none"/>
        <c:minorTickMark val="none"/>
        <c:tickLblPos val="nextTo"/>
        <c:crossAx val="425796352"/>
        <c:crosses val="autoZero"/>
        <c:crossBetween val="between"/>
      </c:valAx>
      <c:spPr>
        <a:noFill/>
        <a:ln>
          <a:noFill/>
        </a:ln>
      </c:spPr>
    </c:plotArea>
    <c:plotVisOnly val="1"/>
    <c:dispBlanksAs val="zero"/>
    <c:showDLblsOverMax val="0"/>
  </c:chart>
  <c:spPr>
    <a:noFill/>
    <a:ln>
      <a:gradFill>
        <a:gsLst>
          <a:gs pos="2200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pivotSource>
    <c:name>[Supermarket Sales.xlsx]Sales Distribution by Dimension!PivotTable1</c:name>
    <c:fmtId val="0"/>
  </c:pivotSource>
  <c:chart>
    <c:autoTitleDeleted val="1"/>
    <c:pivotFmts>
      <c:pivotFmt>
        <c:idx val="0"/>
        <c:marker>
          <c:symbol val="none"/>
        </c:marker>
        <c:dLbl>
          <c:idx val="0"/>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marker>
          <c:symbol val="none"/>
        </c:marker>
        <c:dLbl>
          <c:idx val="0"/>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pivotFmt>
      <c:pivotFmt>
        <c:idx val="3"/>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'Sales Distribution by Dimension'!$B$7</c:f>
              <c:strCache>
                <c:ptCount val="1"/>
                <c:pt idx="0">
                  <c:v>Sum of Total Revenue</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dLbls>
          <c:cat>
            <c:strRef>
              <c:f>'Sales Distribution by Dimension'!$A$8:$A$11</c:f>
              <c:strCache>
                <c:ptCount val="3"/>
                <c:pt idx="0">
                  <c:v>F/Town</c:v>
                </c:pt>
                <c:pt idx="1">
                  <c:v>Gaborone</c:v>
                </c:pt>
                <c:pt idx="2">
                  <c:v>Palapye</c:v>
                </c:pt>
              </c:strCache>
            </c:strRef>
          </c:cat>
          <c:val>
            <c:numRef>
              <c:f>'Sales Distribution by Dimension'!$B$8:$B$11</c:f>
              <c:numCache>
                <c:formatCode>"P"#,##0.00</c:formatCode>
                <c:ptCount val="3"/>
                <c:pt idx="0">
                  <c:v>312842.81999999972</c:v>
                </c:pt>
                <c:pt idx="1">
                  <c:v>309996.5499999997</c:v>
                </c:pt>
                <c:pt idx="2">
                  <c:v>319705.48</c:v>
                </c:pt>
              </c:numCache>
            </c:numRef>
          </c:val>
          <c:extLst xmlns:c16r2="http://schemas.microsoft.com/office/drawing/2015/06/chart">
            <c:ext xmlns:c16="http://schemas.microsoft.com/office/drawing/2014/chart" uri="{C3380CC4-5D6E-409C-BE32-E72D297353CC}">
              <c16:uniqueId val="{00000000-C994-402F-B53C-B15A38D7A2D7}"/>
            </c:ext>
          </c:extLst>
        </c:ser>
        <c:ser>
          <c:idx val="1"/>
          <c:order val="1"/>
          <c:tx>
            <c:strRef>
              <c:f>'Sales Distribution by Dimension'!$C$7</c:f>
              <c:strCache>
                <c:ptCount val="1"/>
                <c:pt idx="0">
                  <c:v>Average of Total Revenue</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dLbls>
          <c:cat>
            <c:strRef>
              <c:f>'Sales Distribution by Dimension'!$A$8:$A$11</c:f>
              <c:strCache>
                <c:ptCount val="3"/>
                <c:pt idx="0">
                  <c:v>F/Town</c:v>
                </c:pt>
                <c:pt idx="1">
                  <c:v>Gaborone</c:v>
                </c:pt>
                <c:pt idx="2">
                  <c:v>Palapye</c:v>
                </c:pt>
              </c:strCache>
            </c:strRef>
          </c:cat>
          <c:val>
            <c:numRef>
              <c:f>'Sales Distribution by Dimension'!$C$8:$C$11</c:f>
              <c:numCache>
                <c:formatCode>"P"#,##0.00</c:formatCode>
                <c:ptCount val="3"/>
                <c:pt idx="0">
                  <c:v>201.18509324758824</c:v>
                </c:pt>
                <c:pt idx="1">
                  <c:v>181.81615835777109</c:v>
                </c:pt>
                <c:pt idx="2">
                  <c:v>178.30757389849413</c:v>
                </c:pt>
              </c:numCache>
            </c:numRef>
          </c:val>
          <c:extLst xmlns:c16r2="http://schemas.microsoft.com/office/drawing/2015/06/chart">
            <c:ext xmlns:c16="http://schemas.microsoft.com/office/drawing/2014/chart" uri="{C3380CC4-5D6E-409C-BE32-E72D297353CC}">
              <c16:uniqueId val="{00000001-C994-402F-B53C-B15A38D7A2D7}"/>
            </c:ext>
          </c:extLst>
        </c:ser>
        <c:dLbls>
          <c:showLegendKey val="0"/>
          <c:showVal val="1"/>
          <c:showCatName val="0"/>
          <c:showSerName val="0"/>
          <c:showPercent val="0"/>
          <c:showBubbleSize val="0"/>
        </c:dLbls>
        <c:gapWidth val="75"/>
        <c:shape val="box"/>
        <c:axId val="162920704"/>
        <c:axId val="181076352"/>
        <c:axId val="0"/>
      </c:bar3DChart>
      <c:catAx>
        <c:axId val="162920704"/>
        <c:scaling>
          <c:orientation val="minMax"/>
        </c:scaling>
        <c:delete val="0"/>
        <c:axPos val="b"/>
        <c:numFmt formatCode="General" sourceLinked="0"/>
        <c:majorTickMark val="out"/>
        <c:minorTickMark val="none"/>
        <c:tickLblPos val="nextTo"/>
        <c:crossAx val="181076352"/>
        <c:crosses val="autoZero"/>
        <c:auto val="1"/>
        <c:lblAlgn val="ctr"/>
        <c:lblOffset val="100"/>
        <c:noMultiLvlLbl val="0"/>
      </c:catAx>
      <c:valAx>
        <c:axId val="181076352"/>
        <c:scaling>
          <c:orientation val="minMax"/>
        </c:scaling>
        <c:delete val="1"/>
        <c:axPos val="l"/>
        <c:numFmt formatCode="&quot;P&quot;#,##0.00" sourceLinked="1"/>
        <c:majorTickMark val="out"/>
        <c:minorTickMark val="none"/>
        <c:tickLblPos val="nextTo"/>
        <c:crossAx val="162920704"/>
        <c:crosses val="autoZero"/>
        <c:crossBetween val="between"/>
      </c:valAx>
    </c:plotArea>
    <c:legend>
      <c:legendPos val="b"/>
      <c:layout/>
      <c:overlay val="0"/>
    </c:legend>
    <c:plotVisOnly val="1"/>
    <c:dispBlanksAs val="gap"/>
    <c:showDLblsOverMax val="0"/>
  </c:chart>
  <c:spPr>
    <a:noFill/>
    <a:ln>
      <a:noFill/>
    </a:ln>
    <a:effectLst>
      <a:glow rad="101600">
        <a:schemeClr val="accent1">
          <a:satMod val="175000"/>
          <a:alpha val="40000"/>
        </a:schemeClr>
      </a:glow>
    </a:effectLst>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pivotSource>
    <c:name>[Supermarket Sales.xlsx]Sales Distribution by Dimension!PivotTable2</c:name>
    <c:fmtId val="0"/>
  </c:pivotSource>
  <c:chart>
    <c:autoTitleDeleted val="1"/>
    <c:pivotFmts>
      <c:pivotFmt>
        <c:idx val="0"/>
        <c:marker>
          <c:symbol val="none"/>
        </c:marker>
        <c:dLbl>
          <c:idx val="0"/>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view3D>
      <c:rotX val="15"/>
      <c:rotY val="20"/>
      <c:rAngAx val="0"/>
      <c:perspective val="30"/>
    </c:view3D>
    <c:floor>
      <c:thickness val="0"/>
    </c:floor>
    <c:sideWall>
      <c:thickness val="0"/>
    </c:sideWall>
    <c:backWall>
      <c:thickness val="0"/>
    </c:backWall>
    <c:plotArea>
      <c:layout/>
      <c:bar3DChart>
        <c:barDir val="col"/>
        <c:grouping val="standard"/>
        <c:varyColors val="0"/>
        <c:ser>
          <c:idx val="0"/>
          <c:order val="0"/>
          <c:tx>
            <c:strRef>
              <c:f>'Sales Distribution by Dimension'!$B$40</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dLbls>
          <c:cat>
            <c:strRef>
              <c:f>'Sales Distribution by Dimension'!$A$41:$A$47</c:f>
              <c:strCache>
                <c:ptCount val="6"/>
                <c:pt idx="0">
                  <c:v>Electronics</c:v>
                </c:pt>
                <c:pt idx="1">
                  <c:v>Fashion &amp; Accs</c:v>
                </c:pt>
                <c:pt idx="2">
                  <c:v>Food &amp; Beverages</c:v>
                </c:pt>
                <c:pt idx="3">
                  <c:v>Health &amp; Beauty</c:v>
                </c:pt>
                <c:pt idx="4">
                  <c:v>Home &amp; Lifestyle</c:v>
                </c:pt>
                <c:pt idx="5">
                  <c:v>Sports &amp; Travel</c:v>
                </c:pt>
              </c:strCache>
            </c:strRef>
          </c:cat>
          <c:val>
            <c:numRef>
              <c:f>'Sales Distribution by Dimension'!$B$41:$B$47</c:f>
              <c:numCache>
                <c:formatCode>"P"#,##0.00</c:formatCode>
                <c:ptCount val="6"/>
                <c:pt idx="0">
                  <c:v>159259.09999999992</c:v>
                </c:pt>
                <c:pt idx="1">
                  <c:v>101843.9099999999</c:v>
                </c:pt>
                <c:pt idx="2">
                  <c:v>151357.72999999975</c:v>
                </c:pt>
                <c:pt idx="3">
                  <c:v>168570.61000000007</c:v>
                </c:pt>
                <c:pt idx="4">
                  <c:v>197260.56000000014</c:v>
                </c:pt>
                <c:pt idx="5">
                  <c:v>164252.94</c:v>
                </c:pt>
              </c:numCache>
            </c:numRef>
          </c:val>
          <c:extLst xmlns:c16r2="http://schemas.microsoft.com/office/drawing/2015/06/chart">
            <c:ext xmlns:c16="http://schemas.microsoft.com/office/drawing/2014/chart" uri="{C3380CC4-5D6E-409C-BE32-E72D297353CC}">
              <c16:uniqueId val="{00000000-A220-4F6D-94B6-D1CFA3233258}"/>
            </c:ext>
          </c:extLst>
        </c:ser>
        <c:dLbls>
          <c:showLegendKey val="0"/>
          <c:showVal val="1"/>
          <c:showCatName val="0"/>
          <c:showSerName val="0"/>
          <c:showPercent val="0"/>
          <c:showBubbleSize val="0"/>
        </c:dLbls>
        <c:gapWidth val="150"/>
        <c:shape val="box"/>
        <c:axId val="250678656"/>
        <c:axId val="256561920"/>
        <c:axId val="305459648"/>
      </c:bar3DChart>
      <c:catAx>
        <c:axId val="250678656"/>
        <c:scaling>
          <c:orientation val="minMax"/>
        </c:scaling>
        <c:delete val="0"/>
        <c:axPos val="b"/>
        <c:numFmt formatCode="General" sourceLinked="0"/>
        <c:majorTickMark val="out"/>
        <c:minorTickMark val="none"/>
        <c:tickLblPos val="nextTo"/>
        <c:crossAx val="256561920"/>
        <c:crosses val="autoZero"/>
        <c:auto val="1"/>
        <c:lblAlgn val="ctr"/>
        <c:lblOffset val="100"/>
        <c:noMultiLvlLbl val="0"/>
      </c:catAx>
      <c:valAx>
        <c:axId val="256561920"/>
        <c:scaling>
          <c:orientation val="minMax"/>
        </c:scaling>
        <c:delete val="1"/>
        <c:axPos val="l"/>
        <c:numFmt formatCode="&quot;P&quot;#,##0.00" sourceLinked="1"/>
        <c:majorTickMark val="out"/>
        <c:minorTickMark val="none"/>
        <c:tickLblPos val="nextTo"/>
        <c:crossAx val="250678656"/>
        <c:crosses val="autoZero"/>
        <c:crossBetween val="between"/>
      </c:valAx>
      <c:serAx>
        <c:axId val="305459648"/>
        <c:scaling>
          <c:orientation val="minMax"/>
        </c:scaling>
        <c:delete val="1"/>
        <c:axPos val="b"/>
        <c:majorTickMark val="out"/>
        <c:minorTickMark val="none"/>
        <c:tickLblPos val="nextTo"/>
        <c:crossAx val="256561920"/>
        <c:crosses val="autoZero"/>
      </c:serAx>
    </c:plotArea>
    <c:plotVisOnly val="1"/>
    <c:dispBlanksAs val="gap"/>
    <c:showDLblsOverMax val="0"/>
  </c:chart>
  <c:spPr>
    <a:noFill/>
    <a:ln>
      <a:noFill/>
    </a:ln>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pivotSource>
    <c:name>[Supermarket Sales.xlsx]Sales Distribution by Dimension!PivotTable3</c:name>
    <c:fmtId val="0"/>
  </c:pivotSource>
  <c:chart>
    <c:autoTitleDeleted val="1"/>
    <c:pivotFmts>
      <c:pivotFmt>
        <c:idx val="0"/>
        <c:marker>
          <c:symbol val="none"/>
        </c:marker>
        <c:dLbl>
          <c:idx val="0"/>
          <c:layout/>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view3D>
      <c:rotX val="15"/>
      <c:rotY val="20"/>
      <c:rAngAx val="0"/>
      <c:perspective val="30"/>
    </c:view3D>
    <c:floor>
      <c:thickness val="0"/>
    </c:floor>
    <c:sideWall>
      <c:thickness val="0"/>
    </c:sideWall>
    <c:backWall>
      <c:thickness val="0"/>
    </c:backWall>
    <c:plotArea>
      <c:layout/>
      <c:bar3DChart>
        <c:barDir val="col"/>
        <c:grouping val="standard"/>
        <c:varyColors val="0"/>
        <c:ser>
          <c:idx val="0"/>
          <c:order val="0"/>
          <c:tx>
            <c:strRef>
              <c:f>'Sales Distribution by Dimension'!$B$67</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'Sales Distribution by Dimension'!$A$68:$A$71</c:f>
              <c:strCache>
                <c:ptCount val="3"/>
                <c:pt idx="0">
                  <c:v>Cash</c:v>
                </c:pt>
                <c:pt idx="1">
                  <c:v>Credit card</c:v>
                </c:pt>
                <c:pt idx="2">
                  <c:v>Ewallet</c:v>
                </c:pt>
              </c:strCache>
            </c:strRef>
          </c:cat>
          <c:val>
            <c:numRef>
              <c:f>'Sales Distribution by Dimension'!$B$68:$B$71</c:f>
              <c:numCache>
                <c:formatCode>"P"#,##0.00</c:formatCode>
                <c:ptCount val="3"/>
                <c:pt idx="0">
                  <c:v>304622.64999999997</c:v>
                </c:pt>
                <c:pt idx="1">
                  <c:v>311230.89</c:v>
                </c:pt>
                <c:pt idx="2">
                  <c:v>326691.30999999947</c:v>
                </c:pt>
              </c:numCache>
            </c:numRef>
          </c:val>
          <c:extLst xmlns:c16r2="http://schemas.microsoft.com/office/drawing/2015/06/chart">
            <c:ext xmlns:c16="http://schemas.microsoft.com/office/drawing/2014/chart" uri="{C3380CC4-5D6E-409C-BE32-E72D297353CC}">
              <c16:uniqueId val="{00000000-A611-4E66-8D1D-4AE3713E0859}"/>
            </c:ext>
          </c:extLst>
        </c:ser>
        <c:dLbls>
          <c:showLegendKey val="0"/>
          <c:showVal val="1"/>
          <c:showCatName val="0"/>
          <c:showSerName val="0"/>
          <c:showPercent val="0"/>
          <c:showBubbleSize val="0"/>
        </c:dLbls>
        <c:gapWidth val="150"/>
        <c:shape val="box"/>
        <c:axId val="305433216"/>
        <c:axId val="305444736"/>
        <c:axId val="305460992"/>
      </c:bar3DChart>
      <c:catAx>
        <c:axId val="305433216"/>
        <c:scaling>
          <c:orientation val="minMax"/>
        </c:scaling>
        <c:delete val="0"/>
        <c:axPos val="b"/>
        <c:numFmt formatCode="General" sourceLinked="0"/>
        <c:majorTickMark val="out"/>
        <c:minorTickMark val="none"/>
        <c:tickLblPos val="nextTo"/>
        <c:crossAx val="305444736"/>
        <c:crosses val="autoZero"/>
        <c:auto val="1"/>
        <c:lblAlgn val="ctr"/>
        <c:lblOffset val="100"/>
        <c:noMultiLvlLbl val="0"/>
      </c:catAx>
      <c:valAx>
        <c:axId val="305444736"/>
        <c:scaling>
          <c:orientation val="minMax"/>
        </c:scaling>
        <c:delete val="1"/>
        <c:axPos val="l"/>
        <c:numFmt formatCode="&quot;P&quot;#,##0.00" sourceLinked="1"/>
        <c:majorTickMark val="out"/>
        <c:minorTickMark val="none"/>
        <c:tickLblPos val="nextTo"/>
        <c:crossAx val="305433216"/>
        <c:crosses val="autoZero"/>
        <c:crossBetween val="between"/>
      </c:valAx>
      <c:serAx>
        <c:axId val="305460992"/>
        <c:scaling>
          <c:orientation val="minMax"/>
        </c:scaling>
        <c:delete val="1"/>
        <c:axPos val="b"/>
        <c:majorTickMark val="out"/>
        <c:minorTickMark val="none"/>
        <c:tickLblPos val="nextTo"/>
        <c:crossAx val="305444736"/>
        <c:crosses val="autoZero"/>
      </c:serAx>
    </c:plotArea>
    <c:plotVisOnly val="1"/>
    <c:dispBlanksAs val="gap"/>
    <c:showDLblsOverMax val="0"/>
  </c:chart>
  <c:spPr>
    <a:noFill/>
    <a:ln>
      <a:noFill/>
    </a:ln>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pivotSource>
    <c:name>[Supermarket Sales.xlsx]Customer Analysis!PivotTable4</c:name>
    <c:fmtId val="0"/>
  </c:pivotSource>
  <c:chart>
    <c:autoTitleDeleted val="1"/>
    <c:pivotFmts>
      <c:pivotFmt>
        <c:idx val="0"/>
        <c:marker>
          <c:symbol val="none"/>
        </c:marker>
        <c:dLbl>
          <c:idx val="0"/>
          <c:layout/>
          <c:spPr/>
          <c:txPr>
            <a:bodyPr/>
            <a:lstStyle/>
            <a:p>
              <a:pPr>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s>
    <c:view3D>
      <c:rotX val="30"/>
      <c:rotY val="0"/>
      <c:rAngAx val="0"/>
      <c:perspective val="30"/>
    </c:view3D>
    <c:floor>
      <c:thickness val="0"/>
    </c:floor>
    <c:sideWall>
      <c:thickness val="0"/>
    </c:sideWall>
    <c:backWall>
      <c:thickness val="0"/>
    </c:backWall>
    <c:plotArea>
      <c:layout>
        <c:manualLayout>
          <c:layoutTarget val="inner"/>
          <c:xMode val="edge"/>
          <c:yMode val="edge"/>
          <c:x val="9.9537037037037035E-2"/>
          <c:y val="0.1361648282840528"/>
          <c:w val="0.82407407407407407"/>
          <c:h val="0.79396870520111518"/>
        </c:manualLayout>
      </c:layout>
      <c:pie3DChart>
        <c:varyColors val="1"/>
        <c:ser>
          <c:idx val="0"/>
          <c:order val="0"/>
          <c:tx>
            <c:strRef>
              <c:f>'Customer Analysis'!$B$12</c:f>
              <c:strCache>
                <c:ptCount val="1"/>
                <c:pt idx="0">
                  <c:v>Total</c:v>
                </c:pt>
              </c:strCache>
            </c:strRef>
          </c:tx>
          <c:explosion val="19"/>
          <c:dPt>
            <c:idx val="0"/>
            <c:bubble3D val="0"/>
            <c:explosion val="24"/>
            <c:extLst xmlns:c16r2="http://schemas.microsoft.com/office/drawing/2015/06/chart">
              <c:ext xmlns:c16="http://schemas.microsoft.com/office/drawing/2014/chart" uri="{C3380CC4-5D6E-409C-BE32-E72D297353CC}">
                <c16:uniqueId val="{00000000-6D7A-4242-93F1-B3DFBCD3E137}"/>
              </c:ext>
            </c:extLst>
          </c:dPt>
          <c:dLbls>
            <c:spPr/>
            <c:txPr>
              <a:bodyPr/>
              <a:lstStyle/>
              <a:p>
                <a:pPr>
                  <a:defRPr/>
                </a:pPr>
                <a:endParaRPr lang="en-US"/>
              </a:p>
            </c:txPr>
            <c:showLegendKey val="0"/>
            <c:showVal val="0"/>
            <c:showCatName val="1"/>
            <c:showSerName val="0"/>
            <c:showPercent val="1"/>
            <c:showBubbleSize val="0"/>
            <c:showLeaderLines val="1"/>
          </c:dLbls>
          <c:cat>
            <c:strRef>
              <c:f>'Customer Analysis'!$A$13:$A$15</c:f>
              <c:strCache>
                <c:ptCount val="2"/>
                <c:pt idx="0">
                  <c:v>Member</c:v>
                </c:pt>
                <c:pt idx="1">
                  <c:v>Normal</c:v>
                </c:pt>
              </c:strCache>
            </c:strRef>
          </c:cat>
          <c:val>
            <c:numRef>
              <c:f>'Customer Analysis'!$B$13:$B$15</c:f>
              <c:numCache>
                <c:formatCode>"P"#,##0.00</c:formatCode>
                <c:ptCount val="2"/>
                <c:pt idx="0">
                  <c:v>436368.17000000109</c:v>
                </c:pt>
                <c:pt idx="1">
                  <c:v>506176.67999999772</c:v>
                </c:pt>
              </c:numCache>
            </c:numRef>
          </c:val>
          <c:extLst xmlns:c16r2="http://schemas.microsoft.com/office/drawing/2015/06/chart">
            <c:ext xmlns:c16="http://schemas.microsoft.com/office/drawing/2014/chart" uri="{C3380CC4-5D6E-409C-BE32-E72D297353CC}">
              <c16:uniqueId val="{00000001-6D7A-4242-93F1-B3DFBCD3E137}"/>
            </c:ext>
          </c:extLst>
        </c:ser>
        <c:dLbls>
          <c:showLegendKey val="0"/>
          <c:showVal val="0"/>
          <c:showCatName val="1"/>
          <c:showSerName val="0"/>
          <c:showPercent val="1"/>
          <c:showBubbleSize val="0"/>
          <c:showLeaderLines val="1"/>
        </c:dLbls>
      </c:pie3DChart>
    </c:plotArea>
    <c:plotVisOnly val="1"/>
    <c:dispBlanksAs val="gap"/>
    <c:showDLblsOverMax val="0"/>
  </c:chart>
  <c:spPr>
    <a:noFill/>
    <a:ln>
      <a:noFill/>
    </a:ln>
    <a:effectLst>
      <a:innerShdw blurRad="63500" dist="50800" dir="2700000">
        <a:prstClr val="black">
          <a:alpha val="50000"/>
        </a:prstClr>
      </a:innerShdw>
    </a:effectLst>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5"/>
    </mc:Choice>
    <mc:Fallback>
      <c:style val="35"/>
    </mc:Fallback>
  </mc:AlternateContent>
  <c:pivotSource>
    <c:name>[Supermarket Sales.xlsx]Customer Analysis!PivotTable5</c:name>
    <c:fmtId val="0"/>
  </c:pivotSource>
  <c:chart>
    <c:autoTitleDeleted val="1"/>
    <c:pivotFmts>
      <c:pivotFmt>
        <c:idx val="0"/>
        <c:marker>
          <c:symbol val="none"/>
        </c:marker>
      </c:pivotFmt>
    </c:pivotFmts>
    <c:view3D>
      <c:rotX val="15"/>
      <c:rotY val="20"/>
      <c:rAngAx val="1"/>
    </c:view3D>
    <c:floor>
      <c:thickness val="0"/>
      <c:spPr>
        <a:noFill/>
        <a:ln w="9525">
          <a:noFill/>
        </a:ln>
      </c:spPr>
    </c:floor>
    <c:sideWall>
      <c:thickness val="0"/>
      <c:spPr>
        <a:noFill/>
      </c:spPr>
    </c:sideWall>
    <c:backWall>
      <c:thickness val="0"/>
      <c:spPr>
        <a:noFill/>
        <a:ln w="25400">
          <a:noFill/>
        </a:ln>
      </c:spPr>
    </c:backWall>
    <c:plotArea>
      <c:layout>
        <c:manualLayout>
          <c:layoutTarget val="inner"/>
          <c:xMode val="edge"/>
          <c:yMode val="edge"/>
          <c:x val="0.19499534999070001"/>
          <c:y val="8.9312779564526268E-2"/>
          <c:w val="0.66948560563787785"/>
          <c:h val="0.70016457801929688"/>
        </c:manualLayout>
      </c:layout>
      <c:bar3DChart>
        <c:barDir val="bar"/>
        <c:grouping val="clustered"/>
        <c:varyColors val="0"/>
        <c:ser>
          <c:idx val="0"/>
          <c:order val="0"/>
          <c:tx>
            <c:strRef>
              <c:f>'Customer Analysis'!$B$34</c:f>
              <c:strCache>
                <c:ptCount val="1"/>
                <c:pt idx="0">
                  <c:v>Total</c:v>
                </c:pt>
              </c:strCache>
            </c:strRef>
          </c:tx>
          <c:invertIfNegative val="0"/>
          <c:cat>
            <c:strRef>
              <c:f>'Customer Analysis'!$A$35:$A$37</c:f>
              <c:strCache>
                <c:ptCount val="2"/>
                <c:pt idx="0">
                  <c:v>Member</c:v>
                </c:pt>
                <c:pt idx="1">
                  <c:v>Normal</c:v>
                </c:pt>
              </c:strCache>
            </c:strRef>
          </c:cat>
          <c:val>
            <c:numRef>
              <c:f>'Customer Analysis'!$B$35:$B$37</c:f>
              <c:numCache>
                <c:formatCode>0.00</c:formatCode>
                <c:ptCount val="2"/>
                <c:pt idx="0">
                  <c:v>209.28929016786623</c:v>
                </c:pt>
                <c:pt idx="1">
                  <c:v>170.54470350404236</c:v>
                </c:pt>
              </c:numCache>
            </c:numRef>
          </c:val>
          <c:extLst xmlns:c16r2="http://schemas.microsoft.com/office/drawing/2015/06/chart">
            <c:ext xmlns:c16="http://schemas.microsoft.com/office/drawing/2014/chart" uri="{C3380CC4-5D6E-409C-BE32-E72D297353CC}">
              <c16:uniqueId val="{00000000-E4BD-41C0-AFE5-55CC4FBA975B}"/>
            </c:ext>
          </c:extLst>
        </c:ser>
        <c:dLbls>
          <c:showLegendKey val="0"/>
          <c:showVal val="0"/>
          <c:showCatName val="0"/>
          <c:showSerName val="0"/>
          <c:showPercent val="0"/>
          <c:showBubbleSize val="0"/>
        </c:dLbls>
        <c:gapWidth val="150"/>
        <c:shape val="cone"/>
        <c:axId val="422888576"/>
        <c:axId val="422890112"/>
        <c:axId val="0"/>
      </c:bar3DChart>
      <c:catAx>
        <c:axId val="422888576"/>
        <c:scaling>
          <c:orientation val="minMax"/>
        </c:scaling>
        <c:delete val="0"/>
        <c:axPos val="l"/>
        <c:numFmt formatCode="General" sourceLinked="0"/>
        <c:majorTickMark val="out"/>
        <c:minorTickMark val="none"/>
        <c:tickLblPos val="nextTo"/>
        <c:crossAx val="422890112"/>
        <c:crosses val="autoZero"/>
        <c:auto val="1"/>
        <c:lblAlgn val="ctr"/>
        <c:lblOffset val="100"/>
        <c:noMultiLvlLbl val="0"/>
      </c:catAx>
      <c:valAx>
        <c:axId val="422890112"/>
        <c:scaling>
          <c:orientation val="minMax"/>
        </c:scaling>
        <c:delete val="0"/>
        <c:axPos val="b"/>
        <c:numFmt formatCode="0.00" sourceLinked="1"/>
        <c:majorTickMark val="out"/>
        <c:minorTickMark val="none"/>
        <c:tickLblPos val="nextTo"/>
        <c:crossAx val="422888576"/>
        <c:crosses val="autoZero"/>
        <c:crossBetween val="between"/>
      </c:valAx>
      <c:spPr>
        <a:ln w="25400">
          <a:noFill/>
        </a:ln>
      </c:spPr>
    </c:plotArea>
    <c:plotVisOnly val="1"/>
    <c:dispBlanksAs val="gap"/>
    <c:showDLblsOverMax val="0"/>
  </c:chart>
  <c:spPr>
    <a:noFill/>
    <a:ln>
      <a:noFill/>
    </a:ln>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276225</xdr:colOff>
      <xdr:row>3</xdr:row>
      <xdr:rowOff>9525</xdr:rowOff>
    </xdr:from>
    <xdr:to>
      <xdr:col>8</xdr:col>
      <xdr:colOff>38100</xdr:colOff>
      <xdr:row>12</xdr:row>
      <xdr:rowOff>95251</xdr:rowOff>
    </xdr:to>
    <xdr:graphicFrame macro="">
      <xdr:nvGraphicFramePr>
        <xdr:cNvPr id="2" name="Chart 1">
          <a:extLst>
            <a:ext uri="{FF2B5EF4-FFF2-40B4-BE49-F238E27FC236}">
              <a16:creationId xmlns="" xmlns:a16="http://schemas.microsoft.com/office/drawing/2014/main" id="{FE491ADF-8A44-4DA7-A9E7-D68A88543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582929</xdr:colOff>
      <xdr:row>3</xdr:row>
      <xdr:rowOff>19050</xdr:rowOff>
    </xdr:from>
    <xdr:to>
      <xdr:col>15</xdr:col>
      <xdr:colOff>523874</xdr:colOff>
      <xdr:row>6</xdr:row>
      <xdr:rowOff>81916</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 xmlns:a16="http://schemas.microsoft.com/office/drawing/2014/main" id="{325C64CB-2914-44BE-841E-25F7E9926CE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659879" y="590550"/>
              <a:ext cx="5522595" cy="63436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8</xdr:col>
      <xdr:colOff>581025</xdr:colOff>
      <xdr:row>6</xdr:row>
      <xdr:rowOff>100965</xdr:rowOff>
    </xdr:from>
    <xdr:to>
      <xdr:col>15</xdr:col>
      <xdr:colOff>523875</xdr:colOff>
      <xdr:row>23</xdr:row>
      <xdr:rowOff>142875</xdr:rowOff>
    </xdr:to>
    <xdr:graphicFrame macro="">
      <xdr:nvGraphicFramePr>
        <xdr:cNvPr id="4" name="Chart 3">
          <a:extLst>
            <a:ext uri="{FF2B5EF4-FFF2-40B4-BE49-F238E27FC236}">
              <a16:creationId xmlns="" xmlns:a16="http://schemas.microsoft.com/office/drawing/2014/main" id="{0D9DDBE2-36BD-4C3B-B44F-77CFA2560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3</xdr:row>
      <xdr:rowOff>9525</xdr:rowOff>
    </xdr:from>
    <xdr:to>
      <xdr:col>2</xdr:col>
      <xdr:colOff>1066800</xdr:colOff>
      <xdr:row>12</xdr:row>
      <xdr:rowOff>76200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15</xdr:row>
      <xdr:rowOff>0</xdr:rowOff>
    </xdr:from>
    <xdr:to>
      <xdr:col>8</xdr:col>
      <xdr:colOff>57150</xdr:colOff>
      <xdr:row>25</xdr:row>
      <xdr:rowOff>19049</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323850</xdr:colOff>
      <xdr:row>1</xdr:row>
      <xdr:rowOff>114299</xdr:rowOff>
    </xdr:from>
    <xdr:to>
      <xdr:col>16</xdr:col>
      <xdr:colOff>333375</xdr:colOff>
      <xdr:row>20</xdr:row>
      <xdr:rowOff>19051</xdr:rowOff>
    </xdr:to>
    <xdr:graphicFrame macro="">
      <xdr:nvGraphicFramePr>
        <xdr:cNvPr id="2" name="Chart 1">
          <a:extLst>
            <a:ext uri="{FF2B5EF4-FFF2-40B4-BE49-F238E27FC236}">
              <a16:creationId xmlns=""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xdr:colOff>
      <xdr:row>34</xdr:row>
      <xdr:rowOff>76200</xdr:rowOff>
    </xdr:from>
    <xdr:to>
      <xdr:col>14</xdr:col>
      <xdr:colOff>590551</xdr:colOff>
      <xdr:row>56</xdr:row>
      <xdr:rowOff>38100</xdr:rowOff>
    </xdr:to>
    <xdr:graphicFrame macro="">
      <xdr:nvGraphicFramePr>
        <xdr:cNvPr id="4" name="Chart 3">
          <a:extLst>
            <a:ext uri="{FF2B5EF4-FFF2-40B4-BE49-F238E27FC236}">
              <a16:creationId xmlns=""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571499</xdr:colOff>
      <xdr:row>61</xdr:row>
      <xdr:rowOff>19049</xdr:rowOff>
    </xdr:from>
    <xdr:to>
      <xdr:col>14</xdr:col>
      <xdr:colOff>600074</xdr:colOff>
      <xdr:row>78</xdr:row>
      <xdr:rowOff>57150</xdr:rowOff>
    </xdr:to>
    <xdr:graphicFrame macro="">
      <xdr:nvGraphicFramePr>
        <xdr:cNvPr id="5" name="Chart 4">
          <a:extLst>
            <a:ext uri="{FF2B5EF4-FFF2-40B4-BE49-F238E27FC236}">
              <a16:creationId xmlns=""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114300</xdr:colOff>
      <xdr:row>3</xdr:row>
      <xdr:rowOff>85725</xdr:rowOff>
    </xdr:from>
    <xdr:to>
      <xdr:col>15</xdr:col>
      <xdr:colOff>114300</xdr:colOff>
      <xdr:row>21</xdr:row>
      <xdr:rowOff>104774</xdr:rowOff>
    </xdr:to>
    <xdr:graphicFrame macro="">
      <xdr:nvGraphicFramePr>
        <xdr:cNvPr id="2" name="Chart 1">
          <a:extLst>
            <a:ext uri="{FF2B5EF4-FFF2-40B4-BE49-F238E27FC236}">
              <a16:creationId xmlns=""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28</xdr:row>
      <xdr:rowOff>19050</xdr:rowOff>
    </xdr:from>
    <xdr:to>
      <xdr:col>15</xdr:col>
      <xdr:colOff>47625</xdr:colOff>
      <xdr:row>45</xdr:row>
      <xdr:rowOff>47626</xdr:rowOff>
    </xdr:to>
    <xdr:graphicFrame macro="">
      <xdr:nvGraphicFramePr>
        <xdr:cNvPr id="3" name="Chart 2">
          <a:extLst>
            <a:ext uri="{FF2B5EF4-FFF2-40B4-BE49-F238E27FC236}">
              <a16:creationId xmlns=""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teng boitshepo O" refreshedDate="45988.450601736113" createdVersion="4" refreshedVersion="4" minRefreshableVersion="3" recordCount="5053">
  <cacheSource type="worksheet">
    <worksheetSource name="Table1"/>
  </cacheSource>
  <cacheFields count="10">
    <cacheField name="Date" numFmtId="0">
      <sharedItems containsDate="1" containsMixedTypes="1" minDate="2024-01-01T00:00:00" maxDate="2024-12-13T00:00:00" count="365">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sharedItems>
    </cacheField>
    <cacheField name="Branch" numFmtId="0">
      <sharedItems count="3">
        <s v="Palapye"/>
        <s v="F/Town"/>
        <s v="Gaborone"/>
      </sharedItems>
    </cacheField>
    <cacheField name="Customer type" numFmtId="0">
      <sharedItems count="2">
        <s v="Member"/>
        <s v="Normal"/>
      </sharedItems>
    </cacheField>
    <cacheField name="Gender" numFmtId="0">
      <sharedItems count="2">
        <s v="Female"/>
        <s v="Male"/>
      </sharedItems>
    </cacheField>
    <cacheField name="Product line" numFmtId="0">
      <sharedItems count="6">
        <s v="Food &amp; Beverages"/>
        <s v="Electronics"/>
        <s v="Sports &amp; Travel"/>
        <s v="Fashion &amp; Accs"/>
        <s v="Home &amp; Lifestyle"/>
        <s v="Health &amp; Beauty"/>
      </sharedItems>
    </cacheField>
    <cacheField name="Unit price" numFmtId="2">
      <sharedItems containsSemiMixedTypes="0" containsString="0" containsNumber="1" minValue="2.0099999999999998" maxValue="99.96"/>
    </cacheField>
    <cacheField name="Quantity" numFmtId="0">
      <sharedItems containsSemiMixedTypes="0" containsString="0" containsNumber="1" containsInteger="1" minValue="1" maxValue="10"/>
    </cacheField>
    <cacheField name="Total Revenue" numFmtId="43">
      <sharedItems containsSemiMixedTypes="0" containsString="0" containsNumber="1" minValue="2.1800000000000002" maxValue="993" count="3811">
        <n v="846.3"/>
        <n v="126.44"/>
        <n v="448.26"/>
        <n v="369.79999999999995"/>
        <n v="108.16"/>
        <n v="591.66"/>
        <n v="380.72"/>
        <n v="435.65999999999997"/>
        <n v="125.74"/>
        <n v="168.96"/>
        <n v="175.32"/>
        <n v="742.2"/>
        <n v="42.47"/>
        <n v="365.49"/>
        <n v="267.78000000000003"/>
        <n v="249.95999999999998"/>
        <n v="253.36"/>
        <n v="342.1"/>
        <n v="132.06"/>
        <n v="199.64"/>
        <n v="378.9"/>
        <n v="75.88"/>
        <n v="93.38"/>
        <n v="350.05"/>
        <n v="207.27"/>
        <n v="42.24"/>
        <n v="335.45000000000005"/>
        <n v="496"/>
        <n v="139.26"/>
        <n v="104.85"/>
        <n v="599.85"/>
        <n v="355.4"/>
        <n v="274.83999999999997"/>
        <n v="72.17"/>
        <n v="31.9"/>
        <n v="164.28"/>
        <n v="318.42"/>
        <n v="228.18"/>
        <n v="522.82999999999993"/>
        <n v="71.2"/>
        <n v="282.95999999999998"/>
        <n v="657.16"/>
        <n v="552.23"/>
        <n v="73.959999999999994"/>
        <n v="250.6"/>
        <n v="214.54999999999998"/>
        <n v="248.76"/>
        <n v="894.80000000000007"/>
        <n v="15.34"/>
        <n v="724.23"/>
        <n v="471.2"/>
        <n v="326.72000000000003"/>
        <n v="204.7"/>
        <n v="258.36"/>
        <n v="297.99"/>
        <n v="335.78999999999996"/>
        <n v="218.2"/>
        <n v="81.66"/>
        <n v="68.12"/>
        <n v="310.88"/>
        <n v="193.85999999999999"/>
        <n v="585.66"/>
        <n v="548.55000000000007"/>
        <n v="356.56"/>
        <n v="363.23"/>
        <n v="332.1"/>
        <n v="285.57"/>
        <n v="98.2"/>
        <n v="181.52"/>
        <n v="166.71"/>
        <n v="548.32000000000005"/>
        <n v="652.30000000000007"/>
        <n v="12.78"/>
        <n v="746"/>
        <n v="129.66"/>
        <n v="185.7"/>
        <n v="200.92"/>
        <n v="25.52"/>
        <n v="238.77"/>
        <n v="145.5"/>
        <n v="72.929999999999993"/>
        <n v="655.92"/>
        <n v="94.8"/>
        <n v="674.59"/>
        <n v="295.92"/>
        <n v="65.699999999999989"/>
        <n v="192.7"/>
        <n v="441.36"/>
        <n v="158"/>
        <n v="954.4"/>
        <n v="559.02"/>
        <n v="373.95000000000005"/>
        <n v="72.52"/>
        <n v="55.12"/>
        <n v="454.41"/>
        <n v="470.28"/>
        <n v="153.86000000000001"/>
        <n v="581.98"/>
        <n v="670.24"/>
        <n v="224.46"/>
        <n v="89.69"/>
        <n v="257.39000000000004"/>
        <n v="329.32"/>
        <n v="174.32"/>
        <n v="291"/>
        <n v="579.12"/>
        <n v="68.949999999999989"/>
        <n v="399.84"/>
        <n v="114.44"/>
        <n v="732.48"/>
        <n v="27.07"/>
        <n v="832.5"/>
        <n v="886.7"/>
        <n v="294.20000000000005"/>
        <n v="180.09"/>
        <n v="138.06"/>
        <n v="975"/>
        <n v="357.49"/>
        <n v="435.59999999999997"/>
        <n v="243.03000000000003"/>
        <n v="74.290000000000006"/>
        <n v="140.76"/>
        <n v="356.58"/>
        <n v="84.16"/>
        <n v="119.72"/>
        <n v="144.78"/>
        <n v="319.06"/>
        <n v="416.5"/>
        <n v="181.41"/>
        <n v="34.81"/>
        <n v="72.319999999999993"/>
        <n v="483.5"/>
        <n v="498.45"/>
        <n v="17.75"/>
        <n v="84.83"/>
        <n v="372.33"/>
        <n v="511.42"/>
        <n v="127.08"/>
        <n v="403.56000000000006"/>
        <n v="560.4"/>
        <n v="429.87"/>
        <n v="802.89"/>
        <n v="378.29999999999995"/>
        <n v="973.7"/>
        <n v="133.70000000000002"/>
        <n v="167.54"/>
        <n v="558.69999999999993"/>
        <n v="664.7"/>
        <n v="562.31999999999994"/>
        <n v="68.58"/>
        <n v="147.04"/>
        <n v="568.61"/>
        <n v="87.2"/>
        <n v="547.92000000000007"/>
        <n v="955.8"/>
        <n v="635.17999999999995"/>
        <n v="839.34"/>
        <n v="119.98"/>
        <n v="156.84"/>
        <n v="635.6"/>
        <n v="30.98"/>
        <n v="51.36"/>
        <n v="186.36"/>
        <n v="473.40000000000003"/>
        <n v="81.239999999999995"/>
        <n v="812.09999999999991"/>
        <n v="115.78"/>
        <n v="129.12"/>
        <n v="662.13"/>
        <n v="125.64"/>
        <n v="131.30000000000001"/>
        <n v="359.6"/>
        <n v="77.099999999999994"/>
        <n v="86.72"/>
        <n v="412.37"/>
        <n v="264.45000000000005"/>
        <n v="39.42"/>
        <n v="131.54999999999998"/>
        <n v="425.18"/>
        <n v="158.32"/>
        <n v="174.24"/>
        <n v="534.36"/>
        <n v="815.67"/>
        <n v="104.88"/>
        <n v="96.8"/>
        <n v="80.930000000000007"/>
        <n v="594.59999999999991"/>
        <n v="189.18"/>
        <n v="641.9"/>
        <n v="456.8"/>
        <n v="238.36"/>
        <n v="35.82"/>
        <n v="224.52"/>
        <n v="345.44"/>
        <n v="317.34000000000003"/>
        <n v="271.04000000000002"/>
        <n v="269.04000000000002"/>
        <n v="88.61"/>
        <n v="522.63"/>
        <n v="307.68"/>
        <n v="331.72"/>
        <n v="222"/>
        <n v="186.28"/>
        <n v="106.88"/>
        <n v="112.44"/>
        <n v="124.96"/>
        <n v="723.5"/>
        <n v="448.56"/>
        <n v="511.04"/>
        <n v="714"/>
        <n v="439.32"/>
        <n v="595.14"/>
        <n v="372.19"/>
        <n v="98.13"/>
        <n v="72.72"/>
        <n v="467.70000000000005"/>
        <n v="68.98"/>
        <n v="164.01"/>
        <n v="101.89999999999999"/>
        <n v="81.510000000000005"/>
        <n v="196.95"/>
        <n v="144.30000000000001"/>
        <n v="92.039999999999992"/>
        <n v="334.86"/>
        <n v="672.03"/>
        <n v="479.75"/>
        <n v="252.14999999999998"/>
        <n v="428.67"/>
        <n v="898"/>
        <n v="396.36"/>
        <n v="502.62"/>
        <n v="189.52"/>
        <n v="232.6"/>
        <n v="699.71999999999991"/>
        <n v="89.7"/>
        <n v="307.76"/>
        <n v="318.08"/>
        <n v="54.95"/>
        <n v="30.61"/>
        <n v="83.08"/>
        <n v="154"/>
        <n v="591.18000000000006"/>
        <n v="257.15999999999997"/>
        <n v="693.44"/>
        <n v="388.96"/>
        <n v="60.87"/>
        <n v="366.4"/>
        <n v="387.5"/>
        <n v="787.69999999999993"/>
        <n v="766"/>
        <n v="84.48"/>
        <n v="403"/>
        <n v="138.47999999999999"/>
        <n v="279.65999999999997"/>
        <n v="531.16"/>
        <n v="121.92"/>
        <n v="339.57"/>
        <n v="240.04"/>
        <n v="96.11"/>
        <n v="204.52"/>
        <n v="160.19999999999999"/>
        <n v="43.74"/>
        <n v="15.43"/>
        <n v="159.89999999999998"/>
        <n v="277.33999999999997"/>
        <n v="254.61"/>
        <n v="905"/>
        <n v="236.07"/>
        <n v="631.71"/>
        <n v="274.48"/>
        <n v="74.099999999999994"/>
        <n v="441.8"/>
        <n v="400.25"/>
        <n v="624.33000000000004"/>
        <n v="64.989999999999995"/>
        <n v="12.09"/>
        <n v="609.55999999999995"/>
        <n v="102.2"/>
        <n v="157.76"/>
        <n v="66.66"/>
        <n v="361.83"/>
        <n v="257.7"/>
        <n v="290.04000000000002"/>
        <n v="101.43"/>
        <n v="21.32"/>
        <n v="448.6"/>
        <n v="379.5"/>
        <n v="162.74"/>
        <n v="184.25"/>
        <n v="73.260000000000005"/>
        <n v="486.63"/>
        <n v="143.6"/>
        <n v="541.43999999999994"/>
        <n v="465.7"/>
        <n v="490.09999999999997"/>
        <n v="465.76"/>
        <n v="161.25"/>
        <n v="384.64"/>
        <n v="138.80000000000001"/>
        <n v="24.06"/>
        <n v="490.26"/>
        <n v="169.67999999999998"/>
        <n v="379.96000000000004"/>
        <n v="279.24"/>
        <n v="793.28"/>
        <n v="19.149999999999999"/>
        <n v="647.76"/>
        <n v="80.709999999999994"/>
        <n v="119.1"/>
        <n v="214.3"/>
        <n v="87.05"/>
        <n v="702.62999999999988"/>
        <n v="602.96"/>
        <n v="112.62"/>
        <n v="648.99"/>
        <n v="193.44"/>
        <n v="260.39999999999998"/>
        <n v="130.47999999999999"/>
        <n v="587.6"/>
        <n v="88.04"/>
        <n v="38.6"/>
        <n v="40.35"/>
        <n v="139.65"/>
        <n v="252.48"/>
        <n v="504.29999999999995"/>
        <n v="114.89999999999999"/>
        <n v="266.70000000000005"/>
        <n v="436.85"/>
        <n v="749.16"/>
        <n v="22.96"/>
        <n v="94.6"/>
        <n v="281.34000000000003"/>
        <n v="985.19999999999993"/>
        <n v="22.38"/>
        <n v="485.15"/>
        <n v="52.65"/>
        <n v="152.80000000000001"/>
        <n v="339.36"/>
        <n v="213.75"/>
        <n v="789.6"/>
        <n v="172"/>
        <n v="721.3"/>
        <n v="410.72"/>
        <n v="75.819999999999993"/>
        <n v="621.79999999999995"/>
        <n v="148.24"/>
        <n v="479.58000000000004"/>
        <n v="790.83"/>
        <n v="138.16"/>
        <n v="272.10000000000002"/>
        <n v="66.349999999999994"/>
        <n v="524.88"/>
        <n v="71.150000000000006"/>
        <n v="486.64"/>
        <n v="207.63"/>
        <n v="727.11"/>
        <n v="310.72000000000003"/>
        <n v="183.82000000000002"/>
        <n v="431.3"/>
        <n v="178.92"/>
        <n v="38.42"/>
        <n v="527.76"/>
        <n v="412.16"/>
        <n v="212.94"/>
        <n v="166.7"/>
        <n v="112.22"/>
        <n v="418.95"/>
        <n v="750.96"/>
        <n v="109.60000000000001"/>
        <n v="381.68"/>
        <n v="18.329999999999998"/>
        <n v="136.4"/>
        <n v="235.79999999999998"/>
        <n v="664.16"/>
        <n v="639.80000000000007"/>
        <n v="495.63"/>
        <n v="128.91"/>
        <n v="727.8"/>
        <n v="53.78"/>
        <n v="385.09999999999997"/>
        <n v="674.5"/>
        <n v="202.60000000000002"/>
        <n v="295.8"/>
        <n v="493.29999999999995"/>
        <n v="73.97"/>
        <n v="124.64999999999999"/>
        <n v="176.54"/>
        <n v="67.77"/>
        <n v="93.36"/>
        <n v="13.98"/>
        <n v="71.95"/>
        <n v="215.3"/>
        <n v="522.05999999999995"/>
        <n v="144.08000000000001"/>
        <n v="194.52"/>
        <n v="699.12000000000012"/>
        <n v="30.62"/>
        <n v="385.38"/>
        <n v="283.62"/>
        <n v="32.979999999999997"/>
        <n v="41.78"/>
        <n v="138.66"/>
        <n v="524.16"/>
        <n v="87.9"/>
        <n v="225.60000000000002"/>
        <n v="686"/>
        <n v="294.63"/>
        <n v="155.46"/>
        <n v="89.75"/>
        <n v="387.92"/>
        <n v="229.5"/>
        <n v="179.05"/>
        <n v="397.68"/>
        <n v="259"/>
        <n v="224.64"/>
        <n v="57.92"/>
        <n v="228"/>
        <n v="52.42"/>
        <n v="302.70000000000005"/>
        <n v="178.4"/>
        <n v="28.96"/>
        <n v="483.28"/>
        <n v="716.8"/>
        <n v="326.88"/>
        <n v="45.58"/>
        <n v="10.17"/>
        <n v="260.76"/>
        <n v="263.76"/>
        <n v="793.9"/>
        <n v="98.88"/>
        <n v="589.5"/>
        <n v="318.55"/>
        <n v="463.28"/>
        <n v="744.96"/>
        <n v="172.26"/>
        <n v="431.9"/>
        <n v="198.18"/>
        <n v="116.69000000000001"/>
        <n v="276.12"/>
        <n v="543.6"/>
        <n v="33.520000000000003"/>
        <n v="604.17000000000007"/>
        <n v="812.52"/>
        <n v="324.85000000000002"/>
        <n v="19.7"/>
        <n v="972.09999999999991"/>
        <n v="260.05"/>
        <n v="414.72"/>
        <n v="989.80000000000007"/>
        <n v="185.88"/>
        <n v="127"/>
        <n v="98.22"/>
        <n v="183.88"/>
        <n v="315.36"/>
        <n v="846.1"/>
        <n v="21.58"/>
        <n v="171.81"/>
        <n v="244.20000000000002"/>
        <n v="31.84"/>
        <n v="63.239999999999995"/>
        <n v="95.699999999999989"/>
        <n v="222.39999999999998"/>
        <n v="74.699999999999989"/>
        <n v="449.82000000000005"/>
        <n v="395.46"/>
        <n v="375.55"/>
        <n v="139.36000000000001"/>
        <n v="222.95000000000002"/>
        <n v="74.069999999999993"/>
        <n v="144.27000000000001"/>
        <n v="781.3"/>
        <n v="301.39999999999998"/>
        <n v="258.37"/>
        <n v="66.94"/>
        <n v="113.58"/>
        <n v="513.66"/>
        <n v="433.45"/>
        <n v="892"/>
        <n v="756.81000000000006"/>
        <n v="772"/>
        <n v="231.12"/>
        <n v="240.24"/>
        <n v="621.19999999999993"/>
        <n v="379.04"/>
        <n v="39.479999999999997"/>
        <n v="871"/>
        <n v="52.35"/>
        <n v="758.96"/>
        <n v="603.80000000000007"/>
        <n v="234.75"/>
        <n v="152.57999999999998"/>
        <n v="143.26"/>
        <n v="76.819999999999993"/>
        <n v="80.72"/>
        <n v="185.96"/>
        <n v="147.79999999999998"/>
        <n v="157.57000000000002"/>
        <n v="29.74"/>
        <n v="129"/>
        <n v="82.14"/>
        <n v="91.3"/>
        <n v="133.94999999999999"/>
        <n v="302.95999999999998"/>
        <n v="420.56"/>
        <n v="276.60000000000002"/>
        <n v="198.74"/>
        <n v="116.64"/>
        <n v="796.48"/>
        <n v="328"/>
        <n v="156.60000000000002"/>
        <n v="559.67999999999995"/>
        <n v="509.88"/>
        <n v="98.84"/>
        <n v="538.30000000000007"/>
        <n v="696.6"/>
        <n v="201.29999999999998"/>
        <n v="269.12"/>
        <n v="274.2"/>
        <n v="74.22"/>
        <n v="91.56"/>
        <n v="88.31"/>
        <n v="794.25"/>
        <n v="345.54"/>
        <n v="241.44"/>
        <n v="88.85"/>
        <n v="993"/>
        <n v="155.82"/>
        <n v="286.26"/>
        <n v="173.74"/>
        <n v="60.25"/>
        <n v="519.09999999999991"/>
        <n v="328.59"/>
        <n v="240.72"/>
        <n v="684.53000000000009"/>
        <n v="91.35"/>
        <n v="419.93999999999994"/>
        <n v="285.92"/>
        <n v="475.92999999999995"/>
        <n v="710.32"/>
        <n v="59.050000000000004"/>
        <n v="647.67999999999995"/>
        <n v="524.70000000000005"/>
        <n v="172.8"/>
        <n v="98.699999999999989"/>
        <n v="356.95"/>
        <n v="882.81000000000006"/>
        <n v="276.27"/>
        <n v="136.14000000000001"/>
        <n v="206.52"/>
        <n v="270.65999999999997"/>
        <n v="29.52"/>
        <n v="60.95"/>
        <n v="618.38"/>
        <n v="176.28"/>
        <n v="62.48"/>
        <n v="196.96"/>
        <n v="887.93999999999994"/>
        <n v="253.95"/>
        <n v="575.12"/>
        <n v="174.4"/>
        <n v="698.67"/>
        <n v="164.96"/>
        <n v="626.22"/>
        <n v="164.52"/>
        <n v="399"/>
        <n v="75.38"/>
        <n v="319.89999999999998"/>
        <n v="241.2"/>
        <n v="86.27"/>
        <n v="461.45000000000005"/>
        <n v="173.22"/>
        <n v="333.40000000000003"/>
        <n v="323.2"/>
        <n v="295.27999999999997"/>
        <n v="283.92"/>
        <n v="119.72999999999999"/>
        <n v="418.29999999999995"/>
        <n v="197.6"/>
        <n v="12.54"/>
        <n v="65.819999999999993"/>
        <n v="198.75"/>
        <n v="30.41"/>
        <n v="174.89999999999998"/>
        <n v="668.43"/>
        <n v="25.46"/>
        <n v="206.91"/>
        <n v="47.44"/>
        <n v="174.20000000000002"/>
        <n v="488.79"/>
        <n v="244.89999999999998"/>
        <n v="35.89"/>
        <n v="71.88"/>
        <n v="119.68"/>
        <n v="296.37"/>
        <n v="408.73"/>
        <n v="680.31000000000006"/>
        <n v="293.88"/>
        <n v="321.44"/>
        <n v="334.38"/>
        <n v="95.36"/>
        <n v="50.8"/>
        <n v="211.44"/>
        <n v="735.6"/>
        <n v="347.70000000000005"/>
        <n v="402.59999999999997"/>
        <n v="247.39999999999998"/>
        <n v="457.04999999999995"/>
        <n v="470.65"/>
        <n v="298.79999999999995"/>
        <n v="413.04"/>
        <n v="410.20000000000005"/>
        <n v="48.61"/>
        <n v="430.20000000000005"/>
        <n v="88.45"/>
        <n v="250.28"/>
        <n v="39.75"/>
        <n v="292.2"/>
        <n v="527.9"/>
        <n v="195.54000000000002"/>
        <n v="340.56"/>
        <n v="251.4"/>
        <n v="63.69"/>
        <n v="206.37"/>
        <n v="159.60000000000002"/>
        <n v="598.26"/>
        <n v="54.45"/>
        <n v="199.78"/>
        <n v="93.22"/>
        <n v="382.16"/>
        <n v="55.45"/>
        <n v="544.20000000000005"/>
        <n v="510.21"/>
        <n v="336.34999999999997"/>
        <n v="197.7"/>
        <n v="461.93999999999994"/>
        <n v="701.37000000000012"/>
        <n v="648.19999999999993"/>
        <n v="99.69"/>
        <n v="755.76"/>
        <n v="601.09"/>
        <n v="42.96"/>
        <n v="135"/>
        <n v="188.5"/>
        <n v="157.26"/>
        <n v="744.4"/>
        <n v="410.90000000000003"/>
        <n v="168"/>
        <n v="687.84"/>
        <n v="483.72"/>
        <n v="186.4"/>
        <n v="60.3"/>
        <n v="82.5"/>
        <n v="299.56"/>
        <n v="454.79999999999995"/>
        <n v="53.72"/>
        <n v="569.17000000000007"/>
        <n v="69.459999999999994"/>
        <n v="706.94999999999993"/>
        <n v="89.28"/>
        <n v="139.02000000000001"/>
        <n v="44.46"/>
        <n v="78.78"/>
        <n v="545.5"/>
        <n v="78.94"/>
        <n v="973.8"/>
        <n v="462.45"/>
        <n v="243"/>
        <n v="897.57"/>
        <n v="795.51"/>
        <n v="81.06"/>
        <n v="66.100000000000009"/>
        <n v="265.89"/>
        <n v="76.540000000000006"/>
        <n v="599.19999999999993"/>
        <n v="517.86"/>
        <n v="50.62"/>
        <n v="220.23"/>
        <n v="28.78"/>
        <n v="266.08"/>
        <n v="279.18"/>
        <n v="177.36"/>
        <n v="819.7"/>
        <n v="259.60000000000002"/>
        <n v="352.08"/>
        <n v="166.8"/>
        <n v="46.41"/>
        <n v="25"/>
        <n v="202.65"/>
        <n v="755.92"/>
        <n v="241.6"/>
        <n v="240.96"/>
        <n v="324.31"/>
        <n v="730.5"/>
        <n v="299.7"/>
        <n v="298.64"/>
        <n v="206.13"/>
        <n v="440.64"/>
        <n v="226.12"/>
        <n v="73.099999999999994"/>
        <n v="598.98"/>
        <n v="86.38"/>
        <n v="30.24"/>
        <n v="173.16"/>
        <n v="486.3"/>
        <n v="246.36"/>
        <n v="145.56"/>
        <n v="54.239999999999995"/>
        <n v="697.4"/>
        <n v="121.19999999999999"/>
        <n v="202.56"/>
        <n v="221.1"/>
        <n v="391.78999999999996"/>
        <n v="763.68"/>
        <n v="496.20000000000005"/>
        <n v="234.93"/>
        <n v="457.17"/>
        <n v="109.7"/>
        <n v="163.82"/>
        <n v="581.42000000000007"/>
        <n v="263.94"/>
        <n v="783.1"/>
        <n v="335.88"/>
        <n v="141.9"/>
        <n v="552.78"/>
        <n v="434.56"/>
        <n v="337.15000000000003"/>
        <n v="158.1"/>
        <n v="79.739999999999995"/>
        <n v="193.5"/>
        <n v="574.88"/>
        <n v="99.84"/>
        <n v="37"/>
        <n v="336.28"/>
        <n v="32.32"/>
        <n v="65.8"/>
        <n v="199.58"/>
        <n v="139.95000000000002"/>
        <n v="113.24"/>
        <n v="97.94"/>
        <n v="133.26"/>
        <n v="97.16"/>
        <n v="68.16"/>
        <n v="76.399999999999991"/>
        <n v="203.94"/>
        <n v="308.85000000000002"/>
        <n v="86.54"/>
        <n v="906.5"/>
        <n v="88.149999999999991"/>
        <n v="375.5"/>
        <n v="487.79999999999995"/>
        <n v="277.56"/>
        <n v="375.84"/>
        <n v="206.84"/>
        <n v="890.73"/>
        <n v="899.64"/>
        <n v="121.74"/>
        <n v="519.4"/>
        <n v="522.6"/>
        <n v="668.78000000000009"/>
        <n v="451.76"/>
        <n v="102.04"/>
        <n v="365.26"/>
        <n v="244.54999999999998"/>
        <n v="16.28"/>
        <n v="455.46"/>
        <n v="498.9"/>
        <n v="778.32"/>
        <n v="77.52"/>
        <n v="116.06"/>
        <n v="25.45"/>
        <n v="127.53999999999999"/>
        <n v="172.02"/>
        <n v="819.5"/>
        <n v="655.82999999999993"/>
        <n v="322.11"/>
        <n v="313.09999999999997"/>
        <n v="175.34"/>
        <n v="137.22"/>
        <n v="70.910000000000011"/>
        <n v="80.599999999999994"/>
        <n v="482.51000000000005"/>
        <n v="280.62"/>
        <n v="241.92000000000002"/>
        <n v="119.54"/>
        <n v="507.36"/>
        <n v="378.68"/>
        <n v="141.6"/>
        <n v="207.69"/>
        <n v="172.45000000000002"/>
        <n v="207.26999999999998"/>
        <n v="285.10999999999996"/>
        <n v="688.80000000000007"/>
        <n v="190.68"/>
        <n v="183.66"/>
        <n v="377.04"/>
        <n v="390.96"/>
        <n v="579.24"/>
        <n v="385.28"/>
        <n v="184.88"/>
        <n v="166"/>
        <n v="31.77"/>
        <n v="39.01"/>
        <n v="56.5"/>
        <n v="271.35000000000002"/>
        <n v="153.19999999999999"/>
        <n v="158.69999999999999"/>
        <n v="320.52999999999997"/>
        <n v="145.76"/>
        <n v="181.1"/>
        <n v="69.400000000000006"/>
        <n v="511.28"/>
        <n v="97.52"/>
        <n v="461.88"/>
        <n v="42.85"/>
        <n v="46.96"/>
        <n v="420.65999999999997"/>
        <n v="383.10999999999996"/>
        <n v="141.88"/>
        <n v="696.85"/>
        <n v="194.95000000000002"/>
        <n v="877.32"/>
        <n v="211.32"/>
        <n v="194.21999999999997"/>
        <n v="439.54999999999995"/>
        <n v="775.6"/>
        <n v="425.68"/>
        <n v="596.1"/>
        <n v="825.8"/>
        <n v="47.07"/>
        <n v="224.01"/>
        <n v="66.400000000000006"/>
        <n v="724.24"/>
        <n v="86"/>
        <n v="196.6"/>
        <n v="290.39999999999998"/>
        <n v="522.08000000000004"/>
        <n v="122.31"/>
        <n v="54.36"/>
        <n v="229.96"/>
        <n v="193.16"/>
        <n v="92.78"/>
        <n v="389.04"/>
        <n v="790.19999999999993"/>
        <n v="318.05"/>
        <n v="30.74"/>
        <n v="580"/>
        <n v="74.97"/>
        <n v="382.56"/>
        <n v="95"/>
        <n v="343.7"/>
        <n v="101.52"/>
        <n v="22.62"/>
        <n v="351.9"/>
        <n v="327.06"/>
        <n v="769.2"/>
        <n v="309.88"/>
        <n v="204.76"/>
        <n v="299.10000000000002"/>
        <n v="91.98"/>
        <n v="166.29999999999998"/>
        <n v="285.3"/>
        <n v="51.47"/>
        <n v="132.35999999999999"/>
        <n v="826.3"/>
        <n v="203.36"/>
        <n v="687.6"/>
        <n v="212.45000000000002"/>
        <n v="166.68"/>
        <n v="302.12"/>
        <n v="155.24"/>
        <n v="675.54"/>
        <n v="893.16"/>
        <n v="708.4"/>
        <n v="53.22"/>
        <n v="46.2"/>
        <n v="264.56"/>
        <n v="93.16"/>
        <n v="15.5"/>
        <n v="163.55000000000001"/>
        <n v="62.61"/>
        <n v="348.48"/>
        <n v="198.5"/>
        <n v="447.06000000000006"/>
        <n v="461.8"/>
        <n v="239.73"/>
        <n v="91.61"/>
        <n v="845.64"/>
        <n v="126.25"/>
        <n v="709.9"/>
        <n v="499.02"/>
        <n v="440.20000000000005"/>
        <n v="86.5"/>
        <n v="33.630000000000003"/>
        <n v="607.36"/>
        <n v="79.44"/>
        <n v="720.16"/>
        <n v="304.56000000000006"/>
        <n v="142.25"/>
        <n v="197.96"/>
        <n v="343.74"/>
        <n v="420.72"/>
        <n v="407.44"/>
        <n v="282.8"/>
        <n v="372.78000000000003"/>
        <n v="429.54999999999995"/>
        <n v="71.48"/>
        <n v="707.44"/>
        <n v="95.15"/>
        <n v="222.12"/>
        <n v="18.28"/>
        <n v="158.25"/>
        <n v="25.29"/>
        <n v="148.6"/>
        <n v="471.73"/>
        <n v="734.7"/>
        <n v="155"/>
        <n v="439.36"/>
        <n v="366.16"/>
        <n v="568.4"/>
        <n v="389.27"/>
        <n v="443.28"/>
        <n v="352.5"/>
        <n v="73.5"/>
        <n v="414.4"/>
        <n v="123.85"/>
        <n v="649.5"/>
        <n v="313.52"/>
        <n v="305.82"/>
        <n v="140.63999999999999"/>
        <n v="74.86"/>
        <n v="599.52"/>
        <n v="186.62"/>
        <n v="211.56"/>
        <n v="597.73"/>
        <n v="236.57999999999998"/>
        <n v="47.400000000000006"/>
        <n v="382.59999999999997"/>
        <n v="221.56"/>
        <n v="135.24"/>
        <n v="145.44"/>
        <n v="257.08"/>
        <n v="138.65"/>
        <n v="505.40000000000003"/>
        <n v="87.4"/>
        <n v="123.84"/>
        <n v="137.13"/>
        <n v="110.60999999999999"/>
        <n v="39.119999999999997"/>
        <n v="52.38"/>
        <n v="168.5"/>
        <n v="48.71"/>
        <n v="146.79"/>
        <n v="53.449999999999996"/>
        <n v="157.02000000000001"/>
        <n v="345.66"/>
        <n v="560.34"/>
        <n v="88.68"/>
        <n v="259.68"/>
        <n v="87.449999999999989"/>
        <n v="111.34"/>
        <n v="159.08000000000001"/>
        <n v="96.960000000000008"/>
        <n v="898.37999999999988"/>
        <n v="182.14"/>
        <n v="142.94999999999999"/>
        <n v="91.11"/>
        <n v="500.21999999999997"/>
        <n v="215.04000000000002"/>
        <n v="70.56"/>
        <n v="256.70000000000005"/>
        <n v="349.56"/>
        <n v="115.80000000000001"/>
        <n v="199.16"/>
        <n v="502.39"/>
        <n v="878.7"/>
        <n v="823.40000000000009"/>
        <n v="217.26"/>
        <n v="274.3"/>
        <n v="115.36"/>
        <n v="713.8"/>
        <n v="306.45"/>
        <n v="290.45999999999998"/>
        <n v="874.98"/>
        <n v="322.2"/>
        <n v="447.40000000000003"/>
        <n v="186.8"/>
        <n v="281.60999999999996"/>
        <n v="580.55999999999995"/>
        <n v="580.16"/>
        <n v="81.44"/>
        <n v="421.26"/>
        <n v="282.39"/>
        <n v="76.289999999999992"/>
        <n v="159.72"/>
        <n v="169.26"/>
        <n v="63.36"/>
        <n v="140.38"/>
        <n v="124.97999999999999"/>
        <n v="284.8"/>
        <n v="269.07"/>
        <n v="49.11"/>
        <n v="151.47999999999999"/>
        <n v="174.96"/>
        <n v="137.91"/>
        <n v="268.44"/>
        <n v="122.82"/>
        <n v="63.8"/>
        <n v="63.22"/>
        <n v="108.88"/>
        <n v="178.28"/>
        <n v="66.42"/>
        <n v="274.16000000000003"/>
        <n v="74.709999999999994"/>
        <n v="373"/>
        <n v="121.55"/>
        <n v="510.15999999999997"/>
        <n v="148.44"/>
        <n v="76.900000000000006"/>
        <n v="201.96"/>
        <n v="134.56"/>
        <n v="74.820000000000007"/>
        <n v="65.91"/>
        <n v="147.63999999999999"/>
        <n v="183.85000000000002"/>
        <n v="45.78"/>
        <n v="86.69"/>
        <n v="13.79"/>
        <n v="172.77"/>
        <n v="83.25"/>
        <n v="44.02"/>
        <n v="63.12"/>
        <n v="361.95"/>
        <n v="58.84"/>
        <n v="199.38"/>
        <n v="339.32"/>
        <n v="190.84"/>
        <n v="103.08"/>
        <n v="77.040000000000006"/>
        <n v="92.09"/>
        <n v="20.010000000000002"/>
        <n v="146.12"/>
        <n v="60.38"/>
        <n v="134.57999999999998"/>
        <n v="59.04"/>
        <n v="14.36"/>
        <n v="64.5"/>
        <n v="161.94"/>
        <n v="251.31"/>
        <n v="50.79"/>
        <n v="104.64000000000001"/>
        <n v="78.069999999999993"/>
        <n v="186.52"/>
        <n v="133.30000000000001"/>
        <n v="21.8"/>
        <n v="200.04000000000002"/>
        <n v="64.64"/>
        <n v="210.4"/>
        <n v="79.819999999999993"/>
        <n v="162.41999999999999"/>
        <n v="167.32"/>
        <n v="231.56"/>
        <n v="196.95000000000002"/>
        <n v="30.48"/>
        <n v="59.37"/>
        <n v="187.71"/>
        <n v="148.58000000000001"/>
        <n v="209.88"/>
        <n v="215.9"/>
        <n v="101.64000000000001"/>
        <n v="153.84"/>
        <n v="127.71000000000001"/>
        <n v="398.84"/>
        <n v="266.37"/>
        <n v="109.08"/>
        <n v="482.86"/>
        <n v="109.34"/>
        <n v="86.58"/>
        <n v="68.84"/>
        <n v="226.76"/>
        <n v="113.07"/>
        <n v="18.079999999999998"/>
        <n v="142.89000000000001"/>
        <n v="115.41"/>
        <n v="258.81"/>
        <n v="22.01"/>
        <n v="57.75"/>
        <n v="67.27"/>
        <n v="394.12"/>
        <n v="145.53"/>
        <n v="265.08"/>
        <n v="240.14999999999998"/>
        <n v="153.97999999999999"/>
        <n v="133.32"/>
        <n v="96.7"/>
        <n v="96.68"/>
        <n v="85.87"/>
        <n v="270.71999999999997"/>
        <n v="83.789999999999992"/>
        <n v="81.709999999999994"/>
        <n v="27"/>
        <n v="69.510000000000005"/>
        <n v="34.589999999999996"/>
        <n v="329.09999999999997"/>
        <n v="38.299999999999997"/>
        <n v="394.08"/>
        <n v="59.28"/>
        <n v="194.06"/>
        <n v="262.44"/>
        <n v="56.92"/>
        <n v="168.12"/>
        <n v="192.10000000000002"/>
        <n v="197.91"/>
        <n v="93.1"/>
        <n v="10.96"/>
        <n v="81.84"/>
        <n v="344.85"/>
        <n v="424.43999999999994"/>
        <n v="167.19"/>
        <n v="182.8"/>
        <n v="171.2"/>
        <n v="26.67"/>
        <n v="67.14"/>
        <n v="93.88"/>
        <n v="134.9"/>
        <n v="190.72"/>
        <n v="121.56"/>
        <n v="293.64"/>
        <n v="203.31"/>
        <n v="46.68"/>
        <n v="46.53"/>
        <n v="155.44"/>
        <n v="76.400000000000006"/>
        <n v="71.25"/>
        <n v="42.82"/>
        <n v="220.56"/>
        <n v="117.63"/>
        <n v="100"/>
        <n v="57.9"/>
        <n v="189.08"/>
        <n v="175.8"/>
        <n v="151.63999999999999"/>
        <n v="159.86000000000001"/>
        <n v="139.04"/>
        <n v="60.03"/>
        <n v="99.42"/>
        <n v="58.48"/>
        <n v="104.84"/>
        <n v="65.92"/>
        <n v="99.83"/>
        <n v="294.24"/>
        <n v="43.19"/>
        <n v="108.72"/>
        <n v="35.04"/>
        <n v="64.739999999999995"/>
        <n v="246.12"/>
        <n v="48.63"/>
        <n v="34.729999999999997"/>
        <n v="486.9"/>
        <n v="95.52"/>
        <n v="82.12"/>
        <n v="353.56"/>
        <n v="101.28"/>
        <n v="132.03"/>
        <n v="103.04"/>
        <n v="55.97"/>
        <n v="21.08"/>
        <n v="261.24"/>
        <n v="176.3"/>
        <n v="472.45"/>
        <n v="356.8"/>
        <n v="308.8"/>
        <n v="318.95999999999998"/>
        <n v="522.59999999999991"/>
        <n v="15.55"/>
        <n v="165.21"/>
        <n v="42.97"/>
        <n v="120.48"/>
        <n v="14.87"/>
        <n v="138.30000000000001"/>
        <n v="138.99"/>
        <n v="397.48"/>
        <n v="166.5"/>
        <n v="60.74"/>
        <n v="50.23"/>
        <n v="182.22"/>
        <n v="52.2"/>
        <n v="154.80000000000001"/>
        <n v="282.64999999999998"/>
        <n v="67.099999999999994"/>
        <n v="99.28"/>
        <n v="121.48"/>
        <n v="323.83999999999997"/>
        <n v="24.24"/>
        <n v="159.18"/>
        <n v="96.37"/>
        <n v="286.38"/>
        <n v="71.39"/>
        <n v="162.6"/>
        <n v="98.66"/>
        <n v="41.24"/>
        <n v="92.52"/>
        <n v="82.7"/>
        <n v="147.9"/>
        <n v="49.33"/>
        <n v="221.91"/>
        <n v="329.04"/>
        <n v="129.18"/>
        <n v="159.6"/>
        <n v="16.489999999999998"/>
        <n v="180.89999999999998"/>
        <n v="149.58000000000001"/>
        <n v="13.78"/>
        <n v="184.58"/>
        <n v="245.85000000000002"/>
        <n v="115.48"/>
        <n v="121.64"/>
        <n v="137.86000000000001"/>
        <n v="150.4"/>
        <n v="179.31"/>
        <n v="143.72"/>
        <n v="197.58"/>
        <n v="160.72"/>
        <n v="48.480000000000004"/>
        <n v="118.68"/>
        <n v="56.62"/>
        <n v="158.57999999999998"/>
        <n v="391.76"/>
        <n v="143.01"/>
        <n v="257.44"/>
        <n v="91.16"/>
        <n v="145.82999999999998"/>
        <n v="41.5"/>
        <n v="160.51"/>
        <n v="106.4"/>
        <n v="566.81999999999994"/>
        <n v="37.700000000000003"/>
        <n v="161.16"/>
        <n v="78.02"/>
        <n v="20.34"/>
        <n v="67.98"/>
        <n v="22.17"/>
        <n v="219.14999999999998"/>
        <n v="223.98"/>
        <n v="86.31"/>
        <n v="453.25"/>
        <n v="15.87"/>
        <n v="260.89999999999998"/>
        <n v="72.44"/>
        <n v="493.5"/>
        <n v="291.12"/>
        <n v="36.159999999999997"/>
        <n v="330.32"/>
        <n v="313.24"/>
        <n v="124.16"/>
        <n v="99.79"/>
        <n v="51.12"/>
        <n v="281.07"/>
        <n v="173.08"/>
        <n v="180.56"/>
        <n v="17.63"/>
        <n v="197.94"/>
        <n v="143.16"/>
        <n v="399.12"/>
        <n v="120.89999999999999"/>
        <n v="190.26"/>
        <n v="72.88"/>
        <n v="114.68"/>
        <n v="64.97"/>
        <n v="10.130000000000001"/>
        <n v="138.24"/>
        <n v="187.08"/>
        <n v="24.89"/>
        <n v="56.64"/>
        <n v="565.56000000000006"/>
        <n v="110.08"/>
        <n v="162.91999999999999"/>
        <n v="162.81"/>
        <n v="137.37"/>
        <n v="232.68"/>
        <n v="46.22"/>
        <n v="63.91"/>
        <n v="106.42"/>
        <n v="21.5"/>
        <n v="96.58"/>
        <n v="263.39999999999998"/>
        <n v="333.36"/>
        <n v="41.74"/>
        <n v="22.24"/>
        <n v="185.56"/>
        <n v="46.11"/>
        <n v="30.35"/>
        <n v="366.44"/>
        <n v="129.75"/>
        <n v="171.87"/>
        <n v="69.680000000000007"/>
        <n v="88.67"/>
        <n v="132.28"/>
        <n v="369.4"/>
        <n v="135.91999999999999"/>
        <n v="54.92"/>
        <n v="118.28999999999999"/>
        <n v="55.39"/>
        <n v="32.619999999999997"/>
        <n v="280.44"/>
        <n v="70.94"/>
        <n v="40.36"/>
        <n v="41.07"/>
        <n v="165.76"/>
        <n v="98.76"/>
        <n v="116.6"/>
        <n v="132.80000000000001"/>
        <n v="65.260000000000005"/>
        <n v="161.6"/>
        <n v="15.8"/>
        <n v="40.769999999999996"/>
        <n v="89.3"/>
        <n v="64.27"/>
        <n v="110.92"/>
        <n v="10.69"/>
        <n v="32.46"/>
        <n v="205.36"/>
        <n v="174.78"/>
        <n v="180.24"/>
        <n v="77.2"/>
        <n v="149.37"/>
        <n v="11.28"/>
        <n v="40.32"/>
        <n v="71.77"/>
        <n v="176.62"/>
        <n v="290.08"/>
        <n v="202.35000000000002"/>
        <n v="87.87"/>
        <n v="219.44"/>
        <n v="99.7"/>
        <n v="114.12"/>
        <n v="47.27"/>
        <n v="46.92"/>
        <n v="263.70000000000005"/>
        <n v="285.52"/>
        <n v="41.65"/>
        <n v="88.679999999999993"/>
        <n v="245.16"/>
        <n v="142.56"/>
        <n v="74"/>
        <n v="45.6"/>
        <n v="233.44"/>
        <n v="87.24"/>
        <n v="40.24"/>
        <n v="18.78"/>
        <n v="5.92"/>
        <n v="29.24"/>
        <n v="14.02"/>
        <n v="59.92"/>
        <n v="35.78"/>
        <n v="325"/>
        <n v="18.75"/>
        <n v="7.8"/>
        <n v="19.84"/>
        <n v="26.52"/>
        <n v="22.84"/>
        <n v="145.12"/>
        <n v="19.259999999999998"/>
        <n v="212.91"/>
        <n v="22.28"/>
        <n v="363.9"/>
        <n v="101.34"/>
        <n v="13.72"/>
        <n v="51.87"/>
        <n v="32.200000000000003"/>
        <n v="256.95999999999998"/>
        <n v="81.489999999999995"/>
        <n v="13.2"/>
        <n v="17.04"/>
        <n v="196.2"/>
        <n v="7.74"/>
        <n v="3.85"/>
        <n v="110.43"/>
        <n v="56.8"/>
        <n v="150.56"/>
        <n v="5.26"/>
        <n v="109.14"/>
        <n v="7.41"/>
        <n v="4.59"/>
        <n v="93.48"/>
        <n v="103.6"/>
        <n v="26.84"/>
        <n v="340.25"/>
        <n v="118.9"/>
        <n v="12.5"/>
        <n v="11.56"/>
        <n v="31.14"/>
        <n v="63.480000000000004"/>
        <n v="16.239999999999998"/>
        <n v="70.77"/>
        <n v="9.66"/>
        <n v="9.3800000000000008"/>
        <n v="54.42"/>
        <n v="100.08"/>
        <n v="317.95000000000005"/>
        <n v="16.079999999999998"/>
        <n v="16.32"/>
        <n v="19.68"/>
        <n v="177.84"/>
        <n v="33"/>
        <n v="30.64"/>
        <n v="89.86"/>
        <n v="15.2"/>
        <n v="29.54"/>
        <n v="5.61"/>
        <n v="66.34"/>
        <n v="342.5"/>
        <n v="145.6"/>
        <n v="150.80000000000001"/>
        <n v="191.76"/>
        <n v="142.16"/>
        <n v="15.54"/>
        <n v="25.049999999999997"/>
        <n v="15.96"/>
        <n v="46.769999999999996"/>
        <n v="53.31"/>
        <n v="352.75"/>
        <n v="20.8"/>
        <n v="23.6"/>
        <n v="9.9499999999999993"/>
        <n v="34.35"/>
        <n v="12.2"/>
        <n v="200.96999999999997"/>
        <n v="7.34"/>
        <n v="47.74"/>
        <n v="68.959999999999994"/>
        <n v="88.12"/>
        <n v="62.53"/>
        <n v="314.45"/>
        <n v="19"/>
        <n v="7.46"/>
        <n v="95.66"/>
        <n v="36.299999999999997"/>
        <n v="13.440000000000001"/>
        <n v="5.51"/>
        <n v="15.809999999999999"/>
        <n v="61.59"/>
        <n v="33.880000000000003"/>
        <n v="211.07999999999998"/>
        <n v="38.82"/>
        <n v="228.12"/>
        <n v="11.44"/>
        <n v="50.67"/>
        <n v="20.73"/>
        <n v="11.36"/>
        <n v="132.24"/>
        <n v="12.3"/>
        <n v="7.54"/>
        <n v="4.24"/>
        <n v="297.16000000000003"/>
        <n v="11.99"/>
        <n v="7.84"/>
        <n v="17.12"/>
        <n v="338.8"/>
        <n v="4.28"/>
        <n v="19.77"/>
        <n v="12.21"/>
        <n v="32.15"/>
        <n v="17.600000000000001"/>
        <n v="61.34"/>
        <n v="39.99"/>
        <n v="12.4"/>
        <n v="106.26"/>
        <n v="36.4"/>
        <n v="9.48"/>
        <n v="19.71"/>
        <n v="9.08"/>
        <n v="12.7"/>
        <n v="252"/>
        <n v="113.34"/>
        <n v="69.75"/>
        <n v="207.71999999999997"/>
        <n v="147.24"/>
        <n v="22.200000000000003"/>
        <n v="59.01"/>
        <n v="84.210000000000008"/>
        <n v="21.56"/>
        <n v="29.2"/>
        <n v="20.94"/>
        <n v="71.83"/>
        <n v="37.020000000000003"/>
        <n v="53.730000000000004"/>
        <n v="24.29"/>
        <n v="134.08000000000001"/>
        <n v="8.67"/>
        <n v="15.24"/>
        <n v="6.34"/>
        <n v="8.48"/>
        <n v="262.8"/>
        <n v="56.97"/>
        <n v="69.12"/>
        <n v="96.62"/>
        <n v="23.36"/>
        <n v="14.669999999999998"/>
        <n v="196.23"/>
        <n v="18"/>
        <n v="26.12"/>
        <n v="108.2"/>
        <n v="224.56"/>
        <n v="8.6"/>
        <n v="30.9"/>
        <n v="67.67"/>
        <n v="212.82"/>
        <n v="75.75"/>
        <n v="25.6"/>
        <n v="10.050000000000001"/>
        <n v="31.36"/>
        <n v="20.399999999999999"/>
        <n v="23.09"/>
        <n v="69.179999999999993"/>
        <n v="35.14"/>
        <n v="14.07"/>
        <n v="29.910000000000004"/>
        <n v="9.5"/>
        <n v="11.43"/>
        <n v="140.74"/>
        <n v="75.959999999999994"/>
        <n v="16.11"/>
        <n v="13.26"/>
        <n v="14.16"/>
        <n v="7.75"/>
        <n v="59.6"/>
        <n v="10.28"/>
        <n v="16.61"/>
        <n v="88.48"/>
        <n v="27.92"/>
        <n v="6.58"/>
        <n v="100.35000000000001"/>
        <n v="49.6"/>
        <n v="66.63"/>
        <n v="17.48"/>
        <n v="4.3899999999999997"/>
        <n v="224.88"/>
        <n v="40.98"/>
        <n v="21.64"/>
        <n v="28.380000000000003"/>
        <n v="13.56"/>
        <n v="45.3"/>
        <n v="13.7"/>
        <n v="53.36"/>
        <n v="18.240000000000002"/>
        <n v="38.4"/>
        <n v="161.47999999999999"/>
        <n v="108.74"/>
        <n v="47.71"/>
        <n v="36.6"/>
        <n v="126.4"/>
        <n v="146.91999999999999"/>
        <n v="38.29"/>
        <n v="17.43"/>
        <n v="56.69"/>
        <n v="10.06"/>
        <n v="13.86"/>
        <n v="67.2"/>
        <n v="6.99"/>
        <n v="135.30000000000001"/>
        <n v="46.14"/>
        <n v="88.25"/>
        <n v="112.46"/>
        <n v="90.33"/>
        <n v="87.54"/>
        <n v="30.69"/>
        <n v="161.56"/>
        <n v="7"/>
        <n v="181.14"/>
        <n v="30"/>
        <n v="244.6"/>
        <n v="13.68"/>
        <n v="269.16000000000003"/>
        <n v="185.94"/>
        <n v="337.40000000000003"/>
        <n v="4"/>
        <n v="6.05"/>
        <n v="21.299999999999997"/>
        <n v="15.690000000000001"/>
        <n v="276.8"/>
        <n v="101.8"/>
        <n v="93.8"/>
        <n v="14.46"/>
        <n v="139.68"/>
        <n v="7.96"/>
        <n v="192.8"/>
        <n v="6.9599999999999991"/>
        <n v="20.13"/>
        <n v="12.48"/>
        <n v="15.84"/>
        <n v="38.159999999999997"/>
        <n v="350.34999999999997"/>
        <n v="34.979999999999997"/>
        <n v="66.7"/>
        <n v="14.850000000000001"/>
        <n v="97.77000000000001"/>
        <n v="111.78"/>
        <n v="214.92000000000002"/>
        <n v="100.59"/>
        <n v="23.41"/>
        <n v="15"/>
        <n v="144.74"/>
        <n v="26.299999999999997"/>
        <n v="42.75"/>
        <n v="201.27"/>
        <n v="83.1"/>
        <n v="12.04"/>
        <n v="283.44"/>
        <n v="79.12"/>
        <n v="13.620000000000001"/>
        <n v="19.559999999999999"/>
        <n v="4.13"/>
        <n v="61.679999999999993"/>
        <n v="5.99"/>
        <n v="8.9600000000000009"/>
        <n v="322.40000000000003"/>
        <n v="36.5"/>
        <n v="54.449999999999996"/>
        <n v="7.49"/>
        <n v="69.489999999999995"/>
        <n v="16.23"/>
        <n v="174.62"/>
        <n v="31.18"/>
        <n v="141.12"/>
        <n v="17.36"/>
        <n v="13.34"/>
        <n v="3.63"/>
        <n v="65.989999999999995"/>
        <n v="331.34999999999997"/>
        <n v="130.63999999999999"/>
        <n v="141.96"/>
        <n v="17.64"/>
        <n v="27.52"/>
        <n v="24.26"/>
        <n v="149.44"/>
        <n v="6.88"/>
        <n v="24.849999999999998"/>
        <n v="152.28"/>
        <n v="3.56"/>
        <n v="189.62"/>
        <n v="38.549999999999997"/>
        <n v="9.56"/>
        <n v="215.24"/>
        <n v="21.81"/>
        <n v="55.14"/>
        <n v="65.14"/>
        <n v="57.8"/>
        <n v="100.56"/>
        <n v="268.45"/>
        <n v="36.65"/>
        <n v="42.72"/>
        <n v="27.64"/>
        <n v="25.7"/>
        <n v="2.73"/>
        <n v="134.16"/>
        <n v="31.06"/>
        <n v="6.37"/>
        <n v="26.05"/>
        <n v="68.13"/>
        <n v="17.97"/>
        <n v="117.89999999999999"/>
        <n v="19.200000000000003"/>
        <n v="20.36"/>
        <n v="53.94"/>
        <n v="21.82"/>
        <n v="118.26"/>
        <n v="7.52"/>
        <n v="51.800000000000004"/>
        <n v="12.8"/>
        <n v="7.26"/>
        <n v="76.38"/>
        <n v="115.64"/>
        <n v="125.38"/>
        <n v="136.91999999999999"/>
        <n v="14.45"/>
        <n v="19.41"/>
        <n v="11.129999999999999"/>
        <n v="2.48"/>
        <n v="31.2"/>
        <n v="49.85"/>
        <n v="22.86"/>
        <n v="67.760000000000005"/>
        <n v="15.88"/>
        <n v="9.51"/>
        <n v="33.78"/>
        <n v="25.35"/>
        <n v="49.48"/>
        <n v="136.94"/>
        <n v="264.8"/>
        <n v="22.85"/>
        <n v="50.54"/>
        <n v="7.47"/>
        <n v="36.47"/>
        <n v="98.100000000000009"/>
        <n v="21.2"/>
        <n v="68.31"/>
        <n v="275.32"/>
        <n v="120.92"/>
        <n v="10.119999999999999"/>
        <n v="30.28"/>
        <n v="149.84"/>
        <n v="122.04"/>
        <n v="6.35"/>
        <n v="11.64"/>
        <n v="136.80000000000001"/>
        <n v="29.34"/>
        <n v="13.46"/>
        <n v="5.0999999999999996"/>
        <n v="28.36"/>
        <n v="208.4"/>
        <n v="13.64"/>
        <n v="109.80000000000001"/>
        <n v="63.6"/>
        <n v="137.34"/>
        <n v="17.54"/>
        <n v="35.26"/>
        <n v="63.74"/>
        <n v="50.88"/>
        <n v="6.12"/>
        <n v="12.26"/>
        <n v="10.039999999999999"/>
        <n v="13.38"/>
        <n v="8.9"/>
        <n v="118.48"/>
        <n v="83.36"/>
        <n v="160.29"/>
        <n v="37.479999999999997"/>
        <n v="23.76"/>
        <n v="65.22"/>
        <n v="7.92"/>
        <n v="32.14"/>
        <n v="254.16"/>
        <n v="10.08"/>
        <n v="85.1"/>
        <n v="13.36"/>
        <n v="19.080000000000002"/>
        <n v="15.6"/>
        <n v="28.28"/>
        <n v="58.260000000000005"/>
        <n v="13.48"/>
        <n v="98.82"/>
        <n v="16.5"/>
        <n v="51.31"/>
        <n v="14.64"/>
        <n v="78.69"/>
        <n v="71.67"/>
        <n v="224.16"/>
        <n v="17.16"/>
        <n v="305.2"/>
        <n v="10.379999999999999"/>
        <n v="192.56"/>
        <n v="16.559999999999999"/>
        <n v="9.1"/>
        <n v="31.6"/>
        <n v="29.12"/>
        <n v="133.28"/>
        <n v="4.3499999999999996"/>
        <n v="7.18"/>
        <n v="59.12"/>
        <n v="19.649999999999999"/>
        <n v="8.56"/>
        <n v="281.08"/>
        <n v="12.18"/>
        <n v="13.06"/>
        <n v="104.22"/>
        <n v="100.28999999999999"/>
        <n v="78.36"/>
        <n v="61.84"/>
        <n v="17.399999999999999"/>
        <n v="77.72"/>
        <n v="255.76"/>
        <n v="37.410000000000004"/>
        <n v="4.84"/>
        <n v="5.14"/>
        <n v="23.43"/>
        <n v="28.2"/>
        <n v="8.66"/>
        <n v="62.05"/>
        <n v="220.62"/>
        <n v="14.5"/>
        <n v="89.84"/>
        <n v="15.06"/>
        <n v="5.25"/>
        <n v="59.74"/>
        <n v="86.699999999999989"/>
        <n v="92.85"/>
        <n v="261.08"/>
        <n v="33.299999999999997"/>
        <n v="43.32"/>
        <n v="83.4"/>
        <n v="98.97"/>
        <n v="31.099999999999998"/>
        <n v="74.489999999999995"/>
        <n v="116.54"/>
        <n v="9.4499999999999993"/>
        <n v="70.900000000000006"/>
        <n v="8.18"/>
        <n v="212.21999999999997"/>
        <n v="69.819999999999993"/>
        <n v="55.019999999999996"/>
        <n v="7.04"/>
        <n v="16.14"/>
        <n v="5.04"/>
        <n v="18.87"/>
        <n v="22.56"/>
        <n v="59.38"/>
        <n v="23.48"/>
        <n v="276.14999999999998"/>
        <n v="16.850000000000001"/>
        <n v="10.1"/>
        <n v="8.34"/>
        <n v="97.83"/>
        <n v="16.04"/>
        <n v="325.25"/>
        <n v="27.32"/>
        <n v="59.69"/>
        <n v="32.43"/>
        <n v="5.49"/>
        <n v="19.36"/>
        <n v="57.44"/>
        <n v="7.56"/>
        <n v="108.8"/>
        <n v="37.5"/>
        <n v="247.44"/>
        <n v="12.68"/>
        <n v="35.35"/>
        <n v="48.179999999999993"/>
        <n v="42.63"/>
        <n v="113.96"/>
        <n v="16.29"/>
        <n v="2.88"/>
        <n v="30.44"/>
        <n v="21.509999999999998"/>
        <n v="269.5"/>
        <n v="6.43"/>
        <n v="35.699999999999996"/>
        <n v="170.79"/>
        <n v="21.48"/>
        <n v="38.74"/>
        <n v="8.3000000000000007"/>
        <n v="62.42"/>
        <n v="31.57"/>
        <n v="16.38"/>
        <n v="12.56"/>
        <n v="24.42"/>
        <n v="39.599999999999994"/>
        <n v="7.79"/>
        <n v="79.47"/>
        <n v="101.26"/>
        <n v="26.91"/>
        <n v="6.96"/>
        <n v="73.36"/>
        <n v="164.46"/>
        <n v="16.77"/>
        <n v="87.39"/>
        <n v="15.16"/>
        <n v="4.7300000000000004"/>
        <n v="16.950000000000003"/>
        <n v="186.72"/>
        <n v="16.96"/>
        <n v="162.57"/>
        <n v="14.22"/>
        <n v="134.91999999999999"/>
        <n v="14.48"/>
        <n v="18.899999999999999"/>
        <n v="14.54"/>
        <n v="183.64"/>
        <n v="4.78"/>
        <n v="289.68"/>
        <n v="245.56"/>
        <n v="162.84"/>
        <n v="53.7"/>
        <n v="54.58"/>
        <n v="23.46"/>
        <n v="99.300000000000011"/>
        <n v="6.02"/>
        <n v="15.48"/>
        <n v="15.28"/>
        <n v="22.080000000000002"/>
        <n v="16.59"/>
        <n v="72.39"/>
        <n v="37.14"/>
        <n v="67.06"/>
        <n v="43.26"/>
        <n v="17.47"/>
        <n v="32.79"/>
        <n v="104.62"/>
        <n v="14.75"/>
        <n v="13.62"/>
        <n v="49.7"/>
        <n v="43"/>
        <n v="129.52000000000001"/>
        <n v="39.39"/>
        <n v="16.080000000000002"/>
        <n v="14.100000000000001"/>
        <n v="50.74"/>
        <n v="6.2"/>
        <n v="367.75"/>
        <n v="21.6"/>
        <n v="7.9"/>
        <n v="21.419999999999998"/>
        <n v="62.14"/>
        <n v="41.49"/>
        <n v="13.88"/>
        <n v="15.12"/>
        <n v="94.92"/>
        <n v="91.92"/>
        <n v="112.92"/>
        <n v="96.01"/>
        <n v="5.45"/>
        <n v="7.06"/>
        <n v="10.74"/>
        <n v="81.33"/>
        <n v="22.48"/>
        <n v="28.4"/>
        <n v="114.84"/>
        <n v="33.9"/>
        <n v="39.619999999999997"/>
        <n v="10.82"/>
        <n v="28.88"/>
        <n v="15.03"/>
        <n v="30.150000000000002"/>
        <n v="6.42"/>
        <n v="87.36"/>
        <n v="9.36"/>
        <n v="13.14"/>
        <n v="146.80000000000001"/>
        <n v="15.82"/>
        <n v="116.28"/>
        <n v="6.1"/>
        <n v="21.330000000000002"/>
        <n v="14.370000000000001"/>
        <n v="99.600000000000009"/>
        <n v="278.95999999999998"/>
        <n v="123.64"/>
        <n v="8.94"/>
        <n v="26.45"/>
        <n v="136.38"/>
        <n v="12.98"/>
        <n v="30.38"/>
        <n v="6.48"/>
        <n v="20.07"/>
        <n v="2.69"/>
        <n v="137.46"/>
        <n v="10.72"/>
        <n v="16.350000000000001"/>
        <n v="227.92"/>
        <n v="50.61"/>
        <n v="15.51"/>
        <n v="55.04"/>
        <n v="77.78"/>
        <n v="20.04"/>
        <n v="5.13"/>
        <n v="127.16"/>
        <n v="9.6199999999999992"/>
        <n v="31.150000000000002"/>
        <n v="12.24"/>
        <n v="19.62"/>
        <n v="13.22"/>
        <n v="208.38"/>
        <n v="17.940000000000001"/>
        <n v="45.480000000000004"/>
        <n v="114.32"/>
        <n v="6.18"/>
        <n v="42.839999999999996"/>
        <n v="71.760000000000005"/>
        <n v="3.55"/>
        <n v="48.3"/>
        <n v="12.93"/>
        <n v="7.5"/>
        <n v="97.949999999999989"/>
        <n v="10.220000000000001"/>
        <n v="71.900000000000006"/>
        <n v="18.600000000000001"/>
        <n v="125.04"/>
        <n v="111.24"/>
        <n v="61.17"/>
        <n v="105.27000000000001"/>
        <n v="14.32"/>
        <n v="33.450000000000003"/>
        <n v="14.52"/>
        <n v="10.64"/>
        <n v="32.700000000000003"/>
        <n v="25.44"/>
        <n v="29.4"/>
        <n v="253.25"/>
        <n v="33.24"/>
        <n v="87.26"/>
        <n v="28.68"/>
        <n v="21.09"/>
        <n v="35.270000000000003"/>
        <n v="30.72"/>
        <n v="34.86"/>
        <n v="24.52"/>
        <n v="73.22"/>
        <n v="96.84"/>
        <n v="11.52"/>
        <n v="10.58"/>
        <n v="12.52"/>
        <n v="74.28"/>
        <n v="8.76"/>
        <n v="6.44"/>
        <n v="33.5"/>
        <n v="22.4"/>
        <n v="8.84"/>
        <n v="5.37"/>
        <n v="38.1"/>
        <n v="60.48"/>
        <n v="34.909999999999997"/>
        <n v="12.86"/>
        <n v="36.97"/>
        <n v="34.299999999999997"/>
        <n v="10.42"/>
        <n v="41.19"/>
        <n v="66.989999999999995"/>
        <n v="25.22"/>
        <n v="15.4"/>
        <n v="14.2"/>
        <n v="110.52"/>
        <n v="68.92"/>
        <n v="13"/>
        <n v="91"/>
        <n v="23.44"/>
        <n v="12.72"/>
        <n v="27.08"/>
        <n v="11.01"/>
        <n v="84.32"/>
        <n v="12.14"/>
        <n v="66.260000000000005"/>
        <n v="30.3"/>
        <n v="8.98"/>
        <n v="110.07"/>
        <n v="27.56"/>
        <n v="48.78"/>
        <n v="20.100000000000001"/>
        <n v="21.4"/>
        <n v="18.27"/>
        <n v="64.12"/>
        <n v="6.84"/>
        <n v="12.66"/>
        <n v="7.1"/>
        <n v="77.849999999999994"/>
        <n v="4.91"/>
        <n v="11.88"/>
        <n v="22.740000000000002"/>
        <n v="11.54"/>
        <n v="49.56"/>
        <n v="94.77"/>
        <n v="18.799999999999997"/>
        <n v="52.02"/>
        <n v="40.4"/>
        <n v="5.29"/>
        <n v="29.68"/>
        <n v="344.79999999999995"/>
        <n v="12.76"/>
        <n v="159.12"/>
        <n v="17.700000000000003"/>
        <n v="18.670000000000002"/>
        <n v="172.92000000000002"/>
        <n v="67.03"/>
        <n v="139.28"/>
        <n v="48.58"/>
        <n v="195.71999999999997"/>
        <n v="172.2"/>
        <n v="31.72"/>
        <n v="23.8"/>
        <n v="248.28"/>
        <n v="20.02"/>
        <n v="19.43"/>
        <n v="22.35"/>
        <n v="16.049999999999997"/>
        <n v="27.8"/>
        <n v="11.790000000000001"/>
        <n v="138.91999999999999"/>
        <n v="338.45"/>
        <n v="3.88"/>
        <n v="88.38"/>
        <n v="211.24"/>
        <n v="86.64"/>
        <n v="281.44"/>
        <n v="550.31999999999994"/>
        <n v="98.8"/>
        <n v="119.39999999999999"/>
        <n v="378.72"/>
        <n v="95.97"/>
        <n v="138.69999999999999"/>
        <n v="31.08"/>
        <n v="75.7"/>
        <n v="5.22"/>
        <n v="78"/>
        <n v="739.53"/>
        <n v="70.349999999999994"/>
        <n v="98.73"/>
        <n v="16.7"/>
        <n v="572.29999999999995"/>
        <n v="26.79"/>
        <n v="120.64"/>
        <n v="110.58"/>
        <n v="139.76999999999998"/>
        <n v="82.62"/>
        <n v="114"/>
        <n v="22.82"/>
        <n v="79.2"/>
        <n v="70.400000000000006"/>
        <n v="118.8"/>
        <n v="271.16000000000003"/>
        <n v="19.12"/>
        <n v="99.54"/>
        <n v="265.32"/>
        <n v="39.269999999999996"/>
        <n v="127.52"/>
        <n v="879.4"/>
        <n v="35.75"/>
        <n v="197.84"/>
        <n v="80.58"/>
        <n v="357.12"/>
        <n v="108.06"/>
        <n v="77.400000000000006"/>
        <n v="150.76"/>
        <n v="345.55"/>
        <n v="115.89000000000001"/>
        <n v="307.5"/>
        <n v="19.98"/>
        <n v="141.30000000000001"/>
        <n v="544.11"/>
        <n v="497.28000000000003"/>
        <n v="298.48"/>
        <n v="345.05"/>
        <n v="89.399999999999991"/>
        <n v="519.29999999999995"/>
        <n v="93.43"/>
        <n v="312.60000000000002"/>
        <n v="360.06"/>
        <n v="20.79"/>
        <n v="47.300000000000004"/>
        <n v="36.96"/>
        <n v="57.52"/>
        <n v="147.89999999999998"/>
        <n v="48.93"/>
        <n v="419.13"/>
        <n v="576.36"/>
        <n v="554.22"/>
        <n v="445"/>
        <n v="116.48"/>
        <n v="32.830000000000005"/>
        <n v="142.16999999999999"/>
        <n v="686.49"/>
        <n v="83.68"/>
        <n v="38.79"/>
        <n v="205.76"/>
        <n v="83.3"/>
        <n v="94.19"/>
        <n v="57.36"/>
        <n v="227.68"/>
        <n v="20.65"/>
        <n v="22.6"/>
        <n v="136.02000000000001"/>
        <n v="252.42000000000002"/>
        <n v="247.12"/>
        <n v="303.92"/>
        <n v="164.16"/>
        <n v="48.75"/>
        <n v="108.84"/>
        <n v="186.6"/>
        <n v="374.28000000000003"/>
        <n v="891.80000000000007"/>
        <n v="134.46"/>
        <n v="13.55"/>
        <n v="10.8"/>
        <n v="73.08"/>
        <n v="176.4"/>
        <n v="49.12"/>
        <n v="18.8"/>
        <n v="47.67"/>
        <n v="678.5"/>
        <n v="347.13"/>
        <n v="30.09"/>
        <n v="463.7"/>
        <n v="86.300000000000011"/>
        <n v="120"/>
        <n v="64.89"/>
        <n v="65.25"/>
        <n v="26.64"/>
        <n v="143.65"/>
        <n v="49.32"/>
        <n v="10.59"/>
        <n v="117.2"/>
        <n v="338.03"/>
        <n v="453.15000000000003"/>
        <n v="148.61000000000001"/>
        <n v="51.660000000000004"/>
        <n v="13.84"/>
        <n v="172.7"/>
        <n v="460.46000000000004"/>
        <n v="82.16"/>
        <n v="106.04"/>
        <n v="23.07"/>
        <n v="89.1"/>
        <n v="51.3"/>
        <n v="299.76"/>
        <n v="348.15"/>
        <n v="156.66"/>
        <n v="311.8"/>
        <n v="30.21"/>
        <n v="483.78"/>
        <n v="33.480000000000004"/>
        <n v="171.36"/>
        <n v="11.92"/>
        <n v="64.45"/>
        <n v="213.36"/>
        <n v="9.76"/>
        <n v="16.13"/>
        <n v="218.52"/>
        <n v="216.70000000000002"/>
        <n v="353.72"/>
        <n v="11.18"/>
        <n v="67.91"/>
        <n v="47.8"/>
        <n v="339.4"/>
        <n v="3.43"/>
        <n v="240.5"/>
        <n v="339.48"/>
        <n v="105.58"/>
        <n v="248.43"/>
        <n v="289.60000000000002"/>
        <n v="535.77"/>
        <n v="89.32"/>
        <n v="183.54"/>
        <n v="366.24"/>
        <n v="66.239999999999995"/>
        <n v="120.95"/>
        <n v="348.65000000000003"/>
        <n v="13.080000000000002"/>
        <n v="197.82000000000002"/>
        <n v="18.760000000000002"/>
        <n v="38.78"/>
        <n v="177.7"/>
        <n v="166.56"/>
        <n v="28.48"/>
        <n v="76.98"/>
        <n v="314.04000000000002"/>
        <n v="312.89999999999998"/>
        <n v="384"/>
        <n v="61.62"/>
        <n v="151.44"/>
        <n v="31.56"/>
        <n v="664.59999999999991"/>
        <n v="441.9"/>
        <n v="53.56"/>
        <n v="68.72"/>
        <n v="381.4"/>
        <n v="211.62"/>
        <n v="61.52"/>
        <n v="632.29999999999995"/>
        <n v="301.75"/>
        <n v="202.44"/>
        <n v="22.42"/>
        <n v="321.48"/>
        <n v="181.64"/>
        <n v="21.84"/>
        <n v="369.09999999999997"/>
        <n v="96.539999999999992"/>
        <n v="48.76"/>
        <n v="45.199999999999996"/>
        <n v="76.41"/>
        <n v="386.52"/>
        <n v="164.4"/>
        <n v="168.94"/>
        <n v="18.95"/>
        <n v="30.26"/>
        <n v="28.75"/>
        <n v="5.79"/>
        <n v="60.21"/>
        <n v="100.8"/>
        <n v="23.06"/>
        <n v="35.31"/>
        <n v="128.68"/>
        <n v="83.78"/>
        <n v="47.16"/>
        <n v="69.92"/>
        <n v="52.95"/>
        <n v="35.099999999999994"/>
        <n v="185.64000000000001"/>
        <n v="137.19999999999999"/>
        <n v="14.34"/>
        <n v="126.93"/>
        <n v="46.95"/>
        <n v="130.4"/>
        <n v="474.18"/>
        <n v="66.09"/>
        <n v="167.36"/>
        <n v="212.95000000000002"/>
        <n v="42.94"/>
        <n v="58.320000000000007"/>
        <n v="26.58"/>
        <n v="53.46"/>
        <n v="587.29999999999995"/>
        <n v="979.7"/>
        <n v="50.75"/>
        <n v="2.95"/>
        <n v="136.85999999999999"/>
        <n v="130.9"/>
        <n v="113.89"/>
        <n v="230.04000000000002"/>
        <n v="6.01"/>
        <n v="23.82"/>
        <n v="80.5"/>
        <n v="620.20000000000005"/>
        <n v="170.55"/>
        <n v="310.92"/>
        <n v="48.39"/>
        <n v="392.82"/>
        <n v="77.399999999999991"/>
        <n v="129.36000000000001"/>
        <n v="103.10000000000001"/>
        <n v="135.94"/>
        <n v="372.60999999999996"/>
        <n v="62.08"/>
        <n v="68.52"/>
        <n v="79.239999999999995"/>
        <n v="85.140000000000015"/>
        <n v="170.9"/>
        <n v="178.5"/>
        <n v="540.9"/>
        <n v="9.93"/>
        <n v="531.36"/>
        <n v="5.54"/>
        <n v="12.84"/>
        <n v="58.7"/>
        <n v="106.8"/>
        <n v="414.12"/>
        <n v="111.12"/>
        <n v="72"/>
        <n v="83.72"/>
        <n v="51.5"/>
        <n v="186.1"/>
        <n v="9.33"/>
        <n v="769.52"/>
        <n v="159.1"/>
        <n v="96.78"/>
        <n v="134"/>
        <n v="182.64"/>
        <n v="259.77"/>
        <n v="169.5"/>
        <n v="59.699999999999996"/>
        <n v="105.8"/>
        <n v="542.55999999999995"/>
        <n v="38.76"/>
        <n v="233.29999999999998"/>
        <n v="596.61"/>
        <n v="60.4"/>
        <n v="42.98"/>
        <n v="14.79"/>
        <n v="330.16"/>
        <n v="197"/>
        <n v="269.08"/>
        <n v="372.72"/>
        <n v="53.64"/>
        <n v="316.24"/>
        <n v="37.24"/>
        <n v="18.2"/>
        <n v="597.20000000000005"/>
        <n v="132.93"/>
        <n v="92.66"/>
        <n v="391.02"/>
        <n v="364.23"/>
        <n v="51.570000000000007"/>
        <n v="128.67000000000002"/>
        <n v="311.45999999999998"/>
        <n v="71.400000000000006"/>
        <n v="490.56"/>
        <n v="62.28"/>
        <n v="770.40000000000009"/>
        <n v="507.98999999999995"/>
        <n v="63.209999999999994"/>
        <n v="14.67"/>
        <n v="31.200000000000003"/>
        <n v="223.92999999999998"/>
        <n v="133.89000000000001"/>
        <n v="38.9"/>
        <n v="28.53"/>
        <n v="104.82"/>
        <n v="315.63"/>
        <n v="53.550000000000004"/>
        <n v="149.19999999999999"/>
        <n v="60.36"/>
        <n v="120.32"/>
        <n v="88.24"/>
        <n v="25.72"/>
        <n v="73.2"/>
        <n v="79.100000000000009"/>
        <n v="682.5"/>
        <n v="59.760000000000005"/>
        <n v="349.65000000000003"/>
        <n v="70.8"/>
        <n v="14.82"/>
        <n v="853.74"/>
        <n v="45.02"/>
        <n v="104.67"/>
        <n v="52.89"/>
        <n v="111.51"/>
        <n v="50.16"/>
        <n v="161.22"/>
        <n v="45.04"/>
        <n v="26.53"/>
        <n v="81.72"/>
        <n v="258.16000000000003"/>
        <n v="714.56"/>
        <n v="50.13"/>
        <n v="104.12"/>
        <n v="119.92"/>
        <n v="571.1"/>
        <n v="216.72"/>
        <n v="275.25"/>
        <n v="82.25"/>
        <n v="247.53000000000003"/>
        <n v="336.59999999999997"/>
        <n v="202.5"/>
        <n v="158.76"/>
        <n v="89.34"/>
        <n v="525.84"/>
        <n v="428.6"/>
        <n v="122.56"/>
        <n v="14.92"/>
        <n v="277.90000000000003"/>
        <n v="105.35999999999999"/>
        <n v="14.309999999999999"/>
        <n v="86.02"/>
        <n v="42.38"/>
        <n v="303.55"/>
        <n v="88.26"/>
        <n v="87.04"/>
        <n v="9.31"/>
        <n v="225.54"/>
        <n v="13.919999999999998"/>
        <n v="103.76"/>
        <n v="8.16"/>
        <n v="107.37"/>
        <n v="44.94"/>
        <n v="54.2"/>
        <n v="175.02"/>
        <n v="15.18"/>
        <n v="3.95"/>
        <n v="508.20000000000005"/>
        <n v="12.46"/>
        <n v="12.08"/>
        <n v="30.900000000000002"/>
        <n v="114.64"/>
        <n v="93.14"/>
        <n v="35.56"/>
        <n v="327.04000000000002"/>
        <n v="337"/>
        <n v="8.43"/>
        <n v="69.36"/>
        <n v="28.799999999999997"/>
        <n v="156.47999999999999"/>
        <n v="321.5"/>
        <n v="553.35"/>
        <n v="417.04"/>
        <n v="44.19"/>
        <n v="24.88"/>
        <n v="36.56"/>
        <n v="14.25"/>
        <n v="360.35999999999996"/>
        <n v="39.300000000000004"/>
        <n v="16.46"/>
        <n v="12.43"/>
        <n v="97.859999999999985"/>
        <n v="62.699999999999996"/>
        <n v="327.60000000000002"/>
        <n v="784.30000000000007"/>
        <n v="101.10000000000001"/>
        <n v="35.6"/>
        <n v="43.56"/>
        <n v="25.86"/>
        <n v="140.46"/>
        <n v="38.339999999999996"/>
        <n v="668.01"/>
        <n v="479.21999999999997"/>
        <n v="234.20000000000002"/>
        <n v="253.98"/>
        <n v="64.260000000000005"/>
        <n v="12.23"/>
        <n v="191.31"/>
        <n v="16.84"/>
        <n v="40.619999999999997"/>
        <n v="317.04000000000002"/>
        <n v="70.12"/>
        <n v="44.88"/>
        <n v="80.22"/>
        <n v="231.05"/>
        <n v="186.85"/>
        <n v="130.69999999999999"/>
        <n v="22.1"/>
        <n v="116.37"/>
        <n v="104.45"/>
        <n v="38"/>
        <n v="505.89"/>
        <n v="447.23"/>
        <n v="59"/>
        <n v="148.68"/>
        <n v="454.65000000000003"/>
        <n v="92.72"/>
        <n v="82.91"/>
        <n v="108.71"/>
        <n v="55.31"/>
        <n v="143.30000000000001"/>
        <n v="27.900000000000002"/>
        <n v="65.88"/>
        <n v="313.7"/>
        <n v="181.6"/>
        <n v="30.16"/>
        <n v="11.14"/>
        <n v="149.36000000000001"/>
        <n v="64.62"/>
        <n v="581.28"/>
        <n v="352"/>
        <n v="62.84"/>
        <n v="915.5"/>
        <n v="52.8"/>
        <n v="33.840000000000003"/>
        <n v="88.62"/>
        <n v="170.7"/>
        <n v="251.6"/>
        <n v="28.8"/>
        <n v="114.2"/>
        <n v="8.5500000000000007"/>
        <n v="225.40000000000003"/>
        <n v="19.53"/>
        <n v="387.90000000000003"/>
        <n v="142.10000000000002"/>
        <n v="222.08"/>
        <n v="84.63"/>
        <n v="16.73"/>
        <n v="85.76"/>
        <n v="57.28"/>
        <n v="178.84"/>
        <n v="219.29999999999998"/>
        <n v="85.08"/>
        <n v="72.959999999999994"/>
        <n v="164.64000000000001"/>
        <n v="160.16"/>
        <n v="10.16"/>
        <n v="130.06"/>
        <n v="13.95"/>
        <n v="360.18"/>
        <n v="65.400000000000006"/>
        <n v="150.69999999999999"/>
        <n v="144"/>
        <n v="67.75"/>
        <n v="46.04"/>
        <n v="35.15"/>
        <n v="139.91999999999999"/>
        <n v="411.48"/>
        <n v="13.76"/>
        <n v="91.07"/>
        <n v="2.31"/>
        <n v="136.92000000000002"/>
        <n v="88.96"/>
        <n v="8.9499999999999993"/>
        <n v="343.68"/>
        <n v="73.709999999999994"/>
        <n v="177.28"/>
        <n v="321.89999999999998"/>
        <n v="24.95"/>
        <n v="109.44"/>
        <n v="93.9"/>
        <n v="281.39999999999998"/>
        <n v="300.56"/>
        <n v="11.27"/>
        <n v="220.08"/>
        <n v="315.79999999999995"/>
        <n v="60.64"/>
        <n v="89.02"/>
        <n v="46.07"/>
        <n v="87.5"/>
        <n v="66.240000000000009"/>
        <n v="43.96"/>
        <n v="34.159999999999997"/>
        <n v="214.98"/>
        <n v="6.16"/>
        <n v="281.2"/>
        <n v="64.239999999999995"/>
        <n v="22.72"/>
        <n v="49.66"/>
        <n v="605.16"/>
        <n v="308.2"/>
        <n v="951.3"/>
        <n v="294.5"/>
        <n v="7.5299999999999994"/>
        <n v="69.44"/>
        <n v="56.67"/>
        <n v="241.4"/>
        <n v="457.70000000000005"/>
        <n v="16.36"/>
        <n v="244.08"/>
        <n v="164.75"/>
        <n v="183.4"/>
        <n v="58.449999999999996"/>
        <n v="62.88"/>
        <n v="33.839999999999996"/>
        <n v="97.02"/>
        <n v="87.08"/>
        <n v="125.24"/>
        <n v="197.8"/>
        <n v="36.03"/>
        <n v="95.64"/>
        <n v="69.78"/>
        <n v="38.520000000000003"/>
        <n v="257"/>
        <n v="174.16"/>
        <n v="217.64"/>
        <n v="229.1"/>
        <n v="238.48"/>
        <n v="205.98"/>
        <n v="50.4"/>
        <n v="134.25"/>
        <n v="73.319999999999993"/>
        <n v="34.79"/>
        <n v="514.70000000000005"/>
        <n v="374.48"/>
        <n v="35.450000000000003"/>
        <n v="155.28"/>
        <n v="25.48"/>
        <n v="120.22"/>
        <n v="367.5"/>
        <n v="271"/>
        <n v="43.4"/>
        <n v="92.4"/>
        <n v="56.28"/>
        <n v="32.64"/>
        <n v="10.76"/>
        <n v="64.650000000000006"/>
        <n v="133.82999999999998"/>
        <n v="275.92"/>
        <n v="80.73"/>
        <n v="136.57000000000002"/>
        <n v="56.88"/>
        <n v="456.12"/>
        <n v="158.58000000000001"/>
        <n v="14.49"/>
        <n v="35.549999999999997"/>
        <n v="328.8"/>
        <n v="164.88"/>
        <n v="426.51"/>
        <n v="64.83"/>
        <n v="87.38"/>
        <n v="648.69000000000005"/>
        <n v="90.93"/>
        <n v="138"/>
        <n v="613.52"/>
        <n v="36.68"/>
        <n v="454.15999999999997"/>
        <n v="92.6"/>
        <n v="49.92"/>
        <n v="611.44999999999993"/>
        <n v="112.59"/>
        <n v="409.54999999999995"/>
        <n v="20.950000000000003"/>
        <n v="31.62"/>
        <n v="43.650000000000006"/>
        <n v="265.60000000000002"/>
        <n v="202.08"/>
        <n v="167.94"/>
        <n v="366.2"/>
        <n v="339.28"/>
        <n v="95.68"/>
        <n v="296.70000000000005"/>
        <n v="650.4"/>
        <n v="643.30000000000007"/>
        <n v="277.17"/>
        <n v="51.8"/>
        <n v="132.79999999999998"/>
        <n v="13.47"/>
        <n v="81.08"/>
        <n v="104.04"/>
        <n v="156.16"/>
        <n v="190.8"/>
        <n v="49.51"/>
        <n v="198.24"/>
        <n v="133.38"/>
        <n v="84"/>
        <n v="19.61"/>
        <n v="55.199999999999996"/>
        <n v="81.78"/>
        <n v="39.96"/>
        <n v="5.38"/>
        <n v="80.3"/>
        <n v="228.06"/>
        <n v="111.8"/>
        <n v="132.84"/>
        <n v="607.23"/>
        <n v="193.92"/>
        <n v="126.06"/>
        <n v="759.6"/>
        <n v="27.6"/>
        <n v="386.8"/>
        <n v="522.55999999999995"/>
        <n v="98.839999999999989"/>
        <n v="272.96999999999997"/>
        <n v="12.63"/>
        <n v="86.8"/>
        <n v="295.74"/>
        <n v="147.6"/>
        <n v="664.64"/>
        <n v="30.88"/>
        <n v="353.88"/>
        <n v="33.150000000000006"/>
        <n v="11.82"/>
        <n v="99.399999999999991"/>
        <n v="287"/>
        <n v="49.4"/>
        <n v="102.44999999999999"/>
        <n v="19.82"/>
        <n v="149.08000000000001"/>
        <n v="255.2"/>
        <n v="60.8"/>
        <n v="71.3"/>
        <n v="34.65"/>
        <n v="504.4"/>
        <n v="489.65000000000003"/>
        <n v="26.150000000000002"/>
        <n v="120.60000000000001"/>
        <n v="41.32"/>
        <n v="66.78"/>
        <n v="386.58000000000004"/>
        <n v="60.78"/>
        <n v="153.85"/>
        <n v="70.649999999999991"/>
        <n v="115.99000000000001"/>
        <n v="138.04"/>
        <n v="194.74"/>
        <n v="63.989999999999995"/>
        <n v="171.27"/>
        <n v="28.47"/>
        <n v="155.75"/>
        <n v="575.46"/>
        <n v="74.959999999999994"/>
        <n v="69.150000000000006"/>
        <n v="25.92"/>
        <n v="59.08"/>
        <n v="100.38"/>
        <n v="177.48"/>
        <n v="284.39999999999998"/>
        <n v="209.12"/>
        <n v="58.44"/>
        <n v="9.84"/>
        <n v="184.95000000000002"/>
        <n v="263.16000000000003"/>
        <n v="42.699999999999996"/>
        <n v="19.11"/>
        <n v="380.2"/>
        <n v="15.52"/>
        <n v="13.85"/>
        <n v="400.32"/>
        <n v="91.649999999999991"/>
        <n v="179.92"/>
        <n v="239.16"/>
        <n v="584.46"/>
        <n v="497.52"/>
        <n v="264.85000000000002"/>
        <n v="180.04999999999998"/>
        <n v="15.95"/>
        <n v="20.85"/>
        <n v="55.4"/>
        <n v="126.3"/>
        <n v="274.86"/>
        <n v="381.45000000000005"/>
        <n v="475.37"/>
        <n v="788.4"/>
        <n v="254.85"/>
        <n v="214.56"/>
        <n v="566.30000000000007"/>
        <n v="483.29999999999995"/>
        <n v="71.820000000000007"/>
        <n v="51.1"/>
        <n v="57.959999999999994"/>
        <n v="354.45"/>
        <n v="604.71"/>
        <n v="294.56"/>
        <n v="44.24"/>
        <n v="24.709999999999997"/>
        <n v="333.54999999999995"/>
        <n v="35.49"/>
        <n v="641.16"/>
        <n v="68.94"/>
        <n v="4.42"/>
        <n v="76.52"/>
        <n v="17.5"/>
        <n v="266.56"/>
        <n v="210.07000000000002"/>
        <n v="79"/>
        <n v="272.13"/>
        <n v="98.56"/>
        <n v="147.28"/>
        <n v="188.52"/>
        <n v="107.68"/>
        <n v="403.45"/>
        <n v="73.14"/>
        <n v="143.94"/>
        <n v="133.15"/>
        <n v="36.93"/>
        <n v="43.86"/>
        <n v="24.4"/>
        <n v="29.5"/>
        <n v="223.56"/>
        <n v="180"/>
        <n v="61.900000000000006"/>
        <n v="46.72"/>
        <n v="252.84"/>
        <n v="107.1"/>
        <n v="59.78"/>
        <n v="762.72"/>
        <n v="50.08"/>
        <n v="406.43999999999994"/>
        <n v="329.12"/>
        <n v="122.96"/>
        <n v="218.08"/>
        <n v="243.1"/>
        <n v="37.799999999999997"/>
        <n v="247.2"/>
        <n v="237.60000000000002"/>
        <n v="16.899999999999999"/>
        <n v="32.5"/>
        <n v="398.93"/>
        <n v="178.71"/>
        <n v="16.72"/>
        <n v="311.21999999999997"/>
        <n v="132.96"/>
        <n v="432.99"/>
        <n v="278.85000000000002"/>
        <n v="89.9"/>
        <n v="77.13"/>
        <n v="697.12"/>
        <n v="262.98"/>
        <n v="136.82"/>
        <n v="137.68"/>
        <n v="230.39999999999998"/>
        <n v="149.5"/>
        <n v="55.599999999999994"/>
        <n v="71.19"/>
        <n v="58.550000000000004"/>
        <n v="28"/>
        <n v="266.52"/>
        <n v="53.82"/>
        <n v="580.08000000000004"/>
        <n v="369.12"/>
        <n v="148.16"/>
        <n v="336.63"/>
        <n v="712"/>
        <n v="624.41999999999996"/>
        <n v="73.679999999999993"/>
        <n v="786.42"/>
        <n v="23.32"/>
        <n v="285.84000000000003"/>
        <n v="63.84"/>
        <n v="164.7"/>
        <n v="12.67"/>
        <n v="99.03"/>
        <n v="39.839999999999996"/>
        <n v="402.92"/>
        <n v="275.72000000000003"/>
        <n v="212.58"/>
        <n v="611.46"/>
        <n v="161.94999999999999"/>
        <n v="41.849999999999994"/>
        <n v="44.96"/>
        <n v="561.36"/>
        <n v="63.21"/>
        <n v="44.73"/>
        <n v="158.56"/>
        <n v="501.44"/>
        <n v="121.12"/>
        <n v="133.84"/>
        <n v="28.650000000000002"/>
        <n v="13.28"/>
        <n v="25.9"/>
        <n v="65.789999999999992"/>
        <n v="90.88"/>
        <n v="577.02"/>
        <n v="89.43"/>
        <n v="32.72"/>
        <n v="653.6"/>
        <n v="454.45"/>
        <n v="144.81"/>
        <n v="13.71"/>
        <n v="29.94"/>
        <n v="167.5"/>
        <n v="171.42000000000002"/>
        <n v="11.5"/>
        <n v="217.44"/>
        <n v="663.19999999999993"/>
        <n v="22.44"/>
        <n v="798.5"/>
        <n v="43.65"/>
        <n v="119.48"/>
        <n v="83.64"/>
        <n v="139.1"/>
        <n v="677.88"/>
        <n v="446.88"/>
        <n v="559.09999999999991"/>
        <n v="36.76"/>
        <n v="586.32000000000005"/>
        <n v="870.12000000000012"/>
        <n v="64.28"/>
        <n v="178.38"/>
        <n v="65.64"/>
        <n v="47.2"/>
        <n v="106.6"/>
        <n v="63.26"/>
        <n v="471.51"/>
        <n v="323.58"/>
        <n v="61.449999999999996"/>
        <n v="166.59"/>
        <n v="89.68"/>
        <n v="24.96"/>
        <n v="45.66"/>
        <n v="54.15"/>
        <n v="776.16"/>
        <n v="70.650000000000006"/>
        <n v="73.599999999999994"/>
        <n v="35.9"/>
        <n v="6.64"/>
        <n v="39.06"/>
        <n v="131"/>
        <n v="9.24"/>
        <n v="242.64000000000001"/>
        <n v="313.05"/>
        <n v="395.22"/>
        <n v="193.79999999999998"/>
        <n v="95.16"/>
        <n v="78.42"/>
        <n v="15.600000000000001"/>
        <n v="355.38"/>
        <n v="250.10999999999999"/>
        <n v="25.32"/>
        <n v="831.4"/>
        <n v="48"/>
        <n v="6.87"/>
        <n v="56.72"/>
        <n v="271.25"/>
        <n v="122.94"/>
        <n v="74.16"/>
        <n v="7.98"/>
        <n v="483.84000000000003"/>
        <n v="7.45"/>
        <n v="461.84"/>
        <n v="67.150000000000006"/>
        <n v="107.64"/>
        <n v="296.84999999999997"/>
        <n v="14.29"/>
        <n v="161.69999999999999"/>
        <n v="329.82"/>
        <n v="203.32"/>
        <n v="124.03999999999999"/>
        <n v="42.300000000000004"/>
        <n v="194.05"/>
        <n v="23.64"/>
        <n v="741.44"/>
        <n v="59.18"/>
        <n v="90.8"/>
        <n v="478.38"/>
        <n v="78.259999999999991"/>
        <n v="21.02"/>
        <n v="270.99"/>
        <n v="21.200000000000003"/>
        <n v="166.88"/>
        <n v="144.96"/>
        <n v="472.16"/>
        <n v="364.05"/>
        <n v="42.58"/>
        <n v="19.47"/>
        <n v="645.26"/>
        <n v="224.49"/>
        <n v="75.72"/>
        <n v="137.16"/>
        <n v="93.6"/>
        <n v="605.92000000000007"/>
        <n v="47.339999999999996"/>
        <n v="173.76"/>
        <n v="82.85"/>
        <n v="104.86"/>
        <n v="170.03"/>
        <n v="184.5"/>
        <n v="354.48"/>
        <n v="189.4"/>
        <n v="36.619999999999997"/>
        <n v="466.74"/>
        <n v="39.480000000000004"/>
        <n v="229.64"/>
        <n v="73.710000000000008"/>
        <n v="103.12"/>
        <n v="116.56"/>
        <n v="97.12"/>
        <n v="809.09999999999991"/>
        <n v="67.56"/>
        <n v="187.28"/>
        <n v="441.27"/>
        <n v="19.05"/>
        <n v="52.14"/>
        <n v="409.57"/>
        <n v="23.04"/>
        <n v="16.8"/>
        <n v="80.790000000000006"/>
        <n v="46.980000000000004"/>
        <n v="414.24"/>
        <n v="54.38"/>
        <n v="49.739999999999995"/>
        <n v="17.850000000000001"/>
        <n v="76.86"/>
        <n v="595.08000000000004"/>
        <n v="48.48"/>
        <n v="186.63"/>
        <n v="87.570000000000007"/>
        <n v="432.64"/>
        <n v="540.32000000000005"/>
        <n v="13.66"/>
        <n v="330.42"/>
        <n v="21"/>
        <n v="576.59999999999991"/>
        <n v="4.66"/>
        <n v="39.660000000000004"/>
        <n v="107.17"/>
        <n v="109.98"/>
        <n v="478.31"/>
        <n v="43.76"/>
        <n v="162.19999999999999"/>
        <n v="31.5"/>
        <n v="621.17999999999995"/>
        <n v="281.54999999999995"/>
        <n v="608.85"/>
        <n v="119.13"/>
        <n v="122.28"/>
        <n v="476.09999999999997"/>
        <n v="3.34"/>
        <n v="54.08"/>
        <n v="116.5"/>
        <n v="211.96"/>
        <n v="585.06000000000006"/>
        <n v="121"/>
        <n v="14.74"/>
        <n v="18.63"/>
        <n v="5.94"/>
        <n v="40.320000000000007"/>
        <n v="11.67"/>
        <n v="678"/>
        <n v="37.6"/>
        <n v="51.89"/>
        <n v="121.95"/>
        <n v="470.96000000000004"/>
        <n v="56.46"/>
        <n v="405.79999999999995"/>
        <n v="24.1"/>
        <n v="40.049999999999997"/>
        <n v="46.550000000000004"/>
        <n v="92.34"/>
        <n v="129.87"/>
        <n v="40.14"/>
        <n v="12.299999999999999"/>
        <n v="35.54"/>
        <n v="439.46999999999997"/>
        <n v="610.90000000000009"/>
        <n v="84.75"/>
        <n v="68.28"/>
        <n v="205.12"/>
        <n v="422.64"/>
        <n v="20.52"/>
        <n v="48.65"/>
        <n v="195.75"/>
        <n v="59.84"/>
        <n v="135.9"/>
        <n v="246"/>
        <n v="38.08"/>
        <n v="98.52"/>
        <n v="106.08"/>
        <n v="340.84"/>
        <n v="309.92"/>
        <n v="159"/>
        <n v="115.38"/>
        <n v="653.4"/>
        <n v="313.83"/>
        <n v="118.85999999999999"/>
        <n v="48.11"/>
        <n v="209.8"/>
        <n v="87.8"/>
        <n v="30.12"/>
        <n v="201.74"/>
        <n v="33.479999999999997"/>
        <n v="433.34999999999997"/>
        <n v="281.19"/>
        <n v="114.36"/>
        <n v="530.16"/>
        <n v="317.15999999999997"/>
        <n v="261.58999999999997"/>
        <n v="126.56"/>
        <n v="554"/>
        <n v="383.4"/>
        <n v="146.07"/>
        <n v="23.009999999999998"/>
        <n v="210.6"/>
        <n v="366.66"/>
        <n v="68.550000000000011"/>
        <n v="280.8"/>
        <n v="796.4"/>
        <n v="158.08000000000001"/>
        <n v="114.88"/>
        <n v="48.96"/>
        <n v="292.85000000000002"/>
        <n v="442.33"/>
        <n v="66.2"/>
        <n v="61.44"/>
        <n v="397.43999999999994"/>
        <n v="70.5"/>
        <n v="22.67"/>
        <n v="409.12"/>
        <n v="189.51"/>
        <n v="56.34"/>
        <n v="101.36"/>
        <n v="252.7"/>
        <n v="79.86"/>
        <n v="207.24"/>
        <n v="37.980000000000004"/>
        <n v="445.08000000000004"/>
        <n v="53.24"/>
        <n v="68.699999999999989"/>
        <n v="66.319999999999993"/>
        <n v="16.799999999999997"/>
        <n v="146.04"/>
        <n v="527.6"/>
        <n v="309.60000000000002"/>
        <n v="10.5"/>
        <n v="240.75"/>
        <n v="235.72"/>
        <n v="25.77"/>
        <n v="19.95"/>
        <n v="56.849999999999994"/>
        <n v="650.69999999999993"/>
        <n v="41.43"/>
        <n v="6.78"/>
        <n v="624.9"/>
        <n v="69.099999999999994"/>
        <n v="9.77"/>
        <n v="40.58"/>
        <n v="301.38"/>
        <n v="51.94"/>
        <n v="182.32"/>
        <n v="121.35"/>
        <n v="75.239999999999995"/>
        <n v="49.17"/>
        <n v="378.15"/>
        <n v="63.66"/>
        <n v="199.92"/>
        <n v="193.97"/>
        <n v="116.72"/>
        <n v="186.57"/>
        <n v="92.96"/>
        <n v="70.38"/>
        <n v="381.96"/>
        <n v="613.29999999999995"/>
        <n v="271.44"/>
        <n v="112.5"/>
        <n v="77.05"/>
        <n v="421.9"/>
        <n v="473.1"/>
        <n v="347.35"/>
        <n v="281.45"/>
        <n v="35.58"/>
        <n v="69.06"/>
        <n v="36.840000000000003"/>
        <n v="35.97"/>
        <n v="400.19"/>
        <n v="119.22"/>
        <n v="238.44"/>
        <n v="69.599999999999994"/>
        <n v="98.9"/>
        <n v="559.62"/>
        <n v="36.75"/>
        <n v="97.95"/>
        <n v="611.20000000000005"/>
        <n v="93.87"/>
        <n v="12.65"/>
        <n v="131.49"/>
        <n v="457.28"/>
        <n v="29.64"/>
        <n v="133.58000000000001"/>
        <n v="73.98"/>
        <n v="40.799999999999997"/>
        <n v="233.52"/>
        <n v="34.56"/>
        <n v="28.18"/>
        <n v="3.66"/>
        <n v="94.05"/>
        <n v="373.09999999999997"/>
        <n v="201.68"/>
        <n v="135.19999999999999"/>
        <n v="46.38"/>
        <n v="267.76"/>
        <n v="6.33"/>
        <n v="75.900000000000006"/>
        <n v="235.12"/>
        <n v="202.72"/>
        <n v="65.760000000000005"/>
        <n v="181.28"/>
        <n v="760.08"/>
        <n v="377.56"/>
        <n v="138.35999999999999"/>
        <n v="52.83"/>
        <n v="213.79999999999998"/>
        <n v="329.76"/>
        <n v="439.39000000000004"/>
        <n v="29.58"/>
        <n v="31.47"/>
        <n v="198.17"/>
        <n v="89"/>
        <n v="172.5"/>
        <n v="198.42000000000002"/>
        <n v="342.56"/>
        <n v="36.799999999999997"/>
        <n v="357.07"/>
        <n v="47.04"/>
        <n v="221.24"/>
        <n v="434.16"/>
        <n v="17.649999999999999"/>
        <n v="334.79999999999995"/>
        <n v="46.24"/>
        <n v="224.48"/>
        <n v="77.63"/>
        <n v="142.24"/>
        <n v="14.28"/>
        <n v="134.35"/>
        <n v="133"/>
        <n v="279.39999999999998"/>
        <n v="180.74"/>
        <n v="411"/>
        <n v="644.85"/>
        <n v="9.85"/>
        <n v="156.15"/>
        <n v="393.75"/>
        <n v="50.56"/>
        <n v="18.299999999999997"/>
        <n v="72.900000000000006"/>
        <n v="63.49"/>
        <n v="31.04"/>
        <n v="18.419999999999998"/>
        <n v="127.89000000000001"/>
        <n v="9.0500000000000007"/>
        <n v="754.56000000000006"/>
        <n v="29.84"/>
        <n v="32.92"/>
        <n v="424.98"/>
        <n v="146.37"/>
        <n v="145.07999999999998"/>
        <n v="121.45000000000002"/>
        <n v="49.14"/>
        <n v="62.24"/>
        <n v="577.62000000000012"/>
        <n v="64.150000000000006"/>
        <n v="377.15999999999997"/>
        <n v="26.849999999999998"/>
        <n v="43.8"/>
        <n v="246.75"/>
        <n v="368.8"/>
        <n v="80.319999999999993"/>
        <n v="94.84"/>
        <n v="263.8"/>
        <n v="375.92"/>
        <n v="310.41000000000003"/>
        <n v="77.599999999999994"/>
        <n v="343.08"/>
        <n v="191.52"/>
        <n v="184.1"/>
        <n v="492.78"/>
        <n v="70.25"/>
        <n v="53.34"/>
        <n v="195.60000000000002"/>
        <n v="81.5"/>
        <n v="447.85999999999996"/>
        <n v="695.43"/>
        <n v="225.96"/>
        <n v="109.17"/>
        <n v="183.68"/>
        <n v="244.01999999999998"/>
        <n v="11.55"/>
        <n v="32.479999999999997"/>
        <n v="462.63"/>
        <n v="53.84"/>
        <n v="96.5"/>
        <n v="88.2"/>
        <n v="225.52"/>
        <n v="137.26"/>
        <n v="264.7"/>
        <n v="185.3"/>
        <n v="12"/>
        <n v="27.9"/>
        <n v="299.70000000000005"/>
        <n v="948.7"/>
        <n v="22.2"/>
        <n v="65.55"/>
        <n v="533.91999999999996"/>
        <n v="23.79"/>
        <n v="380.08"/>
        <n v="58.42"/>
        <n v="462.51"/>
        <n v="169.1"/>
        <n v="122"/>
        <n v="783.99"/>
        <n v="373.92"/>
        <n v="16.600000000000001"/>
        <n v="69"/>
        <n v="296.75"/>
        <n v="291.68"/>
        <n v="94.89"/>
        <n v="156.82"/>
        <n v="81"/>
        <n v="38.56"/>
        <n v="459.3"/>
        <n v="73.64"/>
        <n v="358.83"/>
        <n v="16.78"/>
        <n v="422.8"/>
        <n v="247.15"/>
        <n v="394.16"/>
        <n v="309.83999999999997"/>
        <n v="319.7"/>
        <n v="56.18"/>
        <n v="33.06"/>
        <n v="191.44"/>
        <n v="285.88"/>
        <n v="86.52"/>
        <n v="121.78"/>
        <n v="76.040000000000006"/>
        <n v="140.63"/>
        <n v="20.440000000000001"/>
        <n v="79.599999999999994"/>
        <n v="339.79999999999995"/>
        <n v="163.92000000000002"/>
        <n v="169.62"/>
        <n v="192.06"/>
        <n v="52.84"/>
        <n v="465.2"/>
        <n v="498.48"/>
        <n v="651.29999999999995"/>
        <n v="57.96"/>
        <n v="820.17"/>
        <n v="13.24"/>
        <n v="460.8"/>
        <n v="29.26"/>
        <n v="45.36"/>
        <n v="462.69999999999993"/>
        <n v="487.62"/>
        <n v="127.12"/>
        <n v="145.34"/>
        <n v="461.04"/>
        <n v="48.900000000000006"/>
        <n v="93.66"/>
        <n v="303.48"/>
        <n v="30.34"/>
        <n v="852.8"/>
        <n v="371.82"/>
        <n v="47"/>
        <n v="3.21"/>
        <n v="117.10000000000001"/>
        <n v="363.58"/>
        <n v="14.879999999999999"/>
        <n v="42.4"/>
        <n v="799.92"/>
        <n v="258.27999999999997"/>
        <n v="222.8"/>
        <n v="19.2"/>
        <n v="48.72"/>
        <n v="27.37"/>
        <n v="56.7"/>
        <n v="71.44"/>
        <n v="66.06"/>
        <n v="861.84"/>
        <n v="203.1"/>
        <n v="74.88"/>
        <n v="601.79"/>
        <n v="941.59999999999991"/>
        <n v="384.08"/>
        <n v="387.2"/>
        <n v="388.38"/>
        <n v="241.96"/>
        <n v="97"/>
        <n v="14.6"/>
        <n v="362.21999999999997"/>
        <n v="16.52"/>
        <n v="351.78000000000003"/>
        <n v="380.04"/>
        <n v="22.259999999999998"/>
        <n v="36.800000000000004"/>
        <n v="34.200000000000003"/>
        <n v="439.2"/>
        <n v="337.24"/>
        <n v="675.81000000000006"/>
        <n v="147.87"/>
        <n v="615.36"/>
        <n v="66.399999999999991"/>
        <n v="31.92"/>
        <n v="948"/>
        <n v="595.35"/>
        <n v="13.379999999999999"/>
        <n v="88.649999999999991"/>
        <n v="117.84"/>
        <n v="55.16"/>
        <n v="453.51"/>
        <n v="32.119999999999997"/>
        <n v="400.79999999999995"/>
        <n v="670.1"/>
        <n v="14.58"/>
        <n v="495.29999999999995"/>
        <n v="39.35"/>
        <n v="86.1"/>
        <n v="13.8"/>
        <n v="788.6"/>
        <n v="274.53000000000003"/>
        <n v="43.3"/>
        <n v="2.36"/>
        <n v="761.80000000000007"/>
        <n v="76.239999999999995"/>
        <n v="111.72"/>
        <n v="6.55"/>
        <n v="267.36"/>
        <n v="719.68"/>
        <n v="182.67000000000002"/>
        <n v="661.68"/>
        <n v="2.64"/>
        <n v="488.6"/>
        <n v="218.67000000000002"/>
        <n v="37.119999999999997"/>
        <n v="13.5"/>
        <n v="233.04"/>
        <n v="22.3"/>
        <n v="7.6"/>
        <n v="176.35000000000002"/>
        <n v="615.1"/>
        <n v="718.56000000000006"/>
        <n v="269.56"/>
        <n v="454.23"/>
        <n v="207.89999999999998"/>
        <n v="49.68"/>
        <n v="641.34"/>
        <n v="40.82"/>
        <n v="667.89"/>
        <n v="435.33"/>
        <n v="28.450000000000003"/>
        <n v="432.84000000000003"/>
        <n v="301.44"/>
        <n v="493.7"/>
        <n v="378.56"/>
        <n v="39.54"/>
        <n v="126"/>
        <n v="504.18"/>
        <n v="395.09999999999997"/>
        <n v="260.32"/>
        <n v="73.72"/>
        <n v="51.480000000000004"/>
        <n v="35.44"/>
        <n v="550.17000000000007"/>
        <n v="311.55"/>
        <n v="51.38"/>
        <n v="66.52"/>
        <n v="201.51"/>
        <n v="201.2"/>
        <n v="22.94"/>
        <n v="60.300000000000004"/>
        <n v="69.3"/>
        <n v="514"/>
        <n v="42"/>
        <n v="42.28"/>
        <n v="332.28"/>
        <n v="27.05"/>
        <n v="443.8"/>
        <n v="408.06000000000006"/>
        <n v="103.5"/>
        <n v="669"/>
        <n v="17.2"/>
        <n v="4.55"/>
        <n v="24.15"/>
        <n v="546.70000000000005"/>
        <n v="90.509999999999991"/>
        <n v="10.3"/>
        <n v="351.05"/>
        <n v="5.18"/>
        <n v="498.96000000000004"/>
        <n v="564.54"/>
        <n v="407.29999999999995"/>
        <n v="265.39999999999998"/>
        <n v="152.96"/>
        <n v="30.299999999999997"/>
        <n v="92.699999999999989"/>
        <n v="201.12"/>
        <n v="447.57"/>
        <n v="82"/>
        <n v="257.18"/>
        <n v="154.89000000000001"/>
        <n v="275.66000000000003"/>
        <n v="76.64"/>
        <n v="762.30000000000007"/>
        <n v="223.41"/>
        <n v="232.88"/>
        <n v="449.52"/>
        <n v="660.06000000000006"/>
        <n v="23.52"/>
        <n v="217.29000000000002"/>
        <n v="51.179999999999993"/>
        <n v="270.65000000000003"/>
        <n v="175.62"/>
        <n v="262.08"/>
        <n v="32"/>
        <n v="28.74"/>
        <n v="76.2"/>
        <n v="49.86"/>
        <n v="191.96999999999997"/>
        <n v="40.11"/>
        <n v="205.24"/>
        <n v="9.16"/>
        <n v="314.94"/>
        <n v="479.36"/>
        <n v="580.37"/>
        <n v="4.2"/>
        <n v="31.400000000000002"/>
        <n v="804.80000000000007"/>
        <n v="428.9"/>
        <n v="9.68"/>
        <n v="65.599999999999994"/>
        <n v="8.8800000000000008"/>
        <n v="371.61"/>
        <n v="35.76"/>
        <n v="5.46"/>
        <n v="42.929999999999993"/>
        <n v="132.5"/>
        <n v="397.59999999999997"/>
        <n v="95.9"/>
        <n v="610.02"/>
        <n v="5.63"/>
        <n v="364"/>
        <n v="10.56"/>
        <n v="19.040000000000003"/>
        <n v="23.28"/>
        <n v="317.94"/>
        <n v="580.1"/>
        <n v="40.599999999999994"/>
        <n v="558.06000000000006"/>
        <n v="152.72999999999999"/>
        <n v="586.98"/>
        <n v="9.3000000000000007"/>
        <n v="553.1"/>
        <n v="297.12"/>
        <n v="88.23"/>
        <n v="68.850000000000009"/>
        <n v="629.6"/>
        <n v="26.73"/>
        <n v="4.68"/>
        <n v="234.54"/>
        <n v="245.43"/>
        <n v="218.73"/>
        <n v="257.27999999999997"/>
        <n v="142.19999999999999"/>
        <n v="26.75"/>
        <n v="111.56"/>
        <n v="39.449999999999996"/>
        <n v="18.84"/>
        <n v="66.599999999999994"/>
        <n v="345.79999999999995"/>
        <n v="74.400000000000006"/>
        <n v="22.410000000000004"/>
        <n v="11.72"/>
        <n v="748.17"/>
        <n v="81.459999999999994"/>
        <n v="85.67"/>
        <n v="57.050000000000004"/>
        <n v="31.28"/>
        <n v="298.8"/>
        <n v="520.20000000000005"/>
        <n v="128.28"/>
        <n v="570.20000000000005"/>
        <n v="607.77"/>
        <n v="12.01"/>
        <n v="15.76"/>
        <n v="360.84999999999997"/>
        <n v="503.28"/>
        <n v="964.7"/>
        <n v="7.93"/>
        <n v="147.42000000000002"/>
        <n v="522.16"/>
        <n v="28.080000000000002"/>
        <n v="150.34"/>
        <n v="90.47"/>
        <n v="19.169999999999998"/>
        <n v="439.7"/>
        <n v="26.08"/>
        <n v="406.77"/>
        <n v="245"/>
        <n v="36.9"/>
        <n v="332.28000000000003"/>
        <n v="289.8"/>
        <n v="195.32999999999998"/>
        <n v="11"/>
        <n v="52.080000000000005"/>
        <n v="28.979999999999997"/>
        <n v="3.92"/>
        <n v="430"/>
        <n v="64.3"/>
        <n v="123.26"/>
        <n v="275.45000000000005"/>
        <n v="191.22"/>
        <n v="38.64"/>
        <n v="53.620000000000005"/>
        <n v="218.96"/>
        <n v="388.72"/>
        <n v="190.38"/>
        <n v="262.32"/>
        <n v="258.42"/>
        <n v="685.71999999999991"/>
        <n v="39.92"/>
        <n v="161.98000000000002"/>
        <n v="241.16"/>
        <n v="2.54"/>
        <n v="311.60000000000002"/>
        <n v="168.48"/>
        <n v="8.4600000000000009"/>
        <n v="111.82"/>
        <n v="68.899999999999991"/>
        <n v="230.13"/>
        <n v="176.01"/>
        <n v="168.70000000000002"/>
        <n v="254.25"/>
        <n v="32.9"/>
        <n v="175"/>
        <n v="333.90000000000003"/>
        <n v="110.79"/>
        <n v="56.629999999999995"/>
        <n v="67.12"/>
        <n v="4.62"/>
        <n v="517.09"/>
        <n v="449.09999999999997"/>
        <n v="171.04"/>
        <n v="558.32000000000005"/>
        <n v="381.15000000000003"/>
        <n v="25.85"/>
        <n v="12.36"/>
        <n v="7.66"/>
        <n v="39.68"/>
        <n v="105.2"/>
        <n v="88.320000000000007"/>
        <n v="472.75"/>
        <n v="157.56"/>
        <n v="59.400000000000006"/>
        <n v="682.21999999999991"/>
        <n v="464.84999999999997"/>
        <n v="29.369999999999997"/>
        <n v="163.84"/>
        <n v="172.35"/>
        <n v="110.88"/>
        <n v="35.32"/>
        <n v="36.200000000000003"/>
        <n v="585.62"/>
        <n v="417.55"/>
        <n v="65.06"/>
        <n v="231.55"/>
        <n v="143.75"/>
        <n v="70.740000000000009"/>
        <n v="69.08"/>
        <n v="104.64"/>
        <n v="285.08"/>
        <n v="470.64"/>
        <n v="218.68"/>
        <n v="200.94"/>
        <n v="11.42"/>
        <n v="270.48"/>
        <n v="37.1"/>
        <n v="17.100000000000001"/>
        <n v="41.3"/>
        <n v="23.84"/>
        <n v="146.16"/>
        <n v="76.5"/>
        <n v="72.48"/>
        <n v="63.449999999999996"/>
        <n v="568.80000000000007"/>
        <n v="11.15"/>
        <n v="11.2"/>
        <n v="430.57"/>
        <n v="406.68"/>
        <n v="533.84"/>
        <n v="6.81"/>
        <n v="14.190000000000001"/>
        <n v="103.44"/>
        <n v="177.14999999999998"/>
        <n v="30.51"/>
        <n v="156.75"/>
        <n v="451.62"/>
        <n v="169.44"/>
        <n v="35.629999999999995"/>
        <n v="43.98"/>
        <n v="287.98"/>
        <n v="239.72"/>
        <n v="111.9"/>
        <n v="215.74"/>
        <n v="91.64"/>
        <n v="588.4"/>
        <n v="382.75"/>
        <n v="570.24"/>
        <n v="311.84999999999997"/>
        <n v="412.78999999999996"/>
        <n v="387.84"/>
        <n v="119.18"/>
        <n v="9.34"/>
        <n v="662.12999999999988"/>
        <n v="283.8"/>
        <n v="24.64"/>
        <n v="38.71"/>
        <n v="197.73"/>
        <n v="223.12"/>
        <n v="39.6"/>
        <n v="611.70000000000005"/>
        <n v="274.54999999999995"/>
        <n v="747.2"/>
        <n v="355.95"/>
        <n v="232.04999999999998"/>
        <n v="37.729999999999997"/>
        <n v="70.42"/>
        <n v="78.899999999999991"/>
        <n v="463.20000000000005"/>
        <n v="226.68"/>
        <n v="53.44"/>
        <n v="690.12000000000012"/>
        <n v="26.910000000000004"/>
        <n v="13.59"/>
        <n v="100.7"/>
        <n v="30.310000000000002"/>
        <n v="9.1999999999999993"/>
        <n v="358.36"/>
        <n v="247.64999999999998"/>
        <n v="4.93"/>
        <n v="7.3"/>
        <n v="199.35"/>
        <n v="8.1"/>
        <n v="73.3"/>
        <n v="99"/>
        <n v="482.58000000000004"/>
        <n v="267.60000000000002"/>
        <n v="29.880000000000003"/>
        <n v="60.16"/>
        <n v="208.89"/>
        <n v="95.22"/>
        <n v="813.6"/>
        <n v="131.96"/>
        <n v="61.050000000000004"/>
        <n v="357.71999999999997"/>
        <n v="17.079999999999998"/>
        <n v="235.84"/>
        <n v="471.06000000000006"/>
        <n v="142.96"/>
        <n v="38.28"/>
        <n v="532.1"/>
        <n v="298.95999999999998"/>
        <n v="591.5"/>
        <n v="531.1"/>
        <n v="133.29"/>
        <n v="28.11"/>
        <n v="655.37999999999988"/>
        <n v="534.24"/>
        <n v="227.37"/>
        <n v="15.56"/>
        <n v="78.97"/>
        <n v="72.359999999999985"/>
        <n v="527.13"/>
        <n v="101.97"/>
        <n v="543.68999999999994"/>
        <n v="279"/>
        <n v="17.52"/>
        <n v="242.88"/>
        <n v="456.66"/>
        <n v="187.8"/>
        <n v="225.28"/>
        <n v="46.32"/>
        <n v="444.71000000000004"/>
        <n v="463.9"/>
        <n v="66.44"/>
        <n v="29.04"/>
        <n v="599.49"/>
        <n v="472.91999999999996"/>
        <n v="27.2"/>
        <n v="19.440000000000001"/>
        <n v="830.5"/>
        <n v="146.28"/>
        <n v="200.39999999999998"/>
        <n v="585.91999999999996"/>
        <n v="186.96"/>
        <n v="45.49"/>
        <n v="547.82999999999993"/>
        <n v="39.69"/>
        <n v="24.18"/>
        <n v="48.18"/>
        <n v="219.1"/>
        <n v="316.72000000000003"/>
        <n v="76.62"/>
        <n v="11.07"/>
        <n v="132.44"/>
        <n v="2.1800000000000002"/>
        <n v="15.049999999999999"/>
        <n v="38.32"/>
        <n v="86.4"/>
        <n v="430.38"/>
        <n v="292.56"/>
        <n v="253.2"/>
        <n v="178.92000000000002"/>
        <n v="61.11"/>
        <n v="546.4"/>
        <n v="348.25"/>
      </sharedItems>
    </cacheField>
    <cacheField name="Payment" numFmtId="0">
      <sharedItems count="3">
        <s v="Credit card"/>
        <s v="Cash"/>
        <s v="Ewallet"/>
      </sharedItems>
    </cacheField>
    <cacheField name="Rating" numFmtId="2">
      <sharedItems containsSemiMixedTypes="0" containsString="0" containsNumber="1" minValue="3" maxValue="10"/>
    </cacheField>
  </cacheFields>
  <extLst>
    <ext xmlns:x14="http://schemas.microsoft.com/office/spreadsheetml/2009/9/main" uri="{725AE2AE-9491-48be-B2B4-4EB974FC3084}">
      <x14:pivotCacheDefinition pivotCacheId="1686156859"/>
    </ext>
  </extLst>
</pivotCacheDefinition>
</file>

<file path=xl/pivotCache/pivotCacheRecords1.xml><?xml version="1.0" encoding="utf-8"?>
<pivotCacheRecords xmlns="http://schemas.openxmlformats.org/spreadsheetml/2006/main" xmlns:r="http://schemas.openxmlformats.org/officeDocument/2006/relationships" count="5053">
  <r>
    <x v="0"/>
    <x v="0"/>
    <x v="0"/>
    <x v="0"/>
    <x v="0"/>
    <n v="84.63"/>
    <n v="10"/>
    <x v="0"/>
    <x v="0"/>
    <n v="9"/>
  </r>
  <r>
    <x v="0"/>
    <x v="1"/>
    <x v="1"/>
    <x v="0"/>
    <x v="1"/>
    <n v="63.22"/>
    <n v="2"/>
    <x v="1"/>
    <x v="1"/>
    <n v="8.5"/>
  </r>
  <r>
    <x v="0"/>
    <x v="0"/>
    <x v="1"/>
    <x v="0"/>
    <x v="1"/>
    <n v="74.709999999999994"/>
    <n v="6"/>
    <x v="2"/>
    <x v="1"/>
    <n v="6.7"/>
  </r>
  <r>
    <x v="0"/>
    <x v="1"/>
    <x v="0"/>
    <x v="0"/>
    <x v="2"/>
    <n v="36.979999999999997"/>
    <n v="10"/>
    <x v="3"/>
    <x v="0"/>
    <n v="7"/>
  </r>
  <r>
    <x v="0"/>
    <x v="2"/>
    <x v="0"/>
    <x v="0"/>
    <x v="2"/>
    <n v="27.04"/>
    <n v="4"/>
    <x v="4"/>
    <x v="2"/>
    <n v="6.9"/>
  </r>
  <r>
    <x v="0"/>
    <x v="2"/>
    <x v="1"/>
    <x v="0"/>
    <x v="3"/>
    <n v="65.739999999999995"/>
    <n v="9"/>
    <x v="5"/>
    <x v="1"/>
    <n v="7.7"/>
  </r>
  <r>
    <x v="0"/>
    <x v="2"/>
    <x v="0"/>
    <x v="1"/>
    <x v="4"/>
    <n v="47.59"/>
    <n v="8"/>
    <x v="6"/>
    <x v="1"/>
    <n v="5.7"/>
  </r>
  <r>
    <x v="0"/>
    <x v="2"/>
    <x v="1"/>
    <x v="1"/>
    <x v="2"/>
    <n v="72.61"/>
    <n v="6"/>
    <x v="7"/>
    <x v="0"/>
    <n v="6.9"/>
  </r>
  <r>
    <x v="0"/>
    <x v="1"/>
    <x v="1"/>
    <x v="1"/>
    <x v="5"/>
    <n v="62.87"/>
    <n v="2"/>
    <x v="8"/>
    <x v="1"/>
    <n v="5"/>
  </r>
  <r>
    <x v="0"/>
    <x v="0"/>
    <x v="1"/>
    <x v="1"/>
    <x v="0"/>
    <n v="21.12"/>
    <n v="8"/>
    <x v="9"/>
    <x v="1"/>
    <n v="6.3"/>
  </r>
  <r>
    <x v="0"/>
    <x v="1"/>
    <x v="0"/>
    <x v="0"/>
    <x v="2"/>
    <n v="29.22"/>
    <n v="6"/>
    <x v="10"/>
    <x v="2"/>
    <n v="5"/>
  </r>
  <r>
    <x v="0"/>
    <x v="2"/>
    <x v="0"/>
    <x v="0"/>
    <x v="1"/>
    <n v="74.22"/>
    <n v="10"/>
    <x v="11"/>
    <x v="0"/>
    <n v="4.3"/>
  </r>
  <r>
    <x v="1"/>
    <x v="2"/>
    <x v="1"/>
    <x v="1"/>
    <x v="2"/>
    <n v="42.47"/>
    <n v="1"/>
    <x v="12"/>
    <x v="1"/>
    <n v="5.7"/>
  </r>
  <r>
    <x v="1"/>
    <x v="0"/>
    <x v="0"/>
    <x v="1"/>
    <x v="3"/>
    <n v="40.61"/>
    <n v="9"/>
    <x v="13"/>
    <x v="1"/>
    <n v="7"/>
  </r>
  <r>
    <x v="1"/>
    <x v="0"/>
    <x v="1"/>
    <x v="1"/>
    <x v="2"/>
    <n v="44.63"/>
    <n v="6"/>
    <x v="14"/>
    <x v="0"/>
    <n v="5.0999999999999996"/>
  </r>
  <r>
    <x v="1"/>
    <x v="2"/>
    <x v="0"/>
    <x v="1"/>
    <x v="0"/>
    <n v="41.66"/>
    <n v="6"/>
    <x v="15"/>
    <x v="2"/>
    <n v="5.6"/>
  </r>
  <r>
    <x v="1"/>
    <x v="1"/>
    <x v="0"/>
    <x v="0"/>
    <x v="2"/>
    <n v="31.67"/>
    <n v="8"/>
    <x v="16"/>
    <x v="0"/>
    <n v="5.6"/>
  </r>
  <r>
    <x v="1"/>
    <x v="0"/>
    <x v="1"/>
    <x v="0"/>
    <x v="5"/>
    <n v="34.21"/>
    <n v="10"/>
    <x v="17"/>
    <x v="1"/>
    <n v="5.0999999999999996"/>
  </r>
  <r>
    <x v="1"/>
    <x v="0"/>
    <x v="1"/>
    <x v="1"/>
    <x v="1"/>
    <n v="22.01"/>
    <n v="6"/>
    <x v="18"/>
    <x v="1"/>
    <n v="7.6"/>
  </r>
  <r>
    <x v="1"/>
    <x v="1"/>
    <x v="1"/>
    <x v="1"/>
    <x v="3"/>
    <n v="99.82"/>
    <n v="2"/>
    <x v="19"/>
    <x v="0"/>
    <n v="6.7"/>
  </r>
  <r>
    <x v="2"/>
    <x v="0"/>
    <x v="1"/>
    <x v="0"/>
    <x v="4"/>
    <n v="63.15"/>
    <n v="6"/>
    <x v="20"/>
    <x v="2"/>
    <n v="9.8000000000000007"/>
  </r>
  <r>
    <x v="2"/>
    <x v="1"/>
    <x v="0"/>
    <x v="1"/>
    <x v="5"/>
    <n v="75.88"/>
    <n v="1"/>
    <x v="21"/>
    <x v="0"/>
    <n v="7.1"/>
  </r>
  <r>
    <x v="2"/>
    <x v="0"/>
    <x v="1"/>
    <x v="1"/>
    <x v="2"/>
    <n v="93.38"/>
    <n v="1"/>
    <x v="22"/>
    <x v="1"/>
    <n v="9.6"/>
  </r>
  <r>
    <x v="2"/>
    <x v="2"/>
    <x v="1"/>
    <x v="1"/>
    <x v="5"/>
    <n v="70.010000000000005"/>
    <n v="5"/>
    <x v="23"/>
    <x v="2"/>
    <n v="5.5"/>
  </r>
  <r>
    <x v="2"/>
    <x v="2"/>
    <x v="1"/>
    <x v="0"/>
    <x v="5"/>
    <n v="23.03"/>
    <n v="9"/>
    <x v="24"/>
    <x v="2"/>
    <n v="7.9"/>
  </r>
  <r>
    <x v="2"/>
    <x v="1"/>
    <x v="0"/>
    <x v="0"/>
    <x v="5"/>
    <n v="21.12"/>
    <n v="2"/>
    <x v="25"/>
    <x v="1"/>
    <n v="9.6999999999999993"/>
  </r>
  <r>
    <x v="2"/>
    <x v="2"/>
    <x v="1"/>
    <x v="0"/>
    <x v="4"/>
    <n v="67.09"/>
    <n v="5"/>
    <x v="26"/>
    <x v="0"/>
    <n v="9.1"/>
  </r>
  <r>
    <x v="2"/>
    <x v="0"/>
    <x v="0"/>
    <x v="1"/>
    <x v="5"/>
    <n v="62"/>
    <n v="8"/>
    <x v="27"/>
    <x v="0"/>
    <n v="6.2"/>
  </r>
  <r>
    <x v="3"/>
    <x v="0"/>
    <x v="1"/>
    <x v="1"/>
    <x v="2"/>
    <n v="46.42"/>
    <n v="3"/>
    <x v="28"/>
    <x v="0"/>
    <n v="4.4000000000000004"/>
  </r>
  <r>
    <x v="3"/>
    <x v="2"/>
    <x v="0"/>
    <x v="1"/>
    <x v="5"/>
    <n v="20.97"/>
    <n v="5"/>
    <x v="29"/>
    <x v="1"/>
    <n v="7.8"/>
  </r>
  <r>
    <x v="3"/>
    <x v="1"/>
    <x v="0"/>
    <x v="0"/>
    <x v="1"/>
    <n v="66.650000000000006"/>
    <n v="9"/>
    <x v="30"/>
    <x v="0"/>
    <n v="9.6999999999999993"/>
  </r>
  <r>
    <x v="3"/>
    <x v="2"/>
    <x v="0"/>
    <x v="0"/>
    <x v="4"/>
    <n v="35.54"/>
    <n v="10"/>
    <x v="31"/>
    <x v="2"/>
    <n v="7"/>
  </r>
  <r>
    <x v="3"/>
    <x v="0"/>
    <x v="0"/>
    <x v="0"/>
    <x v="3"/>
    <n v="68.709999999999994"/>
    <n v="4"/>
    <x v="32"/>
    <x v="1"/>
    <n v="4.0999999999999996"/>
  </r>
  <r>
    <x v="3"/>
    <x v="0"/>
    <x v="0"/>
    <x v="1"/>
    <x v="1"/>
    <n v="72.17"/>
    <n v="1"/>
    <x v="33"/>
    <x v="1"/>
    <n v="6.1"/>
  </r>
  <r>
    <x v="4"/>
    <x v="1"/>
    <x v="0"/>
    <x v="0"/>
    <x v="3"/>
    <n v="31.9"/>
    <n v="1"/>
    <x v="34"/>
    <x v="2"/>
    <n v="9.1"/>
  </r>
  <r>
    <x v="4"/>
    <x v="1"/>
    <x v="1"/>
    <x v="1"/>
    <x v="3"/>
    <n v="27.38"/>
    <n v="6"/>
    <x v="35"/>
    <x v="0"/>
    <n v="7.9"/>
  </r>
  <r>
    <x v="4"/>
    <x v="0"/>
    <x v="0"/>
    <x v="0"/>
    <x v="4"/>
    <n v="35.380000000000003"/>
    <n v="9"/>
    <x v="36"/>
    <x v="0"/>
    <n v="9.6"/>
  </r>
  <r>
    <x v="4"/>
    <x v="1"/>
    <x v="1"/>
    <x v="0"/>
    <x v="3"/>
    <n v="76.06"/>
    <n v="3"/>
    <x v="37"/>
    <x v="0"/>
    <n v="9.8000000000000007"/>
  </r>
  <r>
    <x v="4"/>
    <x v="2"/>
    <x v="0"/>
    <x v="0"/>
    <x v="5"/>
    <n v="74.69"/>
    <n v="7"/>
    <x v="38"/>
    <x v="2"/>
    <n v="9.1"/>
  </r>
  <r>
    <x v="4"/>
    <x v="0"/>
    <x v="1"/>
    <x v="0"/>
    <x v="0"/>
    <n v="71.2"/>
    <n v="1"/>
    <x v="39"/>
    <x v="0"/>
    <n v="9.1999999999999993"/>
  </r>
  <r>
    <x v="4"/>
    <x v="2"/>
    <x v="0"/>
    <x v="1"/>
    <x v="4"/>
    <n v="70.739999999999995"/>
    <n v="4"/>
    <x v="40"/>
    <x v="0"/>
    <n v="4.4000000000000004"/>
  </r>
  <r>
    <x v="4"/>
    <x v="2"/>
    <x v="1"/>
    <x v="0"/>
    <x v="1"/>
    <n v="93.88"/>
    <n v="7"/>
    <x v="41"/>
    <x v="0"/>
    <n v="7.3"/>
  </r>
  <r>
    <x v="4"/>
    <x v="1"/>
    <x v="1"/>
    <x v="0"/>
    <x v="5"/>
    <n v="78.89"/>
    <n v="7"/>
    <x v="42"/>
    <x v="2"/>
    <n v="7.5"/>
  </r>
  <r>
    <x v="4"/>
    <x v="0"/>
    <x v="0"/>
    <x v="0"/>
    <x v="3"/>
    <n v="73.959999999999994"/>
    <n v="1"/>
    <x v="43"/>
    <x v="0"/>
    <n v="5"/>
  </r>
  <r>
    <x v="4"/>
    <x v="2"/>
    <x v="0"/>
    <x v="1"/>
    <x v="4"/>
    <n v="62.65"/>
    <n v="4"/>
    <x v="44"/>
    <x v="1"/>
    <n v="4.2"/>
  </r>
  <r>
    <x v="4"/>
    <x v="2"/>
    <x v="1"/>
    <x v="0"/>
    <x v="4"/>
    <n v="42.91"/>
    <n v="5"/>
    <x v="45"/>
    <x v="2"/>
    <n v="6.1"/>
  </r>
  <r>
    <x v="5"/>
    <x v="0"/>
    <x v="1"/>
    <x v="1"/>
    <x v="4"/>
    <n v="62.19"/>
    <n v="4"/>
    <x v="46"/>
    <x v="2"/>
    <n v="4.3"/>
  </r>
  <r>
    <x v="5"/>
    <x v="1"/>
    <x v="1"/>
    <x v="1"/>
    <x v="0"/>
    <n v="89.48"/>
    <n v="10"/>
    <x v="47"/>
    <x v="0"/>
    <n v="9.6"/>
  </r>
  <r>
    <x v="5"/>
    <x v="2"/>
    <x v="1"/>
    <x v="0"/>
    <x v="2"/>
    <n v="15.34"/>
    <n v="1"/>
    <x v="48"/>
    <x v="1"/>
    <n v="6.5"/>
  </r>
  <r>
    <x v="5"/>
    <x v="0"/>
    <x v="0"/>
    <x v="1"/>
    <x v="5"/>
    <n v="80.47"/>
    <n v="9"/>
    <x v="49"/>
    <x v="1"/>
    <n v="9.1999999999999993"/>
  </r>
  <r>
    <x v="5"/>
    <x v="2"/>
    <x v="0"/>
    <x v="1"/>
    <x v="4"/>
    <n v="58.9"/>
    <n v="8"/>
    <x v="50"/>
    <x v="1"/>
    <n v="8.9"/>
  </r>
  <r>
    <x v="5"/>
    <x v="1"/>
    <x v="1"/>
    <x v="0"/>
    <x v="3"/>
    <n v="81.680000000000007"/>
    <n v="4"/>
    <x v="51"/>
    <x v="1"/>
    <n v="9.1"/>
  </r>
  <r>
    <x v="5"/>
    <x v="2"/>
    <x v="1"/>
    <x v="0"/>
    <x v="0"/>
    <n v="40.94"/>
    <n v="5"/>
    <x v="52"/>
    <x v="2"/>
    <n v="9.9"/>
  </r>
  <r>
    <x v="5"/>
    <x v="2"/>
    <x v="1"/>
    <x v="1"/>
    <x v="2"/>
    <n v="64.59"/>
    <n v="4"/>
    <x v="53"/>
    <x v="2"/>
    <n v="9.3000000000000007"/>
  </r>
  <r>
    <x v="5"/>
    <x v="2"/>
    <x v="1"/>
    <x v="0"/>
    <x v="3"/>
    <n v="42.57"/>
    <n v="7"/>
    <x v="54"/>
    <x v="1"/>
    <n v="6.8"/>
  </r>
  <r>
    <x v="6"/>
    <x v="0"/>
    <x v="1"/>
    <x v="1"/>
    <x v="3"/>
    <n v="47.97"/>
    <n v="7"/>
    <x v="55"/>
    <x v="1"/>
    <n v="6.2"/>
  </r>
  <r>
    <x v="6"/>
    <x v="1"/>
    <x v="0"/>
    <x v="0"/>
    <x v="4"/>
    <n v="21.82"/>
    <n v="10"/>
    <x v="56"/>
    <x v="1"/>
    <n v="7.1"/>
  </r>
  <r>
    <x v="6"/>
    <x v="1"/>
    <x v="1"/>
    <x v="1"/>
    <x v="0"/>
    <n v="27.22"/>
    <n v="3"/>
    <x v="57"/>
    <x v="1"/>
    <n v="7.3"/>
  </r>
  <r>
    <x v="6"/>
    <x v="1"/>
    <x v="0"/>
    <x v="0"/>
    <x v="2"/>
    <n v="68.12"/>
    <n v="1"/>
    <x v="58"/>
    <x v="2"/>
    <n v="6.8"/>
  </r>
  <r>
    <x v="6"/>
    <x v="2"/>
    <x v="0"/>
    <x v="1"/>
    <x v="1"/>
    <n v="77.72"/>
    <n v="4"/>
    <x v="59"/>
    <x v="0"/>
    <n v="8.8000000000000007"/>
  </r>
  <r>
    <x v="6"/>
    <x v="2"/>
    <x v="0"/>
    <x v="0"/>
    <x v="4"/>
    <n v="21.54"/>
    <n v="9"/>
    <x v="60"/>
    <x v="0"/>
    <n v="8.8000000000000007"/>
  </r>
  <r>
    <x v="6"/>
    <x v="0"/>
    <x v="0"/>
    <x v="0"/>
    <x v="3"/>
    <n v="97.61"/>
    <n v="6"/>
    <x v="61"/>
    <x v="2"/>
    <n v="9.9"/>
  </r>
  <r>
    <x v="6"/>
    <x v="2"/>
    <x v="1"/>
    <x v="1"/>
    <x v="2"/>
    <n v="60.95"/>
    <n v="9"/>
    <x v="62"/>
    <x v="0"/>
    <n v="6"/>
  </r>
  <r>
    <x v="6"/>
    <x v="0"/>
    <x v="0"/>
    <x v="0"/>
    <x v="0"/>
    <n v="89.14"/>
    <n v="4"/>
    <x v="63"/>
    <x v="0"/>
    <n v="7.8"/>
  </r>
  <r>
    <x v="7"/>
    <x v="1"/>
    <x v="0"/>
    <x v="0"/>
    <x v="3"/>
    <n v="51.89"/>
    <n v="7"/>
    <x v="64"/>
    <x v="1"/>
    <n v="4.5"/>
  </r>
  <r>
    <x v="7"/>
    <x v="0"/>
    <x v="0"/>
    <x v="0"/>
    <x v="0"/>
    <n v="33.21"/>
    <n v="10"/>
    <x v="65"/>
    <x v="2"/>
    <n v="6"/>
  </r>
  <r>
    <x v="7"/>
    <x v="1"/>
    <x v="1"/>
    <x v="0"/>
    <x v="3"/>
    <n v="31.73"/>
    <n v="9"/>
    <x v="66"/>
    <x v="0"/>
    <n v="5.9"/>
  </r>
  <r>
    <x v="7"/>
    <x v="0"/>
    <x v="0"/>
    <x v="0"/>
    <x v="4"/>
    <n v="49.1"/>
    <n v="2"/>
    <x v="67"/>
    <x v="0"/>
    <n v="6.4"/>
  </r>
  <r>
    <x v="7"/>
    <x v="1"/>
    <x v="1"/>
    <x v="0"/>
    <x v="4"/>
    <n v="45.38"/>
    <n v="4"/>
    <x v="68"/>
    <x v="0"/>
    <n v="8.6999999999999993"/>
  </r>
  <r>
    <x v="7"/>
    <x v="1"/>
    <x v="0"/>
    <x v="1"/>
    <x v="4"/>
    <n v="55.57"/>
    <n v="3"/>
    <x v="69"/>
    <x v="0"/>
    <n v="5.9"/>
  </r>
  <r>
    <x v="7"/>
    <x v="1"/>
    <x v="0"/>
    <x v="0"/>
    <x v="0"/>
    <n v="68.540000000000006"/>
    <n v="8"/>
    <x v="70"/>
    <x v="2"/>
    <n v="8.5"/>
  </r>
  <r>
    <x v="7"/>
    <x v="0"/>
    <x v="0"/>
    <x v="1"/>
    <x v="3"/>
    <n v="65.23"/>
    <n v="10"/>
    <x v="71"/>
    <x v="0"/>
    <n v="5.2"/>
  </r>
  <r>
    <x v="7"/>
    <x v="1"/>
    <x v="1"/>
    <x v="1"/>
    <x v="3"/>
    <n v="12.78"/>
    <n v="1"/>
    <x v="72"/>
    <x v="2"/>
    <n v="9.5"/>
  </r>
  <r>
    <x v="7"/>
    <x v="0"/>
    <x v="0"/>
    <x v="0"/>
    <x v="0"/>
    <n v="74.599999999999994"/>
    <n v="10"/>
    <x v="73"/>
    <x v="1"/>
    <n v="9.5"/>
  </r>
  <r>
    <x v="7"/>
    <x v="0"/>
    <x v="0"/>
    <x v="0"/>
    <x v="2"/>
    <n v="64.83"/>
    <n v="2"/>
    <x v="74"/>
    <x v="0"/>
    <n v="8"/>
  </r>
  <r>
    <x v="7"/>
    <x v="2"/>
    <x v="1"/>
    <x v="1"/>
    <x v="2"/>
    <n v="37.14"/>
    <n v="5"/>
    <x v="75"/>
    <x v="2"/>
    <n v="5"/>
  </r>
  <r>
    <x v="7"/>
    <x v="2"/>
    <x v="1"/>
    <x v="0"/>
    <x v="1"/>
    <n v="50.23"/>
    <n v="4"/>
    <x v="76"/>
    <x v="1"/>
    <n v="9"/>
  </r>
  <r>
    <x v="7"/>
    <x v="2"/>
    <x v="0"/>
    <x v="1"/>
    <x v="2"/>
    <n v="12.76"/>
    <n v="2"/>
    <x v="77"/>
    <x v="2"/>
    <n v="7.8"/>
  </r>
  <r>
    <x v="7"/>
    <x v="2"/>
    <x v="0"/>
    <x v="0"/>
    <x v="1"/>
    <n v="79.59"/>
    <n v="3"/>
    <x v="78"/>
    <x v="1"/>
    <n v="6.6"/>
  </r>
  <r>
    <x v="7"/>
    <x v="0"/>
    <x v="0"/>
    <x v="0"/>
    <x v="2"/>
    <n v="48.5"/>
    <n v="3"/>
    <x v="79"/>
    <x v="1"/>
    <n v="6.7"/>
  </r>
  <r>
    <x v="7"/>
    <x v="1"/>
    <x v="0"/>
    <x v="1"/>
    <x v="0"/>
    <n v="24.31"/>
    <n v="3"/>
    <x v="80"/>
    <x v="0"/>
    <n v="4.3"/>
  </r>
  <r>
    <x v="7"/>
    <x v="1"/>
    <x v="0"/>
    <x v="0"/>
    <x v="0"/>
    <n v="72.88"/>
    <n v="9"/>
    <x v="81"/>
    <x v="1"/>
    <n v="4"/>
  </r>
  <r>
    <x v="8"/>
    <x v="0"/>
    <x v="0"/>
    <x v="0"/>
    <x v="2"/>
    <n v="11.85"/>
    <n v="8"/>
    <x v="82"/>
    <x v="1"/>
    <n v="4.0999999999999996"/>
  </r>
  <r>
    <x v="8"/>
    <x v="1"/>
    <x v="1"/>
    <x v="1"/>
    <x v="1"/>
    <n v="96.37"/>
    <n v="7"/>
    <x v="83"/>
    <x v="1"/>
    <n v="6"/>
  </r>
  <r>
    <x v="8"/>
    <x v="1"/>
    <x v="1"/>
    <x v="0"/>
    <x v="3"/>
    <n v="49.32"/>
    <n v="6"/>
    <x v="84"/>
    <x v="2"/>
    <n v="7.1"/>
  </r>
  <r>
    <x v="8"/>
    <x v="0"/>
    <x v="0"/>
    <x v="0"/>
    <x v="4"/>
    <n v="21.9"/>
    <n v="3"/>
    <x v="85"/>
    <x v="2"/>
    <n v="4.7"/>
  </r>
  <r>
    <x v="8"/>
    <x v="2"/>
    <x v="0"/>
    <x v="1"/>
    <x v="3"/>
    <n v="38.54"/>
    <n v="5"/>
    <x v="86"/>
    <x v="2"/>
    <n v="5.6"/>
  </r>
  <r>
    <x v="8"/>
    <x v="1"/>
    <x v="0"/>
    <x v="1"/>
    <x v="3"/>
    <n v="49.04"/>
    <n v="9"/>
    <x v="87"/>
    <x v="0"/>
    <n v="8.6"/>
  </r>
  <r>
    <x v="8"/>
    <x v="1"/>
    <x v="1"/>
    <x v="0"/>
    <x v="4"/>
    <n v="15.8"/>
    <n v="10"/>
    <x v="88"/>
    <x v="1"/>
    <n v="7.8"/>
  </r>
  <r>
    <x v="8"/>
    <x v="1"/>
    <x v="1"/>
    <x v="0"/>
    <x v="2"/>
    <n v="95.44"/>
    <n v="10"/>
    <x v="89"/>
    <x v="1"/>
    <n v="5.2"/>
  </r>
  <r>
    <x v="9"/>
    <x v="0"/>
    <x v="1"/>
    <x v="0"/>
    <x v="3"/>
    <n v="79.86"/>
    <n v="7"/>
    <x v="90"/>
    <x v="0"/>
    <n v="5.5"/>
  </r>
  <r>
    <x v="9"/>
    <x v="1"/>
    <x v="0"/>
    <x v="1"/>
    <x v="1"/>
    <n v="74.790000000000006"/>
    <n v="5"/>
    <x v="91"/>
    <x v="1"/>
    <n v="4.9000000000000004"/>
  </r>
  <r>
    <x v="9"/>
    <x v="2"/>
    <x v="0"/>
    <x v="0"/>
    <x v="5"/>
    <n v="36.26"/>
    <n v="2"/>
    <x v="92"/>
    <x v="0"/>
    <n v="7.2"/>
  </r>
  <r>
    <x v="9"/>
    <x v="0"/>
    <x v="1"/>
    <x v="0"/>
    <x v="1"/>
    <n v="13.78"/>
    <n v="4"/>
    <x v="93"/>
    <x v="2"/>
    <n v="9"/>
  </r>
  <r>
    <x v="9"/>
    <x v="1"/>
    <x v="0"/>
    <x v="1"/>
    <x v="0"/>
    <n v="50.49"/>
    <n v="9"/>
    <x v="94"/>
    <x v="1"/>
    <n v="5.4"/>
  </r>
  <r>
    <x v="9"/>
    <x v="2"/>
    <x v="0"/>
    <x v="1"/>
    <x v="4"/>
    <n v="78.38"/>
    <n v="6"/>
    <x v="95"/>
    <x v="2"/>
    <n v="5.8"/>
  </r>
  <r>
    <x v="9"/>
    <x v="2"/>
    <x v="0"/>
    <x v="0"/>
    <x v="2"/>
    <n v="21.98"/>
    <n v="7"/>
    <x v="96"/>
    <x v="2"/>
    <n v="5.0999999999999996"/>
  </r>
  <r>
    <x v="9"/>
    <x v="1"/>
    <x v="1"/>
    <x v="0"/>
    <x v="2"/>
    <n v="83.14"/>
    <n v="7"/>
    <x v="97"/>
    <x v="0"/>
    <n v="6.6"/>
  </r>
  <r>
    <x v="9"/>
    <x v="0"/>
    <x v="1"/>
    <x v="1"/>
    <x v="2"/>
    <n v="83.78"/>
    <n v="8"/>
    <x v="98"/>
    <x v="1"/>
    <n v="5.0999999999999996"/>
  </r>
  <r>
    <x v="10"/>
    <x v="2"/>
    <x v="1"/>
    <x v="1"/>
    <x v="0"/>
    <n v="24.94"/>
    <n v="9"/>
    <x v="99"/>
    <x v="0"/>
    <n v="5.6"/>
  </r>
  <r>
    <x v="10"/>
    <x v="2"/>
    <x v="1"/>
    <x v="1"/>
    <x v="3"/>
    <n v="89.69"/>
    <n v="1"/>
    <x v="100"/>
    <x v="2"/>
    <n v="4.9000000000000004"/>
  </r>
  <r>
    <x v="10"/>
    <x v="1"/>
    <x v="0"/>
    <x v="0"/>
    <x v="0"/>
    <n v="36.770000000000003"/>
    <n v="7"/>
    <x v="101"/>
    <x v="1"/>
    <n v="7.4"/>
  </r>
  <r>
    <x v="10"/>
    <x v="2"/>
    <x v="0"/>
    <x v="1"/>
    <x v="2"/>
    <n v="82.33"/>
    <n v="4"/>
    <x v="102"/>
    <x v="0"/>
    <n v="7.5"/>
  </r>
  <r>
    <x v="10"/>
    <x v="1"/>
    <x v="0"/>
    <x v="0"/>
    <x v="2"/>
    <n v="87.16"/>
    <n v="2"/>
    <x v="103"/>
    <x v="0"/>
    <n v="9.6999999999999993"/>
  </r>
  <r>
    <x v="10"/>
    <x v="2"/>
    <x v="0"/>
    <x v="1"/>
    <x v="0"/>
    <n v="48.5"/>
    <n v="6"/>
    <x v="104"/>
    <x v="2"/>
    <n v="9.4"/>
  </r>
  <r>
    <x v="10"/>
    <x v="2"/>
    <x v="1"/>
    <x v="0"/>
    <x v="4"/>
    <n v="96.52"/>
    <n v="6"/>
    <x v="105"/>
    <x v="1"/>
    <n v="4.5"/>
  </r>
  <r>
    <x v="10"/>
    <x v="2"/>
    <x v="1"/>
    <x v="1"/>
    <x v="0"/>
    <n v="13.79"/>
    <n v="5"/>
    <x v="106"/>
    <x v="0"/>
    <n v="7.8"/>
  </r>
  <r>
    <x v="11"/>
    <x v="1"/>
    <x v="0"/>
    <x v="1"/>
    <x v="2"/>
    <n v="57.12"/>
    <n v="7"/>
    <x v="107"/>
    <x v="0"/>
    <n v="6.5"/>
  </r>
  <r>
    <x v="11"/>
    <x v="0"/>
    <x v="1"/>
    <x v="0"/>
    <x v="5"/>
    <n v="57.22"/>
    <n v="2"/>
    <x v="108"/>
    <x v="2"/>
    <n v="8.3000000000000007"/>
  </r>
  <r>
    <x v="11"/>
    <x v="0"/>
    <x v="0"/>
    <x v="1"/>
    <x v="1"/>
    <n v="91.56"/>
    <n v="8"/>
    <x v="109"/>
    <x v="2"/>
    <n v="6"/>
  </r>
  <r>
    <x v="11"/>
    <x v="0"/>
    <x v="0"/>
    <x v="0"/>
    <x v="5"/>
    <n v="27.07"/>
    <n v="1"/>
    <x v="110"/>
    <x v="0"/>
    <n v="5.3"/>
  </r>
  <r>
    <x v="11"/>
    <x v="0"/>
    <x v="1"/>
    <x v="0"/>
    <x v="3"/>
    <n v="83.25"/>
    <n v="10"/>
    <x v="111"/>
    <x v="0"/>
    <n v="4.4000000000000004"/>
  </r>
  <r>
    <x v="11"/>
    <x v="2"/>
    <x v="0"/>
    <x v="1"/>
    <x v="1"/>
    <n v="88.67"/>
    <n v="10"/>
    <x v="112"/>
    <x v="2"/>
    <n v="7.3"/>
  </r>
  <r>
    <x v="11"/>
    <x v="2"/>
    <x v="1"/>
    <x v="0"/>
    <x v="3"/>
    <n v="29.42"/>
    <n v="10"/>
    <x v="113"/>
    <x v="2"/>
    <n v="8.9"/>
  </r>
  <r>
    <x v="11"/>
    <x v="2"/>
    <x v="0"/>
    <x v="0"/>
    <x v="3"/>
    <n v="20.010000000000002"/>
    <n v="9"/>
    <x v="114"/>
    <x v="0"/>
    <n v="5.7"/>
  </r>
  <r>
    <x v="11"/>
    <x v="0"/>
    <x v="1"/>
    <x v="1"/>
    <x v="2"/>
    <n v="23.01"/>
    <n v="6"/>
    <x v="115"/>
    <x v="2"/>
    <n v="7.9"/>
  </r>
  <r>
    <x v="11"/>
    <x v="1"/>
    <x v="1"/>
    <x v="1"/>
    <x v="4"/>
    <n v="97.5"/>
    <n v="10"/>
    <x v="116"/>
    <x v="2"/>
    <n v="8"/>
  </r>
  <r>
    <x v="11"/>
    <x v="0"/>
    <x v="1"/>
    <x v="0"/>
    <x v="4"/>
    <n v="51.07"/>
    <n v="7"/>
    <x v="117"/>
    <x v="1"/>
    <n v="7"/>
  </r>
  <r>
    <x v="12"/>
    <x v="0"/>
    <x v="0"/>
    <x v="1"/>
    <x v="2"/>
    <n v="72.599999999999994"/>
    <n v="6"/>
    <x v="118"/>
    <x v="1"/>
    <n v="6.9"/>
  </r>
  <r>
    <x v="12"/>
    <x v="2"/>
    <x v="0"/>
    <x v="1"/>
    <x v="4"/>
    <n v="81.010000000000005"/>
    <n v="3"/>
    <x v="119"/>
    <x v="0"/>
    <n v="9.3000000000000007"/>
  </r>
  <r>
    <x v="12"/>
    <x v="1"/>
    <x v="0"/>
    <x v="0"/>
    <x v="3"/>
    <n v="74.290000000000006"/>
    <n v="1"/>
    <x v="120"/>
    <x v="1"/>
    <n v="5"/>
  </r>
  <r>
    <x v="12"/>
    <x v="2"/>
    <x v="1"/>
    <x v="0"/>
    <x v="1"/>
    <n v="23.46"/>
    <n v="6"/>
    <x v="121"/>
    <x v="2"/>
    <n v="6.4"/>
  </r>
  <r>
    <x v="12"/>
    <x v="2"/>
    <x v="0"/>
    <x v="0"/>
    <x v="5"/>
    <n v="39.619999999999997"/>
    <n v="9"/>
    <x v="122"/>
    <x v="0"/>
    <n v="6.8"/>
  </r>
  <r>
    <x v="12"/>
    <x v="1"/>
    <x v="0"/>
    <x v="0"/>
    <x v="0"/>
    <n v="21.04"/>
    <n v="4"/>
    <x v="123"/>
    <x v="1"/>
    <n v="7.6"/>
  </r>
  <r>
    <x v="12"/>
    <x v="0"/>
    <x v="0"/>
    <x v="1"/>
    <x v="3"/>
    <n v="59.86"/>
    <n v="2"/>
    <x v="124"/>
    <x v="2"/>
    <n v="6.7"/>
  </r>
  <r>
    <x v="12"/>
    <x v="0"/>
    <x v="1"/>
    <x v="1"/>
    <x v="0"/>
    <n v="72.39"/>
    <n v="2"/>
    <x v="125"/>
    <x v="0"/>
    <n v="8.1"/>
  </r>
  <r>
    <x v="12"/>
    <x v="2"/>
    <x v="1"/>
    <x v="1"/>
    <x v="2"/>
    <n v="45.58"/>
    <n v="7"/>
    <x v="126"/>
    <x v="1"/>
    <n v="5"/>
  </r>
  <r>
    <x v="12"/>
    <x v="1"/>
    <x v="1"/>
    <x v="0"/>
    <x v="1"/>
    <n v="41.65"/>
    <n v="10"/>
    <x v="127"/>
    <x v="0"/>
    <n v="5.4"/>
  </r>
  <r>
    <x v="13"/>
    <x v="1"/>
    <x v="0"/>
    <x v="1"/>
    <x v="5"/>
    <n v="60.47"/>
    <n v="3"/>
    <x v="128"/>
    <x v="0"/>
    <n v="5.6"/>
  </r>
  <r>
    <x v="13"/>
    <x v="0"/>
    <x v="1"/>
    <x v="0"/>
    <x v="2"/>
    <n v="34.81"/>
    <n v="1"/>
    <x v="129"/>
    <x v="0"/>
    <n v="7"/>
  </r>
  <r>
    <x v="13"/>
    <x v="0"/>
    <x v="0"/>
    <x v="0"/>
    <x v="3"/>
    <n v="18.079999999999998"/>
    <n v="4"/>
    <x v="130"/>
    <x v="0"/>
    <n v="9.5"/>
  </r>
  <r>
    <x v="13"/>
    <x v="2"/>
    <x v="0"/>
    <x v="0"/>
    <x v="3"/>
    <n v="96.7"/>
    <n v="5"/>
    <x v="131"/>
    <x v="2"/>
    <n v="7"/>
  </r>
  <r>
    <x v="13"/>
    <x v="0"/>
    <x v="1"/>
    <x v="0"/>
    <x v="0"/>
    <n v="99.69"/>
    <n v="5"/>
    <x v="132"/>
    <x v="1"/>
    <n v="9.9"/>
  </r>
  <r>
    <x v="13"/>
    <x v="0"/>
    <x v="1"/>
    <x v="0"/>
    <x v="5"/>
    <n v="17.75"/>
    <n v="1"/>
    <x v="133"/>
    <x v="1"/>
    <n v="8.6"/>
  </r>
  <r>
    <x v="13"/>
    <x v="1"/>
    <x v="1"/>
    <x v="1"/>
    <x v="0"/>
    <n v="84.83"/>
    <n v="1"/>
    <x v="134"/>
    <x v="2"/>
    <n v="8.8000000000000007"/>
  </r>
  <r>
    <x v="13"/>
    <x v="1"/>
    <x v="1"/>
    <x v="1"/>
    <x v="5"/>
    <n v="53.19"/>
    <n v="7"/>
    <x v="135"/>
    <x v="2"/>
    <n v="5"/>
  </r>
  <r>
    <x v="13"/>
    <x v="0"/>
    <x v="1"/>
    <x v="1"/>
    <x v="0"/>
    <n v="73.06"/>
    <n v="7"/>
    <x v="136"/>
    <x v="0"/>
    <n v="4.2"/>
  </r>
  <r>
    <x v="13"/>
    <x v="1"/>
    <x v="1"/>
    <x v="1"/>
    <x v="0"/>
    <n v="31.77"/>
    <n v="4"/>
    <x v="137"/>
    <x v="2"/>
    <n v="6.2"/>
  </r>
  <r>
    <x v="13"/>
    <x v="1"/>
    <x v="0"/>
    <x v="0"/>
    <x v="1"/>
    <n v="44.84"/>
    <n v="9"/>
    <x v="138"/>
    <x v="0"/>
    <n v="7.5"/>
  </r>
  <r>
    <x v="13"/>
    <x v="2"/>
    <x v="0"/>
    <x v="1"/>
    <x v="3"/>
    <n v="56.04"/>
    <n v="10"/>
    <x v="139"/>
    <x v="2"/>
    <n v="4.4000000000000004"/>
  </r>
  <r>
    <x v="13"/>
    <x v="1"/>
    <x v="1"/>
    <x v="1"/>
    <x v="1"/>
    <n v="61.41"/>
    <n v="7"/>
    <x v="140"/>
    <x v="1"/>
    <n v="9.8000000000000007"/>
  </r>
  <r>
    <x v="14"/>
    <x v="2"/>
    <x v="0"/>
    <x v="0"/>
    <x v="4"/>
    <n v="89.21"/>
    <n v="9"/>
    <x v="141"/>
    <x v="0"/>
    <n v="6.5"/>
  </r>
  <r>
    <x v="14"/>
    <x v="0"/>
    <x v="1"/>
    <x v="1"/>
    <x v="1"/>
    <n v="75.66"/>
    <n v="5"/>
    <x v="142"/>
    <x v="2"/>
    <n v="7.8"/>
  </r>
  <r>
    <x v="14"/>
    <x v="0"/>
    <x v="1"/>
    <x v="0"/>
    <x v="4"/>
    <n v="97.37"/>
    <n v="10"/>
    <x v="143"/>
    <x v="0"/>
    <n v="4.9000000000000004"/>
  </r>
  <r>
    <x v="14"/>
    <x v="2"/>
    <x v="1"/>
    <x v="0"/>
    <x v="2"/>
    <n v="19.100000000000001"/>
    <n v="7"/>
    <x v="144"/>
    <x v="1"/>
    <n v="9.6999999999999993"/>
  </r>
  <r>
    <x v="14"/>
    <x v="2"/>
    <x v="0"/>
    <x v="1"/>
    <x v="0"/>
    <n v="83.77"/>
    <n v="2"/>
    <x v="145"/>
    <x v="0"/>
    <n v="7"/>
  </r>
  <r>
    <x v="14"/>
    <x v="1"/>
    <x v="1"/>
    <x v="1"/>
    <x v="1"/>
    <n v="55.87"/>
    <n v="10"/>
    <x v="146"/>
    <x v="1"/>
    <n v="5.8"/>
  </r>
  <r>
    <x v="14"/>
    <x v="0"/>
    <x v="0"/>
    <x v="1"/>
    <x v="5"/>
    <n v="66.47"/>
    <n v="10"/>
    <x v="147"/>
    <x v="0"/>
    <n v="5"/>
  </r>
  <r>
    <x v="14"/>
    <x v="0"/>
    <x v="0"/>
    <x v="0"/>
    <x v="2"/>
    <n v="93.72"/>
    <n v="6"/>
    <x v="148"/>
    <x v="1"/>
    <n v="4.5"/>
  </r>
  <r>
    <x v="14"/>
    <x v="2"/>
    <x v="1"/>
    <x v="0"/>
    <x v="4"/>
    <n v="11.43"/>
    <n v="6"/>
    <x v="149"/>
    <x v="1"/>
    <n v="7.7"/>
  </r>
  <r>
    <x v="14"/>
    <x v="0"/>
    <x v="1"/>
    <x v="0"/>
    <x v="3"/>
    <n v="73.52"/>
    <n v="2"/>
    <x v="150"/>
    <x v="2"/>
    <n v="4.5999999999999996"/>
  </r>
  <r>
    <x v="14"/>
    <x v="1"/>
    <x v="0"/>
    <x v="1"/>
    <x v="5"/>
    <n v="81.23"/>
    <n v="7"/>
    <x v="151"/>
    <x v="1"/>
    <n v="9"/>
  </r>
  <r>
    <x v="14"/>
    <x v="1"/>
    <x v="0"/>
    <x v="1"/>
    <x v="0"/>
    <n v="17.440000000000001"/>
    <n v="5"/>
    <x v="152"/>
    <x v="1"/>
    <n v="8.1"/>
  </r>
  <r>
    <x v="14"/>
    <x v="2"/>
    <x v="1"/>
    <x v="0"/>
    <x v="1"/>
    <n v="60.88"/>
    <n v="9"/>
    <x v="153"/>
    <x v="2"/>
    <n v="4.7"/>
  </r>
  <r>
    <x v="15"/>
    <x v="1"/>
    <x v="1"/>
    <x v="1"/>
    <x v="4"/>
    <n v="95.58"/>
    <n v="10"/>
    <x v="154"/>
    <x v="1"/>
    <n v="4.8"/>
  </r>
  <r>
    <x v="15"/>
    <x v="0"/>
    <x v="0"/>
    <x v="0"/>
    <x v="2"/>
    <n v="90.74"/>
    <n v="7"/>
    <x v="155"/>
    <x v="0"/>
    <n v="6.2"/>
  </r>
  <r>
    <x v="15"/>
    <x v="1"/>
    <x v="1"/>
    <x v="0"/>
    <x v="0"/>
    <n v="93.26"/>
    <n v="9"/>
    <x v="156"/>
    <x v="1"/>
    <n v="8.8000000000000007"/>
  </r>
  <r>
    <x v="15"/>
    <x v="1"/>
    <x v="0"/>
    <x v="1"/>
    <x v="2"/>
    <n v="17.14"/>
    <n v="7"/>
    <x v="157"/>
    <x v="0"/>
    <n v="7.9"/>
  </r>
  <r>
    <x v="15"/>
    <x v="0"/>
    <x v="1"/>
    <x v="1"/>
    <x v="3"/>
    <n v="39.21"/>
    <n v="4"/>
    <x v="158"/>
    <x v="0"/>
    <n v="9"/>
  </r>
  <r>
    <x v="15"/>
    <x v="2"/>
    <x v="0"/>
    <x v="1"/>
    <x v="4"/>
    <n v="63.56"/>
    <n v="10"/>
    <x v="159"/>
    <x v="1"/>
    <n v="4.3"/>
  </r>
  <r>
    <x v="15"/>
    <x v="1"/>
    <x v="0"/>
    <x v="0"/>
    <x v="2"/>
    <n v="15.49"/>
    <n v="2"/>
    <x v="160"/>
    <x v="1"/>
    <n v="6.3"/>
  </r>
  <r>
    <x v="15"/>
    <x v="0"/>
    <x v="0"/>
    <x v="1"/>
    <x v="3"/>
    <n v="51.36"/>
    <n v="1"/>
    <x v="161"/>
    <x v="2"/>
    <n v="5.2"/>
  </r>
  <r>
    <x v="15"/>
    <x v="2"/>
    <x v="1"/>
    <x v="0"/>
    <x v="2"/>
    <n v="93.18"/>
    <n v="2"/>
    <x v="162"/>
    <x v="0"/>
    <n v="8.5"/>
  </r>
  <r>
    <x v="15"/>
    <x v="1"/>
    <x v="1"/>
    <x v="0"/>
    <x v="0"/>
    <n v="52.6"/>
    <n v="9"/>
    <x v="163"/>
    <x v="1"/>
    <n v="7.6"/>
  </r>
  <r>
    <x v="16"/>
    <x v="0"/>
    <x v="1"/>
    <x v="0"/>
    <x v="2"/>
    <n v="40.619999999999997"/>
    <n v="2"/>
    <x v="164"/>
    <x v="0"/>
    <n v="4.0999999999999996"/>
  </r>
  <r>
    <x v="16"/>
    <x v="2"/>
    <x v="1"/>
    <x v="0"/>
    <x v="0"/>
    <n v="81.209999999999994"/>
    <n v="10"/>
    <x v="165"/>
    <x v="0"/>
    <n v="6.3"/>
  </r>
  <r>
    <x v="16"/>
    <x v="0"/>
    <x v="0"/>
    <x v="1"/>
    <x v="0"/>
    <n v="57.89"/>
    <n v="2"/>
    <x v="166"/>
    <x v="2"/>
    <n v="8.9"/>
  </r>
  <r>
    <x v="16"/>
    <x v="2"/>
    <x v="1"/>
    <x v="1"/>
    <x v="4"/>
    <n v="21.52"/>
    <n v="6"/>
    <x v="167"/>
    <x v="0"/>
    <n v="9.4"/>
  </r>
  <r>
    <x v="16"/>
    <x v="0"/>
    <x v="0"/>
    <x v="0"/>
    <x v="4"/>
    <n v="94.59"/>
    <n v="7"/>
    <x v="168"/>
    <x v="0"/>
    <n v="4.9000000000000004"/>
  </r>
  <r>
    <x v="16"/>
    <x v="1"/>
    <x v="0"/>
    <x v="0"/>
    <x v="5"/>
    <n v="62.82"/>
    <n v="2"/>
    <x v="169"/>
    <x v="2"/>
    <n v="4.9000000000000004"/>
  </r>
  <r>
    <x v="16"/>
    <x v="1"/>
    <x v="0"/>
    <x v="1"/>
    <x v="0"/>
    <n v="65.650000000000006"/>
    <n v="2"/>
    <x v="170"/>
    <x v="1"/>
    <n v="6"/>
  </r>
  <r>
    <x v="16"/>
    <x v="1"/>
    <x v="0"/>
    <x v="1"/>
    <x v="2"/>
    <n v="71.92"/>
    <n v="5"/>
    <x v="171"/>
    <x v="0"/>
    <n v="4.3"/>
  </r>
  <r>
    <x v="16"/>
    <x v="2"/>
    <x v="1"/>
    <x v="1"/>
    <x v="2"/>
    <n v="25.7"/>
    <n v="3"/>
    <x v="172"/>
    <x v="2"/>
    <n v="6.1"/>
  </r>
  <r>
    <x v="16"/>
    <x v="0"/>
    <x v="0"/>
    <x v="0"/>
    <x v="4"/>
    <n v="86.72"/>
    <n v="1"/>
    <x v="173"/>
    <x v="2"/>
    <n v="7.9"/>
  </r>
  <r>
    <x v="16"/>
    <x v="2"/>
    <x v="1"/>
    <x v="1"/>
    <x v="2"/>
    <n v="58.91"/>
    <n v="7"/>
    <x v="174"/>
    <x v="2"/>
    <n v="9.6999999999999993"/>
  </r>
  <r>
    <x v="17"/>
    <x v="2"/>
    <x v="0"/>
    <x v="0"/>
    <x v="3"/>
    <n v="88.15"/>
    <n v="3"/>
    <x v="175"/>
    <x v="2"/>
    <n v="7.9"/>
  </r>
  <r>
    <x v="17"/>
    <x v="1"/>
    <x v="1"/>
    <x v="0"/>
    <x v="5"/>
    <n v="39.42"/>
    <n v="1"/>
    <x v="176"/>
    <x v="1"/>
    <n v="8.4"/>
  </r>
  <r>
    <x v="17"/>
    <x v="2"/>
    <x v="1"/>
    <x v="0"/>
    <x v="1"/>
    <n v="26.31"/>
    <n v="5"/>
    <x v="177"/>
    <x v="0"/>
    <n v="8.8000000000000007"/>
  </r>
  <r>
    <x v="17"/>
    <x v="1"/>
    <x v="1"/>
    <x v="1"/>
    <x v="3"/>
    <n v="60.74"/>
    <n v="7"/>
    <x v="178"/>
    <x v="2"/>
    <n v="5"/>
  </r>
  <r>
    <x v="17"/>
    <x v="0"/>
    <x v="1"/>
    <x v="1"/>
    <x v="0"/>
    <n v="19.79"/>
    <n v="8"/>
    <x v="179"/>
    <x v="2"/>
    <n v="8.6999999999999993"/>
  </r>
  <r>
    <x v="17"/>
    <x v="2"/>
    <x v="0"/>
    <x v="1"/>
    <x v="4"/>
    <n v="19.36"/>
    <n v="9"/>
    <x v="180"/>
    <x v="2"/>
    <n v="8.6999999999999993"/>
  </r>
  <r>
    <x v="17"/>
    <x v="2"/>
    <x v="0"/>
    <x v="1"/>
    <x v="2"/>
    <n v="89.06"/>
    <n v="6"/>
    <x v="181"/>
    <x v="1"/>
    <n v="9.9"/>
  </r>
  <r>
    <x v="17"/>
    <x v="1"/>
    <x v="0"/>
    <x v="0"/>
    <x v="2"/>
    <n v="90.63"/>
    <n v="9"/>
    <x v="182"/>
    <x v="1"/>
    <n v="5.0999999999999996"/>
  </r>
  <r>
    <x v="17"/>
    <x v="0"/>
    <x v="0"/>
    <x v="0"/>
    <x v="3"/>
    <n v="17.48"/>
    <n v="6"/>
    <x v="183"/>
    <x v="0"/>
    <n v="6.1"/>
  </r>
  <r>
    <x v="18"/>
    <x v="0"/>
    <x v="0"/>
    <x v="0"/>
    <x v="1"/>
    <n v="12.1"/>
    <n v="8"/>
    <x v="184"/>
    <x v="2"/>
    <n v="8.6"/>
  </r>
  <r>
    <x v="18"/>
    <x v="1"/>
    <x v="0"/>
    <x v="1"/>
    <x v="2"/>
    <n v="80.930000000000007"/>
    <n v="1"/>
    <x v="185"/>
    <x v="0"/>
    <n v="9"/>
  </r>
  <r>
    <x v="18"/>
    <x v="2"/>
    <x v="1"/>
    <x v="0"/>
    <x v="3"/>
    <n v="99.1"/>
    <n v="6"/>
    <x v="186"/>
    <x v="1"/>
    <n v="4.2"/>
  </r>
  <r>
    <x v="18"/>
    <x v="0"/>
    <x v="1"/>
    <x v="1"/>
    <x v="2"/>
    <n v="63.06"/>
    <n v="3"/>
    <x v="187"/>
    <x v="2"/>
    <n v="7"/>
  </r>
  <r>
    <x v="18"/>
    <x v="2"/>
    <x v="1"/>
    <x v="1"/>
    <x v="2"/>
    <n v="64.19"/>
    <n v="10"/>
    <x v="188"/>
    <x v="0"/>
    <n v="6.7"/>
  </r>
  <r>
    <x v="18"/>
    <x v="2"/>
    <x v="1"/>
    <x v="0"/>
    <x v="4"/>
    <n v="45.68"/>
    <n v="10"/>
    <x v="189"/>
    <x v="2"/>
    <n v="5.7"/>
  </r>
  <r>
    <x v="18"/>
    <x v="1"/>
    <x v="0"/>
    <x v="1"/>
    <x v="0"/>
    <n v="59.59"/>
    <n v="4"/>
    <x v="190"/>
    <x v="1"/>
    <n v="9.8000000000000007"/>
  </r>
  <r>
    <x v="18"/>
    <x v="2"/>
    <x v="0"/>
    <x v="1"/>
    <x v="1"/>
    <n v="11.94"/>
    <n v="3"/>
    <x v="191"/>
    <x v="0"/>
    <n v="8.1"/>
  </r>
  <r>
    <x v="18"/>
    <x v="1"/>
    <x v="1"/>
    <x v="0"/>
    <x v="1"/>
    <n v="56.13"/>
    <n v="4"/>
    <x v="192"/>
    <x v="2"/>
    <n v="8.6"/>
  </r>
  <r>
    <x v="18"/>
    <x v="1"/>
    <x v="1"/>
    <x v="0"/>
    <x v="0"/>
    <n v="43.18"/>
    <n v="8"/>
    <x v="193"/>
    <x v="0"/>
    <n v="8.3000000000000007"/>
  </r>
  <r>
    <x v="18"/>
    <x v="0"/>
    <x v="0"/>
    <x v="1"/>
    <x v="1"/>
    <n v="52.89"/>
    <n v="6"/>
    <x v="194"/>
    <x v="0"/>
    <n v="9.8000000000000007"/>
  </r>
  <r>
    <x v="18"/>
    <x v="2"/>
    <x v="1"/>
    <x v="1"/>
    <x v="0"/>
    <n v="33.880000000000003"/>
    <n v="8"/>
    <x v="195"/>
    <x v="2"/>
    <n v="9.6"/>
  </r>
  <r>
    <x v="18"/>
    <x v="2"/>
    <x v="0"/>
    <x v="1"/>
    <x v="2"/>
    <n v="67.260000000000005"/>
    <n v="4"/>
    <x v="196"/>
    <x v="0"/>
    <n v="8"/>
  </r>
  <r>
    <x v="18"/>
    <x v="1"/>
    <x v="0"/>
    <x v="0"/>
    <x v="4"/>
    <n v="88.61"/>
    <n v="1"/>
    <x v="197"/>
    <x v="1"/>
    <n v="7.7"/>
  </r>
  <r>
    <x v="18"/>
    <x v="2"/>
    <x v="0"/>
    <x v="1"/>
    <x v="4"/>
    <n v="58.07"/>
    <n v="9"/>
    <x v="198"/>
    <x v="2"/>
    <n v="4.3"/>
  </r>
  <r>
    <x v="18"/>
    <x v="2"/>
    <x v="1"/>
    <x v="1"/>
    <x v="0"/>
    <n v="51.28"/>
    <n v="6"/>
    <x v="199"/>
    <x v="1"/>
    <n v="6.5"/>
  </r>
  <r>
    <x v="19"/>
    <x v="1"/>
    <x v="0"/>
    <x v="1"/>
    <x v="2"/>
    <n v="82.93"/>
    <n v="4"/>
    <x v="200"/>
    <x v="2"/>
    <n v="9.6"/>
  </r>
  <r>
    <x v="19"/>
    <x v="2"/>
    <x v="0"/>
    <x v="1"/>
    <x v="5"/>
    <n v="55.5"/>
    <n v="4"/>
    <x v="201"/>
    <x v="0"/>
    <n v="6.6"/>
  </r>
  <r>
    <x v="19"/>
    <x v="2"/>
    <x v="1"/>
    <x v="0"/>
    <x v="2"/>
    <n v="93.14"/>
    <n v="2"/>
    <x v="202"/>
    <x v="2"/>
    <n v="4.0999999999999996"/>
  </r>
  <r>
    <x v="19"/>
    <x v="0"/>
    <x v="1"/>
    <x v="1"/>
    <x v="4"/>
    <n v="53.44"/>
    <n v="2"/>
    <x v="203"/>
    <x v="2"/>
    <n v="4.0999999999999996"/>
  </r>
  <r>
    <x v="19"/>
    <x v="0"/>
    <x v="1"/>
    <x v="1"/>
    <x v="4"/>
    <n v="37.479999999999997"/>
    <n v="3"/>
    <x v="204"/>
    <x v="0"/>
    <n v="7.7"/>
  </r>
  <r>
    <x v="19"/>
    <x v="1"/>
    <x v="1"/>
    <x v="1"/>
    <x v="3"/>
    <n v="15.62"/>
    <n v="8"/>
    <x v="205"/>
    <x v="2"/>
    <n v="9.1"/>
  </r>
  <r>
    <x v="19"/>
    <x v="2"/>
    <x v="0"/>
    <x v="0"/>
    <x v="4"/>
    <n v="72.349999999999994"/>
    <n v="10"/>
    <x v="206"/>
    <x v="1"/>
    <n v="5.4"/>
  </r>
  <r>
    <x v="19"/>
    <x v="1"/>
    <x v="1"/>
    <x v="1"/>
    <x v="5"/>
    <n v="64.08"/>
    <n v="7"/>
    <x v="207"/>
    <x v="2"/>
    <n v="7.6"/>
  </r>
  <r>
    <x v="19"/>
    <x v="2"/>
    <x v="0"/>
    <x v="0"/>
    <x v="3"/>
    <n v="63.88"/>
    <n v="8"/>
    <x v="208"/>
    <x v="2"/>
    <n v="9.9"/>
  </r>
  <r>
    <x v="19"/>
    <x v="1"/>
    <x v="0"/>
    <x v="0"/>
    <x v="4"/>
    <n v="89.25"/>
    <n v="8"/>
    <x v="209"/>
    <x v="1"/>
    <n v="4.7"/>
  </r>
  <r>
    <x v="20"/>
    <x v="2"/>
    <x v="1"/>
    <x v="1"/>
    <x v="4"/>
    <n v="73.22"/>
    <n v="6"/>
    <x v="210"/>
    <x v="1"/>
    <n v="7.2"/>
  </r>
  <r>
    <x v="20"/>
    <x v="1"/>
    <x v="1"/>
    <x v="0"/>
    <x v="5"/>
    <n v="99.19"/>
    <n v="6"/>
    <x v="211"/>
    <x v="0"/>
    <n v="5.5"/>
  </r>
  <r>
    <x v="20"/>
    <x v="2"/>
    <x v="0"/>
    <x v="1"/>
    <x v="5"/>
    <n v="53.17"/>
    <n v="7"/>
    <x v="212"/>
    <x v="1"/>
    <n v="8.9"/>
  </r>
  <r>
    <x v="20"/>
    <x v="0"/>
    <x v="0"/>
    <x v="0"/>
    <x v="2"/>
    <n v="98.13"/>
    <n v="1"/>
    <x v="213"/>
    <x v="1"/>
    <n v="8.9"/>
  </r>
  <r>
    <x v="20"/>
    <x v="2"/>
    <x v="0"/>
    <x v="0"/>
    <x v="0"/>
    <n v="36.36"/>
    <n v="2"/>
    <x v="214"/>
    <x v="1"/>
    <n v="7.1"/>
  </r>
  <r>
    <x v="20"/>
    <x v="2"/>
    <x v="1"/>
    <x v="0"/>
    <x v="4"/>
    <n v="77.95"/>
    <n v="6"/>
    <x v="215"/>
    <x v="2"/>
    <n v="8"/>
  </r>
  <r>
    <x v="20"/>
    <x v="1"/>
    <x v="0"/>
    <x v="1"/>
    <x v="0"/>
    <n v="68.98"/>
    <n v="1"/>
    <x v="216"/>
    <x v="1"/>
    <n v="4.8"/>
  </r>
  <r>
    <x v="20"/>
    <x v="2"/>
    <x v="1"/>
    <x v="1"/>
    <x v="0"/>
    <n v="54.67"/>
    <n v="3"/>
    <x v="217"/>
    <x v="0"/>
    <n v="8.6"/>
  </r>
  <r>
    <x v="21"/>
    <x v="1"/>
    <x v="1"/>
    <x v="0"/>
    <x v="5"/>
    <n v="20.38"/>
    <n v="5"/>
    <x v="218"/>
    <x v="1"/>
    <n v="6"/>
  </r>
  <r>
    <x v="21"/>
    <x v="1"/>
    <x v="0"/>
    <x v="0"/>
    <x v="5"/>
    <n v="81.510000000000005"/>
    <n v="1"/>
    <x v="219"/>
    <x v="2"/>
    <n v="9.1999999999999993"/>
  </r>
  <r>
    <x v="21"/>
    <x v="1"/>
    <x v="0"/>
    <x v="1"/>
    <x v="4"/>
    <n v="39.39"/>
    <n v="5"/>
    <x v="220"/>
    <x v="0"/>
    <n v="8.6999999999999993"/>
  </r>
  <r>
    <x v="21"/>
    <x v="0"/>
    <x v="1"/>
    <x v="0"/>
    <x v="0"/>
    <n v="28.86"/>
    <n v="5"/>
    <x v="221"/>
    <x v="0"/>
    <n v="8"/>
  </r>
  <r>
    <x v="21"/>
    <x v="2"/>
    <x v="1"/>
    <x v="1"/>
    <x v="4"/>
    <n v="30.68"/>
    <n v="3"/>
    <x v="222"/>
    <x v="2"/>
    <n v="9.1"/>
  </r>
  <r>
    <x v="21"/>
    <x v="0"/>
    <x v="1"/>
    <x v="0"/>
    <x v="5"/>
    <n v="55.81"/>
    <n v="6"/>
    <x v="223"/>
    <x v="1"/>
    <n v="9.9"/>
  </r>
  <r>
    <x v="21"/>
    <x v="2"/>
    <x v="1"/>
    <x v="1"/>
    <x v="4"/>
    <n v="74.67"/>
    <n v="9"/>
    <x v="224"/>
    <x v="2"/>
    <n v="9.4"/>
  </r>
  <r>
    <x v="22"/>
    <x v="2"/>
    <x v="0"/>
    <x v="0"/>
    <x v="5"/>
    <n v="95.95"/>
    <n v="5"/>
    <x v="225"/>
    <x v="2"/>
    <n v="8.8000000000000007"/>
  </r>
  <r>
    <x v="22"/>
    <x v="1"/>
    <x v="1"/>
    <x v="0"/>
    <x v="1"/>
    <n v="84.05"/>
    <n v="3"/>
    <x v="226"/>
    <x v="1"/>
    <n v="9.8000000000000007"/>
  </r>
  <r>
    <x v="22"/>
    <x v="2"/>
    <x v="0"/>
    <x v="0"/>
    <x v="0"/>
    <n v="47.63"/>
    <n v="9"/>
    <x v="227"/>
    <x v="1"/>
    <n v="5"/>
  </r>
  <r>
    <x v="22"/>
    <x v="1"/>
    <x v="0"/>
    <x v="0"/>
    <x v="2"/>
    <n v="89.8"/>
    <n v="10"/>
    <x v="228"/>
    <x v="0"/>
    <n v="5.4"/>
  </r>
  <r>
    <x v="22"/>
    <x v="2"/>
    <x v="1"/>
    <x v="0"/>
    <x v="1"/>
    <n v="66.06"/>
    <n v="6"/>
    <x v="229"/>
    <x v="1"/>
    <n v="7.3"/>
  </r>
  <r>
    <x v="22"/>
    <x v="1"/>
    <x v="0"/>
    <x v="0"/>
    <x v="4"/>
    <n v="83.77"/>
    <n v="6"/>
    <x v="230"/>
    <x v="2"/>
    <n v="5.4"/>
  </r>
  <r>
    <x v="22"/>
    <x v="1"/>
    <x v="0"/>
    <x v="0"/>
    <x v="4"/>
    <n v="47.38"/>
    <n v="4"/>
    <x v="231"/>
    <x v="1"/>
    <n v="7.1"/>
  </r>
  <r>
    <x v="22"/>
    <x v="2"/>
    <x v="1"/>
    <x v="1"/>
    <x v="5"/>
    <n v="58.15"/>
    <n v="4"/>
    <x v="232"/>
    <x v="1"/>
    <n v="8.4"/>
  </r>
  <r>
    <x v="22"/>
    <x v="1"/>
    <x v="1"/>
    <x v="1"/>
    <x v="5"/>
    <n v="99.96"/>
    <n v="7"/>
    <x v="233"/>
    <x v="1"/>
    <n v="6.1"/>
  </r>
  <r>
    <x v="22"/>
    <x v="2"/>
    <x v="0"/>
    <x v="1"/>
    <x v="3"/>
    <n v="17.940000000000001"/>
    <n v="5"/>
    <x v="234"/>
    <x v="2"/>
    <n v="6.8"/>
  </r>
  <r>
    <x v="22"/>
    <x v="1"/>
    <x v="0"/>
    <x v="1"/>
    <x v="0"/>
    <n v="38.47"/>
    <n v="8"/>
    <x v="235"/>
    <x v="1"/>
    <n v="7.7"/>
  </r>
  <r>
    <x v="22"/>
    <x v="1"/>
    <x v="1"/>
    <x v="0"/>
    <x v="3"/>
    <n v="45.44"/>
    <n v="7"/>
    <x v="236"/>
    <x v="1"/>
    <n v="9.1999999999999993"/>
  </r>
  <r>
    <x v="22"/>
    <x v="1"/>
    <x v="1"/>
    <x v="0"/>
    <x v="5"/>
    <n v="10.99"/>
    <n v="5"/>
    <x v="237"/>
    <x v="0"/>
    <n v="9.3000000000000007"/>
  </r>
  <r>
    <x v="22"/>
    <x v="2"/>
    <x v="1"/>
    <x v="1"/>
    <x v="3"/>
    <n v="30.61"/>
    <n v="1"/>
    <x v="238"/>
    <x v="2"/>
    <n v="5.2"/>
  </r>
  <r>
    <x v="22"/>
    <x v="1"/>
    <x v="1"/>
    <x v="1"/>
    <x v="1"/>
    <n v="83.08"/>
    <n v="1"/>
    <x v="239"/>
    <x v="2"/>
    <n v="6.4"/>
  </r>
  <r>
    <x v="22"/>
    <x v="1"/>
    <x v="1"/>
    <x v="1"/>
    <x v="0"/>
    <n v="19.25"/>
    <n v="8"/>
    <x v="240"/>
    <x v="2"/>
    <n v="6.6"/>
  </r>
  <r>
    <x v="22"/>
    <x v="2"/>
    <x v="0"/>
    <x v="1"/>
    <x v="0"/>
    <n v="98.53"/>
    <n v="6"/>
    <x v="241"/>
    <x v="0"/>
    <n v="4"/>
  </r>
  <r>
    <x v="23"/>
    <x v="1"/>
    <x v="0"/>
    <x v="1"/>
    <x v="4"/>
    <n v="85.72"/>
    <n v="3"/>
    <x v="242"/>
    <x v="2"/>
    <n v="5.0999999999999996"/>
  </r>
  <r>
    <x v="23"/>
    <x v="2"/>
    <x v="0"/>
    <x v="1"/>
    <x v="3"/>
    <n v="86.68"/>
    <n v="8"/>
    <x v="243"/>
    <x v="0"/>
    <n v="7.2"/>
  </r>
  <r>
    <x v="23"/>
    <x v="2"/>
    <x v="0"/>
    <x v="0"/>
    <x v="1"/>
    <n v="48.62"/>
    <n v="8"/>
    <x v="244"/>
    <x v="1"/>
    <n v="5"/>
  </r>
  <r>
    <x v="23"/>
    <x v="1"/>
    <x v="0"/>
    <x v="0"/>
    <x v="4"/>
    <n v="60.87"/>
    <n v="1"/>
    <x v="245"/>
    <x v="1"/>
    <n v="5.5"/>
  </r>
  <r>
    <x v="23"/>
    <x v="0"/>
    <x v="1"/>
    <x v="1"/>
    <x v="4"/>
    <n v="73.28"/>
    <n v="5"/>
    <x v="246"/>
    <x v="2"/>
    <n v="8.4"/>
  </r>
  <r>
    <x v="23"/>
    <x v="2"/>
    <x v="1"/>
    <x v="0"/>
    <x v="5"/>
    <n v="77.5"/>
    <n v="5"/>
    <x v="247"/>
    <x v="2"/>
    <n v="4.3"/>
  </r>
  <r>
    <x v="23"/>
    <x v="2"/>
    <x v="1"/>
    <x v="1"/>
    <x v="2"/>
    <n v="78.77"/>
    <n v="10"/>
    <x v="248"/>
    <x v="1"/>
    <n v="6.4"/>
  </r>
  <r>
    <x v="23"/>
    <x v="0"/>
    <x v="1"/>
    <x v="0"/>
    <x v="2"/>
    <n v="76.599999999999994"/>
    <n v="10"/>
    <x v="249"/>
    <x v="2"/>
    <n v="6"/>
  </r>
  <r>
    <x v="23"/>
    <x v="2"/>
    <x v="1"/>
    <x v="1"/>
    <x v="1"/>
    <n v="10.56"/>
    <n v="8"/>
    <x v="250"/>
    <x v="1"/>
    <n v="7.6"/>
  </r>
  <r>
    <x v="23"/>
    <x v="0"/>
    <x v="0"/>
    <x v="1"/>
    <x v="1"/>
    <n v="40.299999999999997"/>
    <n v="10"/>
    <x v="251"/>
    <x v="0"/>
    <n v="7"/>
  </r>
  <r>
    <x v="23"/>
    <x v="0"/>
    <x v="0"/>
    <x v="0"/>
    <x v="2"/>
    <n v="23.08"/>
    <n v="6"/>
    <x v="252"/>
    <x v="2"/>
    <n v="4.9000000000000004"/>
  </r>
  <r>
    <x v="23"/>
    <x v="0"/>
    <x v="0"/>
    <x v="1"/>
    <x v="3"/>
    <n v="93.22"/>
    <n v="3"/>
    <x v="253"/>
    <x v="1"/>
    <n v="7.2"/>
  </r>
  <r>
    <x v="23"/>
    <x v="0"/>
    <x v="1"/>
    <x v="1"/>
    <x v="1"/>
    <n v="75.88"/>
    <n v="7"/>
    <x v="254"/>
    <x v="2"/>
    <n v="8.9"/>
  </r>
  <r>
    <x v="24"/>
    <x v="0"/>
    <x v="1"/>
    <x v="0"/>
    <x v="3"/>
    <n v="60.96"/>
    <n v="2"/>
    <x v="255"/>
    <x v="0"/>
    <n v="4.9000000000000004"/>
  </r>
  <r>
    <x v="24"/>
    <x v="0"/>
    <x v="1"/>
    <x v="0"/>
    <x v="0"/>
    <n v="48.51"/>
    <n v="7"/>
    <x v="256"/>
    <x v="0"/>
    <n v="5.2"/>
  </r>
  <r>
    <x v="24"/>
    <x v="2"/>
    <x v="0"/>
    <x v="1"/>
    <x v="4"/>
    <n v="60.01"/>
    <n v="4"/>
    <x v="257"/>
    <x v="1"/>
    <n v="4.5"/>
  </r>
  <r>
    <x v="24"/>
    <x v="0"/>
    <x v="1"/>
    <x v="1"/>
    <x v="5"/>
    <n v="96.11"/>
    <n v="1"/>
    <x v="258"/>
    <x v="2"/>
    <n v="7.8"/>
  </r>
  <r>
    <x v="24"/>
    <x v="0"/>
    <x v="0"/>
    <x v="1"/>
    <x v="5"/>
    <n v="51.13"/>
    <n v="4"/>
    <x v="259"/>
    <x v="0"/>
    <n v="4"/>
  </r>
  <r>
    <x v="24"/>
    <x v="2"/>
    <x v="0"/>
    <x v="0"/>
    <x v="2"/>
    <n v="40.049999999999997"/>
    <n v="4"/>
    <x v="260"/>
    <x v="1"/>
    <n v="9.6999999999999993"/>
  </r>
  <r>
    <x v="24"/>
    <x v="0"/>
    <x v="1"/>
    <x v="1"/>
    <x v="2"/>
    <n v="21.87"/>
    <n v="2"/>
    <x v="261"/>
    <x v="2"/>
    <n v="6.9"/>
  </r>
  <r>
    <x v="24"/>
    <x v="1"/>
    <x v="0"/>
    <x v="1"/>
    <x v="3"/>
    <n v="15.43"/>
    <n v="1"/>
    <x v="262"/>
    <x v="0"/>
    <n v="6.1"/>
  </r>
  <r>
    <x v="24"/>
    <x v="2"/>
    <x v="0"/>
    <x v="1"/>
    <x v="4"/>
    <n v="53.3"/>
    <n v="3"/>
    <x v="263"/>
    <x v="2"/>
    <n v="7.5"/>
  </r>
  <r>
    <x v="24"/>
    <x v="0"/>
    <x v="1"/>
    <x v="0"/>
    <x v="3"/>
    <n v="39.619999999999997"/>
    <n v="7"/>
    <x v="264"/>
    <x v="1"/>
    <n v="7.5"/>
  </r>
  <r>
    <x v="24"/>
    <x v="1"/>
    <x v="0"/>
    <x v="0"/>
    <x v="3"/>
    <n v="84.87"/>
    <n v="3"/>
    <x v="265"/>
    <x v="2"/>
    <n v="7.4"/>
  </r>
  <r>
    <x v="24"/>
    <x v="1"/>
    <x v="0"/>
    <x v="1"/>
    <x v="5"/>
    <n v="90.5"/>
    <n v="10"/>
    <x v="266"/>
    <x v="1"/>
    <n v="8.1"/>
  </r>
  <r>
    <x v="24"/>
    <x v="2"/>
    <x v="1"/>
    <x v="1"/>
    <x v="1"/>
    <n v="26.23"/>
    <n v="9"/>
    <x v="267"/>
    <x v="2"/>
    <n v="5.9"/>
  </r>
  <r>
    <x v="24"/>
    <x v="1"/>
    <x v="0"/>
    <x v="0"/>
    <x v="2"/>
    <n v="70.19"/>
    <n v="9"/>
    <x v="268"/>
    <x v="1"/>
    <n v="6.7"/>
  </r>
  <r>
    <x v="24"/>
    <x v="1"/>
    <x v="1"/>
    <x v="1"/>
    <x v="5"/>
    <n v="34.31"/>
    <n v="8"/>
    <x v="269"/>
    <x v="2"/>
    <n v="5.7"/>
  </r>
  <r>
    <x v="24"/>
    <x v="2"/>
    <x v="1"/>
    <x v="1"/>
    <x v="3"/>
    <n v="74.099999999999994"/>
    <n v="1"/>
    <x v="270"/>
    <x v="1"/>
    <n v="9.1999999999999993"/>
  </r>
  <r>
    <x v="24"/>
    <x v="0"/>
    <x v="1"/>
    <x v="0"/>
    <x v="0"/>
    <n v="88.36"/>
    <n v="5"/>
    <x v="271"/>
    <x v="1"/>
    <n v="9.6"/>
  </r>
  <r>
    <x v="25"/>
    <x v="0"/>
    <x v="0"/>
    <x v="1"/>
    <x v="0"/>
    <n v="80.05"/>
    <n v="5"/>
    <x v="272"/>
    <x v="0"/>
    <n v="9.4"/>
  </r>
  <r>
    <x v="25"/>
    <x v="0"/>
    <x v="0"/>
    <x v="1"/>
    <x v="5"/>
    <n v="69.37"/>
    <n v="9"/>
    <x v="273"/>
    <x v="2"/>
    <n v="4"/>
  </r>
  <r>
    <x v="25"/>
    <x v="1"/>
    <x v="1"/>
    <x v="0"/>
    <x v="3"/>
    <n v="64.989999999999995"/>
    <n v="1"/>
    <x v="274"/>
    <x v="0"/>
    <n v="4.5"/>
  </r>
  <r>
    <x v="25"/>
    <x v="2"/>
    <x v="1"/>
    <x v="0"/>
    <x v="3"/>
    <n v="12.09"/>
    <n v="1"/>
    <x v="275"/>
    <x v="0"/>
    <n v="8.1999999999999993"/>
  </r>
  <r>
    <x v="25"/>
    <x v="0"/>
    <x v="1"/>
    <x v="1"/>
    <x v="1"/>
    <n v="87.08"/>
    <n v="7"/>
    <x v="276"/>
    <x v="1"/>
    <n v="5.5"/>
  </r>
  <r>
    <x v="25"/>
    <x v="0"/>
    <x v="1"/>
    <x v="1"/>
    <x v="4"/>
    <n v="25.55"/>
    <n v="4"/>
    <x v="277"/>
    <x v="2"/>
    <n v="5.7"/>
  </r>
  <r>
    <x v="25"/>
    <x v="0"/>
    <x v="0"/>
    <x v="0"/>
    <x v="0"/>
    <n v="78.88"/>
    <n v="2"/>
    <x v="278"/>
    <x v="1"/>
    <n v="9.1"/>
  </r>
  <r>
    <x v="25"/>
    <x v="0"/>
    <x v="1"/>
    <x v="1"/>
    <x v="0"/>
    <n v="33.33"/>
    <n v="2"/>
    <x v="279"/>
    <x v="0"/>
    <n v="6.4"/>
  </r>
  <r>
    <x v="25"/>
    <x v="2"/>
    <x v="1"/>
    <x v="1"/>
    <x v="1"/>
    <n v="51.69"/>
    <n v="7"/>
    <x v="280"/>
    <x v="1"/>
    <n v="5.5"/>
  </r>
  <r>
    <x v="25"/>
    <x v="0"/>
    <x v="1"/>
    <x v="0"/>
    <x v="2"/>
    <n v="51.54"/>
    <n v="5"/>
    <x v="281"/>
    <x v="1"/>
    <n v="4.2"/>
  </r>
  <r>
    <x v="25"/>
    <x v="0"/>
    <x v="1"/>
    <x v="0"/>
    <x v="0"/>
    <n v="96.68"/>
    <n v="3"/>
    <x v="282"/>
    <x v="2"/>
    <n v="6.4"/>
  </r>
  <r>
    <x v="25"/>
    <x v="1"/>
    <x v="0"/>
    <x v="1"/>
    <x v="5"/>
    <n v="33.81"/>
    <n v="3"/>
    <x v="283"/>
    <x v="2"/>
    <n v="7.3"/>
  </r>
  <r>
    <x v="25"/>
    <x v="2"/>
    <x v="1"/>
    <x v="1"/>
    <x v="3"/>
    <n v="21.32"/>
    <n v="1"/>
    <x v="284"/>
    <x v="1"/>
    <n v="5.9"/>
  </r>
  <r>
    <x v="25"/>
    <x v="1"/>
    <x v="1"/>
    <x v="0"/>
    <x v="2"/>
    <n v="44.86"/>
    <n v="10"/>
    <x v="285"/>
    <x v="2"/>
    <n v="8.1999999999999993"/>
  </r>
  <r>
    <x v="25"/>
    <x v="0"/>
    <x v="1"/>
    <x v="0"/>
    <x v="3"/>
    <n v="37.950000000000003"/>
    <n v="10"/>
    <x v="286"/>
    <x v="1"/>
    <n v="9.6999999999999993"/>
  </r>
  <r>
    <x v="25"/>
    <x v="0"/>
    <x v="1"/>
    <x v="0"/>
    <x v="3"/>
    <n v="81.37"/>
    <n v="2"/>
    <x v="287"/>
    <x v="1"/>
    <n v="6.5"/>
  </r>
  <r>
    <x v="25"/>
    <x v="1"/>
    <x v="1"/>
    <x v="0"/>
    <x v="3"/>
    <n v="36.85"/>
    <n v="5"/>
    <x v="288"/>
    <x v="1"/>
    <n v="9.1999999999999993"/>
  </r>
  <r>
    <x v="26"/>
    <x v="2"/>
    <x v="0"/>
    <x v="1"/>
    <x v="1"/>
    <n v="73.260000000000005"/>
    <n v="1"/>
    <x v="289"/>
    <x v="2"/>
    <n v="9.6999999999999993"/>
  </r>
  <r>
    <x v="26"/>
    <x v="1"/>
    <x v="0"/>
    <x v="0"/>
    <x v="3"/>
    <n v="54.07"/>
    <n v="9"/>
    <x v="290"/>
    <x v="2"/>
    <n v="9.5"/>
  </r>
  <r>
    <x v="26"/>
    <x v="1"/>
    <x v="1"/>
    <x v="0"/>
    <x v="2"/>
    <n v="14.36"/>
    <n v="10"/>
    <x v="291"/>
    <x v="1"/>
    <n v="5.4"/>
  </r>
  <r>
    <x v="26"/>
    <x v="1"/>
    <x v="1"/>
    <x v="0"/>
    <x v="0"/>
    <n v="90.24"/>
    <n v="6"/>
    <x v="292"/>
    <x v="1"/>
    <n v="6.2"/>
  </r>
  <r>
    <x v="26"/>
    <x v="1"/>
    <x v="0"/>
    <x v="0"/>
    <x v="1"/>
    <n v="46.57"/>
    <n v="10"/>
    <x v="293"/>
    <x v="1"/>
    <n v="7.6"/>
  </r>
  <r>
    <x v="26"/>
    <x v="0"/>
    <x v="1"/>
    <x v="0"/>
    <x v="4"/>
    <n v="49.01"/>
    <n v="10"/>
    <x v="294"/>
    <x v="0"/>
    <n v="4.2"/>
  </r>
  <r>
    <x v="26"/>
    <x v="2"/>
    <x v="0"/>
    <x v="1"/>
    <x v="5"/>
    <n v="58.22"/>
    <n v="8"/>
    <x v="295"/>
    <x v="2"/>
    <n v="8.4"/>
  </r>
  <r>
    <x v="26"/>
    <x v="2"/>
    <x v="1"/>
    <x v="0"/>
    <x v="2"/>
    <n v="32.25"/>
    <n v="5"/>
    <x v="296"/>
    <x v="1"/>
    <n v="9"/>
  </r>
  <r>
    <x v="26"/>
    <x v="0"/>
    <x v="0"/>
    <x v="1"/>
    <x v="5"/>
    <n v="96.16"/>
    <n v="4"/>
    <x v="297"/>
    <x v="0"/>
    <n v="8.4"/>
  </r>
  <r>
    <x v="26"/>
    <x v="1"/>
    <x v="1"/>
    <x v="1"/>
    <x v="4"/>
    <n v="69.400000000000006"/>
    <n v="2"/>
    <x v="298"/>
    <x v="2"/>
    <n v="9"/>
  </r>
  <r>
    <x v="26"/>
    <x v="2"/>
    <x v="1"/>
    <x v="0"/>
    <x v="4"/>
    <n v="12.03"/>
    <n v="2"/>
    <x v="299"/>
    <x v="1"/>
    <n v="5.0999999999999996"/>
  </r>
  <r>
    <x v="26"/>
    <x v="2"/>
    <x v="1"/>
    <x v="1"/>
    <x v="0"/>
    <n v="81.709999999999994"/>
    <n v="6"/>
    <x v="300"/>
    <x v="0"/>
    <n v="8"/>
  </r>
  <r>
    <x v="26"/>
    <x v="1"/>
    <x v="0"/>
    <x v="0"/>
    <x v="4"/>
    <n v="24.24"/>
    <n v="7"/>
    <x v="301"/>
    <x v="2"/>
    <n v="9.4"/>
  </r>
  <r>
    <x v="26"/>
    <x v="2"/>
    <x v="1"/>
    <x v="0"/>
    <x v="3"/>
    <n v="54.28"/>
    <n v="7"/>
    <x v="302"/>
    <x v="2"/>
    <n v="9.3000000000000007"/>
  </r>
  <r>
    <x v="27"/>
    <x v="1"/>
    <x v="1"/>
    <x v="0"/>
    <x v="4"/>
    <n v="69.81"/>
    <n v="4"/>
    <x v="303"/>
    <x v="0"/>
    <n v="5.9"/>
  </r>
  <r>
    <x v="27"/>
    <x v="0"/>
    <x v="1"/>
    <x v="1"/>
    <x v="5"/>
    <n v="99.16"/>
    <n v="8"/>
    <x v="304"/>
    <x v="0"/>
    <n v="4.2"/>
  </r>
  <r>
    <x v="27"/>
    <x v="0"/>
    <x v="0"/>
    <x v="0"/>
    <x v="5"/>
    <n v="19.149999999999999"/>
    <n v="1"/>
    <x v="305"/>
    <x v="0"/>
    <n v="9.5"/>
  </r>
  <r>
    <x v="27"/>
    <x v="1"/>
    <x v="1"/>
    <x v="0"/>
    <x v="2"/>
    <n v="80.97"/>
    <n v="8"/>
    <x v="306"/>
    <x v="1"/>
    <n v="9.3000000000000007"/>
  </r>
  <r>
    <x v="27"/>
    <x v="2"/>
    <x v="1"/>
    <x v="1"/>
    <x v="0"/>
    <n v="11.53"/>
    <n v="7"/>
    <x v="307"/>
    <x v="1"/>
    <n v="8.1"/>
  </r>
  <r>
    <x v="27"/>
    <x v="1"/>
    <x v="1"/>
    <x v="0"/>
    <x v="3"/>
    <n v="23.82"/>
    <n v="5"/>
    <x v="308"/>
    <x v="2"/>
    <n v="5.4"/>
  </r>
  <r>
    <x v="27"/>
    <x v="0"/>
    <x v="0"/>
    <x v="0"/>
    <x v="1"/>
    <n v="21.43"/>
    <n v="10"/>
    <x v="309"/>
    <x v="1"/>
    <n v="6.2"/>
  </r>
  <r>
    <x v="27"/>
    <x v="1"/>
    <x v="1"/>
    <x v="1"/>
    <x v="5"/>
    <n v="17.41"/>
    <n v="5"/>
    <x v="310"/>
    <x v="0"/>
    <n v="4.9000000000000004"/>
  </r>
  <r>
    <x v="27"/>
    <x v="0"/>
    <x v="0"/>
    <x v="1"/>
    <x v="2"/>
    <n v="78.069999999999993"/>
    <n v="9"/>
    <x v="311"/>
    <x v="1"/>
    <n v="4.5"/>
  </r>
  <r>
    <x v="27"/>
    <x v="0"/>
    <x v="0"/>
    <x v="1"/>
    <x v="5"/>
    <n v="75.37"/>
    <n v="8"/>
    <x v="312"/>
    <x v="0"/>
    <n v="8.4"/>
  </r>
  <r>
    <x v="27"/>
    <x v="1"/>
    <x v="0"/>
    <x v="1"/>
    <x v="1"/>
    <n v="18.77"/>
    <n v="6"/>
    <x v="313"/>
    <x v="0"/>
    <n v="5.5"/>
  </r>
  <r>
    <x v="27"/>
    <x v="0"/>
    <x v="0"/>
    <x v="0"/>
    <x v="5"/>
    <n v="72.11"/>
    <n v="9"/>
    <x v="314"/>
    <x v="0"/>
    <n v="7.7"/>
  </r>
  <r>
    <x v="27"/>
    <x v="2"/>
    <x v="0"/>
    <x v="1"/>
    <x v="1"/>
    <n v="24.18"/>
    <n v="8"/>
    <x v="315"/>
    <x v="2"/>
    <n v="9.8000000000000007"/>
  </r>
  <r>
    <x v="27"/>
    <x v="1"/>
    <x v="0"/>
    <x v="1"/>
    <x v="5"/>
    <n v="86.8"/>
    <n v="3"/>
    <x v="316"/>
    <x v="2"/>
    <n v="9.9"/>
  </r>
  <r>
    <x v="28"/>
    <x v="0"/>
    <x v="0"/>
    <x v="1"/>
    <x v="3"/>
    <n v="32.619999999999997"/>
    <n v="4"/>
    <x v="317"/>
    <x v="1"/>
    <n v="9"/>
  </r>
  <r>
    <x v="28"/>
    <x v="1"/>
    <x v="1"/>
    <x v="1"/>
    <x v="1"/>
    <n v="58.76"/>
    <n v="10"/>
    <x v="318"/>
    <x v="2"/>
    <n v="9"/>
  </r>
  <r>
    <x v="28"/>
    <x v="2"/>
    <x v="0"/>
    <x v="0"/>
    <x v="2"/>
    <n v="22.01"/>
    <n v="4"/>
    <x v="319"/>
    <x v="0"/>
    <n v="6.6"/>
  </r>
  <r>
    <x v="28"/>
    <x v="2"/>
    <x v="1"/>
    <x v="1"/>
    <x v="1"/>
    <n v="38.6"/>
    <n v="1"/>
    <x v="320"/>
    <x v="2"/>
    <n v="6.7"/>
  </r>
  <r>
    <x v="28"/>
    <x v="1"/>
    <x v="1"/>
    <x v="1"/>
    <x v="5"/>
    <n v="40.35"/>
    <n v="1"/>
    <x v="321"/>
    <x v="2"/>
    <n v="6.2"/>
  </r>
  <r>
    <x v="28"/>
    <x v="2"/>
    <x v="0"/>
    <x v="0"/>
    <x v="2"/>
    <n v="27.93"/>
    <n v="5"/>
    <x v="322"/>
    <x v="1"/>
    <n v="5.9"/>
  </r>
  <r>
    <x v="28"/>
    <x v="1"/>
    <x v="1"/>
    <x v="1"/>
    <x v="3"/>
    <n v="42.08"/>
    <n v="6"/>
    <x v="323"/>
    <x v="1"/>
    <n v="8.9"/>
  </r>
  <r>
    <x v="28"/>
    <x v="0"/>
    <x v="1"/>
    <x v="0"/>
    <x v="0"/>
    <n v="84.05"/>
    <n v="6"/>
    <x v="324"/>
    <x v="0"/>
    <n v="7.7"/>
  </r>
  <r>
    <x v="28"/>
    <x v="1"/>
    <x v="0"/>
    <x v="0"/>
    <x v="2"/>
    <n v="19.149999999999999"/>
    <n v="6"/>
    <x v="325"/>
    <x v="0"/>
    <n v="6.8"/>
  </r>
  <r>
    <x v="28"/>
    <x v="0"/>
    <x v="0"/>
    <x v="1"/>
    <x v="2"/>
    <n v="26.67"/>
    <n v="10"/>
    <x v="326"/>
    <x v="1"/>
    <n v="8.6"/>
  </r>
  <r>
    <x v="28"/>
    <x v="2"/>
    <x v="0"/>
    <x v="0"/>
    <x v="4"/>
    <n v="87.37"/>
    <n v="5"/>
    <x v="327"/>
    <x v="1"/>
    <n v="6.6"/>
  </r>
  <r>
    <x v="28"/>
    <x v="2"/>
    <x v="1"/>
    <x v="1"/>
    <x v="3"/>
    <n v="83.24"/>
    <n v="9"/>
    <x v="328"/>
    <x v="0"/>
    <n v="7.4"/>
  </r>
  <r>
    <x v="29"/>
    <x v="1"/>
    <x v="1"/>
    <x v="1"/>
    <x v="4"/>
    <n v="22.96"/>
    <n v="1"/>
    <x v="329"/>
    <x v="1"/>
    <n v="4.3"/>
  </r>
  <r>
    <x v="29"/>
    <x v="0"/>
    <x v="1"/>
    <x v="0"/>
    <x v="1"/>
    <n v="23.65"/>
    <n v="4"/>
    <x v="330"/>
    <x v="0"/>
    <n v="4"/>
  </r>
  <r>
    <x v="29"/>
    <x v="2"/>
    <x v="0"/>
    <x v="1"/>
    <x v="1"/>
    <n v="93.78"/>
    <n v="3"/>
    <x v="331"/>
    <x v="0"/>
    <n v="5.9"/>
  </r>
  <r>
    <x v="29"/>
    <x v="1"/>
    <x v="0"/>
    <x v="0"/>
    <x v="0"/>
    <n v="98.52"/>
    <n v="10"/>
    <x v="332"/>
    <x v="2"/>
    <n v="4.5"/>
  </r>
  <r>
    <x v="29"/>
    <x v="1"/>
    <x v="1"/>
    <x v="0"/>
    <x v="2"/>
    <n v="22.38"/>
    <n v="1"/>
    <x v="333"/>
    <x v="0"/>
    <n v="8.6"/>
  </r>
  <r>
    <x v="29"/>
    <x v="1"/>
    <x v="1"/>
    <x v="0"/>
    <x v="0"/>
    <n v="97.03"/>
    <n v="5"/>
    <x v="334"/>
    <x v="2"/>
    <n v="9.3000000000000007"/>
  </r>
  <r>
    <x v="29"/>
    <x v="1"/>
    <x v="0"/>
    <x v="0"/>
    <x v="4"/>
    <n v="10.53"/>
    <n v="5"/>
    <x v="335"/>
    <x v="0"/>
    <n v="5.8"/>
  </r>
  <r>
    <x v="29"/>
    <x v="1"/>
    <x v="1"/>
    <x v="1"/>
    <x v="2"/>
    <n v="76.400000000000006"/>
    <n v="2"/>
    <x v="336"/>
    <x v="2"/>
    <n v="6.5"/>
  </r>
  <r>
    <x v="29"/>
    <x v="0"/>
    <x v="1"/>
    <x v="0"/>
    <x v="1"/>
    <n v="42.42"/>
    <n v="8"/>
    <x v="337"/>
    <x v="2"/>
    <n v="5.7"/>
  </r>
  <r>
    <x v="30"/>
    <x v="1"/>
    <x v="1"/>
    <x v="0"/>
    <x v="2"/>
    <n v="23.75"/>
    <n v="9"/>
    <x v="338"/>
    <x v="1"/>
    <n v="9.5"/>
  </r>
  <r>
    <x v="30"/>
    <x v="2"/>
    <x v="0"/>
    <x v="1"/>
    <x v="1"/>
    <n v="20.77"/>
    <n v="4"/>
    <x v="239"/>
    <x v="1"/>
    <n v="4.7"/>
  </r>
  <r>
    <x v="30"/>
    <x v="1"/>
    <x v="0"/>
    <x v="1"/>
    <x v="3"/>
    <n v="98.7"/>
    <n v="8"/>
    <x v="339"/>
    <x v="2"/>
    <n v="8.5"/>
  </r>
  <r>
    <x v="30"/>
    <x v="0"/>
    <x v="1"/>
    <x v="0"/>
    <x v="1"/>
    <n v="43"/>
    <n v="4"/>
    <x v="340"/>
    <x v="2"/>
    <n v="7.6"/>
  </r>
  <r>
    <x v="30"/>
    <x v="0"/>
    <x v="1"/>
    <x v="1"/>
    <x v="1"/>
    <n v="72.13"/>
    <n v="10"/>
    <x v="341"/>
    <x v="0"/>
    <n v="4.2"/>
  </r>
  <r>
    <x v="30"/>
    <x v="2"/>
    <x v="0"/>
    <x v="1"/>
    <x v="3"/>
    <n v="51.34"/>
    <n v="8"/>
    <x v="342"/>
    <x v="2"/>
    <n v="7.6"/>
  </r>
  <r>
    <x v="30"/>
    <x v="0"/>
    <x v="0"/>
    <x v="1"/>
    <x v="2"/>
    <n v="75.819999999999993"/>
    <n v="1"/>
    <x v="343"/>
    <x v="1"/>
    <n v="5.8"/>
  </r>
  <r>
    <x v="30"/>
    <x v="1"/>
    <x v="1"/>
    <x v="0"/>
    <x v="3"/>
    <n v="62.18"/>
    <n v="10"/>
    <x v="344"/>
    <x v="2"/>
    <n v="6"/>
  </r>
  <r>
    <x v="30"/>
    <x v="1"/>
    <x v="0"/>
    <x v="1"/>
    <x v="1"/>
    <n v="37.06"/>
    <n v="4"/>
    <x v="345"/>
    <x v="2"/>
    <n v="9.6999999999999993"/>
  </r>
  <r>
    <x v="30"/>
    <x v="0"/>
    <x v="0"/>
    <x v="1"/>
    <x v="2"/>
    <n v="79.930000000000007"/>
    <n v="6"/>
    <x v="346"/>
    <x v="1"/>
    <n v="5.5"/>
  </r>
  <r>
    <x v="30"/>
    <x v="0"/>
    <x v="0"/>
    <x v="1"/>
    <x v="1"/>
    <n v="87.87"/>
    <n v="9"/>
    <x v="347"/>
    <x v="2"/>
    <n v="5.6"/>
  </r>
  <r>
    <x v="30"/>
    <x v="0"/>
    <x v="1"/>
    <x v="1"/>
    <x v="3"/>
    <n v="69.08"/>
    <n v="2"/>
    <x v="348"/>
    <x v="0"/>
    <n v="6.9"/>
  </r>
  <r>
    <x v="30"/>
    <x v="0"/>
    <x v="1"/>
    <x v="1"/>
    <x v="1"/>
    <n v="45.35"/>
    <n v="6"/>
    <x v="349"/>
    <x v="2"/>
    <n v="6.1"/>
  </r>
  <r>
    <x v="30"/>
    <x v="2"/>
    <x v="0"/>
    <x v="1"/>
    <x v="1"/>
    <n v="66.349999999999994"/>
    <n v="1"/>
    <x v="350"/>
    <x v="0"/>
    <n v="9.6999999999999993"/>
  </r>
  <r>
    <x v="31"/>
    <x v="1"/>
    <x v="0"/>
    <x v="0"/>
    <x v="0"/>
    <n v="87.48"/>
    <n v="6"/>
    <x v="351"/>
    <x v="2"/>
    <n v="5.0999999999999996"/>
  </r>
  <r>
    <x v="31"/>
    <x v="2"/>
    <x v="0"/>
    <x v="0"/>
    <x v="0"/>
    <n v="14.23"/>
    <n v="5"/>
    <x v="352"/>
    <x v="0"/>
    <n v="4.4000000000000004"/>
  </r>
  <r>
    <x v="31"/>
    <x v="2"/>
    <x v="0"/>
    <x v="1"/>
    <x v="2"/>
    <n v="69.52"/>
    <n v="7"/>
    <x v="353"/>
    <x v="0"/>
    <n v="8.5"/>
  </r>
  <r>
    <x v="31"/>
    <x v="1"/>
    <x v="1"/>
    <x v="0"/>
    <x v="1"/>
    <n v="23.07"/>
    <n v="9"/>
    <x v="354"/>
    <x v="1"/>
    <n v="4.9000000000000004"/>
  </r>
  <r>
    <x v="31"/>
    <x v="1"/>
    <x v="0"/>
    <x v="0"/>
    <x v="4"/>
    <n v="80.790000000000006"/>
    <n v="9"/>
    <x v="355"/>
    <x v="0"/>
    <n v="9.5"/>
  </r>
  <r>
    <x v="31"/>
    <x v="2"/>
    <x v="0"/>
    <x v="0"/>
    <x v="5"/>
    <n v="77.680000000000007"/>
    <n v="4"/>
    <x v="356"/>
    <x v="1"/>
    <n v="8.4"/>
  </r>
  <r>
    <x v="32"/>
    <x v="0"/>
    <x v="0"/>
    <x v="0"/>
    <x v="1"/>
    <n v="26.26"/>
    <n v="7"/>
    <x v="357"/>
    <x v="1"/>
    <n v="9.9"/>
  </r>
  <r>
    <x v="32"/>
    <x v="2"/>
    <x v="0"/>
    <x v="1"/>
    <x v="3"/>
    <n v="43.13"/>
    <n v="10"/>
    <x v="358"/>
    <x v="0"/>
    <n v="5.5"/>
  </r>
  <r>
    <x v="32"/>
    <x v="0"/>
    <x v="1"/>
    <x v="0"/>
    <x v="3"/>
    <n v="25.56"/>
    <n v="7"/>
    <x v="359"/>
    <x v="1"/>
    <n v="7.1"/>
  </r>
  <r>
    <x v="32"/>
    <x v="1"/>
    <x v="0"/>
    <x v="0"/>
    <x v="0"/>
    <n v="38.42"/>
    <n v="1"/>
    <x v="360"/>
    <x v="1"/>
    <n v="8.6"/>
  </r>
  <r>
    <x v="32"/>
    <x v="1"/>
    <x v="1"/>
    <x v="1"/>
    <x v="0"/>
    <n v="65.97"/>
    <n v="8"/>
    <x v="361"/>
    <x v="1"/>
    <n v="8.4"/>
  </r>
  <r>
    <x v="32"/>
    <x v="2"/>
    <x v="0"/>
    <x v="0"/>
    <x v="2"/>
    <n v="51.52"/>
    <n v="8"/>
    <x v="362"/>
    <x v="1"/>
    <n v="9.6"/>
  </r>
  <r>
    <x v="32"/>
    <x v="1"/>
    <x v="1"/>
    <x v="0"/>
    <x v="1"/>
    <n v="35.49"/>
    <n v="6"/>
    <x v="363"/>
    <x v="1"/>
    <n v="4.0999999999999996"/>
  </r>
  <r>
    <x v="32"/>
    <x v="1"/>
    <x v="0"/>
    <x v="0"/>
    <x v="3"/>
    <n v="83.35"/>
    <n v="2"/>
    <x v="364"/>
    <x v="0"/>
    <n v="9.5"/>
  </r>
  <r>
    <x v="32"/>
    <x v="1"/>
    <x v="0"/>
    <x v="1"/>
    <x v="4"/>
    <n v="56.11"/>
    <n v="2"/>
    <x v="365"/>
    <x v="1"/>
    <n v="6.3"/>
  </r>
  <r>
    <x v="32"/>
    <x v="0"/>
    <x v="0"/>
    <x v="1"/>
    <x v="0"/>
    <n v="46.55"/>
    <n v="9"/>
    <x v="366"/>
    <x v="2"/>
    <n v="6.4"/>
  </r>
  <r>
    <x v="32"/>
    <x v="0"/>
    <x v="1"/>
    <x v="1"/>
    <x v="4"/>
    <n v="93.87"/>
    <n v="8"/>
    <x v="367"/>
    <x v="0"/>
    <n v="8.3000000000000007"/>
  </r>
  <r>
    <x v="32"/>
    <x v="2"/>
    <x v="1"/>
    <x v="0"/>
    <x v="0"/>
    <n v="10.96"/>
    <n v="10"/>
    <x v="368"/>
    <x v="2"/>
    <n v="6"/>
  </r>
  <r>
    <x v="32"/>
    <x v="1"/>
    <x v="1"/>
    <x v="0"/>
    <x v="3"/>
    <n v="95.42"/>
    <n v="4"/>
    <x v="369"/>
    <x v="2"/>
    <n v="6.4"/>
  </r>
  <r>
    <x v="32"/>
    <x v="2"/>
    <x v="0"/>
    <x v="0"/>
    <x v="5"/>
    <n v="18.329999999999998"/>
    <n v="1"/>
    <x v="370"/>
    <x v="1"/>
    <n v="4.3"/>
  </r>
  <r>
    <x v="33"/>
    <x v="2"/>
    <x v="1"/>
    <x v="0"/>
    <x v="0"/>
    <n v="27.28"/>
    <n v="5"/>
    <x v="371"/>
    <x v="0"/>
    <n v="8.6"/>
  </r>
  <r>
    <x v="33"/>
    <x v="0"/>
    <x v="0"/>
    <x v="1"/>
    <x v="0"/>
    <n v="47.16"/>
    <n v="5"/>
    <x v="372"/>
    <x v="0"/>
    <n v="6"/>
  </r>
  <r>
    <x v="33"/>
    <x v="2"/>
    <x v="0"/>
    <x v="0"/>
    <x v="4"/>
    <n v="94.88"/>
    <n v="7"/>
    <x v="373"/>
    <x v="1"/>
    <n v="4.2"/>
  </r>
  <r>
    <x v="33"/>
    <x v="1"/>
    <x v="0"/>
    <x v="1"/>
    <x v="0"/>
    <n v="91.4"/>
    <n v="7"/>
    <x v="374"/>
    <x v="1"/>
    <n v="9.5"/>
  </r>
  <r>
    <x v="33"/>
    <x v="0"/>
    <x v="0"/>
    <x v="0"/>
    <x v="2"/>
    <n v="55.07"/>
    <n v="9"/>
    <x v="375"/>
    <x v="2"/>
    <n v="10"/>
  </r>
  <r>
    <x v="33"/>
    <x v="0"/>
    <x v="1"/>
    <x v="0"/>
    <x v="2"/>
    <n v="42.97"/>
    <n v="3"/>
    <x v="376"/>
    <x v="1"/>
    <n v="9.3000000000000007"/>
  </r>
  <r>
    <x v="33"/>
    <x v="2"/>
    <x v="0"/>
    <x v="1"/>
    <x v="4"/>
    <n v="72.78"/>
    <n v="10"/>
    <x v="377"/>
    <x v="1"/>
    <n v="7.3"/>
  </r>
  <r>
    <x v="33"/>
    <x v="0"/>
    <x v="0"/>
    <x v="1"/>
    <x v="3"/>
    <n v="53.78"/>
    <n v="1"/>
    <x v="378"/>
    <x v="2"/>
    <n v="4.7"/>
  </r>
  <r>
    <x v="33"/>
    <x v="2"/>
    <x v="1"/>
    <x v="1"/>
    <x v="3"/>
    <n v="77.02"/>
    <n v="5"/>
    <x v="379"/>
    <x v="1"/>
    <n v="5.5"/>
  </r>
  <r>
    <x v="33"/>
    <x v="2"/>
    <x v="0"/>
    <x v="1"/>
    <x v="0"/>
    <n v="67.45"/>
    <n v="10"/>
    <x v="380"/>
    <x v="2"/>
    <n v="4.2"/>
  </r>
  <r>
    <x v="33"/>
    <x v="1"/>
    <x v="1"/>
    <x v="1"/>
    <x v="0"/>
    <n v="40.520000000000003"/>
    <n v="5"/>
    <x v="381"/>
    <x v="1"/>
    <n v="4.5"/>
  </r>
  <r>
    <x v="33"/>
    <x v="1"/>
    <x v="1"/>
    <x v="0"/>
    <x v="2"/>
    <n v="73.95"/>
    <n v="4"/>
    <x v="382"/>
    <x v="1"/>
    <n v="6.1"/>
  </r>
  <r>
    <x v="33"/>
    <x v="1"/>
    <x v="1"/>
    <x v="0"/>
    <x v="2"/>
    <n v="49.33"/>
    <n v="10"/>
    <x v="383"/>
    <x v="0"/>
    <n v="9.4"/>
  </r>
  <r>
    <x v="33"/>
    <x v="0"/>
    <x v="0"/>
    <x v="1"/>
    <x v="2"/>
    <n v="73.97"/>
    <n v="1"/>
    <x v="384"/>
    <x v="0"/>
    <n v="5.4"/>
  </r>
  <r>
    <x v="34"/>
    <x v="1"/>
    <x v="1"/>
    <x v="0"/>
    <x v="5"/>
    <n v="13.85"/>
    <n v="9"/>
    <x v="385"/>
    <x v="2"/>
    <n v="6"/>
  </r>
  <r>
    <x v="34"/>
    <x v="2"/>
    <x v="0"/>
    <x v="0"/>
    <x v="1"/>
    <n v="25.22"/>
    <n v="7"/>
    <x v="386"/>
    <x v="1"/>
    <n v="8.1999999999999993"/>
  </r>
  <r>
    <x v="34"/>
    <x v="0"/>
    <x v="1"/>
    <x v="0"/>
    <x v="0"/>
    <n v="67.77"/>
    <n v="1"/>
    <x v="387"/>
    <x v="0"/>
    <n v="6.5"/>
  </r>
  <r>
    <x v="34"/>
    <x v="0"/>
    <x v="0"/>
    <x v="1"/>
    <x v="0"/>
    <n v="23.34"/>
    <n v="4"/>
    <x v="388"/>
    <x v="2"/>
    <n v="7.4"/>
  </r>
  <r>
    <x v="34"/>
    <x v="1"/>
    <x v="0"/>
    <x v="1"/>
    <x v="4"/>
    <n v="13.98"/>
    <n v="1"/>
    <x v="389"/>
    <x v="2"/>
    <n v="9.8000000000000007"/>
  </r>
  <r>
    <x v="34"/>
    <x v="2"/>
    <x v="0"/>
    <x v="1"/>
    <x v="1"/>
    <n v="71.95"/>
    <n v="1"/>
    <x v="390"/>
    <x v="1"/>
    <n v="7.3"/>
  </r>
  <r>
    <x v="34"/>
    <x v="2"/>
    <x v="1"/>
    <x v="0"/>
    <x v="2"/>
    <n v="43.06"/>
    <n v="5"/>
    <x v="391"/>
    <x v="2"/>
    <n v="7.7"/>
  </r>
  <r>
    <x v="34"/>
    <x v="2"/>
    <x v="1"/>
    <x v="1"/>
    <x v="1"/>
    <n v="74.58"/>
    <n v="7"/>
    <x v="392"/>
    <x v="0"/>
    <n v="9"/>
  </r>
  <r>
    <x v="34"/>
    <x v="0"/>
    <x v="0"/>
    <x v="0"/>
    <x v="3"/>
    <n v="72.040000000000006"/>
    <n v="2"/>
    <x v="393"/>
    <x v="1"/>
    <n v="9.5"/>
  </r>
  <r>
    <x v="34"/>
    <x v="2"/>
    <x v="1"/>
    <x v="0"/>
    <x v="3"/>
    <n v="48.63"/>
    <n v="4"/>
    <x v="394"/>
    <x v="2"/>
    <n v="7.6"/>
  </r>
  <r>
    <x v="34"/>
    <x v="0"/>
    <x v="0"/>
    <x v="0"/>
    <x v="4"/>
    <n v="77.680000000000007"/>
    <n v="9"/>
    <x v="395"/>
    <x v="2"/>
    <n v="9.8000000000000007"/>
  </r>
  <r>
    <x v="35"/>
    <x v="2"/>
    <x v="0"/>
    <x v="0"/>
    <x v="3"/>
    <n v="30.62"/>
    <n v="1"/>
    <x v="396"/>
    <x v="0"/>
    <n v="4.0999999999999996"/>
  </r>
  <r>
    <x v="35"/>
    <x v="0"/>
    <x v="0"/>
    <x v="0"/>
    <x v="0"/>
    <n v="42.82"/>
    <n v="9"/>
    <x v="397"/>
    <x v="0"/>
    <n v="8.9"/>
  </r>
  <r>
    <x v="35"/>
    <x v="1"/>
    <x v="0"/>
    <x v="0"/>
    <x v="0"/>
    <n v="47.27"/>
    <n v="6"/>
    <x v="398"/>
    <x v="1"/>
    <n v="8.8000000000000007"/>
  </r>
  <r>
    <x v="35"/>
    <x v="0"/>
    <x v="0"/>
    <x v="0"/>
    <x v="2"/>
    <n v="16.489999999999998"/>
    <n v="2"/>
    <x v="399"/>
    <x v="2"/>
    <n v="4.5999999999999996"/>
  </r>
  <r>
    <x v="35"/>
    <x v="2"/>
    <x v="0"/>
    <x v="1"/>
    <x v="1"/>
    <n v="20.89"/>
    <n v="2"/>
    <x v="400"/>
    <x v="1"/>
    <n v="9.8000000000000007"/>
  </r>
  <r>
    <x v="35"/>
    <x v="1"/>
    <x v="0"/>
    <x v="1"/>
    <x v="3"/>
    <n v="69.33"/>
    <n v="2"/>
    <x v="401"/>
    <x v="2"/>
    <n v="9.6999999999999993"/>
  </r>
  <r>
    <x v="35"/>
    <x v="0"/>
    <x v="1"/>
    <x v="0"/>
    <x v="5"/>
    <n v="58.24"/>
    <n v="9"/>
    <x v="402"/>
    <x v="1"/>
    <n v="9.6999999999999993"/>
  </r>
  <r>
    <x v="35"/>
    <x v="2"/>
    <x v="0"/>
    <x v="1"/>
    <x v="0"/>
    <n v="87.9"/>
    <n v="1"/>
    <x v="403"/>
    <x v="2"/>
    <n v="6.7"/>
  </r>
  <r>
    <x v="35"/>
    <x v="2"/>
    <x v="0"/>
    <x v="0"/>
    <x v="2"/>
    <n v="75.2"/>
    <n v="3"/>
    <x v="404"/>
    <x v="2"/>
    <n v="4.8"/>
  </r>
  <r>
    <x v="35"/>
    <x v="1"/>
    <x v="0"/>
    <x v="0"/>
    <x v="5"/>
    <n v="68.599999999999994"/>
    <n v="10"/>
    <x v="405"/>
    <x v="1"/>
    <n v="9.1"/>
  </r>
  <r>
    <x v="35"/>
    <x v="1"/>
    <x v="0"/>
    <x v="0"/>
    <x v="5"/>
    <n v="98.21"/>
    <n v="3"/>
    <x v="406"/>
    <x v="0"/>
    <n v="7.8"/>
  </r>
  <r>
    <x v="35"/>
    <x v="2"/>
    <x v="0"/>
    <x v="1"/>
    <x v="4"/>
    <n v="25.91"/>
    <n v="6"/>
    <x v="407"/>
    <x v="2"/>
    <n v="8.6999999999999993"/>
  </r>
  <r>
    <x v="36"/>
    <x v="1"/>
    <x v="1"/>
    <x v="1"/>
    <x v="5"/>
    <n v="89.75"/>
    <n v="1"/>
    <x v="408"/>
    <x v="0"/>
    <n v="6.6"/>
  </r>
  <r>
    <x v="36"/>
    <x v="1"/>
    <x v="0"/>
    <x v="1"/>
    <x v="3"/>
    <n v="96.98"/>
    <n v="4"/>
    <x v="409"/>
    <x v="2"/>
    <n v="9.4"/>
  </r>
  <r>
    <x v="36"/>
    <x v="0"/>
    <x v="1"/>
    <x v="1"/>
    <x v="1"/>
    <n v="22.95"/>
    <n v="10"/>
    <x v="410"/>
    <x v="2"/>
    <n v="8.1999999999999993"/>
  </r>
  <r>
    <x v="36"/>
    <x v="0"/>
    <x v="0"/>
    <x v="0"/>
    <x v="0"/>
    <n v="20.010000000000002"/>
    <n v="9"/>
    <x v="114"/>
    <x v="2"/>
    <n v="4.0999999999999996"/>
  </r>
  <r>
    <x v="36"/>
    <x v="1"/>
    <x v="0"/>
    <x v="1"/>
    <x v="4"/>
    <n v="35.81"/>
    <n v="5"/>
    <x v="411"/>
    <x v="2"/>
    <n v="7.9"/>
  </r>
  <r>
    <x v="36"/>
    <x v="1"/>
    <x v="0"/>
    <x v="0"/>
    <x v="0"/>
    <n v="99.42"/>
    <n v="4"/>
    <x v="412"/>
    <x v="2"/>
    <n v="7.5"/>
  </r>
  <r>
    <x v="36"/>
    <x v="0"/>
    <x v="0"/>
    <x v="1"/>
    <x v="5"/>
    <n v="25.9"/>
    <n v="10"/>
    <x v="413"/>
    <x v="2"/>
    <n v="8.6999999999999993"/>
  </r>
  <r>
    <x v="36"/>
    <x v="2"/>
    <x v="0"/>
    <x v="0"/>
    <x v="4"/>
    <n v="37.44"/>
    <n v="6"/>
    <x v="414"/>
    <x v="0"/>
    <n v="5.9"/>
  </r>
  <r>
    <x v="36"/>
    <x v="0"/>
    <x v="0"/>
    <x v="0"/>
    <x v="3"/>
    <n v="14.48"/>
    <n v="4"/>
    <x v="415"/>
    <x v="2"/>
    <n v="4.5"/>
  </r>
  <r>
    <x v="36"/>
    <x v="1"/>
    <x v="0"/>
    <x v="0"/>
    <x v="5"/>
    <n v="28.5"/>
    <n v="8"/>
    <x v="416"/>
    <x v="1"/>
    <n v="6.6"/>
  </r>
  <r>
    <x v="36"/>
    <x v="1"/>
    <x v="1"/>
    <x v="0"/>
    <x v="0"/>
    <n v="52.42"/>
    <n v="1"/>
    <x v="417"/>
    <x v="0"/>
    <n v="6.3"/>
  </r>
  <r>
    <x v="36"/>
    <x v="0"/>
    <x v="0"/>
    <x v="1"/>
    <x v="1"/>
    <n v="50.45"/>
    <n v="6"/>
    <x v="418"/>
    <x v="0"/>
    <n v="8.9"/>
  </r>
  <r>
    <x v="36"/>
    <x v="2"/>
    <x v="1"/>
    <x v="0"/>
    <x v="5"/>
    <n v="35.68"/>
    <n v="5"/>
    <x v="419"/>
    <x v="0"/>
    <n v="6.6"/>
  </r>
  <r>
    <x v="37"/>
    <x v="2"/>
    <x v="1"/>
    <x v="0"/>
    <x v="1"/>
    <n v="28.96"/>
    <n v="1"/>
    <x v="420"/>
    <x v="0"/>
    <n v="6.2"/>
  </r>
  <r>
    <x v="37"/>
    <x v="1"/>
    <x v="1"/>
    <x v="0"/>
    <x v="3"/>
    <n v="60.41"/>
    <n v="8"/>
    <x v="421"/>
    <x v="2"/>
    <n v="9.6"/>
  </r>
  <r>
    <x v="37"/>
    <x v="2"/>
    <x v="1"/>
    <x v="1"/>
    <x v="5"/>
    <n v="89.6"/>
    <n v="8"/>
    <x v="422"/>
    <x v="2"/>
    <n v="6.6"/>
  </r>
  <r>
    <x v="37"/>
    <x v="1"/>
    <x v="1"/>
    <x v="0"/>
    <x v="1"/>
    <n v="40.86"/>
    <n v="8"/>
    <x v="423"/>
    <x v="0"/>
    <n v="6.5"/>
  </r>
  <r>
    <x v="37"/>
    <x v="2"/>
    <x v="0"/>
    <x v="0"/>
    <x v="2"/>
    <n v="45.58"/>
    <n v="1"/>
    <x v="424"/>
    <x v="1"/>
    <n v="9.8000000000000007"/>
  </r>
  <r>
    <x v="37"/>
    <x v="1"/>
    <x v="0"/>
    <x v="1"/>
    <x v="2"/>
    <n v="10.17"/>
    <n v="1"/>
    <x v="425"/>
    <x v="1"/>
    <n v="5.9"/>
  </r>
  <r>
    <x v="37"/>
    <x v="1"/>
    <x v="0"/>
    <x v="0"/>
    <x v="3"/>
    <n v="43.46"/>
    <n v="6"/>
    <x v="426"/>
    <x v="2"/>
    <n v="8.5"/>
  </r>
  <r>
    <x v="37"/>
    <x v="1"/>
    <x v="0"/>
    <x v="1"/>
    <x v="1"/>
    <n v="65.94"/>
    <n v="4"/>
    <x v="427"/>
    <x v="0"/>
    <n v="6.9"/>
  </r>
  <r>
    <x v="37"/>
    <x v="0"/>
    <x v="1"/>
    <x v="1"/>
    <x v="1"/>
    <n v="79.39"/>
    <n v="10"/>
    <x v="428"/>
    <x v="1"/>
    <n v="6.2"/>
  </r>
  <r>
    <x v="37"/>
    <x v="1"/>
    <x v="1"/>
    <x v="0"/>
    <x v="0"/>
    <n v="16.48"/>
    <n v="6"/>
    <x v="429"/>
    <x v="2"/>
    <n v="9.9"/>
  </r>
  <r>
    <x v="37"/>
    <x v="1"/>
    <x v="1"/>
    <x v="1"/>
    <x v="5"/>
    <n v="58.95"/>
    <n v="10"/>
    <x v="430"/>
    <x v="2"/>
    <n v="8.1"/>
  </r>
  <r>
    <x v="37"/>
    <x v="0"/>
    <x v="1"/>
    <x v="0"/>
    <x v="3"/>
    <n v="63.71"/>
    <n v="5"/>
    <x v="431"/>
    <x v="2"/>
    <n v="8.5"/>
  </r>
  <r>
    <x v="37"/>
    <x v="0"/>
    <x v="1"/>
    <x v="0"/>
    <x v="1"/>
    <n v="57.91"/>
    <n v="8"/>
    <x v="432"/>
    <x v="1"/>
    <n v="8.1"/>
  </r>
  <r>
    <x v="37"/>
    <x v="2"/>
    <x v="1"/>
    <x v="0"/>
    <x v="4"/>
    <n v="93.12"/>
    <n v="8"/>
    <x v="433"/>
    <x v="1"/>
    <n v="6.8"/>
  </r>
  <r>
    <x v="37"/>
    <x v="1"/>
    <x v="1"/>
    <x v="1"/>
    <x v="3"/>
    <n v="86.13"/>
    <n v="2"/>
    <x v="434"/>
    <x v="1"/>
    <n v="8.1999999999999993"/>
  </r>
  <r>
    <x v="37"/>
    <x v="2"/>
    <x v="1"/>
    <x v="1"/>
    <x v="0"/>
    <n v="43.19"/>
    <n v="10"/>
    <x v="435"/>
    <x v="2"/>
    <n v="8.1999999999999993"/>
  </r>
  <r>
    <x v="37"/>
    <x v="0"/>
    <x v="1"/>
    <x v="1"/>
    <x v="4"/>
    <n v="22.02"/>
    <n v="9"/>
    <x v="436"/>
    <x v="1"/>
    <n v="6.8"/>
  </r>
  <r>
    <x v="37"/>
    <x v="1"/>
    <x v="1"/>
    <x v="1"/>
    <x v="4"/>
    <n v="16.670000000000002"/>
    <n v="7"/>
    <x v="437"/>
    <x v="2"/>
    <n v="7.4"/>
  </r>
  <r>
    <x v="37"/>
    <x v="0"/>
    <x v="1"/>
    <x v="1"/>
    <x v="1"/>
    <n v="46.02"/>
    <n v="6"/>
    <x v="438"/>
    <x v="1"/>
    <n v="7.1"/>
  </r>
  <r>
    <x v="37"/>
    <x v="0"/>
    <x v="0"/>
    <x v="0"/>
    <x v="0"/>
    <n v="54.36"/>
    <n v="10"/>
    <x v="439"/>
    <x v="0"/>
    <n v="6.1"/>
  </r>
  <r>
    <x v="38"/>
    <x v="0"/>
    <x v="1"/>
    <x v="1"/>
    <x v="3"/>
    <n v="33.520000000000003"/>
    <n v="1"/>
    <x v="440"/>
    <x v="1"/>
    <n v="6.7"/>
  </r>
  <r>
    <x v="38"/>
    <x v="2"/>
    <x v="1"/>
    <x v="1"/>
    <x v="2"/>
    <n v="86.31"/>
    <n v="7"/>
    <x v="441"/>
    <x v="2"/>
    <n v="5.3"/>
  </r>
  <r>
    <x v="38"/>
    <x v="0"/>
    <x v="1"/>
    <x v="0"/>
    <x v="2"/>
    <n v="90.28"/>
    <n v="9"/>
    <x v="442"/>
    <x v="2"/>
    <n v="7.2"/>
  </r>
  <r>
    <x v="38"/>
    <x v="1"/>
    <x v="0"/>
    <x v="0"/>
    <x v="2"/>
    <n v="64.97"/>
    <n v="5"/>
    <x v="443"/>
    <x v="0"/>
    <n v="6.5"/>
  </r>
  <r>
    <x v="38"/>
    <x v="2"/>
    <x v="0"/>
    <x v="1"/>
    <x v="3"/>
    <n v="19.7"/>
    <n v="1"/>
    <x v="444"/>
    <x v="2"/>
    <n v="9.5"/>
  </r>
  <r>
    <x v="38"/>
    <x v="1"/>
    <x v="0"/>
    <x v="0"/>
    <x v="3"/>
    <n v="97.21"/>
    <n v="10"/>
    <x v="445"/>
    <x v="0"/>
    <n v="8.6999999999999993"/>
  </r>
  <r>
    <x v="38"/>
    <x v="1"/>
    <x v="0"/>
    <x v="0"/>
    <x v="5"/>
    <n v="37.15"/>
    <n v="7"/>
    <x v="446"/>
    <x v="0"/>
    <n v="7.7"/>
  </r>
  <r>
    <x v="38"/>
    <x v="0"/>
    <x v="0"/>
    <x v="0"/>
    <x v="2"/>
    <n v="69.12"/>
    <n v="6"/>
    <x v="447"/>
    <x v="1"/>
    <n v="5.6"/>
  </r>
  <r>
    <x v="38"/>
    <x v="2"/>
    <x v="1"/>
    <x v="1"/>
    <x v="3"/>
    <n v="98.98"/>
    <n v="10"/>
    <x v="448"/>
    <x v="0"/>
    <n v="8.6999999999999993"/>
  </r>
  <r>
    <x v="38"/>
    <x v="0"/>
    <x v="0"/>
    <x v="1"/>
    <x v="4"/>
    <n v="46.47"/>
    <n v="4"/>
    <x v="449"/>
    <x v="1"/>
    <n v="7"/>
  </r>
  <r>
    <x v="38"/>
    <x v="0"/>
    <x v="1"/>
    <x v="1"/>
    <x v="4"/>
    <n v="31.75"/>
    <n v="4"/>
    <x v="450"/>
    <x v="1"/>
    <n v="8.6"/>
  </r>
  <r>
    <x v="38"/>
    <x v="0"/>
    <x v="1"/>
    <x v="0"/>
    <x v="4"/>
    <n v="16.37"/>
    <n v="6"/>
    <x v="451"/>
    <x v="1"/>
    <n v="7"/>
  </r>
  <r>
    <x v="39"/>
    <x v="0"/>
    <x v="1"/>
    <x v="1"/>
    <x v="4"/>
    <n v="45.97"/>
    <n v="4"/>
    <x v="452"/>
    <x v="2"/>
    <n v="5.0999999999999996"/>
  </r>
  <r>
    <x v="39"/>
    <x v="2"/>
    <x v="0"/>
    <x v="1"/>
    <x v="0"/>
    <n v="35.04"/>
    <n v="9"/>
    <x v="453"/>
    <x v="2"/>
    <n v="4.5999999999999996"/>
  </r>
  <r>
    <x v="39"/>
    <x v="1"/>
    <x v="1"/>
    <x v="1"/>
    <x v="5"/>
    <n v="84.61"/>
    <n v="10"/>
    <x v="454"/>
    <x v="0"/>
    <n v="8.8000000000000007"/>
  </r>
  <r>
    <x v="39"/>
    <x v="1"/>
    <x v="1"/>
    <x v="1"/>
    <x v="0"/>
    <n v="21.58"/>
    <n v="1"/>
    <x v="455"/>
    <x v="2"/>
    <n v="7.2"/>
  </r>
  <r>
    <x v="39"/>
    <x v="0"/>
    <x v="1"/>
    <x v="1"/>
    <x v="3"/>
    <n v="57.27"/>
    <n v="3"/>
    <x v="456"/>
    <x v="2"/>
    <n v="6.5"/>
  </r>
  <r>
    <x v="39"/>
    <x v="0"/>
    <x v="0"/>
    <x v="0"/>
    <x v="1"/>
    <n v="81.400000000000006"/>
    <n v="3"/>
    <x v="457"/>
    <x v="1"/>
    <n v="4.8"/>
  </r>
  <r>
    <x v="39"/>
    <x v="2"/>
    <x v="0"/>
    <x v="1"/>
    <x v="0"/>
    <n v="31.84"/>
    <n v="1"/>
    <x v="458"/>
    <x v="1"/>
    <n v="7.7"/>
  </r>
  <r>
    <x v="39"/>
    <x v="1"/>
    <x v="0"/>
    <x v="0"/>
    <x v="0"/>
    <n v="21.08"/>
    <n v="3"/>
    <x v="459"/>
    <x v="1"/>
    <n v="7.3"/>
  </r>
  <r>
    <x v="39"/>
    <x v="1"/>
    <x v="0"/>
    <x v="0"/>
    <x v="4"/>
    <n v="15.95"/>
    <n v="6"/>
    <x v="460"/>
    <x v="0"/>
    <n v="5.0999999999999996"/>
  </r>
  <r>
    <x v="39"/>
    <x v="2"/>
    <x v="0"/>
    <x v="0"/>
    <x v="2"/>
    <n v="22.24"/>
    <n v="10"/>
    <x v="461"/>
    <x v="1"/>
    <n v="4.2"/>
  </r>
  <r>
    <x v="39"/>
    <x v="1"/>
    <x v="1"/>
    <x v="0"/>
    <x v="1"/>
    <n v="12.45"/>
    <n v="6"/>
    <x v="462"/>
    <x v="1"/>
    <n v="4.0999999999999996"/>
  </r>
  <r>
    <x v="39"/>
    <x v="1"/>
    <x v="1"/>
    <x v="1"/>
    <x v="3"/>
    <n v="64.260000000000005"/>
    <n v="7"/>
    <x v="463"/>
    <x v="1"/>
    <n v="5.7"/>
  </r>
  <r>
    <x v="39"/>
    <x v="0"/>
    <x v="0"/>
    <x v="1"/>
    <x v="4"/>
    <n v="65.91"/>
    <n v="6"/>
    <x v="464"/>
    <x v="1"/>
    <n v="5.7"/>
  </r>
  <r>
    <x v="40"/>
    <x v="2"/>
    <x v="0"/>
    <x v="0"/>
    <x v="3"/>
    <n v="53.65"/>
    <n v="7"/>
    <x v="465"/>
    <x v="2"/>
    <n v="5.2"/>
  </r>
  <r>
    <x v="40"/>
    <x v="0"/>
    <x v="1"/>
    <x v="0"/>
    <x v="2"/>
    <n v="34.840000000000003"/>
    <n v="4"/>
    <x v="466"/>
    <x v="1"/>
    <n v="7.4"/>
  </r>
  <r>
    <x v="40"/>
    <x v="2"/>
    <x v="0"/>
    <x v="0"/>
    <x v="0"/>
    <n v="44.59"/>
    <n v="5"/>
    <x v="467"/>
    <x v="1"/>
    <n v="8.5"/>
  </r>
  <r>
    <x v="40"/>
    <x v="2"/>
    <x v="1"/>
    <x v="1"/>
    <x v="4"/>
    <n v="74.069999999999993"/>
    <n v="1"/>
    <x v="468"/>
    <x v="2"/>
    <n v="9.9"/>
  </r>
  <r>
    <x v="40"/>
    <x v="0"/>
    <x v="0"/>
    <x v="1"/>
    <x v="1"/>
    <n v="48.09"/>
    <n v="3"/>
    <x v="469"/>
    <x v="0"/>
    <n v="7.8"/>
  </r>
  <r>
    <x v="40"/>
    <x v="1"/>
    <x v="0"/>
    <x v="0"/>
    <x v="1"/>
    <n v="78.13"/>
    <n v="10"/>
    <x v="470"/>
    <x v="1"/>
    <n v="4.4000000000000004"/>
  </r>
  <r>
    <x v="40"/>
    <x v="2"/>
    <x v="0"/>
    <x v="0"/>
    <x v="3"/>
    <n v="30.14"/>
    <n v="10"/>
    <x v="471"/>
    <x v="2"/>
    <n v="9.1999999999999993"/>
  </r>
  <r>
    <x v="40"/>
    <x v="0"/>
    <x v="0"/>
    <x v="1"/>
    <x v="4"/>
    <n v="36.909999999999997"/>
    <n v="7"/>
    <x v="472"/>
    <x v="2"/>
    <n v="6.7"/>
  </r>
  <r>
    <x v="40"/>
    <x v="1"/>
    <x v="1"/>
    <x v="0"/>
    <x v="5"/>
    <n v="33.47"/>
    <n v="2"/>
    <x v="473"/>
    <x v="2"/>
    <n v="6.7"/>
  </r>
  <r>
    <x v="40"/>
    <x v="0"/>
    <x v="0"/>
    <x v="1"/>
    <x v="1"/>
    <n v="18.93"/>
    <n v="6"/>
    <x v="474"/>
    <x v="0"/>
    <n v="8.1"/>
  </r>
  <r>
    <x v="40"/>
    <x v="1"/>
    <x v="0"/>
    <x v="0"/>
    <x v="3"/>
    <n v="73.38"/>
    <n v="7"/>
    <x v="475"/>
    <x v="1"/>
    <n v="9.5"/>
  </r>
  <r>
    <x v="41"/>
    <x v="1"/>
    <x v="0"/>
    <x v="1"/>
    <x v="4"/>
    <n v="86.69"/>
    <n v="5"/>
    <x v="476"/>
    <x v="2"/>
    <n v="9.4"/>
  </r>
  <r>
    <x v="41"/>
    <x v="1"/>
    <x v="1"/>
    <x v="1"/>
    <x v="0"/>
    <n v="89.2"/>
    <n v="10"/>
    <x v="477"/>
    <x v="0"/>
    <n v="4.4000000000000004"/>
  </r>
  <r>
    <x v="41"/>
    <x v="0"/>
    <x v="1"/>
    <x v="0"/>
    <x v="5"/>
    <n v="84.09"/>
    <n v="9"/>
    <x v="478"/>
    <x v="1"/>
    <n v="8"/>
  </r>
  <r>
    <x v="41"/>
    <x v="0"/>
    <x v="0"/>
    <x v="0"/>
    <x v="0"/>
    <n v="77.2"/>
    <n v="10"/>
    <x v="479"/>
    <x v="0"/>
    <n v="5.6"/>
  </r>
  <r>
    <x v="41"/>
    <x v="0"/>
    <x v="1"/>
    <x v="0"/>
    <x v="4"/>
    <n v="77.040000000000006"/>
    <n v="3"/>
    <x v="480"/>
    <x v="0"/>
    <n v="7.2"/>
  </r>
  <r>
    <x v="41"/>
    <x v="2"/>
    <x v="1"/>
    <x v="1"/>
    <x v="4"/>
    <n v="80.08"/>
    <n v="3"/>
    <x v="481"/>
    <x v="1"/>
    <n v="5.4"/>
  </r>
  <r>
    <x v="41"/>
    <x v="1"/>
    <x v="1"/>
    <x v="1"/>
    <x v="3"/>
    <n v="62.12"/>
    <n v="10"/>
    <x v="482"/>
    <x v="1"/>
    <n v="5.9"/>
  </r>
  <r>
    <x v="41"/>
    <x v="2"/>
    <x v="1"/>
    <x v="0"/>
    <x v="2"/>
    <n v="94.76"/>
    <n v="4"/>
    <x v="483"/>
    <x v="2"/>
    <n v="7.8"/>
  </r>
  <r>
    <x v="42"/>
    <x v="0"/>
    <x v="0"/>
    <x v="0"/>
    <x v="1"/>
    <n v="39.479999999999997"/>
    <n v="1"/>
    <x v="484"/>
    <x v="1"/>
    <n v="6.5"/>
  </r>
  <r>
    <x v="42"/>
    <x v="1"/>
    <x v="0"/>
    <x v="0"/>
    <x v="0"/>
    <n v="87.1"/>
    <n v="10"/>
    <x v="485"/>
    <x v="0"/>
    <n v="9.9"/>
  </r>
  <r>
    <x v="42"/>
    <x v="1"/>
    <x v="0"/>
    <x v="1"/>
    <x v="3"/>
    <n v="52.35"/>
    <n v="1"/>
    <x v="486"/>
    <x v="1"/>
    <n v="4"/>
  </r>
  <r>
    <x v="42"/>
    <x v="0"/>
    <x v="1"/>
    <x v="1"/>
    <x v="3"/>
    <n v="94.87"/>
    <n v="8"/>
    <x v="487"/>
    <x v="2"/>
    <n v="8.6999999999999993"/>
  </r>
  <r>
    <x v="42"/>
    <x v="0"/>
    <x v="0"/>
    <x v="1"/>
    <x v="4"/>
    <n v="60.38"/>
    <n v="10"/>
    <x v="488"/>
    <x v="1"/>
    <n v="6"/>
  </r>
  <r>
    <x v="42"/>
    <x v="2"/>
    <x v="1"/>
    <x v="0"/>
    <x v="1"/>
    <n v="46.95"/>
    <n v="5"/>
    <x v="489"/>
    <x v="2"/>
    <n v="7.1"/>
  </r>
  <r>
    <x v="42"/>
    <x v="2"/>
    <x v="1"/>
    <x v="1"/>
    <x v="5"/>
    <n v="25.43"/>
    <n v="6"/>
    <x v="490"/>
    <x v="2"/>
    <n v="7"/>
  </r>
  <r>
    <x v="42"/>
    <x v="2"/>
    <x v="0"/>
    <x v="0"/>
    <x v="2"/>
    <n v="71.63"/>
    <n v="2"/>
    <x v="491"/>
    <x v="2"/>
    <n v="8.8000000000000007"/>
  </r>
  <r>
    <x v="43"/>
    <x v="2"/>
    <x v="0"/>
    <x v="1"/>
    <x v="1"/>
    <n v="76.819999999999993"/>
    <n v="1"/>
    <x v="492"/>
    <x v="2"/>
    <n v="7.2"/>
  </r>
  <r>
    <x v="43"/>
    <x v="0"/>
    <x v="0"/>
    <x v="0"/>
    <x v="2"/>
    <n v="20.18"/>
    <n v="4"/>
    <x v="493"/>
    <x v="0"/>
    <n v="5"/>
  </r>
  <r>
    <x v="43"/>
    <x v="1"/>
    <x v="0"/>
    <x v="0"/>
    <x v="3"/>
    <n v="92.98"/>
    <n v="2"/>
    <x v="494"/>
    <x v="0"/>
    <n v="8"/>
  </r>
  <r>
    <x v="43"/>
    <x v="0"/>
    <x v="0"/>
    <x v="0"/>
    <x v="3"/>
    <n v="29.56"/>
    <n v="5"/>
    <x v="495"/>
    <x v="1"/>
    <n v="6.9"/>
  </r>
  <r>
    <x v="43"/>
    <x v="1"/>
    <x v="1"/>
    <x v="0"/>
    <x v="3"/>
    <n v="22.51"/>
    <n v="7"/>
    <x v="496"/>
    <x v="0"/>
    <n v="4.8"/>
  </r>
  <r>
    <x v="43"/>
    <x v="1"/>
    <x v="0"/>
    <x v="0"/>
    <x v="0"/>
    <n v="14.87"/>
    <n v="2"/>
    <x v="497"/>
    <x v="0"/>
    <n v="8.9"/>
  </r>
  <r>
    <x v="43"/>
    <x v="2"/>
    <x v="0"/>
    <x v="1"/>
    <x v="1"/>
    <n v="32.25"/>
    <n v="4"/>
    <x v="498"/>
    <x v="2"/>
    <n v="6.5"/>
  </r>
  <r>
    <x v="43"/>
    <x v="0"/>
    <x v="1"/>
    <x v="1"/>
    <x v="2"/>
    <n v="13.69"/>
    <n v="6"/>
    <x v="499"/>
    <x v="1"/>
    <n v="6.3"/>
  </r>
  <r>
    <x v="44"/>
    <x v="2"/>
    <x v="0"/>
    <x v="1"/>
    <x v="5"/>
    <n v="91.3"/>
    <n v="1"/>
    <x v="500"/>
    <x v="2"/>
    <n v="9.1999999999999993"/>
  </r>
  <r>
    <x v="44"/>
    <x v="2"/>
    <x v="1"/>
    <x v="1"/>
    <x v="2"/>
    <n v="44.65"/>
    <n v="3"/>
    <x v="501"/>
    <x v="1"/>
    <n v="6.2"/>
  </r>
  <r>
    <x v="44"/>
    <x v="0"/>
    <x v="0"/>
    <x v="1"/>
    <x v="5"/>
    <n v="75.739999999999995"/>
    <n v="4"/>
    <x v="502"/>
    <x v="1"/>
    <n v="7.6"/>
  </r>
  <r>
    <x v="44"/>
    <x v="0"/>
    <x v="0"/>
    <x v="0"/>
    <x v="2"/>
    <n v="60.08"/>
    <n v="7"/>
    <x v="503"/>
    <x v="0"/>
    <n v="4.5"/>
  </r>
  <r>
    <x v="44"/>
    <x v="1"/>
    <x v="0"/>
    <x v="1"/>
    <x v="0"/>
    <n v="27.66"/>
    <n v="10"/>
    <x v="504"/>
    <x v="0"/>
    <n v="8.9"/>
  </r>
  <r>
    <x v="44"/>
    <x v="1"/>
    <x v="0"/>
    <x v="1"/>
    <x v="0"/>
    <n v="99.37"/>
    <n v="2"/>
    <x v="505"/>
    <x v="1"/>
    <n v="5.2"/>
  </r>
  <r>
    <x v="44"/>
    <x v="1"/>
    <x v="1"/>
    <x v="0"/>
    <x v="5"/>
    <n v="58.32"/>
    <n v="2"/>
    <x v="506"/>
    <x v="2"/>
    <n v="6"/>
  </r>
  <r>
    <x v="44"/>
    <x v="2"/>
    <x v="1"/>
    <x v="0"/>
    <x v="1"/>
    <n v="99.56"/>
    <n v="8"/>
    <x v="507"/>
    <x v="0"/>
    <n v="5.2"/>
  </r>
  <r>
    <x v="45"/>
    <x v="1"/>
    <x v="1"/>
    <x v="0"/>
    <x v="1"/>
    <n v="32.799999999999997"/>
    <n v="10"/>
    <x v="508"/>
    <x v="1"/>
    <n v="6.2"/>
  </r>
  <r>
    <x v="45"/>
    <x v="2"/>
    <x v="1"/>
    <x v="1"/>
    <x v="0"/>
    <n v="52.2"/>
    <n v="3"/>
    <x v="509"/>
    <x v="0"/>
    <n v="9.5"/>
  </r>
  <r>
    <x v="45"/>
    <x v="2"/>
    <x v="1"/>
    <x v="0"/>
    <x v="4"/>
    <n v="69.959999999999994"/>
    <n v="8"/>
    <x v="510"/>
    <x v="0"/>
    <n v="6.4"/>
  </r>
  <r>
    <x v="45"/>
    <x v="0"/>
    <x v="1"/>
    <x v="0"/>
    <x v="3"/>
    <n v="72.84"/>
    <n v="7"/>
    <x v="511"/>
    <x v="1"/>
    <n v="8.4"/>
  </r>
  <r>
    <x v="45"/>
    <x v="1"/>
    <x v="0"/>
    <x v="0"/>
    <x v="1"/>
    <n v="98.84"/>
    <n v="1"/>
    <x v="512"/>
    <x v="1"/>
    <n v="8.4"/>
  </r>
  <r>
    <x v="45"/>
    <x v="0"/>
    <x v="0"/>
    <x v="0"/>
    <x v="5"/>
    <n v="76.900000000000006"/>
    <n v="7"/>
    <x v="513"/>
    <x v="1"/>
    <n v="7.7"/>
  </r>
  <r>
    <x v="45"/>
    <x v="0"/>
    <x v="0"/>
    <x v="0"/>
    <x v="0"/>
    <n v="77.400000000000006"/>
    <n v="9"/>
    <x v="514"/>
    <x v="0"/>
    <n v="4.5"/>
  </r>
  <r>
    <x v="45"/>
    <x v="2"/>
    <x v="1"/>
    <x v="0"/>
    <x v="0"/>
    <n v="67.099999999999994"/>
    <n v="3"/>
    <x v="515"/>
    <x v="1"/>
    <n v="7.5"/>
  </r>
  <r>
    <x v="45"/>
    <x v="1"/>
    <x v="1"/>
    <x v="1"/>
    <x v="5"/>
    <n v="33.64"/>
    <n v="8"/>
    <x v="516"/>
    <x v="0"/>
    <n v="9.3000000000000007"/>
  </r>
  <r>
    <x v="45"/>
    <x v="1"/>
    <x v="0"/>
    <x v="1"/>
    <x v="5"/>
    <n v="68.55"/>
    <n v="4"/>
    <x v="517"/>
    <x v="0"/>
    <n v="9.1999999999999993"/>
  </r>
  <r>
    <x v="45"/>
    <x v="1"/>
    <x v="0"/>
    <x v="0"/>
    <x v="2"/>
    <n v="24.74"/>
    <n v="3"/>
    <x v="518"/>
    <x v="0"/>
    <n v="10"/>
  </r>
  <r>
    <x v="45"/>
    <x v="2"/>
    <x v="1"/>
    <x v="1"/>
    <x v="5"/>
    <n v="15.26"/>
    <n v="6"/>
    <x v="519"/>
    <x v="2"/>
    <n v="9.8000000000000007"/>
  </r>
  <r>
    <x v="45"/>
    <x v="0"/>
    <x v="0"/>
    <x v="1"/>
    <x v="2"/>
    <n v="88.31"/>
    <n v="1"/>
    <x v="520"/>
    <x v="0"/>
    <n v="5.2"/>
  </r>
  <r>
    <x v="45"/>
    <x v="0"/>
    <x v="1"/>
    <x v="0"/>
    <x v="1"/>
    <n v="88.25"/>
    <n v="9"/>
    <x v="521"/>
    <x v="0"/>
    <n v="7.6"/>
  </r>
  <r>
    <x v="45"/>
    <x v="0"/>
    <x v="1"/>
    <x v="1"/>
    <x v="5"/>
    <n v="57.59"/>
    <n v="6"/>
    <x v="522"/>
    <x v="1"/>
    <n v="5.0999999999999996"/>
  </r>
  <r>
    <x v="45"/>
    <x v="1"/>
    <x v="0"/>
    <x v="0"/>
    <x v="3"/>
    <n v="80.48"/>
    <n v="3"/>
    <x v="523"/>
    <x v="1"/>
    <n v="8.1"/>
  </r>
  <r>
    <x v="45"/>
    <x v="0"/>
    <x v="0"/>
    <x v="1"/>
    <x v="4"/>
    <n v="17.77"/>
    <n v="5"/>
    <x v="524"/>
    <x v="0"/>
    <n v="5.4"/>
  </r>
  <r>
    <x v="45"/>
    <x v="1"/>
    <x v="0"/>
    <x v="0"/>
    <x v="3"/>
    <n v="99.3"/>
    <n v="10"/>
    <x v="525"/>
    <x v="0"/>
    <n v="6.6"/>
  </r>
  <r>
    <x v="45"/>
    <x v="2"/>
    <x v="1"/>
    <x v="1"/>
    <x v="3"/>
    <n v="51.94"/>
    <n v="3"/>
    <x v="526"/>
    <x v="1"/>
    <n v="7.9"/>
  </r>
  <r>
    <x v="46"/>
    <x v="1"/>
    <x v="0"/>
    <x v="0"/>
    <x v="5"/>
    <n v="47.71"/>
    <n v="6"/>
    <x v="527"/>
    <x v="2"/>
    <n v="4.4000000000000004"/>
  </r>
  <r>
    <x v="46"/>
    <x v="2"/>
    <x v="0"/>
    <x v="1"/>
    <x v="0"/>
    <n v="24.82"/>
    <n v="7"/>
    <x v="528"/>
    <x v="0"/>
    <n v="7.1"/>
  </r>
  <r>
    <x v="46"/>
    <x v="1"/>
    <x v="0"/>
    <x v="1"/>
    <x v="1"/>
    <n v="12.05"/>
    <n v="5"/>
    <x v="529"/>
    <x v="2"/>
    <n v="5.5"/>
  </r>
  <r>
    <x v="46"/>
    <x v="0"/>
    <x v="1"/>
    <x v="1"/>
    <x v="2"/>
    <n v="51.91"/>
    <n v="10"/>
    <x v="530"/>
    <x v="1"/>
    <n v="8.1999999999999993"/>
  </r>
  <r>
    <x v="46"/>
    <x v="0"/>
    <x v="1"/>
    <x v="0"/>
    <x v="3"/>
    <n v="36.51"/>
    <n v="9"/>
    <x v="531"/>
    <x v="1"/>
    <n v="4.2"/>
  </r>
  <r>
    <x v="46"/>
    <x v="0"/>
    <x v="0"/>
    <x v="1"/>
    <x v="3"/>
    <n v="60.18"/>
    <n v="4"/>
    <x v="532"/>
    <x v="0"/>
    <n v="9.4"/>
  </r>
  <r>
    <x v="46"/>
    <x v="1"/>
    <x v="0"/>
    <x v="0"/>
    <x v="3"/>
    <n v="97.79"/>
    <n v="7"/>
    <x v="533"/>
    <x v="2"/>
    <n v="4.9000000000000004"/>
  </r>
  <r>
    <x v="46"/>
    <x v="0"/>
    <x v="0"/>
    <x v="1"/>
    <x v="3"/>
    <n v="91.35"/>
    <n v="1"/>
    <x v="534"/>
    <x v="1"/>
    <n v="6.8"/>
  </r>
  <r>
    <x v="47"/>
    <x v="1"/>
    <x v="1"/>
    <x v="0"/>
    <x v="2"/>
    <n v="46.66"/>
    <n v="9"/>
    <x v="535"/>
    <x v="2"/>
    <n v="5.3"/>
  </r>
  <r>
    <x v="47"/>
    <x v="0"/>
    <x v="0"/>
    <x v="0"/>
    <x v="1"/>
    <n v="35.74"/>
    <n v="8"/>
    <x v="536"/>
    <x v="2"/>
    <n v="4.9000000000000004"/>
  </r>
  <r>
    <x v="47"/>
    <x v="1"/>
    <x v="0"/>
    <x v="0"/>
    <x v="2"/>
    <n v="67.989999999999995"/>
    <n v="7"/>
    <x v="537"/>
    <x v="2"/>
    <n v="5.7"/>
  </r>
  <r>
    <x v="47"/>
    <x v="2"/>
    <x v="0"/>
    <x v="0"/>
    <x v="4"/>
    <n v="88.79"/>
    <n v="8"/>
    <x v="538"/>
    <x v="1"/>
    <n v="4.0999999999999996"/>
  </r>
  <r>
    <x v="47"/>
    <x v="1"/>
    <x v="1"/>
    <x v="1"/>
    <x v="1"/>
    <n v="11.81"/>
    <n v="5"/>
    <x v="539"/>
    <x v="1"/>
    <n v="9.4"/>
  </r>
  <r>
    <x v="47"/>
    <x v="2"/>
    <x v="0"/>
    <x v="1"/>
    <x v="0"/>
    <n v="80.959999999999994"/>
    <n v="8"/>
    <x v="540"/>
    <x v="0"/>
    <n v="7.4"/>
  </r>
  <r>
    <x v="47"/>
    <x v="0"/>
    <x v="0"/>
    <x v="1"/>
    <x v="1"/>
    <n v="87.45"/>
    <n v="6"/>
    <x v="541"/>
    <x v="0"/>
    <n v="8.8000000000000007"/>
  </r>
  <r>
    <x v="47"/>
    <x v="2"/>
    <x v="1"/>
    <x v="1"/>
    <x v="1"/>
    <n v="34.56"/>
    <n v="5"/>
    <x v="542"/>
    <x v="2"/>
    <n v="9.9"/>
  </r>
  <r>
    <x v="47"/>
    <x v="2"/>
    <x v="1"/>
    <x v="1"/>
    <x v="0"/>
    <n v="32.9"/>
    <n v="3"/>
    <x v="543"/>
    <x v="0"/>
    <n v="9.1"/>
  </r>
  <r>
    <x v="47"/>
    <x v="1"/>
    <x v="0"/>
    <x v="0"/>
    <x v="0"/>
    <n v="71.39"/>
    <n v="5"/>
    <x v="544"/>
    <x v="0"/>
    <n v="5.5"/>
  </r>
  <r>
    <x v="47"/>
    <x v="2"/>
    <x v="1"/>
    <x v="1"/>
    <x v="2"/>
    <n v="98.09"/>
    <n v="9"/>
    <x v="545"/>
    <x v="1"/>
    <n v="9.3000000000000007"/>
  </r>
  <r>
    <x v="47"/>
    <x v="2"/>
    <x v="0"/>
    <x v="0"/>
    <x v="5"/>
    <n v="92.09"/>
    <n v="3"/>
    <x v="546"/>
    <x v="1"/>
    <n v="4.2"/>
  </r>
  <r>
    <x v="47"/>
    <x v="2"/>
    <x v="1"/>
    <x v="1"/>
    <x v="3"/>
    <n v="45.38"/>
    <n v="3"/>
    <x v="547"/>
    <x v="0"/>
    <n v="7.2"/>
  </r>
  <r>
    <x v="48"/>
    <x v="2"/>
    <x v="0"/>
    <x v="0"/>
    <x v="4"/>
    <n v="34.42"/>
    <n v="6"/>
    <x v="548"/>
    <x v="1"/>
    <n v="9.8000000000000007"/>
  </r>
  <r>
    <x v="48"/>
    <x v="1"/>
    <x v="1"/>
    <x v="1"/>
    <x v="3"/>
    <n v="90.22"/>
    <n v="3"/>
    <x v="549"/>
    <x v="1"/>
    <n v="6.2"/>
  </r>
  <r>
    <x v="48"/>
    <x v="0"/>
    <x v="1"/>
    <x v="0"/>
    <x v="5"/>
    <n v="14.76"/>
    <n v="2"/>
    <x v="550"/>
    <x v="2"/>
    <n v="4.3"/>
  </r>
  <r>
    <x v="48"/>
    <x v="1"/>
    <x v="0"/>
    <x v="0"/>
    <x v="1"/>
    <n v="60.95"/>
    <n v="1"/>
    <x v="551"/>
    <x v="2"/>
    <n v="5.9"/>
  </r>
  <r>
    <x v="48"/>
    <x v="2"/>
    <x v="0"/>
    <x v="0"/>
    <x v="3"/>
    <n v="88.34"/>
    <n v="7"/>
    <x v="552"/>
    <x v="1"/>
    <n v="6.6"/>
  </r>
  <r>
    <x v="48"/>
    <x v="1"/>
    <x v="0"/>
    <x v="1"/>
    <x v="5"/>
    <n v="44.07"/>
    <n v="4"/>
    <x v="553"/>
    <x v="2"/>
    <n v="8.4"/>
  </r>
  <r>
    <x v="48"/>
    <x v="2"/>
    <x v="0"/>
    <x v="0"/>
    <x v="1"/>
    <n v="62.48"/>
    <n v="1"/>
    <x v="554"/>
    <x v="1"/>
    <n v="4.7"/>
  </r>
  <r>
    <x v="49"/>
    <x v="2"/>
    <x v="1"/>
    <x v="0"/>
    <x v="3"/>
    <n v="98.48"/>
    <n v="2"/>
    <x v="555"/>
    <x v="2"/>
    <n v="9.1999999999999993"/>
  </r>
  <r>
    <x v="49"/>
    <x v="2"/>
    <x v="0"/>
    <x v="0"/>
    <x v="0"/>
    <n v="98.66"/>
    <n v="9"/>
    <x v="556"/>
    <x v="1"/>
    <n v="8.4"/>
  </r>
  <r>
    <x v="49"/>
    <x v="2"/>
    <x v="1"/>
    <x v="1"/>
    <x v="5"/>
    <n v="50.79"/>
    <n v="5"/>
    <x v="557"/>
    <x v="0"/>
    <n v="5.3"/>
  </r>
  <r>
    <x v="49"/>
    <x v="1"/>
    <x v="1"/>
    <x v="1"/>
    <x v="1"/>
    <n v="71.89"/>
    <n v="8"/>
    <x v="558"/>
    <x v="2"/>
    <n v="5.5"/>
  </r>
  <r>
    <x v="49"/>
    <x v="1"/>
    <x v="1"/>
    <x v="1"/>
    <x v="5"/>
    <n v="21.8"/>
    <n v="8"/>
    <x v="559"/>
    <x v="1"/>
    <n v="8.3000000000000007"/>
  </r>
  <r>
    <x v="49"/>
    <x v="0"/>
    <x v="0"/>
    <x v="0"/>
    <x v="2"/>
    <n v="64.08"/>
    <n v="7"/>
    <x v="207"/>
    <x v="0"/>
    <n v="7.3"/>
  </r>
  <r>
    <x v="49"/>
    <x v="1"/>
    <x v="1"/>
    <x v="0"/>
    <x v="1"/>
    <n v="77.63"/>
    <n v="9"/>
    <x v="560"/>
    <x v="2"/>
    <n v="7.2"/>
  </r>
  <r>
    <x v="49"/>
    <x v="1"/>
    <x v="1"/>
    <x v="0"/>
    <x v="0"/>
    <n v="41.24"/>
    <n v="4"/>
    <x v="561"/>
    <x v="1"/>
    <n v="7.1"/>
  </r>
  <r>
    <x v="49"/>
    <x v="2"/>
    <x v="0"/>
    <x v="1"/>
    <x v="1"/>
    <n v="69.58"/>
    <n v="9"/>
    <x v="562"/>
    <x v="0"/>
    <n v="7.8"/>
  </r>
  <r>
    <x v="50"/>
    <x v="0"/>
    <x v="0"/>
    <x v="0"/>
    <x v="0"/>
    <n v="54.84"/>
    <n v="3"/>
    <x v="563"/>
    <x v="0"/>
    <n v="5.9"/>
  </r>
  <r>
    <x v="50"/>
    <x v="0"/>
    <x v="1"/>
    <x v="1"/>
    <x v="0"/>
    <n v="39.9"/>
    <n v="10"/>
    <x v="564"/>
    <x v="0"/>
    <n v="5.9"/>
  </r>
  <r>
    <x v="50"/>
    <x v="2"/>
    <x v="0"/>
    <x v="1"/>
    <x v="4"/>
    <n v="37.69"/>
    <n v="2"/>
    <x v="565"/>
    <x v="2"/>
    <n v="9.5"/>
  </r>
  <r>
    <x v="50"/>
    <x v="0"/>
    <x v="0"/>
    <x v="1"/>
    <x v="2"/>
    <n v="31.99"/>
    <n v="10"/>
    <x v="566"/>
    <x v="0"/>
    <n v="9.9"/>
  </r>
  <r>
    <x v="50"/>
    <x v="0"/>
    <x v="1"/>
    <x v="1"/>
    <x v="0"/>
    <n v="60.3"/>
    <n v="4"/>
    <x v="567"/>
    <x v="1"/>
    <n v="5.8"/>
  </r>
  <r>
    <x v="50"/>
    <x v="1"/>
    <x v="0"/>
    <x v="0"/>
    <x v="4"/>
    <n v="86.27"/>
    <n v="1"/>
    <x v="568"/>
    <x v="2"/>
    <n v="7"/>
  </r>
  <r>
    <x v="50"/>
    <x v="2"/>
    <x v="0"/>
    <x v="1"/>
    <x v="0"/>
    <n v="92.29"/>
    <n v="5"/>
    <x v="569"/>
    <x v="0"/>
    <n v="9"/>
  </r>
  <r>
    <x v="50"/>
    <x v="0"/>
    <x v="0"/>
    <x v="1"/>
    <x v="0"/>
    <n v="57.74"/>
    <n v="3"/>
    <x v="570"/>
    <x v="2"/>
    <n v="7.7"/>
  </r>
  <r>
    <x v="50"/>
    <x v="0"/>
    <x v="1"/>
    <x v="1"/>
    <x v="5"/>
    <n v="66.680000000000007"/>
    <n v="5"/>
    <x v="571"/>
    <x v="1"/>
    <n v="7.6"/>
  </r>
  <r>
    <x v="50"/>
    <x v="2"/>
    <x v="1"/>
    <x v="0"/>
    <x v="5"/>
    <n v="32.32"/>
    <n v="10"/>
    <x v="572"/>
    <x v="0"/>
    <n v="10"/>
  </r>
  <r>
    <x v="51"/>
    <x v="0"/>
    <x v="0"/>
    <x v="1"/>
    <x v="3"/>
    <n v="73.819999999999993"/>
    <n v="4"/>
    <x v="573"/>
    <x v="1"/>
    <n v="6.7"/>
  </r>
  <r>
    <x v="51"/>
    <x v="2"/>
    <x v="0"/>
    <x v="0"/>
    <x v="1"/>
    <n v="94.64"/>
    <n v="3"/>
    <x v="574"/>
    <x v="1"/>
    <n v="5.5"/>
  </r>
  <r>
    <x v="51"/>
    <x v="0"/>
    <x v="0"/>
    <x v="1"/>
    <x v="5"/>
    <n v="39.909999999999997"/>
    <n v="3"/>
    <x v="575"/>
    <x v="2"/>
    <n v="9.3000000000000007"/>
  </r>
  <r>
    <x v="51"/>
    <x v="1"/>
    <x v="1"/>
    <x v="0"/>
    <x v="5"/>
    <n v="83.66"/>
    <n v="5"/>
    <x v="576"/>
    <x v="1"/>
    <n v="7.2"/>
  </r>
  <r>
    <x v="51"/>
    <x v="1"/>
    <x v="1"/>
    <x v="0"/>
    <x v="2"/>
    <n v="98.8"/>
    <n v="2"/>
    <x v="577"/>
    <x v="1"/>
    <n v="7.7"/>
  </r>
  <r>
    <x v="51"/>
    <x v="1"/>
    <x v="0"/>
    <x v="0"/>
    <x v="3"/>
    <n v="12.54"/>
    <n v="1"/>
    <x v="578"/>
    <x v="1"/>
    <n v="8.1999999999999993"/>
  </r>
  <r>
    <x v="52"/>
    <x v="2"/>
    <x v="1"/>
    <x v="1"/>
    <x v="4"/>
    <n v="65.819999999999993"/>
    <n v="1"/>
    <x v="579"/>
    <x v="1"/>
    <n v="4.0999999999999996"/>
  </r>
  <r>
    <x v="52"/>
    <x v="0"/>
    <x v="1"/>
    <x v="0"/>
    <x v="3"/>
    <n v="39.75"/>
    <n v="5"/>
    <x v="580"/>
    <x v="2"/>
    <n v="9.6"/>
  </r>
  <r>
    <x v="52"/>
    <x v="1"/>
    <x v="0"/>
    <x v="0"/>
    <x v="0"/>
    <n v="30.41"/>
    <n v="1"/>
    <x v="581"/>
    <x v="0"/>
    <n v="8.4"/>
  </r>
  <r>
    <x v="52"/>
    <x v="0"/>
    <x v="1"/>
    <x v="1"/>
    <x v="3"/>
    <n v="17.489999999999998"/>
    <n v="10"/>
    <x v="582"/>
    <x v="2"/>
    <n v="6.6"/>
  </r>
  <r>
    <x v="52"/>
    <x v="1"/>
    <x v="1"/>
    <x v="1"/>
    <x v="2"/>
    <n v="95.49"/>
    <n v="7"/>
    <x v="583"/>
    <x v="2"/>
    <n v="8.6999999999999993"/>
  </r>
  <r>
    <x v="52"/>
    <x v="1"/>
    <x v="0"/>
    <x v="0"/>
    <x v="4"/>
    <n v="12.73"/>
    <n v="2"/>
    <x v="584"/>
    <x v="0"/>
    <n v="5.2"/>
  </r>
  <r>
    <x v="52"/>
    <x v="0"/>
    <x v="1"/>
    <x v="1"/>
    <x v="4"/>
    <n v="68.97"/>
    <n v="3"/>
    <x v="585"/>
    <x v="2"/>
    <n v="8.6999999999999993"/>
  </r>
  <r>
    <x v="52"/>
    <x v="0"/>
    <x v="1"/>
    <x v="0"/>
    <x v="3"/>
    <n v="47.44"/>
    <n v="1"/>
    <x v="586"/>
    <x v="0"/>
    <n v="6.8"/>
  </r>
  <r>
    <x v="52"/>
    <x v="2"/>
    <x v="0"/>
    <x v="0"/>
    <x v="1"/>
    <n v="17.420000000000002"/>
    <n v="10"/>
    <x v="587"/>
    <x v="2"/>
    <n v="7"/>
  </r>
  <r>
    <x v="52"/>
    <x v="0"/>
    <x v="1"/>
    <x v="0"/>
    <x v="3"/>
    <n v="54.31"/>
    <n v="9"/>
    <x v="588"/>
    <x v="1"/>
    <n v="8.9"/>
  </r>
  <r>
    <x v="52"/>
    <x v="2"/>
    <x v="0"/>
    <x v="0"/>
    <x v="2"/>
    <n v="24.49"/>
    <n v="10"/>
    <x v="589"/>
    <x v="1"/>
    <n v="8.1"/>
  </r>
  <r>
    <x v="53"/>
    <x v="1"/>
    <x v="1"/>
    <x v="1"/>
    <x v="0"/>
    <n v="35.89"/>
    <n v="1"/>
    <x v="590"/>
    <x v="0"/>
    <n v="7.9"/>
  </r>
  <r>
    <x v="53"/>
    <x v="0"/>
    <x v="1"/>
    <x v="0"/>
    <x v="5"/>
    <n v="17.97"/>
    <n v="4"/>
    <x v="591"/>
    <x v="2"/>
    <n v="6.4"/>
  </r>
  <r>
    <x v="53"/>
    <x v="0"/>
    <x v="1"/>
    <x v="0"/>
    <x v="1"/>
    <n v="14.96"/>
    <n v="8"/>
    <x v="592"/>
    <x v="1"/>
    <n v="8.6"/>
  </r>
  <r>
    <x v="53"/>
    <x v="0"/>
    <x v="0"/>
    <x v="0"/>
    <x v="0"/>
    <n v="98.79"/>
    <n v="3"/>
    <x v="593"/>
    <x v="2"/>
    <n v="6.4"/>
  </r>
  <r>
    <x v="53"/>
    <x v="1"/>
    <x v="0"/>
    <x v="1"/>
    <x v="2"/>
    <n v="58.39"/>
    <n v="7"/>
    <x v="594"/>
    <x v="0"/>
    <n v="8.1999999999999993"/>
  </r>
  <r>
    <x v="53"/>
    <x v="0"/>
    <x v="0"/>
    <x v="0"/>
    <x v="1"/>
    <n v="75.59"/>
    <n v="9"/>
    <x v="595"/>
    <x v="1"/>
    <n v="8"/>
  </r>
  <r>
    <x v="53"/>
    <x v="2"/>
    <x v="0"/>
    <x v="0"/>
    <x v="0"/>
    <n v="73.47"/>
    <n v="4"/>
    <x v="596"/>
    <x v="1"/>
    <n v="6"/>
  </r>
  <r>
    <x v="53"/>
    <x v="1"/>
    <x v="0"/>
    <x v="0"/>
    <x v="0"/>
    <n v="80.36"/>
    <n v="4"/>
    <x v="597"/>
    <x v="0"/>
    <n v="8.3000000000000007"/>
  </r>
  <r>
    <x v="54"/>
    <x v="1"/>
    <x v="1"/>
    <x v="1"/>
    <x v="4"/>
    <n v="55.73"/>
    <n v="6"/>
    <x v="598"/>
    <x v="2"/>
    <n v="7"/>
  </r>
  <r>
    <x v="54"/>
    <x v="2"/>
    <x v="0"/>
    <x v="0"/>
    <x v="4"/>
    <n v="47.68"/>
    <n v="2"/>
    <x v="599"/>
    <x v="0"/>
    <n v="4.0999999999999996"/>
  </r>
  <r>
    <x v="54"/>
    <x v="1"/>
    <x v="0"/>
    <x v="0"/>
    <x v="5"/>
    <n v="10.16"/>
    <n v="5"/>
    <x v="600"/>
    <x v="2"/>
    <n v="4.0999999999999996"/>
  </r>
  <r>
    <x v="54"/>
    <x v="0"/>
    <x v="1"/>
    <x v="0"/>
    <x v="0"/>
    <n v="26.43"/>
    <n v="8"/>
    <x v="601"/>
    <x v="2"/>
    <n v="8.9"/>
  </r>
  <r>
    <x v="54"/>
    <x v="1"/>
    <x v="1"/>
    <x v="0"/>
    <x v="4"/>
    <n v="73.56"/>
    <n v="10"/>
    <x v="602"/>
    <x v="2"/>
    <n v="8"/>
  </r>
  <r>
    <x v="54"/>
    <x v="0"/>
    <x v="0"/>
    <x v="1"/>
    <x v="3"/>
    <n v="83.77"/>
    <n v="2"/>
    <x v="145"/>
    <x v="1"/>
    <n v="4.5999999999999996"/>
  </r>
  <r>
    <x v="54"/>
    <x v="0"/>
    <x v="1"/>
    <x v="0"/>
    <x v="2"/>
    <n v="57.95"/>
    <n v="6"/>
    <x v="603"/>
    <x v="1"/>
    <n v="5.2"/>
  </r>
  <r>
    <x v="54"/>
    <x v="2"/>
    <x v="1"/>
    <x v="0"/>
    <x v="1"/>
    <n v="40.26"/>
    <n v="10"/>
    <x v="604"/>
    <x v="0"/>
    <n v="5"/>
  </r>
  <r>
    <x v="54"/>
    <x v="1"/>
    <x v="1"/>
    <x v="1"/>
    <x v="1"/>
    <n v="24.74"/>
    <n v="10"/>
    <x v="605"/>
    <x v="1"/>
    <n v="7.1"/>
  </r>
  <r>
    <x v="55"/>
    <x v="2"/>
    <x v="0"/>
    <x v="0"/>
    <x v="2"/>
    <n v="91.41"/>
    <n v="5"/>
    <x v="606"/>
    <x v="2"/>
    <n v="7.1"/>
  </r>
  <r>
    <x v="55"/>
    <x v="0"/>
    <x v="1"/>
    <x v="1"/>
    <x v="3"/>
    <n v="94.13"/>
    <n v="5"/>
    <x v="607"/>
    <x v="0"/>
    <n v="4.8"/>
  </r>
  <r>
    <x v="55"/>
    <x v="2"/>
    <x v="0"/>
    <x v="0"/>
    <x v="0"/>
    <n v="99.6"/>
    <n v="3"/>
    <x v="608"/>
    <x v="1"/>
    <n v="5.8"/>
  </r>
  <r>
    <x v="55"/>
    <x v="2"/>
    <x v="0"/>
    <x v="0"/>
    <x v="1"/>
    <n v="68.84"/>
    <n v="6"/>
    <x v="609"/>
    <x v="2"/>
    <n v="5.8"/>
  </r>
  <r>
    <x v="55"/>
    <x v="0"/>
    <x v="0"/>
    <x v="0"/>
    <x v="4"/>
    <n v="82.04"/>
    <n v="5"/>
    <x v="610"/>
    <x v="0"/>
    <n v="7.6"/>
  </r>
  <r>
    <x v="55"/>
    <x v="1"/>
    <x v="1"/>
    <x v="1"/>
    <x v="0"/>
    <n v="48.61"/>
    <n v="1"/>
    <x v="611"/>
    <x v="1"/>
    <n v="4.4000000000000004"/>
  </r>
  <r>
    <x v="55"/>
    <x v="1"/>
    <x v="0"/>
    <x v="1"/>
    <x v="1"/>
    <n v="86.04"/>
    <n v="5"/>
    <x v="612"/>
    <x v="2"/>
    <n v="4.8"/>
  </r>
  <r>
    <x v="55"/>
    <x v="0"/>
    <x v="1"/>
    <x v="1"/>
    <x v="2"/>
    <n v="88.45"/>
    <n v="1"/>
    <x v="613"/>
    <x v="0"/>
    <n v="9.5"/>
  </r>
  <r>
    <x v="55"/>
    <x v="0"/>
    <x v="1"/>
    <x v="1"/>
    <x v="5"/>
    <n v="62.57"/>
    <n v="4"/>
    <x v="614"/>
    <x v="1"/>
    <n v="9.5"/>
  </r>
  <r>
    <x v="55"/>
    <x v="0"/>
    <x v="0"/>
    <x v="1"/>
    <x v="1"/>
    <n v="39.75"/>
    <n v="1"/>
    <x v="615"/>
    <x v="1"/>
    <n v="6.1"/>
  </r>
  <r>
    <x v="55"/>
    <x v="2"/>
    <x v="1"/>
    <x v="0"/>
    <x v="3"/>
    <n v="73.05"/>
    <n v="4"/>
    <x v="616"/>
    <x v="0"/>
    <n v="4.9000000000000004"/>
  </r>
  <r>
    <x v="55"/>
    <x v="0"/>
    <x v="1"/>
    <x v="0"/>
    <x v="1"/>
    <n v="52.79"/>
    <n v="10"/>
    <x v="617"/>
    <x v="2"/>
    <n v="10"/>
  </r>
  <r>
    <x v="55"/>
    <x v="2"/>
    <x v="1"/>
    <x v="1"/>
    <x v="5"/>
    <n v="65.180000000000007"/>
    <n v="3"/>
    <x v="618"/>
    <x v="0"/>
    <n v="6.3"/>
  </r>
  <r>
    <x v="55"/>
    <x v="0"/>
    <x v="0"/>
    <x v="1"/>
    <x v="5"/>
    <n v="42.57"/>
    <n v="8"/>
    <x v="619"/>
    <x v="2"/>
    <n v="5.6"/>
  </r>
  <r>
    <x v="55"/>
    <x v="0"/>
    <x v="0"/>
    <x v="0"/>
    <x v="0"/>
    <n v="62.85"/>
    <n v="4"/>
    <x v="620"/>
    <x v="2"/>
    <n v="8.6999999999999993"/>
  </r>
  <r>
    <x v="55"/>
    <x v="2"/>
    <x v="1"/>
    <x v="1"/>
    <x v="2"/>
    <n v="63.69"/>
    <n v="1"/>
    <x v="621"/>
    <x v="1"/>
    <n v="6"/>
  </r>
  <r>
    <x v="56"/>
    <x v="1"/>
    <x v="1"/>
    <x v="0"/>
    <x v="0"/>
    <n v="22.93"/>
    <n v="9"/>
    <x v="622"/>
    <x v="1"/>
    <n v="5.5"/>
  </r>
  <r>
    <x v="56"/>
    <x v="0"/>
    <x v="0"/>
    <x v="1"/>
    <x v="0"/>
    <n v="26.6"/>
    <n v="6"/>
    <x v="623"/>
    <x v="2"/>
    <n v="4.9000000000000004"/>
  </r>
  <r>
    <x v="56"/>
    <x v="0"/>
    <x v="1"/>
    <x v="0"/>
    <x v="5"/>
    <n v="99.71"/>
    <n v="6"/>
    <x v="624"/>
    <x v="2"/>
    <n v="7.9"/>
  </r>
  <r>
    <x v="56"/>
    <x v="0"/>
    <x v="1"/>
    <x v="1"/>
    <x v="2"/>
    <n v="54.45"/>
    <n v="1"/>
    <x v="625"/>
    <x v="2"/>
    <n v="7.9"/>
  </r>
  <r>
    <x v="56"/>
    <x v="0"/>
    <x v="1"/>
    <x v="1"/>
    <x v="3"/>
    <n v="99.89"/>
    <n v="2"/>
    <x v="626"/>
    <x v="2"/>
    <n v="7.1"/>
  </r>
  <r>
    <x v="56"/>
    <x v="2"/>
    <x v="1"/>
    <x v="0"/>
    <x v="1"/>
    <n v="46.61"/>
    <n v="2"/>
    <x v="627"/>
    <x v="0"/>
    <n v="6.6"/>
  </r>
  <r>
    <x v="56"/>
    <x v="0"/>
    <x v="0"/>
    <x v="0"/>
    <x v="2"/>
    <n v="95.54"/>
    <n v="4"/>
    <x v="628"/>
    <x v="2"/>
    <n v="4.5"/>
  </r>
  <r>
    <x v="56"/>
    <x v="2"/>
    <x v="0"/>
    <x v="1"/>
    <x v="3"/>
    <n v="55.45"/>
    <n v="1"/>
    <x v="629"/>
    <x v="0"/>
    <n v="4.9000000000000004"/>
  </r>
  <r>
    <x v="56"/>
    <x v="0"/>
    <x v="0"/>
    <x v="0"/>
    <x v="1"/>
    <n v="90.7"/>
    <n v="6"/>
    <x v="630"/>
    <x v="1"/>
    <n v="5.3"/>
  </r>
  <r>
    <x v="57"/>
    <x v="0"/>
    <x v="0"/>
    <x v="1"/>
    <x v="5"/>
    <n v="56.69"/>
    <n v="9"/>
    <x v="631"/>
    <x v="0"/>
    <n v="8.4"/>
  </r>
  <r>
    <x v="57"/>
    <x v="0"/>
    <x v="1"/>
    <x v="1"/>
    <x v="2"/>
    <n v="67.27"/>
    <n v="5"/>
    <x v="632"/>
    <x v="1"/>
    <n v="6.9"/>
  </r>
  <r>
    <x v="57"/>
    <x v="0"/>
    <x v="0"/>
    <x v="0"/>
    <x v="3"/>
    <n v="19.77"/>
    <n v="10"/>
    <x v="633"/>
    <x v="0"/>
    <n v="5"/>
  </r>
  <r>
    <x v="57"/>
    <x v="0"/>
    <x v="1"/>
    <x v="0"/>
    <x v="5"/>
    <n v="76.989999999999995"/>
    <n v="6"/>
    <x v="634"/>
    <x v="1"/>
    <n v="6.1"/>
  </r>
  <r>
    <x v="57"/>
    <x v="2"/>
    <x v="1"/>
    <x v="0"/>
    <x v="3"/>
    <n v="77.930000000000007"/>
    <n v="9"/>
    <x v="635"/>
    <x v="2"/>
    <n v="7.6"/>
  </r>
  <r>
    <x v="57"/>
    <x v="2"/>
    <x v="0"/>
    <x v="1"/>
    <x v="1"/>
    <n v="92.6"/>
    <n v="7"/>
    <x v="636"/>
    <x v="0"/>
    <n v="9.3000000000000007"/>
  </r>
  <r>
    <x v="57"/>
    <x v="1"/>
    <x v="1"/>
    <x v="0"/>
    <x v="1"/>
    <n v="99.69"/>
    <n v="1"/>
    <x v="637"/>
    <x v="0"/>
    <n v="8"/>
  </r>
  <r>
    <x v="57"/>
    <x v="1"/>
    <x v="1"/>
    <x v="0"/>
    <x v="0"/>
    <n v="94.47"/>
    <n v="8"/>
    <x v="638"/>
    <x v="1"/>
    <n v="9.1"/>
  </r>
  <r>
    <x v="57"/>
    <x v="1"/>
    <x v="0"/>
    <x v="0"/>
    <x v="5"/>
    <n v="85.87"/>
    <n v="7"/>
    <x v="639"/>
    <x v="0"/>
    <n v="8"/>
  </r>
  <r>
    <x v="57"/>
    <x v="2"/>
    <x v="0"/>
    <x v="1"/>
    <x v="3"/>
    <n v="21.48"/>
    <n v="2"/>
    <x v="640"/>
    <x v="2"/>
    <n v="6.6"/>
  </r>
  <r>
    <x v="57"/>
    <x v="0"/>
    <x v="1"/>
    <x v="0"/>
    <x v="5"/>
    <n v="13.5"/>
    <n v="10"/>
    <x v="641"/>
    <x v="0"/>
    <n v="4.8"/>
  </r>
  <r>
    <x v="57"/>
    <x v="2"/>
    <x v="0"/>
    <x v="1"/>
    <x v="0"/>
    <n v="18.850000000000001"/>
    <n v="10"/>
    <x v="642"/>
    <x v="2"/>
    <n v="5.6"/>
  </r>
  <r>
    <x v="57"/>
    <x v="0"/>
    <x v="1"/>
    <x v="1"/>
    <x v="3"/>
    <n v="52.42"/>
    <n v="3"/>
    <x v="643"/>
    <x v="2"/>
    <n v="7.5"/>
  </r>
  <r>
    <x v="57"/>
    <x v="2"/>
    <x v="1"/>
    <x v="0"/>
    <x v="0"/>
    <n v="74.44"/>
    <n v="10"/>
    <x v="644"/>
    <x v="2"/>
    <n v="5.0999999999999996"/>
  </r>
  <r>
    <x v="58"/>
    <x v="0"/>
    <x v="1"/>
    <x v="0"/>
    <x v="3"/>
    <n v="41.09"/>
    <n v="10"/>
    <x v="645"/>
    <x v="1"/>
    <n v="7.3"/>
  </r>
  <r>
    <x v="58"/>
    <x v="2"/>
    <x v="1"/>
    <x v="1"/>
    <x v="5"/>
    <n v="56"/>
    <n v="3"/>
    <x v="646"/>
    <x v="2"/>
    <n v="4.8"/>
  </r>
  <r>
    <x v="58"/>
    <x v="1"/>
    <x v="1"/>
    <x v="0"/>
    <x v="1"/>
    <n v="85.98"/>
    <n v="8"/>
    <x v="647"/>
    <x v="1"/>
    <n v="8.1999999999999993"/>
  </r>
  <r>
    <x v="58"/>
    <x v="2"/>
    <x v="0"/>
    <x v="1"/>
    <x v="0"/>
    <n v="80.62"/>
    <n v="6"/>
    <x v="648"/>
    <x v="1"/>
    <n v="9.1"/>
  </r>
  <r>
    <x v="58"/>
    <x v="1"/>
    <x v="0"/>
    <x v="1"/>
    <x v="3"/>
    <n v="93.2"/>
    <n v="2"/>
    <x v="649"/>
    <x v="0"/>
    <n v="6"/>
  </r>
  <r>
    <x v="58"/>
    <x v="0"/>
    <x v="1"/>
    <x v="1"/>
    <x v="1"/>
    <n v="60.3"/>
    <n v="1"/>
    <x v="650"/>
    <x v="1"/>
    <n v="6"/>
  </r>
  <r>
    <x v="59"/>
    <x v="0"/>
    <x v="0"/>
    <x v="0"/>
    <x v="0"/>
    <n v="60.3"/>
    <n v="4"/>
    <x v="567"/>
    <x v="1"/>
    <n v="5.8"/>
  </r>
  <r>
    <x v="59"/>
    <x v="0"/>
    <x v="1"/>
    <x v="1"/>
    <x v="0"/>
    <n v="92.29"/>
    <n v="5"/>
    <x v="569"/>
    <x v="0"/>
    <n v="9"/>
  </r>
  <r>
    <x v="59"/>
    <x v="0"/>
    <x v="1"/>
    <x v="1"/>
    <x v="0"/>
    <n v="57.74"/>
    <n v="3"/>
    <x v="570"/>
    <x v="2"/>
    <n v="7.7"/>
  </r>
  <r>
    <x v="59"/>
    <x v="2"/>
    <x v="0"/>
    <x v="1"/>
    <x v="5"/>
    <n v="66.680000000000007"/>
    <n v="5"/>
    <x v="571"/>
    <x v="1"/>
    <n v="7.6"/>
  </r>
  <r>
    <x v="59"/>
    <x v="1"/>
    <x v="1"/>
    <x v="1"/>
    <x v="0"/>
    <n v="98.79"/>
    <n v="3"/>
    <x v="593"/>
    <x v="2"/>
    <n v="6.4"/>
  </r>
  <r>
    <x v="59"/>
    <x v="0"/>
    <x v="1"/>
    <x v="0"/>
    <x v="0"/>
    <n v="73.47"/>
    <n v="4"/>
    <x v="596"/>
    <x v="1"/>
    <n v="6"/>
  </r>
  <r>
    <x v="59"/>
    <x v="0"/>
    <x v="0"/>
    <x v="0"/>
    <x v="0"/>
    <n v="80.36"/>
    <n v="4"/>
    <x v="597"/>
    <x v="0"/>
    <n v="8.3000000000000007"/>
  </r>
  <r>
    <x v="59"/>
    <x v="2"/>
    <x v="0"/>
    <x v="0"/>
    <x v="5"/>
    <n v="10.16"/>
    <n v="5"/>
    <x v="600"/>
    <x v="2"/>
    <n v="4.0999999999999996"/>
  </r>
  <r>
    <x v="60"/>
    <x v="0"/>
    <x v="1"/>
    <x v="1"/>
    <x v="1"/>
    <n v="27.5"/>
    <n v="3"/>
    <x v="651"/>
    <x v="2"/>
    <n v="6.5"/>
  </r>
  <r>
    <x v="60"/>
    <x v="1"/>
    <x v="0"/>
    <x v="0"/>
    <x v="0"/>
    <n v="74.89"/>
    <n v="4"/>
    <x v="652"/>
    <x v="2"/>
    <n v="4.2"/>
  </r>
  <r>
    <x v="60"/>
    <x v="2"/>
    <x v="1"/>
    <x v="0"/>
    <x v="1"/>
    <n v="45.48"/>
    <n v="10"/>
    <x v="653"/>
    <x v="0"/>
    <n v="4.8"/>
  </r>
  <r>
    <x v="60"/>
    <x v="0"/>
    <x v="0"/>
    <x v="1"/>
    <x v="0"/>
    <n v="53.72"/>
    <n v="1"/>
    <x v="654"/>
    <x v="2"/>
    <n v="6.4"/>
  </r>
  <r>
    <x v="60"/>
    <x v="0"/>
    <x v="0"/>
    <x v="1"/>
    <x v="3"/>
    <n v="81.31"/>
    <n v="7"/>
    <x v="655"/>
    <x v="2"/>
    <n v="6.3"/>
  </r>
  <r>
    <x v="60"/>
    <x v="2"/>
    <x v="1"/>
    <x v="1"/>
    <x v="4"/>
    <n v="34.729999999999997"/>
    <n v="2"/>
    <x v="656"/>
    <x v="2"/>
    <n v="9.6999999999999993"/>
  </r>
  <r>
    <x v="60"/>
    <x v="1"/>
    <x v="1"/>
    <x v="1"/>
    <x v="3"/>
    <n v="78.55"/>
    <n v="9"/>
    <x v="657"/>
    <x v="1"/>
    <n v="7.2"/>
  </r>
  <r>
    <x v="60"/>
    <x v="2"/>
    <x v="0"/>
    <x v="0"/>
    <x v="3"/>
    <n v="22.32"/>
    <n v="4"/>
    <x v="658"/>
    <x v="0"/>
    <n v="4.4000000000000004"/>
  </r>
  <r>
    <x v="60"/>
    <x v="0"/>
    <x v="1"/>
    <x v="1"/>
    <x v="5"/>
    <n v="69.510000000000005"/>
    <n v="2"/>
    <x v="659"/>
    <x v="2"/>
    <n v="8.1"/>
  </r>
  <r>
    <x v="60"/>
    <x v="0"/>
    <x v="1"/>
    <x v="1"/>
    <x v="5"/>
    <n v="14.82"/>
    <n v="3"/>
    <x v="660"/>
    <x v="0"/>
    <n v="8.6999999999999993"/>
  </r>
  <r>
    <x v="61"/>
    <x v="0"/>
    <x v="0"/>
    <x v="0"/>
    <x v="1"/>
    <n v="26.26"/>
    <n v="3"/>
    <x v="661"/>
    <x v="2"/>
    <n v="6.3"/>
  </r>
  <r>
    <x v="61"/>
    <x v="1"/>
    <x v="0"/>
    <x v="0"/>
    <x v="2"/>
    <n v="54.55"/>
    <n v="10"/>
    <x v="662"/>
    <x v="0"/>
    <n v="7.1"/>
  </r>
  <r>
    <x v="61"/>
    <x v="2"/>
    <x v="0"/>
    <x v="0"/>
    <x v="2"/>
    <n v="39.47"/>
    <n v="2"/>
    <x v="663"/>
    <x v="0"/>
    <n v="5"/>
  </r>
  <r>
    <x v="61"/>
    <x v="0"/>
    <x v="1"/>
    <x v="0"/>
    <x v="4"/>
    <n v="97.38"/>
    <n v="10"/>
    <x v="664"/>
    <x v="2"/>
    <n v="4.4000000000000004"/>
  </r>
  <r>
    <x v="61"/>
    <x v="1"/>
    <x v="0"/>
    <x v="0"/>
    <x v="3"/>
    <n v="92.49"/>
    <n v="5"/>
    <x v="665"/>
    <x v="0"/>
    <n v="8.6"/>
  </r>
  <r>
    <x v="61"/>
    <x v="0"/>
    <x v="0"/>
    <x v="1"/>
    <x v="4"/>
    <n v="27"/>
    <n v="9"/>
    <x v="666"/>
    <x v="1"/>
    <n v="4.8"/>
  </r>
  <r>
    <x v="61"/>
    <x v="0"/>
    <x v="1"/>
    <x v="0"/>
    <x v="1"/>
    <n v="99.73"/>
    <n v="9"/>
    <x v="667"/>
    <x v="0"/>
    <n v="6.5"/>
  </r>
  <r>
    <x v="61"/>
    <x v="0"/>
    <x v="0"/>
    <x v="0"/>
    <x v="4"/>
    <n v="88.39"/>
    <n v="9"/>
    <x v="668"/>
    <x v="1"/>
    <n v="6.3"/>
  </r>
  <r>
    <x v="61"/>
    <x v="1"/>
    <x v="1"/>
    <x v="0"/>
    <x v="3"/>
    <n v="27.02"/>
    <n v="3"/>
    <x v="669"/>
    <x v="0"/>
    <n v="7.1"/>
  </r>
  <r>
    <x v="61"/>
    <x v="0"/>
    <x v="0"/>
    <x v="0"/>
    <x v="1"/>
    <n v="13.22"/>
    <n v="5"/>
    <x v="670"/>
    <x v="1"/>
    <n v="4.3"/>
  </r>
  <r>
    <x v="61"/>
    <x v="2"/>
    <x v="0"/>
    <x v="1"/>
    <x v="2"/>
    <n v="88.63"/>
    <n v="3"/>
    <x v="671"/>
    <x v="2"/>
    <n v="6"/>
  </r>
  <r>
    <x v="61"/>
    <x v="0"/>
    <x v="1"/>
    <x v="0"/>
    <x v="1"/>
    <n v="38.270000000000003"/>
    <n v="2"/>
    <x v="672"/>
    <x v="0"/>
    <n v="5.8"/>
  </r>
  <r>
    <x v="61"/>
    <x v="1"/>
    <x v="0"/>
    <x v="1"/>
    <x v="5"/>
    <n v="85.6"/>
    <n v="7"/>
    <x v="673"/>
    <x v="1"/>
    <n v="5.3"/>
  </r>
  <r>
    <x v="61"/>
    <x v="1"/>
    <x v="1"/>
    <x v="0"/>
    <x v="2"/>
    <n v="73.98"/>
    <n v="7"/>
    <x v="674"/>
    <x v="2"/>
    <n v="4.0999999999999996"/>
  </r>
  <r>
    <x v="61"/>
    <x v="0"/>
    <x v="1"/>
    <x v="1"/>
    <x v="2"/>
    <n v="25.31"/>
    <n v="2"/>
    <x v="675"/>
    <x v="2"/>
    <n v="7.2"/>
  </r>
  <r>
    <x v="61"/>
    <x v="0"/>
    <x v="1"/>
    <x v="0"/>
    <x v="5"/>
    <n v="73.41"/>
    <n v="3"/>
    <x v="676"/>
    <x v="2"/>
    <n v="4"/>
  </r>
  <r>
    <x v="61"/>
    <x v="1"/>
    <x v="1"/>
    <x v="0"/>
    <x v="2"/>
    <n v="14.39"/>
    <n v="2"/>
    <x v="677"/>
    <x v="0"/>
    <n v="7.2"/>
  </r>
  <r>
    <x v="61"/>
    <x v="2"/>
    <x v="1"/>
    <x v="1"/>
    <x v="0"/>
    <n v="66.52"/>
    <n v="4"/>
    <x v="678"/>
    <x v="2"/>
    <n v="6.9"/>
  </r>
  <r>
    <x v="62"/>
    <x v="1"/>
    <x v="0"/>
    <x v="1"/>
    <x v="5"/>
    <n v="46.53"/>
    <n v="6"/>
    <x v="679"/>
    <x v="0"/>
    <n v="4.3"/>
  </r>
  <r>
    <x v="62"/>
    <x v="2"/>
    <x v="0"/>
    <x v="1"/>
    <x v="0"/>
    <n v="22.17"/>
    <n v="8"/>
    <x v="680"/>
    <x v="0"/>
    <n v="9.6"/>
  </r>
  <r>
    <x v="62"/>
    <x v="1"/>
    <x v="0"/>
    <x v="1"/>
    <x v="1"/>
    <n v="81.97"/>
    <n v="10"/>
    <x v="681"/>
    <x v="1"/>
    <n v="9.1999999999999993"/>
  </r>
  <r>
    <x v="62"/>
    <x v="1"/>
    <x v="0"/>
    <x v="0"/>
    <x v="1"/>
    <n v="51.92"/>
    <n v="5"/>
    <x v="682"/>
    <x v="1"/>
    <n v="7.5"/>
  </r>
  <r>
    <x v="62"/>
    <x v="1"/>
    <x v="1"/>
    <x v="0"/>
    <x v="4"/>
    <n v="44.01"/>
    <n v="8"/>
    <x v="683"/>
    <x v="1"/>
    <n v="8.8000000000000007"/>
  </r>
  <r>
    <x v="62"/>
    <x v="1"/>
    <x v="1"/>
    <x v="1"/>
    <x v="1"/>
    <n v="20.85"/>
    <n v="8"/>
    <x v="684"/>
    <x v="1"/>
    <n v="6.3"/>
  </r>
  <r>
    <x v="62"/>
    <x v="2"/>
    <x v="1"/>
    <x v="1"/>
    <x v="3"/>
    <n v="46.41"/>
    <n v="1"/>
    <x v="685"/>
    <x v="0"/>
    <n v="4"/>
  </r>
  <r>
    <x v="62"/>
    <x v="2"/>
    <x v="1"/>
    <x v="1"/>
    <x v="5"/>
    <n v="25"/>
    <n v="1"/>
    <x v="686"/>
    <x v="2"/>
    <n v="5.5"/>
  </r>
  <r>
    <x v="62"/>
    <x v="2"/>
    <x v="1"/>
    <x v="1"/>
    <x v="5"/>
    <n v="28.95"/>
    <n v="7"/>
    <x v="687"/>
    <x v="0"/>
    <n v="6"/>
  </r>
  <r>
    <x v="62"/>
    <x v="0"/>
    <x v="0"/>
    <x v="0"/>
    <x v="4"/>
    <n v="94.49"/>
    <n v="8"/>
    <x v="688"/>
    <x v="2"/>
    <n v="7.5"/>
  </r>
  <r>
    <x v="62"/>
    <x v="1"/>
    <x v="0"/>
    <x v="0"/>
    <x v="1"/>
    <n v="30.2"/>
    <n v="8"/>
    <x v="689"/>
    <x v="2"/>
    <n v="5.0999999999999996"/>
  </r>
  <r>
    <x v="62"/>
    <x v="0"/>
    <x v="0"/>
    <x v="1"/>
    <x v="4"/>
    <n v="30.12"/>
    <n v="8"/>
    <x v="690"/>
    <x v="1"/>
    <n v="7.7"/>
  </r>
  <r>
    <x v="62"/>
    <x v="2"/>
    <x v="1"/>
    <x v="1"/>
    <x v="4"/>
    <n v="46.33"/>
    <n v="7"/>
    <x v="691"/>
    <x v="0"/>
    <n v="7.4"/>
  </r>
  <r>
    <x v="62"/>
    <x v="0"/>
    <x v="0"/>
    <x v="0"/>
    <x v="0"/>
    <n v="73.05"/>
    <n v="10"/>
    <x v="692"/>
    <x v="0"/>
    <n v="8.6999999999999993"/>
  </r>
  <r>
    <x v="63"/>
    <x v="2"/>
    <x v="1"/>
    <x v="0"/>
    <x v="4"/>
    <n v="33.299999999999997"/>
    <n v="9"/>
    <x v="693"/>
    <x v="2"/>
    <n v="7.2"/>
  </r>
  <r>
    <x v="63"/>
    <x v="2"/>
    <x v="1"/>
    <x v="0"/>
    <x v="0"/>
    <n v="74.66"/>
    <n v="4"/>
    <x v="694"/>
    <x v="1"/>
    <n v="8.5"/>
  </r>
  <r>
    <x v="63"/>
    <x v="1"/>
    <x v="0"/>
    <x v="0"/>
    <x v="0"/>
    <n v="98.7"/>
    <n v="8"/>
    <x v="339"/>
    <x v="1"/>
    <n v="7.6"/>
  </r>
  <r>
    <x v="63"/>
    <x v="2"/>
    <x v="1"/>
    <x v="0"/>
    <x v="5"/>
    <n v="68.709999999999994"/>
    <n v="3"/>
    <x v="695"/>
    <x v="1"/>
    <n v="8.6999999999999993"/>
  </r>
  <r>
    <x v="63"/>
    <x v="2"/>
    <x v="0"/>
    <x v="0"/>
    <x v="3"/>
    <n v="48.96"/>
    <n v="9"/>
    <x v="696"/>
    <x v="1"/>
    <n v="8"/>
  </r>
  <r>
    <x v="63"/>
    <x v="2"/>
    <x v="1"/>
    <x v="0"/>
    <x v="4"/>
    <n v="56.53"/>
    <n v="4"/>
    <x v="697"/>
    <x v="2"/>
    <n v="5.5"/>
  </r>
  <r>
    <x v="63"/>
    <x v="2"/>
    <x v="1"/>
    <x v="1"/>
    <x v="5"/>
    <n v="14.62"/>
    <n v="5"/>
    <x v="698"/>
    <x v="1"/>
    <n v="4.4000000000000004"/>
  </r>
  <r>
    <x v="63"/>
    <x v="2"/>
    <x v="0"/>
    <x v="1"/>
    <x v="5"/>
    <n v="99.83"/>
    <n v="6"/>
    <x v="699"/>
    <x v="2"/>
    <n v="8.5"/>
  </r>
  <r>
    <x v="63"/>
    <x v="2"/>
    <x v="1"/>
    <x v="0"/>
    <x v="2"/>
    <n v="12.34"/>
    <n v="7"/>
    <x v="700"/>
    <x v="0"/>
    <n v="6.7"/>
  </r>
  <r>
    <x v="63"/>
    <x v="1"/>
    <x v="1"/>
    <x v="0"/>
    <x v="1"/>
    <n v="30.24"/>
    <n v="1"/>
    <x v="701"/>
    <x v="1"/>
    <n v="8.4"/>
  </r>
  <r>
    <x v="63"/>
    <x v="0"/>
    <x v="0"/>
    <x v="1"/>
    <x v="1"/>
    <n v="19.239999999999998"/>
    <n v="9"/>
    <x v="702"/>
    <x v="1"/>
    <n v="8"/>
  </r>
  <r>
    <x v="63"/>
    <x v="2"/>
    <x v="0"/>
    <x v="1"/>
    <x v="5"/>
    <n v="48.63"/>
    <n v="10"/>
    <x v="703"/>
    <x v="1"/>
    <n v="8.8000000000000007"/>
  </r>
  <r>
    <x v="64"/>
    <x v="0"/>
    <x v="0"/>
    <x v="0"/>
    <x v="5"/>
    <n v="41.06"/>
    <n v="6"/>
    <x v="704"/>
    <x v="0"/>
    <n v="8.3000000000000007"/>
  </r>
  <r>
    <x v="64"/>
    <x v="0"/>
    <x v="0"/>
    <x v="0"/>
    <x v="0"/>
    <n v="48.52"/>
    <n v="3"/>
    <x v="705"/>
    <x v="2"/>
    <n v="4"/>
  </r>
  <r>
    <x v="64"/>
    <x v="0"/>
    <x v="0"/>
    <x v="1"/>
    <x v="0"/>
    <n v="18.079999999999998"/>
    <n v="3"/>
    <x v="706"/>
    <x v="2"/>
    <n v="8"/>
  </r>
  <r>
    <x v="64"/>
    <x v="0"/>
    <x v="1"/>
    <x v="1"/>
    <x v="2"/>
    <n v="69.739999999999995"/>
    <n v="10"/>
    <x v="707"/>
    <x v="0"/>
    <n v="8.9"/>
  </r>
  <r>
    <x v="64"/>
    <x v="1"/>
    <x v="0"/>
    <x v="0"/>
    <x v="4"/>
    <n v="12.12"/>
    <n v="10"/>
    <x v="708"/>
    <x v="0"/>
    <n v="8.4"/>
  </r>
  <r>
    <x v="64"/>
    <x v="0"/>
    <x v="0"/>
    <x v="0"/>
    <x v="5"/>
    <n v="25.32"/>
    <n v="8"/>
    <x v="709"/>
    <x v="2"/>
    <n v="8.6999999999999993"/>
  </r>
  <r>
    <x v="64"/>
    <x v="1"/>
    <x v="0"/>
    <x v="0"/>
    <x v="3"/>
    <n v="44.22"/>
    <n v="5"/>
    <x v="710"/>
    <x v="0"/>
    <n v="8.6"/>
  </r>
  <r>
    <x v="64"/>
    <x v="0"/>
    <x v="0"/>
    <x v="0"/>
    <x v="5"/>
    <n v="55.97"/>
    <n v="7"/>
    <x v="711"/>
    <x v="2"/>
    <n v="8.9"/>
  </r>
  <r>
    <x v="64"/>
    <x v="0"/>
    <x v="1"/>
    <x v="0"/>
    <x v="4"/>
    <n v="95.46"/>
    <n v="8"/>
    <x v="712"/>
    <x v="2"/>
    <n v="4.7"/>
  </r>
  <r>
    <x v="64"/>
    <x v="0"/>
    <x v="1"/>
    <x v="1"/>
    <x v="4"/>
    <n v="82.7"/>
    <n v="6"/>
    <x v="713"/>
    <x v="1"/>
    <n v="7.4"/>
  </r>
  <r>
    <x v="64"/>
    <x v="2"/>
    <x v="1"/>
    <x v="1"/>
    <x v="1"/>
    <n v="78.31"/>
    <n v="3"/>
    <x v="714"/>
    <x v="2"/>
    <n v="5.4"/>
  </r>
  <r>
    <x v="64"/>
    <x v="1"/>
    <x v="0"/>
    <x v="1"/>
    <x v="5"/>
    <n v="65.31"/>
    <n v="7"/>
    <x v="715"/>
    <x v="0"/>
    <n v="4.2"/>
  </r>
  <r>
    <x v="64"/>
    <x v="0"/>
    <x v="0"/>
    <x v="1"/>
    <x v="3"/>
    <n v="21.94"/>
    <n v="5"/>
    <x v="716"/>
    <x v="2"/>
    <n v="5.3"/>
  </r>
  <r>
    <x v="64"/>
    <x v="2"/>
    <x v="1"/>
    <x v="0"/>
    <x v="3"/>
    <n v="81.91"/>
    <n v="2"/>
    <x v="717"/>
    <x v="1"/>
    <n v="7.8"/>
  </r>
  <r>
    <x v="64"/>
    <x v="1"/>
    <x v="1"/>
    <x v="0"/>
    <x v="2"/>
    <n v="83.06"/>
    <n v="7"/>
    <x v="718"/>
    <x v="2"/>
    <n v="4"/>
  </r>
  <r>
    <x v="64"/>
    <x v="0"/>
    <x v="1"/>
    <x v="1"/>
    <x v="5"/>
    <n v="87.98"/>
    <n v="3"/>
    <x v="719"/>
    <x v="2"/>
    <n v="5.0999999999999996"/>
  </r>
  <r>
    <x v="64"/>
    <x v="1"/>
    <x v="0"/>
    <x v="0"/>
    <x v="0"/>
    <n v="78.31"/>
    <n v="10"/>
    <x v="720"/>
    <x v="2"/>
    <n v="6.6"/>
  </r>
  <r>
    <x v="65"/>
    <x v="0"/>
    <x v="0"/>
    <x v="1"/>
    <x v="2"/>
    <n v="37.32"/>
    <n v="9"/>
    <x v="721"/>
    <x v="2"/>
    <n v="5.0999999999999996"/>
  </r>
  <r>
    <x v="65"/>
    <x v="0"/>
    <x v="1"/>
    <x v="1"/>
    <x v="1"/>
    <n v="28.38"/>
    <n v="5"/>
    <x v="722"/>
    <x v="1"/>
    <n v="9.4"/>
  </r>
  <r>
    <x v="65"/>
    <x v="2"/>
    <x v="0"/>
    <x v="0"/>
    <x v="2"/>
    <n v="92.13"/>
    <n v="6"/>
    <x v="723"/>
    <x v="1"/>
    <n v="8.3000000000000007"/>
  </r>
  <r>
    <x v="65"/>
    <x v="0"/>
    <x v="1"/>
    <x v="1"/>
    <x v="0"/>
    <n v="62.08"/>
    <n v="7"/>
    <x v="724"/>
    <x v="2"/>
    <n v="5.4"/>
  </r>
  <r>
    <x v="65"/>
    <x v="0"/>
    <x v="1"/>
    <x v="0"/>
    <x v="2"/>
    <n v="67.430000000000007"/>
    <n v="5"/>
    <x v="725"/>
    <x v="2"/>
    <n v="6.3"/>
  </r>
  <r>
    <x v="65"/>
    <x v="2"/>
    <x v="0"/>
    <x v="1"/>
    <x v="2"/>
    <n v="15.81"/>
    <n v="10"/>
    <x v="726"/>
    <x v="0"/>
    <n v="8.6"/>
  </r>
  <r>
    <x v="65"/>
    <x v="2"/>
    <x v="1"/>
    <x v="0"/>
    <x v="5"/>
    <n v="79.739999999999995"/>
    <n v="1"/>
    <x v="727"/>
    <x v="2"/>
    <n v="7.3"/>
  </r>
  <r>
    <x v="65"/>
    <x v="2"/>
    <x v="0"/>
    <x v="1"/>
    <x v="1"/>
    <n v="21.5"/>
    <n v="9"/>
    <x v="728"/>
    <x v="0"/>
    <n v="7.8"/>
  </r>
  <r>
    <x v="65"/>
    <x v="0"/>
    <x v="0"/>
    <x v="1"/>
    <x v="4"/>
    <n v="71.86"/>
    <n v="8"/>
    <x v="729"/>
    <x v="0"/>
    <n v="6.2"/>
  </r>
  <r>
    <x v="65"/>
    <x v="0"/>
    <x v="0"/>
    <x v="1"/>
    <x v="3"/>
    <n v="49.92"/>
    <n v="2"/>
    <x v="730"/>
    <x v="0"/>
    <n v="7"/>
  </r>
  <r>
    <x v="65"/>
    <x v="1"/>
    <x v="1"/>
    <x v="1"/>
    <x v="4"/>
    <n v="37"/>
    <n v="1"/>
    <x v="731"/>
    <x v="0"/>
    <n v="7.9"/>
  </r>
  <r>
    <x v="66"/>
    <x v="1"/>
    <x v="1"/>
    <x v="1"/>
    <x v="1"/>
    <n v="84.07"/>
    <n v="4"/>
    <x v="732"/>
    <x v="2"/>
    <n v="4.4000000000000004"/>
  </r>
  <r>
    <x v="66"/>
    <x v="0"/>
    <x v="1"/>
    <x v="1"/>
    <x v="4"/>
    <n v="16.16"/>
    <n v="2"/>
    <x v="733"/>
    <x v="2"/>
    <n v="6.5"/>
  </r>
  <r>
    <x v="66"/>
    <x v="1"/>
    <x v="1"/>
    <x v="0"/>
    <x v="3"/>
    <n v="16.45"/>
    <n v="4"/>
    <x v="734"/>
    <x v="2"/>
    <n v="5.6"/>
  </r>
  <r>
    <x v="66"/>
    <x v="1"/>
    <x v="1"/>
    <x v="1"/>
    <x v="0"/>
    <n v="99.79"/>
    <n v="2"/>
    <x v="735"/>
    <x v="2"/>
    <n v="8"/>
  </r>
  <r>
    <x v="66"/>
    <x v="2"/>
    <x v="0"/>
    <x v="0"/>
    <x v="5"/>
    <n v="15.55"/>
    <n v="9"/>
    <x v="736"/>
    <x v="1"/>
    <n v="5"/>
  </r>
  <r>
    <x v="66"/>
    <x v="2"/>
    <x v="0"/>
    <x v="0"/>
    <x v="4"/>
    <n v="28.31"/>
    <n v="4"/>
    <x v="737"/>
    <x v="1"/>
    <n v="8.1999999999999993"/>
  </r>
  <r>
    <x v="66"/>
    <x v="2"/>
    <x v="1"/>
    <x v="1"/>
    <x v="4"/>
    <n v="97.94"/>
    <n v="1"/>
    <x v="738"/>
    <x v="2"/>
    <n v="6.9"/>
  </r>
  <r>
    <x v="66"/>
    <x v="1"/>
    <x v="1"/>
    <x v="1"/>
    <x v="1"/>
    <n v="22.21"/>
    <n v="6"/>
    <x v="739"/>
    <x v="0"/>
    <n v="8.6"/>
  </r>
  <r>
    <x v="66"/>
    <x v="0"/>
    <x v="1"/>
    <x v="1"/>
    <x v="4"/>
    <n v="50.28"/>
    <n v="5"/>
    <x v="620"/>
    <x v="2"/>
    <n v="9.6999999999999993"/>
  </r>
  <r>
    <x v="67"/>
    <x v="2"/>
    <x v="1"/>
    <x v="1"/>
    <x v="1"/>
    <n v="97.16"/>
    <n v="1"/>
    <x v="740"/>
    <x v="2"/>
    <n v="7.2"/>
  </r>
  <r>
    <x v="67"/>
    <x v="1"/>
    <x v="0"/>
    <x v="1"/>
    <x v="0"/>
    <n v="17.04"/>
    <n v="4"/>
    <x v="741"/>
    <x v="2"/>
    <n v="7"/>
  </r>
  <r>
    <x v="67"/>
    <x v="1"/>
    <x v="1"/>
    <x v="0"/>
    <x v="1"/>
    <n v="15.28"/>
    <n v="5"/>
    <x v="742"/>
    <x v="1"/>
    <n v="9.6"/>
  </r>
  <r>
    <x v="67"/>
    <x v="2"/>
    <x v="1"/>
    <x v="1"/>
    <x v="4"/>
    <n v="33.99"/>
    <n v="6"/>
    <x v="743"/>
    <x v="0"/>
    <n v="7.7"/>
  </r>
  <r>
    <x v="67"/>
    <x v="2"/>
    <x v="1"/>
    <x v="0"/>
    <x v="3"/>
    <n v="61.77"/>
    <n v="5"/>
    <x v="744"/>
    <x v="1"/>
    <n v="6.7"/>
  </r>
  <r>
    <x v="67"/>
    <x v="1"/>
    <x v="1"/>
    <x v="1"/>
    <x v="0"/>
    <n v="43.27"/>
    <n v="2"/>
    <x v="745"/>
    <x v="2"/>
    <n v="5.7"/>
  </r>
  <r>
    <x v="67"/>
    <x v="2"/>
    <x v="0"/>
    <x v="0"/>
    <x v="4"/>
    <n v="90.65"/>
    <n v="10"/>
    <x v="746"/>
    <x v="2"/>
    <n v="7.3"/>
  </r>
  <r>
    <x v="67"/>
    <x v="0"/>
    <x v="0"/>
    <x v="0"/>
    <x v="0"/>
    <n v="17.63"/>
    <n v="5"/>
    <x v="747"/>
    <x v="1"/>
    <n v="8.5"/>
  </r>
  <r>
    <x v="67"/>
    <x v="1"/>
    <x v="1"/>
    <x v="0"/>
    <x v="3"/>
    <n v="37.549999999999997"/>
    <n v="10"/>
    <x v="748"/>
    <x v="0"/>
    <n v="9.3000000000000007"/>
  </r>
  <r>
    <x v="67"/>
    <x v="1"/>
    <x v="1"/>
    <x v="0"/>
    <x v="5"/>
    <n v="81.3"/>
    <n v="6"/>
    <x v="749"/>
    <x v="2"/>
    <n v="5.3"/>
  </r>
  <r>
    <x v="67"/>
    <x v="1"/>
    <x v="1"/>
    <x v="0"/>
    <x v="5"/>
    <n v="46.26"/>
    <n v="6"/>
    <x v="750"/>
    <x v="0"/>
    <n v="9.5"/>
  </r>
  <r>
    <x v="68"/>
    <x v="0"/>
    <x v="0"/>
    <x v="0"/>
    <x v="1"/>
    <n v="93.96"/>
    <n v="4"/>
    <x v="751"/>
    <x v="1"/>
    <n v="9.5"/>
  </r>
  <r>
    <x v="68"/>
    <x v="2"/>
    <x v="1"/>
    <x v="1"/>
    <x v="5"/>
    <n v="51.71"/>
    <n v="4"/>
    <x v="752"/>
    <x v="0"/>
    <n v="9.8000000000000007"/>
  </r>
  <r>
    <x v="68"/>
    <x v="1"/>
    <x v="0"/>
    <x v="0"/>
    <x v="0"/>
    <n v="98.97"/>
    <n v="9"/>
    <x v="753"/>
    <x v="1"/>
    <n v="6.7"/>
  </r>
  <r>
    <x v="68"/>
    <x v="0"/>
    <x v="0"/>
    <x v="1"/>
    <x v="2"/>
    <n v="99.96"/>
    <n v="9"/>
    <x v="754"/>
    <x v="0"/>
    <n v="4.2"/>
  </r>
  <r>
    <x v="68"/>
    <x v="2"/>
    <x v="1"/>
    <x v="1"/>
    <x v="2"/>
    <n v="60.87"/>
    <n v="2"/>
    <x v="755"/>
    <x v="2"/>
    <n v="8.6999999999999993"/>
  </r>
  <r>
    <x v="68"/>
    <x v="2"/>
    <x v="0"/>
    <x v="1"/>
    <x v="5"/>
    <n v="51.94"/>
    <n v="10"/>
    <x v="756"/>
    <x v="2"/>
    <n v="6.5"/>
  </r>
  <r>
    <x v="68"/>
    <x v="2"/>
    <x v="0"/>
    <x v="0"/>
    <x v="2"/>
    <n v="52.26"/>
    <n v="10"/>
    <x v="757"/>
    <x v="0"/>
    <n v="6.2"/>
  </r>
  <r>
    <x v="68"/>
    <x v="0"/>
    <x v="1"/>
    <x v="1"/>
    <x v="3"/>
    <n v="95.54"/>
    <n v="7"/>
    <x v="758"/>
    <x v="0"/>
    <n v="9.6"/>
  </r>
  <r>
    <x v="68"/>
    <x v="0"/>
    <x v="0"/>
    <x v="0"/>
    <x v="3"/>
    <n v="56.47"/>
    <n v="8"/>
    <x v="759"/>
    <x v="2"/>
    <n v="7.3"/>
  </r>
  <r>
    <x v="68"/>
    <x v="0"/>
    <x v="0"/>
    <x v="1"/>
    <x v="1"/>
    <n v="25.51"/>
    <n v="4"/>
    <x v="760"/>
    <x v="1"/>
    <n v="6.8"/>
  </r>
  <r>
    <x v="68"/>
    <x v="0"/>
    <x v="0"/>
    <x v="0"/>
    <x v="4"/>
    <n v="52.18"/>
    <n v="7"/>
    <x v="761"/>
    <x v="1"/>
    <n v="9.3000000000000007"/>
  </r>
  <r>
    <x v="68"/>
    <x v="1"/>
    <x v="0"/>
    <x v="1"/>
    <x v="2"/>
    <n v="48.91"/>
    <n v="5"/>
    <x v="762"/>
    <x v="1"/>
    <n v="6.6"/>
  </r>
  <r>
    <x v="68"/>
    <x v="1"/>
    <x v="1"/>
    <x v="1"/>
    <x v="3"/>
    <n v="16.28"/>
    <n v="1"/>
    <x v="763"/>
    <x v="1"/>
    <n v="5"/>
  </r>
  <r>
    <x v="68"/>
    <x v="1"/>
    <x v="1"/>
    <x v="0"/>
    <x v="1"/>
    <n v="75.91"/>
    <n v="6"/>
    <x v="764"/>
    <x v="1"/>
    <n v="8.6999999999999993"/>
  </r>
  <r>
    <x v="68"/>
    <x v="2"/>
    <x v="0"/>
    <x v="1"/>
    <x v="0"/>
    <n v="99.78"/>
    <n v="5"/>
    <x v="765"/>
    <x v="1"/>
    <n v="5.4"/>
  </r>
  <r>
    <x v="68"/>
    <x v="2"/>
    <x v="1"/>
    <x v="0"/>
    <x v="3"/>
    <n v="97.29"/>
    <n v="8"/>
    <x v="766"/>
    <x v="0"/>
    <n v="6.2"/>
  </r>
  <r>
    <x v="69"/>
    <x v="2"/>
    <x v="1"/>
    <x v="1"/>
    <x v="2"/>
    <n v="25.84"/>
    <n v="3"/>
    <x v="767"/>
    <x v="2"/>
    <n v="6.6"/>
  </r>
  <r>
    <x v="69"/>
    <x v="2"/>
    <x v="1"/>
    <x v="1"/>
    <x v="1"/>
    <n v="58.03"/>
    <n v="2"/>
    <x v="768"/>
    <x v="2"/>
    <n v="8.8000000000000007"/>
  </r>
  <r>
    <x v="69"/>
    <x v="0"/>
    <x v="1"/>
    <x v="0"/>
    <x v="1"/>
    <n v="25.45"/>
    <n v="1"/>
    <x v="769"/>
    <x v="0"/>
    <n v="5.0999999999999996"/>
  </r>
  <r>
    <x v="69"/>
    <x v="0"/>
    <x v="1"/>
    <x v="1"/>
    <x v="0"/>
    <n v="18.22"/>
    <n v="7"/>
    <x v="770"/>
    <x v="0"/>
    <n v="6.6"/>
  </r>
  <r>
    <x v="69"/>
    <x v="0"/>
    <x v="1"/>
    <x v="0"/>
    <x v="0"/>
    <n v="57.34"/>
    <n v="3"/>
    <x v="771"/>
    <x v="0"/>
    <n v="7.9"/>
  </r>
  <r>
    <x v="69"/>
    <x v="1"/>
    <x v="0"/>
    <x v="1"/>
    <x v="5"/>
    <n v="81.95"/>
    <n v="10"/>
    <x v="772"/>
    <x v="0"/>
    <n v="6"/>
  </r>
  <r>
    <x v="69"/>
    <x v="2"/>
    <x v="1"/>
    <x v="0"/>
    <x v="4"/>
    <n v="93.69"/>
    <n v="7"/>
    <x v="773"/>
    <x v="0"/>
    <n v="4.5"/>
  </r>
  <r>
    <x v="69"/>
    <x v="1"/>
    <x v="0"/>
    <x v="0"/>
    <x v="4"/>
    <n v="35.79"/>
    <n v="9"/>
    <x v="774"/>
    <x v="0"/>
    <n v="5.0999999999999996"/>
  </r>
  <r>
    <x v="69"/>
    <x v="2"/>
    <x v="0"/>
    <x v="1"/>
    <x v="2"/>
    <n v="62.62"/>
    <n v="5"/>
    <x v="775"/>
    <x v="2"/>
    <n v="7"/>
  </r>
  <r>
    <x v="69"/>
    <x v="2"/>
    <x v="1"/>
    <x v="0"/>
    <x v="3"/>
    <n v="87.67"/>
    <n v="2"/>
    <x v="776"/>
    <x v="0"/>
    <n v="7.7"/>
  </r>
  <r>
    <x v="69"/>
    <x v="1"/>
    <x v="1"/>
    <x v="1"/>
    <x v="3"/>
    <n v="45.74"/>
    <n v="3"/>
    <x v="777"/>
    <x v="0"/>
    <n v="6.5"/>
  </r>
  <r>
    <x v="69"/>
    <x v="2"/>
    <x v="0"/>
    <x v="1"/>
    <x v="0"/>
    <n v="10.130000000000001"/>
    <n v="7"/>
    <x v="778"/>
    <x v="2"/>
    <n v="8.3000000000000007"/>
  </r>
  <r>
    <x v="70"/>
    <x v="0"/>
    <x v="1"/>
    <x v="0"/>
    <x v="4"/>
    <n v="40.299999999999997"/>
    <n v="2"/>
    <x v="779"/>
    <x v="2"/>
    <n v="4.4000000000000004"/>
  </r>
  <r>
    <x v="70"/>
    <x v="2"/>
    <x v="0"/>
    <x v="0"/>
    <x v="5"/>
    <n v="68.930000000000007"/>
    <n v="7"/>
    <x v="780"/>
    <x v="0"/>
    <n v="4.5999999999999996"/>
  </r>
  <r>
    <x v="70"/>
    <x v="1"/>
    <x v="1"/>
    <x v="1"/>
    <x v="0"/>
    <n v="46.77"/>
    <n v="6"/>
    <x v="781"/>
    <x v="1"/>
    <n v="6"/>
  </r>
  <r>
    <x v="70"/>
    <x v="1"/>
    <x v="0"/>
    <x v="1"/>
    <x v="2"/>
    <n v="34.56"/>
    <n v="7"/>
    <x v="782"/>
    <x v="0"/>
    <n v="7.3"/>
  </r>
  <r>
    <x v="70"/>
    <x v="2"/>
    <x v="1"/>
    <x v="1"/>
    <x v="5"/>
    <n v="59.77"/>
    <n v="2"/>
    <x v="783"/>
    <x v="0"/>
    <n v="5.8"/>
  </r>
  <r>
    <x v="70"/>
    <x v="2"/>
    <x v="1"/>
    <x v="0"/>
    <x v="4"/>
    <n v="63.42"/>
    <n v="8"/>
    <x v="784"/>
    <x v="2"/>
    <n v="7.4"/>
  </r>
  <r>
    <x v="70"/>
    <x v="2"/>
    <x v="1"/>
    <x v="0"/>
    <x v="3"/>
    <n v="94.67"/>
    <n v="4"/>
    <x v="785"/>
    <x v="1"/>
    <n v="6.8"/>
  </r>
  <r>
    <x v="70"/>
    <x v="2"/>
    <x v="1"/>
    <x v="0"/>
    <x v="4"/>
    <n v="28.32"/>
    <n v="5"/>
    <x v="786"/>
    <x v="2"/>
    <n v="6.2"/>
  </r>
  <r>
    <x v="70"/>
    <x v="1"/>
    <x v="0"/>
    <x v="0"/>
    <x v="5"/>
    <n v="29.67"/>
    <n v="7"/>
    <x v="787"/>
    <x v="0"/>
    <n v="8.1"/>
  </r>
  <r>
    <x v="70"/>
    <x v="0"/>
    <x v="0"/>
    <x v="0"/>
    <x v="1"/>
    <n v="34.49"/>
    <n v="5"/>
    <x v="788"/>
    <x v="0"/>
    <n v="9"/>
  </r>
  <r>
    <x v="70"/>
    <x v="0"/>
    <x v="0"/>
    <x v="0"/>
    <x v="2"/>
    <n v="29.61"/>
    <n v="7"/>
    <x v="789"/>
    <x v="1"/>
    <n v="6.5"/>
  </r>
  <r>
    <x v="71"/>
    <x v="0"/>
    <x v="0"/>
    <x v="0"/>
    <x v="4"/>
    <n v="40.729999999999997"/>
    <n v="7"/>
    <x v="790"/>
    <x v="2"/>
    <n v="5.4"/>
  </r>
  <r>
    <x v="71"/>
    <x v="2"/>
    <x v="0"/>
    <x v="0"/>
    <x v="2"/>
    <n v="98.4"/>
    <n v="7"/>
    <x v="791"/>
    <x v="0"/>
    <n v="8.6999999999999993"/>
  </r>
  <r>
    <x v="71"/>
    <x v="2"/>
    <x v="0"/>
    <x v="0"/>
    <x v="5"/>
    <n v="47.67"/>
    <n v="4"/>
    <x v="792"/>
    <x v="1"/>
    <n v="9.1"/>
  </r>
  <r>
    <x v="71"/>
    <x v="1"/>
    <x v="1"/>
    <x v="1"/>
    <x v="1"/>
    <n v="30.61"/>
    <n v="6"/>
    <x v="793"/>
    <x v="1"/>
    <n v="9.3000000000000007"/>
  </r>
  <r>
    <x v="71"/>
    <x v="1"/>
    <x v="0"/>
    <x v="1"/>
    <x v="0"/>
    <n v="94.26"/>
    <n v="4"/>
    <x v="794"/>
    <x v="1"/>
    <n v="8.6"/>
  </r>
  <r>
    <x v="71"/>
    <x v="0"/>
    <x v="1"/>
    <x v="1"/>
    <x v="2"/>
    <n v="97.74"/>
    <n v="4"/>
    <x v="795"/>
    <x v="2"/>
    <n v="6.4"/>
  </r>
  <r>
    <x v="71"/>
    <x v="0"/>
    <x v="0"/>
    <x v="1"/>
    <x v="5"/>
    <n v="64.36"/>
    <n v="9"/>
    <x v="796"/>
    <x v="0"/>
    <n v="8.6"/>
  </r>
  <r>
    <x v="71"/>
    <x v="1"/>
    <x v="0"/>
    <x v="1"/>
    <x v="0"/>
    <n v="55.04"/>
    <n v="7"/>
    <x v="797"/>
    <x v="2"/>
    <n v="5.2"/>
  </r>
  <r>
    <x v="71"/>
    <x v="1"/>
    <x v="1"/>
    <x v="1"/>
    <x v="4"/>
    <n v="46.22"/>
    <n v="4"/>
    <x v="798"/>
    <x v="0"/>
    <n v="6.2"/>
  </r>
  <r>
    <x v="71"/>
    <x v="1"/>
    <x v="1"/>
    <x v="1"/>
    <x v="5"/>
    <n v="41.5"/>
    <n v="4"/>
    <x v="799"/>
    <x v="0"/>
    <n v="8.1999999999999993"/>
  </r>
  <r>
    <x v="71"/>
    <x v="0"/>
    <x v="0"/>
    <x v="0"/>
    <x v="1"/>
    <n v="10.59"/>
    <n v="3"/>
    <x v="800"/>
    <x v="0"/>
    <n v="8.6999999999999993"/>
  </r>
  <r>
    <x v="71"/>
    <x v="0"/>
    <x v="0"/>
    <x v="1"/>
    <x v="5"/>
    <n v="39.01"/>
    <n v="1"/>
    <x v="801"/>
    <x v="0"/>
    <n v="4.7"/>
  </r>
  <r>
    <x v="72"/>
    <x v="1"/>
    <x v="1"/>
    <x v="1"/>
    <x v="3"/>
    <n v="56.5"/>
    <n v="1"/>
    <x v="802"/>
    <x v="2"/>
    <n v="9.6"/>
  </r>
  <r>
    <x v="72"/>
    <x v="2"/>
    <x v="1"/>
    <x v="0"/>
    <x v="0"/>
    <n v="54.27"/>
    <n v="5"/>
    <x v="803"/>
    <x v="2"/>
    <n v="4.5999999999999996"/>
  </r>
  <r>
    <x v="72"/>
    <x v="0"/>
    <x v="0"/>
    <x v="0"/>
    <x v="3"/>
    <n v="38.299999999999997"/>
    <n v="4"/>
    <x v="804"/>
    <x v="1"/>
    <n v="5.7"/>
  </r>
  <r>
    <x v="72"/>
    <x v="2"/>
    <x v="0"/>
    <x v="1"/>
    <x v="5"/>
    <n v="15.87"/>
    <n v="10"/>
    <x v="805"/>
    <x v="1"/>
    <n v="5.8"/>
  </r>
  <r>
    <x v="72"/>
    <x v="2"/>
    <x v="1"/>
    <x v="1"/>
    <x v="0"/>
    <n v="45.79"/>
    <n v="7"/>
    <x v="806"/>
    <x v="0"/>
    <n v="7"/>
  </r>
  <r>
    <x v="72"/>
    <x v="1"/>
    <x v="0"/>
    <x v="1"/>
    <x v="2"/>
    <n v="72.88"/>
    <n v="2"/>
    <x v="807"/>
    <x v="1"/>
    <n v="6.1"/>
  </r>
  <r>
    <x v="72"/>
    <x v="0"/>
    <x v="1"/>
    <x v="1"/>
    <x v="5"/>
    <n v="18.11"/>
    <n v="10"/>
    <x v="808"/>
    <x v="2"/>
    <n v="5.9"/>
  </r>
  <r>
    <x v="72"/>
    <x v="0"/>
    <x v="1"/>
    <x v="0"/>
    <x v="3"/>
    <n v="34.700000000000003"/>
    <n v="2"/>
    <x v="809"/>
    <x v="2"/>
    <n v="8.1999999999999993"/>
  </r>
  <r>
    <x v="72"/>
    <x v="1"/>
    <x v="0"/>
    <x v="1"/>
    <x v="4"/>
    <n v="63.91"/>
    <n v="8"/>
    <x v="810"/>
    <x v="0"/>
    <n v="4.5999999999999996"/>
  </r>
  <r>
    <x v="72"/>
    <x v="1"/>
    <x v="1"/>
    <x v="0"/>
    <x v="3"/>
    <n v="12.19"/>
    <n v="8"/>
    <x v="811"/>
    <x v="2"/>
    <n v="6.8"/>
  </r>
  <r>
    <x v="73"/>
    <x v="1"/>
    <x v="1"/>
    <x v="0"/>
    <x v="1"/>
    <n v="51.32"/>
    <n v="9"/>
    <x v="812"/>
    <x v="1"/>
    <n v="5.6"/>
  </r>
  <r>
    <x v="73"/>
    <x v="1"/>
    <x v="0"/>
    <x v="1"/>
    <x v="2"/>
    <n v="42.85"/>
    <n v="1"/>
    <x v="813"/>
    <x v="0"/>
    <n v="9.3000000000000007"/>
  </r>
  <r>
    <x v="73"/>
    <x v="2"/>
    <x v="0"/>
    <x v="1"/>
    <x v="0"/>
    <n v="23.48"/>
    <n v="2"/>
    <x v="814"/>
    <x v="0"/>
    <n v="7.9"/>
  </r>
  <r>
    <x v="73"/>
    <x v="1"/>
    <x v="1"/>
    <x v="0"/>
    <x v="4"/>
    <n v="70.11"/>
    <n v="6"/>
    <x v="815"/>
    <x v="2"/>
    <n v="5.2"/>
  </r>
  <r>
    <x v="73"/>
    <x v="0"/>
    <x v="0"/>
    <x v="0"/>
    <x v="3"/>
    <n v="54.73"/>
    <n v="7"/>
    <x v="816"/>
    <x v="0"/>
    <n v="8.5"/>
  </r>
  <r>
    <x v="73"/>
    <x v="1"/>
    <x v="1"/>
    <x v="1"/>
    <x v="4"/>
    <n v="35.47"/>
    <n v="4"/>
    <x v="817"/>
    <x v="0"/>
    <n v="6.9"/>
  </r>
  <r>
    <x v="73"/>
    <x v="2"/>
    <x v="1"/>
    <x v="1"/>
    <x v="1"/>
    <n v="99.55"/>
    <n v="7"/>
    <x v="818"/>
    <x v="1"/>
    <n v="7.6"/>
  </r>
  <r>
    <x v="73"/>
    <x v="1"/>
    <x v="1"/>
    <x v="1"/>
    <x v="1"/>
    <n v="27.85"/>
    <n v="7"/>
    <x v="819"/>
    <x v="2"/>
    <n v="6"/>
  </r>
  <r>
    <x v="73"/>
    <x v="2"/>
    <x v="0"/>
    <x v="0"/>
    <x v="2"/>
    <n v="97.48"/>
    <n v="9"/>
    <x v="820"/>
    <x v="2"/>
    <n v="7.4"/>
  </r>
  <r>
    <x v="73"/>
    <x v="1"/>
    <x v="0"/>
    <x v="0"/>
    <x v="2"/>
    <n v="35.22"/>
    <n v="6"/>
    <x v="821"/>
    <x v="2"/>
    <n v="6.5"/>
  </r>
  <r>
    <x v="73"/>
    <x v="0"/>
    <x v="0"/>
    <x v="0"/>
    <x v="3"/>
    <n v="22.32"/>
    <n v="4"/>
    <x v="658"/>
    <x v="2"/>
    <n v="4.0999999999999996"/>
  </r>
  <r>
    <x v="73"/>
    <x v="0"/>
    <x v="1"/>
    <x v="1"/>
    <x v="1"/>
    <n v="21.58"/>
    <n v="9"/>
    <x v="822"/>
    <x v="1"/>
    <n v="7.3"/>
  </r>
  <r>
    <x v="73"/>
    <x v="1"/>
    <x v="0"/>
    <x v="1"/>
    <x v="1"/>
    <n v="87.91"/>
    <n v="5"/>
    <x v="823"/>
    <x v="2"/>
    <n v="4.4000000000000004"/>
  </r>
  <r>
    <x v="73"/>
    <x v="1"/>
    <x v="1"/>
    <x v="1"/>
    <x v="0"/>
    <n v="77.56"/>
    <n v="10"/>
    <x v="824"/>
    <x v="2"/>
    <n v="6.9"/>
  </r>
  <r>
    <x v="73"/>
    <x v="0"/>
    <x v="1"/>
    <x v="0"/>
    <x v="0"/>
    <n v="53.21"/>
    <n v="8"/>
    <x v="825"/>
    <x v="2"/>
    <n v="5"/>
  </r>
  <r>
    <x v="73"/>
    <x v="1"/>
    <x v="1"/>
    <x v="1"/>
    <x v="3"/>
    <n v="59.61"/>
    <n v="10"/>
    <x v="826"/>
    <x v="1"/>
    <n v="5.3"/>
  </r>
  <r>
    <x v="73"/>
    <x v="0"/>
    <x v="0"/>
    <x v="1"/>
    <x v="5"/>
    <n v="82.58"/>
    <n v="10"/>
    <x v="827"/>
    <x v="1"/>
    <n v="5"/>
  </r>
  <r>
    <x v="73"/>
    <x v="2"/>
    <x v="1"/>
    <x v="0"/>
    <x v="1"/>
    <n v="15.69"/>
    <n v="3"/>
    <x v="828"/>
    <x v="0"/>
    <n v="5.8"/>
  </r>
  <r>
    <x v="74"/>
    <x v="2"/>
    <x v="1"/>
    <x v="1"/>
    <x v="5"/>
    <n v="24.89"/>
    <n v="9"/>
    <x v="829"/>
    <x v="1"/>
    <n v="7.4"/>
  </r>
  <r>
    <x v="74"/>
    <x v="0"/>
    <x v="1"/>
    <x v="1"/>
    <x v="4"/>
    <n v="33.200000000000003"/>
    <n v="2"/>
    <x v="830"/>
    <x v="0"/>
    <n v="4.4000000000000004"/>
  </r>
  <r>
    <x v="74"/>
    <x v="0"/>
    <x v="0"/>
    <x v="1"/>
    <x v="2"/>
    <n v="90.53"/>
    <n v="8"/>
    <x v="831"/>
    <x v="0"/>
    <n v="6.5"/>
  </r>
  <r>
    <x v="74"/>
    <x v="0"/>
    <x v="1"/>
    <x v="1"/>
    <x v="5"/>
    <n v="10.75"/>
    <n v="8"/>
    <x v="832"/>
    <x v="2"/>
    <n v="6.2"/>
  </r>
  <r>
    <x v="74"/>
    <x v="2"/>
    <x v="0"/>
    <x v="0"/>
    <x v="3"/>
    <n v="19.66"/>
    <n v="10"/>
    <x v="833"/>
    <x v="0"/>
    <n v="7.2"/>
  </r>
  <r>
    <x v="74"/>
    <x v="0"/>
    <x v="0"/>
    <x v="1"/>
    <x v="2"/>
    <n v="96.8"/>
    <n v="3"/>
    <x v="834"/>
    <x v="1"/>
    <n v="5.3"/>
  </r>
  <r>
    <x v="74"/>
    <x v="1"/>
    <x v="1"/>
    <x v="1"/>
    <x v="4"/>
    <n v="65.260000000000005"/>
    <n v="8"/>
    <x v="835"/>
    <x v="2"/>
    <n v="6.3"/>
  </r>
  <r>
    <x v="74"/>
    <x v="0"/>
    <x v="1"/>
    <x v="1"/>
    <x v="4"/>
    <n v="13.59"/>
    <n v="9"/>
    <x v="836"/>
    <x v="1"/>
    <n v="5.8"/>
  </r>
  <r>
    <x v="74"/>
    <x v="0"/>
    <x v="1"/>
    <x v="1"/>
    <x v="3"/>
    <n v="27.18"/>
    <n v="2"/>
    <x v="837"/>
    <x v="2"/>
    <n v="4.3"/>
  </r>
  <r>
    <x v="74"/>
    <x v="0"/>
    <x v="0"/>
    <x v="0"/>
    <x v="1"/>
    <n v="57.49"/>
    <n v="4"/>
    <x v="838"/>
    <x v="1"/>
    <n v="6.6"/>
  </r>
  <r>
    <x v="74"/>
    <x v="2"/>
    <x v="1"/>
    <x v="1"/>
    <x v="5"/>
    <n v="96.58"/>
    <n v="2"/>
    <x v="839"/>
    <x v="0"/>
    <n v="5.0999999999999996"/>
  </r>
  <r>
    <x v="74"/>
    <x v="0"/>
    <x v="1"/>
    <x v="1"/>
    <x v="5"/>
    <n v="92.78"/>
    <n v="1"/>
    <x v="840"/>
    <x v="0"/>
    <n v="9.8000000000000007"/>
  </r>
  <r>
    <x v="75"/>
    <x v="1"/>
    <x v="1"/>
    <x v="1"/>
    <x v="3"/>
    <n v="97.26"/>
    <n v="4"/>
    <x v="841"/>
    <x v="2"/>
    <n v="6.8"/>
  </r>
  <r>
    <x v="75"/>
    <x v="1"/>
    <x v="1"/>
    <x v="0"/>
    <x v="0"/>
    <n v="87.8"/>
    <n v="9"/>
    <x v="842"/>
    <x v="1"/>
    <n v="9.1999999999999993"/>
  </r>
  <r>
    <x v="75"/>
    <x v="2"/>
    <x v="1"/>
    <x v="0"/>
    <x v="0"/>
    <n v="63.61"/>
    <n v="5"/>
    <x v="843"/>
    <x v="2"/>
    <n v="4.8"/>
  </r>
  <r>
    <x v="75"/>
    <x v="1"/>
    <x v="0"/>
    <x v="1"/>
    <x v="5"/>
    <n v="15.37"/>
    <n v="2"/>
    <x v="844"/>
    <x v="1"/>
    <n v="7.2"/>
  </r>
  <r>
    <x v="75"/>
    <x v="2"/>
    <x v="1"/>
    <x v="1"/>
    <x v="2"/>
    <n v="72.5"/>
    <n v="8"/>
    <x v="845"/>
    <x v="2"/>
    <n v="9.1999999999999993"/>
  </r>
  <r>
    <x v="75"/>
    <x v="0"/>
    <x v="1"/>
    <x v="1"/>
    <x v="2"/>
    <n v="74.97"/>
    <n v="1"/>
    <x v="846"/>
    <x v="1"/>
    <n v="5.6"/>
  </r>
  <r>
    <x v="75"/>
    <x v="0"/>
    <x v="1"/>
    <x v="0"/>
    <x v="1"/>
    <n v="95.64"/>
    <n v="4"/>
    <x v="847"/>
    <x v="1"/>
    <n v="7.9"/>
  </r>
  <r>
    <x v="75"/>
    <x v="2"/>
    <x v="1"/>
    <x v="1"/>
    <x v="4"/>
    <n v="23.75"/>
    <n v="4"/>
    <x v="848"/>
    <x v="1"/>
    <n v="5.2"/>
  </r>
  <r>
    <x v="75"/>
    <x v="0"/>
    <x v="1"/>
    <x v="1"/>
    <x v="2"/>
    <n v="34.369999999999997"/>
    <n v="10"/>
    <x v="849"/>
    <x v="2"/>
    <n v="6.7"/>
  </r>
  <r>
    <x v="76"/>
    <x v="0"/>
    <x v="1"/>
    <x v="0"/>
    <x v="4"/>
    <n v="11.28"/>
    <n v="9"/>
    <x v="850"/>
    <x v="0"/>
    <n v="4.3"/>
  </r>
  <r>
    <x v="76"/>
    <x v="1"/>
    <x v="0"/>
    <x v="0"/>
    <x v="0"/>
    <n v="22.62"/>
    <n v="1"/>
    <x v="851"/>
    <x v="1"/>
    <n v="6.4"/>
  </r>
  <r>
    <x v="76"/>
    <x v="1"/>
    <x v="0"/>
    <x v="1"/>
    <x v="3"/>
    <n v="35.19"/>
    <n v="10"/>
    <x v="852"/>
    <x v="0"/>
    <n v="8.4"/>
  </r>
  <r>
    <x v="76"/>
    <x v="0"/>
    <x v="1"/>
    <x v="0"/>
    <x v="2"/>
    <n v="54.51"/>
    <n v="6"/>
    <x v="853"/>
    <x v="2"/>
    <n v="7.8"/>
  </r>
  <r>
    <x v="76"/>
    <x v="2"/>
    <x v="0"/>
    <x v="1"/>
    <x v="2"/>
    <n v="76.92"/>
    <n v="10"/>
    <x v="854"/>
    <x v="2"/>
    <n v="5.6"/>
  </r>
  <r>
    <x v="76"/>
    <x v="2"/>
    <x v="1"/>
    <x v="0"/>
    <x v="4"/>
    <n v="77.47"/>
    <n v="4"/>
    <x v="855"/>
    <x v="1"/>
    <n v="4.2"/>
  </r>
  <r>
    <x v="77"/>
    <x v="2"/>
    <x v="1"/>
    <x v="0"/>
    <x v="1"/>
    <n v="51.19"/>
    <n v="4"/>
    <x v="856"/>
    <x v="0"/>
    <n v="4.7"/>
  </r>
  <r>
    <x v="77"/>
    <x v="0"/>
    <x v="1"/>
    <x v="1"/>
    <x v="4"/>
    <n v="99.7"/>
    <n v="3"/>
    <x v="857"/>
    <x v="2"/>
    <n v="4.7"/>
  </r>
  <r>
    <x v="77"/>
    <x v="1"/>
    <x v="0"/>
    <x v="1"/>
    <x v="3"/>
    <n v="91.98"/>
    <n v="1"/>
    <x v="858"/>
    <x v="1"/>
    <n v="9.8000000000000007"/>
  </r>
  <r>
    <x v="77"/>
    <x v="2"/>
    <x v="1"/>
    <x v="0"/>
    <x v="2"/>
    <n v="33.26"/>
    <n v="5"/>
    <x v="859"/>
    <x v="0"/>
    <n v="4.2"/>
  </r>
  <r>
    <x v="77"/>
    <x v="1"/>
    <x v="0"/>
    <x v="0"/>
    <x v="4"/>
    <n v="28.53"/>
    <n v="10"/>
    <x v="860"/>
    <x v="2"/>
    <n v="7.8"/>
  </r>
  <r>
    <x v="77"/>
    <x v="1"/>
    <x v="0"/>
    <x v="0"/>
    <x v="3"/>
    <n v="51.47"/>
    <n v="1"/>
    <x v="861"/>
    <x v="2"/>
    <n v="8.5"/>
  </r>
  <r>
    <x v="77"/>
    <x v="0"/>
    <x v="1"/>
    <x v="1"/>
    <x v="4"/>
    <n v="44.12"/>
    <n v="3"/>
    <x v="862"/>
    <x v="0"/>
    <n v="7.9"/>
  </r>
  <r>
    <x v="78"/>
    <x v="1"/>
    <x v="0"/>
    <x v="0"/>
    <x v="3"/>
    <n v="82.63"/>
    <n v="10"/>
    <x v="863"/>
    <x v="2"/>
    <n v="7.9"/>
  </r>
  <r>
    <x v="78"/>
    <x v="0"/>
    <x v="0"/>
    <x v="1"/>
    <x v="3"/>
    <n v="25.42"/>
    <n v="8"/>
    <x v="864"/>
    <x v="0"/>
    <n v="6.7"/>
  </r>
  <r>
    <x v="78"/>
    <x v="2"/>
    <x v="1"/>
    <x v="1"/>
    <x v="3"/>
    <n v="76.400000000000006"/>
    <n v="9"/>
    <x v="865"/>
    <x v="2"/>
    <n v="7.5"/>
  </r>
  <r>
    <x v="78"/>
    <x v="0"/>
    <x v="1"/>
    <x v="1"/>
    <x v="5"/>
    <n v="30.35"/>
    <n v="7"/>
    <x v="866"/>
    <x v="1"/>
    <n v="8"/>
  </r>
  <r>
    <x v="78"/>
    <x v="2"/>
    <x v="0"/>
    <x v="0"/>
    <x v="0"/>
    <n v="83.34"/>
    <n v="2"/>
    <x v="867"/>
    <x v="1"/>
    <n v="7.6"/>
  </r>
  <r>
    <x v="78"/>
    <x v="1"/>
    <x v="0"/>
    <x v="0"/>
    <x v="4"/>
    <n v="75.53"/>
    <n v="4"/>
    <x v="868"/>
    <x v="2"/>
    <n v="8.3000000000000007"/>
  </r>
  <r>
    <x v="78"/>
    <x v="0"/>
    <x v="0"/>
    <x v="1"/>
    <x v="4"/>
    <n v="38.81"/>
    <n v="4"/>
    <x v="869"/>
    <x v="2"/>
    <n v="4.9000000000000004"/>
  </r>
  <r>
    <x v="78"/>
    <x v="2"/>
    <x v="1"/>
    <x v="0"/>
    <x v="1"/>
    <n v="75.06"/>
    <n v="9"/>
    <x v="870"/>
    <x v="2"/>
    <n v="6.2"/>
  </r>
  <r>
    <x v="78"/>
    <x v="1"/>
    <x v="1"/>
    <x v="1"/>
    <x v="2"/>
    <n v="99.24"/>
    <n v="9"/>
    <x v="871"/>
    <x v="2"/>
    <n v="9"/>
  </r>
  <r>
    <x v="78"/>
    <x v="1"/>
    <x v="0"/>
    <x v="0"/>
    <x v="1"/>
    <n v="88.55"/>
    <n v="8"/>
    <x v="872"/>
    <x v="2"/>
    <n v="4.7"/>
  </r>
  <r>
    <x v="78"/>
    <x v="1"/>
    <x v="1"/>
    <x v="0"/>
    <x v="1"/>
    <n v="26.61"/>
    <n v="2"/>
    <x v="873"/>
    <x v="1"/>
    <n v="4.2"/>
  </r>
  <r>
    <x v="78"/>
    <x v="1"/>
    <x v="1"/>
    <x v="0"/>
    <x v="1"/>
    <n v="46.2"/>
    <n v="1"/>
    <x v="874"/>
    <x v="1"/>
    <n v="6.3"/>
  </r>
  <r>
    <x v="78"/>
    <x v="1"/>
    <x v="1"/>
    <x v="1"/>
    <x v="5"/>
    <n v="66.14"/>
    <n v="4"/>
    <x v="875"/>
    <x v="0"/>
    <n v="5.6"/>
  </r>
  <r>
    <x v="78"/>
    <x v="2"/>
    <x v="0"/>
    <x v="1"/>
    <x v="4"/>
    <n v="23.29"/>
    <n v="4"/>
    <x v="876"/>
    <x v="0"/>
    <n v="5.9"/>
  </r>
  <r>
    <x v="78"/>
    <x v="2"/>
    <x v="1"/>
    <x v="0"/>
    <x v="3"/>
    <n v="15.5"/>
    <n v="1"/>
    <x v="877"/>
    <x v="0"/>
    <n v="7.4"/>
  </r>
  <r>
    <x v="78"/>
    <x v="2"/>
    <x v="1"/>
    <x v="1"/>
    <x v="1"/>
    <n v="32.71"/>
    <n v="5"/>
    <x v="878"/>
    <x v="0"/>
    <n v="9.9"/>
  </r>
  <r>
    <x v="79"/>
    <x v="0"/>
    <x v="0"/>
    <x v="0"/>
    <x v="0"/>
    <n v="20.87"/>
    <n v="3"/>
    <x v="879"/>
    <x v="0"/>
    <n v="8"/>
  </r>
  <r>
    <x v="79"/>
    <x v="2"/>
    <x v="0"/>
    <x v="0"/>
    <x v="2"/>
    <n v="38.72"/>
    <n v="9"/>
    <x v="880"/>
    <x v="2"/>
    <n v="4.2"/>
  </r>
  <r>
    <x v="79"/>
    <x v="0"/>
    <x v="1"/>
    <x v="1"/>
    <x v="3"/>
    <n v="99.25"/>
    <n v="2"/>
    <x v="881"/>
    <x v="1"/>
    <n v="9"/>
  </r>
  <r>
    <x v="79"/>
    <x v="2"/>
    <x v="0"/>
    <x v="1"/>
    <x v="1"/>
    <n v="74.510000000000005"/>
    <n v="6"/>
    <x v="882"/>
    <x v="2"/>
    <n v="5"/>
  </r>
  <r>
    <x v="79"/>
    <x v="0"/>
    <x v="1"/>
    <x v="1"/>
    <x v="4"/>
    <n v="92.36"/>
    <n v="5"/>
    <x v="883"/>
    <x v="2"/>
    <n v="4.9000000000000004"/>
  </r>
  <r>
    <x v="79"/>
    <x v="0"/>
    <x v="0"/>
    <x v="1"/>
    <x v="0"/>
    <n v="79.91"/>
    <n v="3"/>
    <x v="884"/>
    <x v="0"/>
    <n v="5"/>
  </r>
  <r>
    <x v="79"/>
    <x v="2"/>
    <x v="0"/>
    <x v="0"/>
    <x v="0"/>
    <n v="91.61"/>
    <n v="1"/>
    <x v="885"/>
    <x v="1"/>
    <n v="9.8000000000000007"/>
  </r>
  <r>
    <x v="79"/>
    <x v="2"/>
    <x v="1"/>
    <x v="1"/>
    <x v="4"/>
    <n v="93.96"/>
    <n v="9"/>
    <x v="886"/>
    <x v="1"/>
    <n v="9.8000000000000007"/>
  </r>
  <r>
    <x v="79"/>
    <x v="1"/>
    <x v="0"/>
    <x v="1"/>
    <x v="2"/>
    <n v="25.25"/>
    <n v="5"/>
    <x v="887"/>
    <x v="1"/>
    <n v="6.1"/>
  </r>
  <r>
    <x v="79"/>
    <x v="1"/>
    <x v="0"/>
    <x v="1"/>
    <x v="3"/>
    <n v="70.989999999999995"/>
    <n v="10"/>
    <x v="888"/>
    <x v="1"/>
    <n v="5.7"/>
  </r>
  <r>
    <x v="79"/>
    <x v="1"/>
    <x v="0"/>
    <x v="0"/>
    <x v="4"/>
    <n v="83.17"/>
    <n v="6"/>
    <x v="889"/>
    <x v="1"/>
    <n v="7.3"/>
  </r>
  <r>
    <x v="79"/>
    <x v="2"/>
    <x v="0"/>
    <x v="1"/>
    <x v="2"/>
    <n v="44.02"/>
    <n v="10"/>
    <x v="890"/>
    <x v="0"/>
    <n v="9.6"/>
  </r>
  <r>
    <x v="79"/>
    <x v="2"/>
    <x v="1"/>
    <x v="1"/>
    <x v="0"/>
    <n v="43.25"/>
    <n v="2"/>
    <x v="891"/>
    <x v="1"/>
    <n v="6.2"/>
  </r>
  <r>
    <x v="79"/>
    <x v="0"/>
    <x v="0"/>
    <x v="1"/>
    <x v="3"/>
    <n v="33.630000000000003"/>
    <n v="1"/>
    <x v="892"/>
    <x v="1"/>
    <n v="5.6"/>
  </r>
  <r>
    <x v="79"/>
    <x v="0"/>
    <x v="1"/>
    <x v="1"/>
    <x v="2"/>
    <n v="75.92"/>
    <n v="8"/>
    <x v="893"/>
    <x v="1"/>
    <n v="5.5"/>
  </r>
  <r>
    <x v="80"/>
    <x v="2"/>
    <x v="0"/>
    <x v="0"/>
    <x v="1"/>
    <n v="26.48"/>
    <n v="3"/>
    <x v="894"/>
    <x v="2"/>
    <n v="4.7"/>
  </r>
  <r>
    <x v="80"/>
    <x v="2"/>
    <x v="1"/>
    <x v="0"/>
    <x v="1"/>
    <n v="90.02"/>
    <n v="8"/>
    <x v="895"/>
    <x v="0"/>
    <n v="4.5"/>
  </r>
  <r>
    <x v="80"/>
    <x v="2"/>
    <x v="0"/>
    <x v="1"/>
    <x v="4"/>
    <n v="33.840000000000003"/>
    <n v="9"/>
    <x v="896"/>
    <x v="2"/>
    <n v="8.8000000000000007"/>
  </r>
  <r>
    <x v="80"/>
    <x v="2"/>
    <x v="0"/>
    <x v="0"/>
    <x v="1"/>
    <n v="28.45"/>
    <n v="5"/>
    <x v="897"/>
    <x v="0"/>
    <n v="9.1"/>
  </r>
  <r>
    <x v="80"/>
    <x v="0"/>
    <x v="0"/>
    <x v="0"/>
    <x v="2"/>
    <n v="49.49"/>
    <n v="4"/>
    <x v="898"/>
    <x v="2"/>
    <n v="6.6"/>
  </r>
  <r>
    <x v="80"/>
    <x v="1"/>
    <x v="1"/>
    <x v="0"/>
    <x v="0"/>
    <n v="57.29"/>
    <n v="6"/>
    <x v="899"/>
    <x v="2"/>
    <n v="5.9"/>
  </r>
  <r>
    <x v="81"/>
    <x v="2"/>
    <x v="0"/>
    <x v="0"/>
    <x v="4"/>
    <n v="52.59"/>
    <n v="8"/>
    <x v="900"/>
    <x v="0"/>
    <n v="8.5"/>
  </r>
  <r>
    <x v="81"/>
    <x v="2"/>
    <x v="1"/>
    <x v="1"/>
    <x v="4"/>
    <n v="50.93"/>
    <n v="8"/>
    <x v="901"/>
    <x v="2"/>
    <n v="9.1999999999999993"/>
  </r>
  <r>
    <x v="81"/>
    <x v="2"/>
    <x v="1"/>
    <x v="0"/>
    <x v="0"/>
    <n v="56.56"/>
    <n v="5"/>
    <x v="902"/>
    <x v="0"/>
    <n v="4.5"/>
  </r>
  <r>
    <x v="81"/>
    <x v="2"/>
    <x v="1"/>
    <x v="1"/>
    <x v="2"/>
    <n v="62.13"/>
    <n v="6"/>
    <x v="903"/>
    <x v="1"/>
    <n v="7.4"/>
  </r>
  <r>
    <x v="81"/>
    <x v="2"/>
    <x v="1"/>
    <x v="1"/>
    <x v="2"/>
    <n v="85.91"/>
    <n v="5"/>
    <x v="904"/>
    <x v="0"/>
    <n v="8.6"/>
  </r>
  <r>
    <x v="81"/>
    <x v="0"/>
    <x v="0"/>
    <x v="0"/>
    <x v="3"/>
    <n v="17.87"/>
    <n v="4"/>
    <x v="905"/>
    <x v="2"/>
    <n v="6.5"/>
  </r>
  <r>
    <x v="81"/>
    <x v="0"/>
    <x v="0"/>
    <x v="0"/>
    <x v="2"/>
    <n v="88.43"/>
    <n v="8"/>
    <x v="906"/>
    <x v="0"/>
    <n v="4.3"/>
  </r>
  <r>
    <x v="81"/>
    <x v="2"/>
    <x v="1"/>
    <x v="1"/>
    <x v="1"/>
    <n v="95.15"/>
    <n v="1"/>
    <x v="907"/>
    <x v="1"/>
    <n v="6"/>
  </r>
  <r>
    <x v="81"/>
    <x v="0"/>
    <x v="1"/>
    <x v="1"/>
    <x v="2"/>
    <n v="37.020000000000003"/>
    <n v="6"/>
    <x v="908"/>
    <x v="1"/>
    <n v="4.5"/>
  </r>
  <r>
    <x v="81"/>
    <x v="2"/>
    <x v="1"/>
    <x v="1"/>
    <x v="4"/>
    <n v="18.28"/>
    <n v="1"/>
    <x v="909"/>
    <x v="0"/>
    <n v="8.3000000000000007"/>
  </r>
  <r>
    <x v="82"/>
    <x v="2"/>
    <x v="1"/>
    <x v="1"/>
    <x v="0"/>
    <n v="52.75"/>
    <n v="3"/>
    <x v="910"/>
    <x v="2"/>
    <n v="9.3000000000000007"/>
  </r>
  <r>
    <x v="82"/>
    <x v="2"/>
    <x v="1"/>
    <x v="0"/>
    <x v="4"/>
    <n v="25.29"/>
    <n v="1"/>
    <x v="911"/>
    <x v="2"/>
    <n v="6.1"/>
  </r>
  <r>
    <x v="82"/>
    <x v="2"/>
    <x v="1"/>
    <x v="1"/>
    <x v="3"/>
    <n v="37.15"/>
    <n v="4"/>
    <x v="912"/>
    <x v="2"/>
    <n v="8.3000000000000007"/>
  </r>
  <r>
    <x v="82"/>
    <x v="1"/>
    <x v="0"/>
    <x v="1"/>
    <x v="3"/>
    <n v="67.39"/>
    <n v="7"/>
    <x v="913"/>
    <x v="2"/>
    <n v="6.9"/>
  </r>
  <r>
    <x v="82"/>
    <x v="2"/>
    <x v="0"/>
    <x v="0"/>
    <x v="1"/>
    <n v="73.47"/>
    <n v="10"/>
    <x v="914"/>
    <x v="2"/>
    <n v="9.5"/>
  </r>
  <r>
    <x v="82"/>
    <x v="2"/>
    <x v="0"/>
    <x v="1"/>
    <x v="2"/>
    <n v="15.5"/>
    <n v="10"/>
    <x v="915"/>
    <x v="2"/>
    <n v="8"/>
  </r>
  <r>
    <x v="82"/>
    <x v="1"/>
    <x v="1"/>
    <x v="0"/>
    <x v="5"/>
    <n v="54.92"/>
    <n v="8"/>
    <x v="916"/>
    <x v="2"/>
    <n v="7.6"/>
  </r>
  <r>
    <x v="82"/>
    <x v="0"/>
    <x v="0"/>
    <x v="0"/>
    <x v="3"/>
    <n v="91.54"/>
    <n v="4"/>
    <x v="917"/>
    <x v="0"/>
    <n v="4.8"/>
  </r>
  <r>
    <x v="82"/>
    <x v="1"/>
    <x v="0"/>
    <x v="0"/>
    <x v="4"/>
    <n v="81.2"/>
    <n v="7"/>
    <x v="918"/>
    <x v="0"/>
    <n v="8.1"/>
  </r>
  <r>
    <x v="82"/>
    <x v="1"/>
    <x v="1"/>
    <x v="1"/>
    <x v="4"/>
    <n v="55.61"/>
    <n v="7"/>
    <x v="919"/>
    <x v="1"/>
    <n v="8.5"/>
  </r>
  <r>
    <x v="82"/>
    <x v="2"/>
    <x v="1"/>
    <x v="1"/>
    <x v="0"/>
    <n v="73.88"/>
    <n v="6"/>
    <x v="920"/>
    <x v="2"/>
    <n v="4.4000000000000004"/>
  </r>
  <r>
    <x v="83"/>
    <x v="0"/>
    <x v="0"/>
    <x v="0"/>
    <x v="3"/>
    <n v="58.75"/>
    <n v="6"/>
    <x v="921"/>
    <x v="0"/>
    <n v="5.9"/>
  </r>
  <r>
    <x v="83"/>
    <x v="2"/>
    <x v="0"/>
    <x v="1"/>
    <x v="4"/>
    <n v="65.94"/>
    <n v="4"/>
    <x v="427"/>
    <x v="1"/>
    <n v="6"/>
  </r>
  <r>
    <x v="83"/>
    <x v="1"/>
    <x v="0"/>
    <x v="1"/>
    <x v="2"/>
    <n v="14.7"/>
    <n v="5"/>
    <x v="922"/>
    <x v="2"/>
    <n v="8.5"/>
  </r>
  <r>
    <x v="83"/>
    <x v="0"/>
    <x v="1"/>
    <x v="0"/>
    <x v="5"/>
    <n v="82.88"/>
    <n v="5"/>
    <x v="923"/>
    <x v="0"/>
    <n v="6.6"/>
  </r>
  <r>
    <x v="83"/>
    <x v="0"/>
    <x v="1"/>
    <x v="0"/>
    <x v="2"/>
    <n v="24.77"/>
    <n v="5"/>
    <x v="924"/>
    <x v="1"/>
    <n v="8.5"/>
  </r>
  <r>
    <x v="83"/>
    <x v="1"/>
    <x v="1"/>
    <x v="1"/>
    <x v="1"/>
    <n v="64.95"/>
    <n v="10"/>
    <x v="925"/>
    <x v="1"/>
    <n v="5.2"/>
  </r>
  <r>
    <x v="83"/>
    <x v="1"/>
    <x v="0"/>
    <x v="0"/>
    <x v="4"/>
    <n v="78.38"/>
    <n v="4"/>
    <x v="926"/>
    <x v="1"/>
    <n v="7.9"/>
  </r>
  <r>
    <x v="83"/>
    <x v="1"/>
    <x v="1"/>
    <x v="0"/>
    <x v="0"/>
    <n v="33.979999999999997"/>
    <n v="9"/>
    <x v="927"/>
    <x v="1"/>
    <n v="4.2"/>
  </r>
  <r>
    <x v="83"/>
    <x v="2"/>
    <x v="0"/>
    <x v="0"/>
    <x v="4"/>
    <n v="70.319999999999993"/>
    <n v="2"/>
    <x v="928"/>
    <x v="2"/>
    <n v="9.6"/>
  </r>
  <r>
    <x v="83"/>
    <x v="1"/>
    <x v="0"/>
    <x v="1"/>
    <x v="4"/>
    <n v="74.86"/>
    <n v="1"/>
    <x v="929"/>
    <x v="1"/>
    <n v="6.9"/>
  </r>
  <r>
    <x v="83"/>
    <x v="0"/>
    <x v="1"/>
    <x v="1"/>
    <x v="4"/>
    <n v="99.92"/>
    <n v="6"/>
    <x v="930"/>
    <x v="2"/>
    <n v="7.1"/>
  </r>
  <r>
    <x v="84"/>
    <x v="0"/>
    <x v="1"/>
    <x v="0"/>
    <x v="2"/>
    <n v="93.31"/>
    <n v="2"/>
    <x v="931"/>
    <x v="1"/>
    <n v="6.3"/>
  </r>
  <r>
    <x v="84"/>
    <x v="0"/>
    <x v="1"/>
    <x v="1"/>
    <x v="1"/>
    <n v="52.89"/>
    <n v="4"/>
    <x v="932"/>
    <x v="2"/>
    <n v="6.7"/>
  </r>
  <r>
    <x v="84"/>
    <x v="1"/>
    <x v="1"/>
    <x v="1"/>
    <x v="1"/>
    <n v="85.39"/>
    <n v="7"/>
    <x v="933"/>
    <x v="2"/>
    <n v="4.0999999999999996"/>
  </r>
  <r>
    <x v="84"/>
    <x v="1"/>
    <x v="1"/>
    <x v="0"/>
    <x v="0"/>
    <n v="39.43"/>
    <n v="6"/>
    <x v="934"/>
    <x v="0"/>
    <n v="9.4"/>
  </r>
  <r>
    <x v="84"/>
    <x v="2"/>
    <x v="1"/>
    <x v="0"/>
    <x v="5"/>
    <n v="15.8"/>
    <n v="3"/>
    <x v="935"/>
    <x v="1"/>
    <n v="9.5"/>
  </r>
  <r>
    <x v="84"/>
    <x v="1"/>
    <x v="1"/>
    <x v="1"/>
    <x v="3"/>
    <n v="76.52"/>
    <n v="5"/>
    <x v="936"/>
    <x v="1"/>
    <n v="9.9"/>
  </r>
  <r>
    <x v="84"/>
    <x v="2"/>
    <x v="1"/>
    <x v="0"/>
    <x v="0"/>
    <n v="55.39"/>
    <n v="4"/>
    <x v="937"/>
    <x v="2"/>
    <n v="8"/>
  </r>
  <r>
    <x v="84"/>
    <x v="2"/>
    <x v="0"/>
    <x v="1"/>
    <x v="1"/>
    <n v="19.32"/>
    <n v="7"/>
    <x v="938"/>
    <x v="1"/>
    <n v="6.9"/>
  </r>
  <r>
    <x v="84"/>
    <x v="2"/>
    <x v="0"/>
    <x v="1"/>
    <x v="1"/>
    <n v="36.36"/>
    <n v="4"/>
    <x v="939"/>
    <x v="1"/>
    <n v="7.6"/>
  </r>
  <r>
    <x v="85"/>
    <x v="2"/>
    <x v="1"/>
    <x v="0"/>
    <x v="5"/>
    <n v="64.27"/>
    <n v="4"/>
    <x v="940"/>
    <x v="1"/>
    <n v="7.7"/>
  </r>
  <r>
    <x v="85"/>
    <x v="2"/>
    <x v="0"/>
    <x v="0"/>
    <x v="5"/>
    <n v="27.73"/>
    <n v="5"/>
    <x v="941"/>
    <x v="0"/>
    <n v="4.2"/>
  </r>
  <r>
    <x v="85"/>
    <x v="2"/>
    <x v="0"/>
    <x v="1"/>
    <x v="1"/>
    <n v="72.2"/>
    <n v="7"/>
    <x v="942"/>
    <x v="2"/>
    <n v="4.3"/>
  </r>
  <r>
    <x v="85"/>
    <x v="1"/>
    <x v="0"/>
    <x v="1"/>
    <x v="5"/>
    <n v="43.7"/>
    <n v="2"/>
    <x v="943"/>
    <x v="1"/>
    <n v="4.9000000000000004"/>
  </r>
  <r>
    <x v="85"/>
    <x v="2"/>
    <x v="0"/>
    <x v="1"/>
    <x v="3"/>
    <n v="41.28"/>
    <n v="3"/>
    <x v="944"/>
    <x v="0"/>
    <n v="8.5"/>
  </r>
  <r>
    <x v="85"/>
    <x v="0"/>
    <x v="1"/>
    <x v="0"/>
    <x v="1"/>
    <n v="45.71"/>
    <n v="3"/>
    <x v="945"/>
    <x v="0"/>
    <n v="7.7"/>
  </r>
  <r>
    <x v="85"/>
    <x v="0"/>
    <x v="0"/>
    <x v="0"/>
    <x v="4"/>
    <n v="12.29"/>
    <n v="9"/>
    <x v="946"/>
    <x v="0"/>
    <n v="8"/>
  </r>
  <r>
    <x v="85"/>
    <x v="0"/>
    <x v="0"/>
    <x v="0"/>
    <x v="2"/>
    <n v="39.119999999999997"/>
    <n v="1"/>
    <x v="947"/>
    <x v="0"/>
    <n v="9.6"/>
  </r>
  <r>
    <x v="85"/>
    <x v="2"/>
    <x v="1"/>
    <x v="1"/>
    <x v="3"/>
    <n v="52.38"/>
    <n v="1"/>
    <x v="948"/>
    <x v="1"/>
    <n v="5.8"/>
  </r>
  <r>
    <x v="85"/>
    <x v="1"/>
    <x v="0"/>
    <x v="1"/>
    <x v="1"/>
    <n v="84.25"/>
    <n v="2"/>
    <x v="949"/>
    <x v="0"/>
    <n v="5.3"/>
  </r>
  <r>
    <x v="85"/>
    <x v="1"/>
    <x v="0"/>
    <x v="1"/>
    <x v="3"/>
    <n v="48.71"/>
    <n v="1"/>
    <x v="950"/>
    <x v="1"/>
    <n v="4.0999999999999996"/>
  </r>
  <r>
    <x v="85"/>
    <x v="1"/>
    <x v="1"/>
    <x v="0"/>
    <x v="0"/>
    <n v="16.309999999999999"/>
    <n v="9"/>
    <x v="951"/>
    <x v="2"/>
    <n v="8.4"/>
  </r>
  <r>
    <x v="85"/>
    <x v="2"/>
    <x v="0"/>
    <x v="0"/>
    <x v="5"/>
    <n v="10.69"/>
    <n v="5"/>
    <x v="952"/>
    <x v="2"/>
    <n v="7.6"/>
  </r>
  <r>
    <x v="86"/>
    <x v="2"/>
    <x v="1"/>
    <x v="0"/>
    <x v="0"/>
    <n v="52.34"/>
    <n v="3"/>
    <x v="953"/>
    <x v="1"/>
    <n v="9.1999999999999993"/>
  </r>
  <r>
    <x v="86"/>
    <x v="2"/>
    <x v="0"/>
    <x v="1"/>
    <x v="0"/>
    <n v="49.38"/>
    <n v="7"/>
    <x v="954"/>
    <x v="0"/>
    <n v="7.3"/>
  </r>
  <r>
    <x v="86"/>
    <x v="0"/>
    <x v="1"/>
    <x v="1"/>
    <x v="2"/>
    <n v="93.39"/>
    <n v="6"/>
    <x v="955"/>
    <x v="2"/>
    <n v="10"/>
  </r>
  <r>
    <x v="86"/>
    <x v="2"/>
    <x v="0"/>
    <x v="1"/>
    <x v="4"/>
    <n v="44.34"/>
    <n v="2"/>
    <x v="956"/>
    <x v="1"/>
    <n v="5.8"/>
  </r>
  <r>
    <x v="86"/>
    <x v="2"/>
    <x v="1"/>
    <x v="1"/>
    <x v="5"/>
    <n v="32.46"/>
    <n v="8"/>
    <x v="957"/>
    <x v="0"/>
    <n v="4.9000000000000004"/>
  </r>
  <r>
    <x v="86"/>
    <x v="0"/>
    <x v="0"/>
    <x v="0"/>
    <x v="0"/>
    <n v="29.15"/>
    <n v="3"/>
    <x v="958"/>
    <x v="0"/>
    <n v="7.3"/>
  </r>
  <r>
    <x v="86"/>
    <x v="0"/>
    <x v="0"/>
    <x v="1"/>
    <x v="1"/>
    <n v="55.67"/>
    <n v="2"/>
    <x v="959"/>
    <x v="2"/>
    <n v="6"/>
  </r>
  <r>
    <x v="86"/>
    <x v="2"/>
    <x v="0"/>
    <x v="0"/>
    <x v="0"/>
    <n v="79.540000000000006"/>
    <n v="2"/>
    <x v="960"/>
    <x v="2"/>
    <n v="6.2"/>
  </r>
  <r>
    <x v="86"/>
    <x v="0"/>
    <x v="1"/>
    <x v="1"/>
    <x v="0"/>
    <n v="32.32"/>
    <n v="3"/>
    <x v="961"/>
    <x v="0"/>
    <n v="4.3"/>
  </r>
  <r>
    <x v="86"/>
    <x v="1"/>
    <x v="0"/>
    <x v="1"/>
    <x v="3"/>
    <n v="99.82"/>
    <n v="9"/>
    <x v="962"/>
    <x v="1"/>
    <n v="6.6"/>
  </r>
  <r>
    <x v="87"/>
    <x v="2"/>
    <x v="1"/>
    <x v="1"/>
    <x v="1"/>
    <n v="26.02"/>
    <n v="7"/>
    <x v="963"/>
    <x v="1"/>
    <n v="5.0999999999999996"/>
  </r>
  <r>
    <x v="87"/>
    <x v="1"/>
    <x v="1"/>
    <x v="0"/>
    <x v="1"/>
    <n v="47.65"/>
    <n v="3"/>
    <x v="964"/>
    <x v="0"/>
    <n v="9.5"/>
  </r>
  <r>
    <x v="87"/>
    <x v="0"/>
    <x v="1"/>
    <x v="0"/>
    <x v="3"/>
    <n v="30.37"/>
    <n v="3"/>
    <x v="965"/>
    <x v="2"/>
    <n v="5.0999999999999996"/>
  </r>
  <r>
    <x v="87"/>
    <x v="2"/>
    <x v="0"/>
    <x v="0"/>
    <x v="3"/>
    <n v="71.459999999999994"/>
    <n v="7"/>
    <x v="966"/>
    <x v="2"/>
    <n v="4.5"/>
  </r>
  <r>
    <x v="87"/>
    <x v="2"/>
    <x v="1"/>
    <x v="0"/>
    <x v="0"/>
    <n v="71.680000000000007"/>
    <n v="3"/>
    <x v="967"/>
    <x v="0"/>
    <n v="9.1999999999999993"/>
  </r>
  <r>
    <x v="87"/>
    <x v="2"/>
    <x v="0"/>
    <x v="1"/>
    <x v="5"/>
    <n v="10.08"/>
    <n v="7"/>
    <x v="968"/>
    <x v="1"/>
    <n v="4.2"/>
  </r>
  <r>
    <x v="87"/>
    <x v="2"/>
    <x v="0"/>
    <x v="1"/>
    <x v="0"/>
    <n v="51.34"/>
    <n v="5"/>
    <x v="969"/>
    <x v="0"/>
    <n v="9.1"/>
  </r>
  <r>
    <x v="87"/>
    <x v="2"/>
    <x v="1"/>
    <x v="1"/>
    <x v="0"/>
    <n v="58.26"/>
    <n v="6"/>
    <x v="970"/>
    <x v="1"/>
    <n v="9.9"/>
  </r>
  <r>
    <x v="87"/>
    <x v="1"/>
    <x v="0"/>
    <x v="0"/>
    <x v="0"/>
    <n v="38.6"/>
    <n v="3"/>
    <x v="971"/>
    <x v="2"/>
    <n v="7.5"/>
  </r>
  <r>
    <x v="87"/>
    <x v="1"/>
    <x v="0"/>
    <x v="0"/>
    <x v="0"/>
    <n v="49.79"/>
    <n v="4"/>
    <x v="972"/>
    <x v="0"/>
    <n v="6.4"/>
  </r>
  <r>
    <x v="88"/>
    <x v="0"/>
    <x v="1"/>
    <x v="1"/>
    <x v="5"/>
    <n v="71.77"/>
    <n v="7"/>
    <x v="973"/>
    <x v="1"/>
    <n v="8.9"/>
  </r>
  <r>
    <x v="88"/>
    <x v="0"/>
    <x v="1"/>
    <x v="1"/>
    <x v="5"/>
    <n v="87.87"/>
    <n v="10"/>
    <x v="974"/>
    <x v="2"/>
    <n v="5.0999999999999996"/>
  </r>
  <r>
    <x v="88"/>
    <x v="1"/>
    <x v="0"/>
    <x v="1"/>
    <x v="1"/>
    <n v="82.34"/>
    <n v="10"/>
    <x v="975"/>
    <x v="2"/>
    <n v="4.3"/>
  </r>
  <r>
    <x v="88"/>
    <x v="2"/>
    <x v="0"/>
    <x v="0"/>
    <x v="4"/>
    <n v="72.42"/>
    <n v="3"/>
    <x v="976"/>
    <x v="2"/>
    <n v="8.1999999999999993"/>
  </r>
  <r>
    <x v="88"/>
    <x v="0"/>
    <x v="0"/>
    <x v="1"/>
    <x v="5"/>
    <n v="54.86"/>
    <n v="5"/>
    <x v="977"/>
    <x v="2"/>
    <n v="9.8000000000000007"/>
  </r>
  <r>
    <x v="88"/>
    <x v="1"/>
    <x v="1"/>
    <x v="1"/>
    <x v="1"/>
    <n v="28.84"/>
    <n v="4"/>
    <x v="978"/>
    <x v="1"/>
    <n v="6.4"/>
  </r>
  <r>
    <x v="88"/>
    <x v="2"/>
    <x v="1"/>
    <x v="0"/>
    <x v="5"/>
    <n v="71.38"/>
    <n v="10"/>
    <x v="979"/>
    <x v="1"/>
    <n v="5.7"/>
  </r>
  <r>
    <x v="88"/>
    <x v="0"/>
    <x v="0"/>
    <x v="1"/>
    <x v="5"/>
    <n v="61.29"/>
    <n v="5"/>
    <x v="980"/>
    <x v="1"/>
    <n v="7"/>
  </r>
  <r>
    <x v="89"/>
    <x v="1"/>
    <x v="0"/>
    <x v="1"/>
    <x v="1"/>
    <n v="96.82"/>
    <n v="3"/>
    <x v="981"/>
    <x v="1"/>
    <n v="6.7"/>
  </r>
  <r>
    <x v="89"/>
    <x v="0"/>
    <x v="0"/>
    <x v="1"/>
    <x v="5"/>
    <n v="97.22"/>
    <n v="9"/>
    <x v="982"/>
    <x v="2"/>
    <n v="6"/>
  </r>
  <r>
    <x v="89"/>
    <x v="2"/>
    <x v="0"/>
    <x v="0"/>
    <x v="1"/>
    <n v="64.44"/>
    <n v="5"/>
    <x v="983"/>
    <x v="1"/>
    <n v="6.6"/>
  </r>
  <r>
    <x v="89"/>
    <x v="2"/>
    <x v="1"/>
    <x v="0"/>
    <x v="2"/>
    <n v="89.48"/>
    <n v="5"/>
    <x v="984"/>
    <x v="1"/>
    <n v="7.4"/>
  </r>
  <r>
    <x v="89"/>
    <x v="0"/>
    <x v="0"/>
    <x v="1"/>
    <x v="0"/>
    <n v="93.4"/>
    <n v="2"/>
    <x v="985"/>
    <x v="1"/>
    <n v="5.5"/>
  </r>
  <r>
    <x v="89"/>
    <x v="2"/>
    <x v="1"/>
    <x v="0"/>
    <x v="2"/>
    <n v="40.229999999999997"/>
    <n v="7"/>
    <x v="986"/>
    <x v="1"/>
    <n v="9.6"/>
  </r>
  <r>
    <x v="89"/>
    <x v="0"/>
    <x v="0"/>
    <x v="1"/>
    <x v="5"/>
    <n v="72.569999999999993"/>
    <n v="8"/>
    <x v="987"/>
    <x v="1"/>
    <n v="4.5999999999999996"/>
  </r>
  <r>
    <x v="89"/>
    <x v="1"/>
    <x v="0"/>
    <x v="0"/>
    <x v="0"/>
    <n v="72.52"/>
    <n v="8"/>
    <x v="988"/>
    <x v="0"/>
    <n v="4"/>
  </r>
  <r>
    <x v="89"/>
    <x v="1"/>
    <x v="0"/>
    <x v="0"/>
    <x v="3"/>
    <n v="10.18"/>
    <n v="8"/>
    <x v="989"/>
    <x v="0"/>
    <n v="9.5"/>
  </r>
  <r>
    <x v="89"/>
    <x v="2"/>
    <x v="0"/>
    <x v="0"/>
    <x v="4"/>
    <n v="34.42"/>
    <n v="6"/>
    <x v="548"/>
    <x v="2"/>
    <n v="7.5"/>
  </r>
  <r>
    <x v="89"/>
    <x v="1"/>
    <x v="1"/>
    <x v="1"/>
    <x v="5"/>
    <n v="70.209999999999994"/>
    <n v="6"/>
    <x v="990"/>
    <x v="1"/>
    <n v="7.4"/>
  </r>
  <r>
    <x v="90"/>
    <x v="1"/>
    <x v="0"/>
    <x v="1"/>
    <x v="1"/>
    <n v="37.06"/>
    <n v="4"/>
    <x v="345"/>
    <x v="2"/>
    <n v="9.6999999999999993"/>
  </r>
  <r>
    <x v="90"/>
    <x v="0"/>
    <x v="0"/>
    <x v="1"/>
    <x v="1"/>
    <n v="87.87"/>
    <n v="9"/>
    <x v="347"/>
    <x v="2"/>
    <n v="5.6"/>
  </r>
  <r>
    <x v="90"/>
    <x v="0"/>
    <x v="1"/>
    <x v="1"/>
    <x v="1"/>
    <n v="45.35"/>
    <n v="6"/>
    <x v="349"/>
    <x v="2"/>
    <n v="6.1"/>
  </r>
  <r>
    <x v="90"/>
    <x v="2"/>
    <x v="0"/>
    <x v="1"/>
    <x v="1"/>
    <n v="66.349999999999994"/>
    <n v="1"/>
    <x v="350"/>
    <x v="0"/>
    <n v="9.6999999999999993"/>
  </r>
  <r>
    <x v="90"/>
    <x v="1"/>
    <x v="0"/>
    <x v="0"/>
    <x v="0"/>
    <n v="87.48"/>
    <n v="6"/>
    <x v="351"/>
    <x v="2"/>
    <n v="5.0999999999999996"/>
  </r>
  <r>
    <x v="90"/>
    <x v="2"/>
    <x v="0"/>
    <x v="0"/>
    <x v="0"/>
    <n v="14.23"/>
    <n v="5"/>
    <x v="352"/>
    <x v="0"/>
    <n v="4.4000000000000004"/>
  </r>
  <r>
    <x v="90"/>
    <x v="1"/>
    <x v="1"/>
    <x v="0"/>
    <x v="1"/>
    <n v="23.07"/>
    <n v="9"/>
    <x v="354"/>
    <x v="1"/>
    <n v="4.9000000000000004"/>
  </r>
  <r>
    <x v="90"/>
    <x v="1"/>
    <x v="0"/>
    <x v="0"/>
    <x v="4"/>
    <n v="80.790000000000006"/>
    <n v="9"/>
    <x v="355"/>
    <x v="0"/>
    <n v="9.5"/>
  </r>
  <r>
    <x v="90"/>
    <x v="0"/>
    <x v="0"/>
    <x v="0"/>
    <x v="1"/>
    <n v="26.26"/>
    <n v="7"/>
    <x v="357"/>
    <x v="1"/>
    <n v="9.9"/>
  </r>
  <r>
    <x v="90"/>
    <x v="1"/>
    <x v="1"/>
    <x v="0"/>
    <x v="3"/>
    <n v="62.18"/>
    <n v="10"/>
    <x v="344"/>
    <x v="2"/>
    <n v="6"/>
  </r>
  <r>
    <x v="90"/>
    <x v="0"/>
    <x v="1"/>
    <x v="1"/>
    <x v="3"/>
    <n v="69.08"/>
    <n v="2"/>
    <x v="348"/>
    <x v="0"/>
    <n v="6.9"/>
  </r>
  <r>
    <x v="90"/>
    <x v="2"/>
    <x v="0"/>
    <x v="0"/>
    <x v="5"/>
    <n v="77.680000000000007"/>
    <n v="4"/>
    <x v="356"/>
    <x v="1"/>
    <n v="8.4"/>
  </r>
  <r>
    <x v="90"/>
    <x v="2"/>
    <x v="0"/>
    <x v="1"/>
    <x v="3"/>
    <n v="43.13"/>
    <n v="10"/>
    <x v="358"/>
    <x v="0"/>
    <n v="5.5"/>
  </r>
  <r>
    <x v="90"/>
    <x v="0"/>
    <x v="1"/>
    <x v="0"/>
    <x v="3"/>
    <n v="25.56"/>
    <n v="7"/>
    <x v="359"/>
    <x v="1"/>
    <n v="7.1"/>
  </r>
  <r>
    <x v="90"/>
    <x v="1"/>
    <x v="0"/>
    <x v="0"/>
    <x v="3"/>
    <n v="83.35"/>
    <n v="2"/>
    <x v="364"/>
    <x v="0"/>
    <n v="9.5"/>
  </r>
  <r>
    <x v="90"/>
    <x v="2"/>
    <x v="0"/>
    <x v="0"/>
    <x v="5"/>
    <n v="18.329999999999998"/>
    <n v="1"/>
    <x v="370"/>
    <x v="1"/>
    <n v="4.3"/>
  </r>
  <r>
    <x v="90"/>
    <x v="1"/>
    <x v="1"/>
    <x v="1"/>
    <x v="5"/>
    <n v="17.41"/>
    <n v="5"/>
    <x v="310"/>
    <x v="0"/>
    <n v="4.9000000000000004"/>
  </r>
  <r>
    <x v="90"/>
    <x v="0"/>
    <x v="0"/>
    <x v="1"/>
    <x v="5"/>
    <n v="75.37"/>
    <n v="8"/>
    <x v="312"/>
    <x v="0"/>
    <n v="8.4"/>
  </r>
  <r>
    <x v="90"/>
    <x v="0"/>
    <x v="0"/>
    <x v="1"/>
    <x v="2"/>
    <n v="79.930000000000007"/>
    <n v="6"/>
    <x v="346"/>
    <x v="1"/>
    <n v="5.5"/>
  </r>
  <r>
    <x v="90"/>
    <x v="2"/>
    <x v="0"/>
    <x v="1"/>
    <x v="2"/>
    <n v="69.52"/>
    <n v="7"/>
    <x v="353"/>
    <x v="0"/>
    <n v="8.5"/>
  </r>
  <r>
    <x v="91"/>
    <x v="1"/>
    <x v="0"/>
    <x v="0"/>
    <x v="0"/>
    <n v="47.27"/>
    <n v="6"/>
    <x v="398"/>
    <x v="1"/>
    <n v="8.8000000000000007"/>
  </r>
  <r>
    <x v="91"/>
    <x v="2"/>
    <x v="0"/>
    <x v="1"/>
    <x v="1"/>
    <n v="20.89"/>
    <n v="2"/>
    <x v="400"/>
    <x v="1"/>
    <n v="9.8000000000000007"/>
  </r>
  <r>
    <x v="91"/>
    <x v="0"/>
    <x v="1"/>
    <x v="0"/>
    <x v="5"/>
    <n v="58.24"/>
    <n v="9"/>
    <x v="402"/>
    <x v="1"/>
    <n v="9.6999999999999993"/>
  </r>
  <r>
    <x v="91"/>
    <x v="2"/>
    <x v="0"/>
    <x v="1"/>
    <x v="0"/>
    <n v="87.9"/>
    <n v="1"/>
    <x v="403"/>
    <x v="2"/>
    <n v="6.7"/>
  </r>
  <r>
    <x v="91"/>
    <x v="1"/>
    <x v="0"/>
    <x v="0"/>
    <x v="5"/>
    <n v="68.599999999999994"/>
    <n v="10"/>
    <x v="405"/>
    <x v="1"/>
    <n v="9.1"/>
  </r>
  <r>
    <x v="91"/>
    <x v="1"/>
    <x v="0"/>
    <x v="0"/>
    <x v="5"/>
    <n v="98.21"/>
    <n v="3"/>
    <x v="406"/>
    <x v="0"/>
    <n v="7.8"/>
  </r>
  <r>
    <x v="91"/>
    <x v="1"/>
    <x v="1"/>
    <x v="1"/>
    <x v="5"/>
    <n v="89.75"/>
    <n v="1"/>
    <x v="408"/>
    <x v="0"/>
    <n v="6.6"/>
  </r>
  <r>
    <x v="91"/>
    <x v="0"/>
    <x v="1"/>
    <x v="1"/>
    <x v="1"/>
    <n v="22.95"/>
    <n v="10"/>
    <x v="410"/>
    <x v="2"/>
    <n v="8.1999999999999993"/>
  </r>
  <r>
    <x v="91"/>
    <x v="0"/>
    <x v="0"/>
    <x v="0"/>
    <x v="0"/>
    <n v="20.010000000000002"/>
    <n v="9"/>
    <x v="114"/>
    <x v="2"/>
    <n v="4.0999999999999996"/>
  </r>
  <r>
    <x v="91"/>
    <x v="1"/>
    <x v="0"/>
    <x v="0"/>
    <x v="0"/>
    <n v="99.42"/>
    <n v="4"/>
    <x v="412"/>
    <x v="2"/>
    <n v="7.5"/>
  </r>
  <r>
    <x v="91"/>
    <x v="0"/>
    <x v="0"/>
    <x v="1"/>
    <x v="5"/>
    <n v="25.9"/>
    <n v="10"/>
    <x v="413"/>
    <x v="2"/>
    <n v="8.6999999999999993"/>
  </r>
  <r>
    <x v="91"/>
    <x v="1"/>
    <x v="0"/>
    <x v="0"/>
    <x v="5"/>
    <n v="28.5"/>
    <n v="8"/>
    <x v="416"/>
    <x v="1"/>
    <n v="6.6"/>
  </r>
  <r>
    <x v="91"/>
    <x v="1"/>
    <x v="1"/>
    <x v="0"/>
    <x v="0"/>
    <n v="52.42"/>
    <n v="1"/>
    <x v="417"/>
    <x v="0"/>
    <n v="6.3"/>
  </r>
  <r>
    <x v="91"/>
    <x v="0"/>
    <x v="0"/>
    <x v="1"/>
    <x v="1"/>
    <n v="50.45"/>
    <n v="6"/>
    <x v="418"/>
    <x v="0"/>
    <n v="8.9"/>
  </r>
  <r>
    <x v="91"/>
    <x v="2"/>
    <x v="1"/>
    <x v="0"/>
    <x v="5"/>
    <n v="35.68"/>
    <n v="5"/>
    <x v="419"/>
    <x v="0"/>
    <n v="6.6"/>
  </r>
  <r>
    <x v="91"/>
    <x v="2"/>
    <x v="1"/>
    <x v="0"/>
    <x v="1"/>
    <n v="28.96"/>
    <n v="1"/>
    <x v="420"/>
    <x v="0"/>
    <n v="6.2"/>
  </r>
  <r>
    <x v="91"/>
    <x v="2"/>
    <x v="1"/>
    <x v="1"/>
    <x v="5"/>
    <n v="89.6"/>
    <n v="8"/>
    <x v="422"/>
    <x v="2"/>
    <n v="6.6"/>
  </r>
  <r>
    <x v="91"/>
    <x v="0"/>
    <x v="0"/>
    <x v="0"/>
    <x v="2"/>
    <n v="16.489999999999998"/>
    <n v="2"/>
    <x v="399"/>
    <x v="2"/>
    <n v="4.5999999999999996"/>
  </r>
  <r>
    <x v="91"/>
    <x v="1"/>
    <x v="0"/>
    <x v="1"/>
    <x v="3"/>
    <n v="69.33"/>
    <n v="2"/>
    <x v="401"/>
    <x v="2"/>
    <n v="9.6999999999999993"/>
  </r>
  <r>
    <x v="91"/>
    <x v="2"/>
    <x v="0"/>
    <x v="0"/>
    <x v="2"/>
    <n v="75.2"/>
    <n v="3"/>
    <x v="404"/>
    <x v="2"/>
    <n v="4.8"/>
  </r>
  <r>
    <x v="91"/>
    <x v="2"/>
    <x v="0"/>
    <x v="1"/>
    <x v="4"/>
    <n v="25.91"/>
    <n v="6"/>
    <x v="407"/>
    <x v="2"/>
    <n v="8.6999999999999993"/>
  </r>
  <r>
    <x v="91"/>
    <x v="1"/>
    <x v="0"/>
    <x v="1"/>
    <x v="3"/>
    <n v="96.98"/>
    <n v="4"/>
    <x v="409"/>
    <x v="2"/>
    <n v="9.4"/>
  </r>
  <r>
    <x v="91"/>
    <x v="1"/>
    <x v="0"/>
    <x v="1"/>
    <x v="4"/>
    <n v="35.81"/>
    <n v="5"/>
    <x v="411"/>
    <x v="2"/>
    <n v="7.9"/>
  </r>
  <r>
    <x v="91"/>
    <x v="2"/>
    <x v="0"/>
    <x v="0"/>
    <x v="4"/>
    <n v="37.44"/>
    <n v="6"/>
    <x v="414"/>
    <x v="0"/>
    <n v="5.9"/>
  </r>
  <r>
    <x v="91"/>
    <x v="0"/>
    <x v="0"/>
    <x v="0"/>
    <x v="3"/>
    <n v="14.48"/>
    <n v="4"/>
    <x v="415"/>
    <x v="2"/>
    <n v="4.5"/>
  </r>
  <r>
    <x v="92"/>
    <x v="0"/>
    <x v="0"/>
    <x v="0"/>
    <x v="2"/>
    <n v="16.489999999999998"/>
    <n v="2"/>
    <x v="399"/>
    <x v="2"/>
    <n v="4.5999999999999996"/>
  </r>
  <r>
    <x v="92"/>
    <x v="1"/>
    <x v="0"/>
    <x v="1"/>
    <x v="3"/>
    <n v="69.33"/>
    <n v="2"/>
    <x v="401"/>
    <x v="2"/>
    <n v="9.6999999999999993"/>
  </r>
  <r>
    <x v="92"/>
    <x v="0"/>
    <x v="1"/>
    <x v="0"/>
    <x v="5"/>
    <n v="58.24"/>
    <n v="9"/>
    <x v="402"/>
    <x v="1"/>
    <n v="9.6999999999999993"/>
  </r>
  <r>
    <x v="92"/>
    <x v="2"/>
    <x v="0"/>
    <x v="0"/>
    <x v="2"/>
    <n v="75.2"/>
    <n v="3"/>
    <x v="404"/>
    <x v="2"/>
    <n v="4.8"/>
  </r>
  <r>
    <x v="92"/>
    <x v="1"/>
    <x v="0"/>
    <x v="0"/>
    <x v="5"/>
    <n v="68.599999999999994"/>
    <n v="10"/>
    <x v="405"/>
    <x v="1"/>
    <n v="9.1"/>
  </r>
  <r>
    <x v="92"/>
    <x v="1"/>
    <x v="0"/>
    <x v="0"/>
    <x v="5"/>
    <n v="98.21"/>
    <n v="3"/>
    <x v="406"/>
    <x v="0"/>
    <n v="7.8"/>
  </r>
  <r>
    <x v="92"/>
    <x v="2"/>
    <x v="0"/>
    <x v="1"/>
    <x v="4"/>
    <n v="25.91"/>
    <n v="6"/>
    <x v="407"/>
    <x v="2"/>
    <n v="8.6999999999999993"/>
  </r>
  <r>
    <x v="92"/>
    <x v="1"/>
    <x v="1"/>
    <x v="1"/>
    <x v="5"/>
    <n v="89.75"/>
    <n v="1"/>
    <x v="408"/>
    <x v="0"/>
    <n v="6.6"/>
  </r>
  <r>
    <x v="92"/>
    <x v="1"/>
    <x v="0"/>
    <x v="1"/>
    <x v="3"/>
    <n v="96.98"/>
    <n v="4"/>
    <x v="409"/>
    <x v="2"/>
    <n v="9.4"/>
  </r>
  <r>
    <x v="92"/>
    <x v="1"/>
    <x v="0"/>
    <x v="1"/>
    <x v="4"/>
    <n v="35.81"/>
    <n v="5"/>
    <x v="411"/>
    <x v="2"/>
    <n v="7.9"/>
  </r>
  <r>
    <x v="92"/>
    <x v="0"/>
    <x v="0"/>
    <x v="1"/>
    <x v="5"/>
    <n v="25.9"/>
    <n v="10"/>
    <x v="413"/>
    <x v="2"/>
    <n v="8.6999999999999993"/>
  </r>
  <r>
    <x v="92"/>
    <x v="2"/>
    <x v="0"/>
    <x v="0"/>
    <x v="4"/>
    <n v="37.44"/>
    <n v="6"/>
    <x v="414"/>
    <x v="0"/>
    <n v="5.9"/>
  </r>
  <r>
    <x v="92"/>
    <x v="0"/>
    <x v="0"/>
    <x v="0"/>
    <x v="3"/>
    <n v="14.48"/>
    <n v="4"/>
    <x v="415"/>
    <x v="2"/>
    <n v="4.5"/>
  </r>
  <r>
    <x v="92"/>
    <x v="1"/>
    <x v="0"/>
    <x v="0"/>
    <x v="5"/>
    <n v="28.5"/>
    <n v="8"/>
    <x v="416"/>
    <x v="1"/>
    <n v="6.6"/>
  </r>
  <r>
    <x v="92"/>
    <x v="2"/>
    <x v="1"/>
    <x v="0"/>
    <x v="5"/>
    <n v="35.68"/>
    <n v="5"/>
    <x v="419"/>
    <x v="0"/>
    <n v="6.6"/>
  </r>
  <r>
    <x v="92"/>
    <x v="2"/>
    <x v="0"/>
    <x v="1"/>
    <x v="0"/>
    <n v="35.04"/>
    <n v="9"/>
    <x v="453"/>
    <x v="2"/>
    <n v="4.5999999999999996"/>
  </r>
  <r>
    <x v="92"/>
    <x v="1"/>
    <x v="1"/>
    <x v="1"/>
    <x v="0"/>
    <n v="21.58"/>
    <n v="1"/>
    <x v="455"/>
    <x v="2"/>
    <n v="7.2"/>
  </r>
  <r>
    <x v="92"/>
    <x v="0"/>
    <x v="0"/>
    <x v="0"/>
    <x v="1"/>
    <n v="81.400000000000006"/>
    <n v="3"/>
    <x v="457"/>
    <x v="1"/>
    <n v="4.8"/>
  </r>
  <r>
    <x v="92"/>
    <x v="2"/>
    <x v="0"/>
    <x v="1"/>
    <x v="0"/>
    <n v="31.84"/>
    <n v="1"/>
    <x v="458"/>
    <x v="1"/>
    <n v="7.7"/>
  </r>
  <r>
    <x v="92"/>
    <x v="1"/>
    <x v="0"/>
    <x v="0"/>
    <x v="0"/>
    <n v="21.08"/>
    <n v="3"/>
    <x v="459"/>
    <x v="1"/>
    <n v="7.3"/>
  </r>
  <r>
    <x v="92"/>
    <x v="1"/>
    <x v="1"/>
    <x v="0"/>
    <x v="1"/>
    <n v="12.45"/>
    <n v="6"/>
    <x v="462"/>
    <x v="1"/>
    <n v="4.0999999999999996"/>
  </r>
  <r>
    <x v="93"/>
    <x v="1"/>
    <x v="1"/>
    <x v="1"/>
    <x v="3"/>
    <n v="62.12"/>
    <n v="10"/>
    <x v="482"/>
    <x v="1"/>
    <n v="5.9"/>
  </r>
  <r>
    <x v="93"/>
    <x v="2"/>
    <x v="1"/>
    <x v="0"/>
    <x v="2"/>
    <n v="94.76"/>
    <n v="4"/>
    <x v="483"/>
    <x v="2"/>
    <n v="7.8"/>
  </r>
  <r>
    <x v="93"/>
    <x v="0"/>
    <x v="0"/>
    <x v="0"/>
    <x v="1"/>
    <n v="39.479999999999997"/>
    <n v="1"/>
    <x v="484"/>
    <x v="1"/>
    <n v="6.5"/>
  </r>
  <r>
    <x v="93"/>
    <x v="1"/>
    <x v="0"/>
    <x v="0"/>
    <x v="0"/>
    <n v="87.1"/>
    <n v="10"/>
    <x v="485"/>
    <x v="0"/>
    <n v="9.9"/>
  </r>
  <r>
    <x v="93"/>
    <x v="1"/>
    <x v="0"/>
    <x v="1"/>
    <x v="3"/>
    <n v="52.35"/>
    <n v="1"/>
    <x v="486"/>
    <x v="1"/>
    <n v="4"/>
  </r>
  <r>
    <x v="93"/>
    <x v="0"/>
    <x v="1"/>
    <x v="1"/>
    <x v="3"/>
    <n v="94.87"/>
    <n v="8"/>
    <x v="487"/>
    <x v="2"/>
    <n v="8.6999999999999993"/>
  </r>
  <r>
    <x v="93"/>
    <x v="0"/>
    <x v="0"/>
    <x v="1"/>
    <x v="4"/>
    <n v="60.38"/>
    <n v="10"/>
    <x v="488"/>
    <x v="1"/>
    <n v="6"/>
  </r>
  <r>
    <x v="93"/>
    <x v="2"/>
    <x v="1"/>
    <x v="0"/>
    <x v="1"/>
    <n v="46.95"/>
    <n v="5"/>
    <x v="489"/>
    <x v="2"/>
    <n v="7.1"/>
  </r>
  <r>
    <x v="93"/>
    <x v="2"/>
    <x v="1"/>
    <x v="1"/>
    <x v="5"/>
    <n v="25.43"/>
    <n v="6"/>
    <x v="490"/>
    <x v="2"/>
    <n v="7"/>
  </r>
  <r>
    <x v="93"/>
    <x v="2"/>
    <x v="0"/>
    <x v="0"/>
    <x v="2"/>
    <n v="71.63"/>
    <n v="2"/>
    <x v="491"/>
    <x v="2"/>
    <n v="8.8000000000000007"/>
  </r>
  <r>
    <x v="93"/>
    <x v="2"/>
    <x v="0"/>
    <x v="1"/>
    <x v="1"/>
    <n v="76.819999999999993"/>
    <n v="1"/>
    <x v="492"/>
    <x v="2"/>
    <n v="7.2"/>
  </r>
  <r>
    <x v="93"/>
    <x v="0"/>
    <x v="0"/>
    <x v="0"/>
    <x v="2"/>
    <n v="20.18"/>
    <n v="4"/>
    <x v="493"/>
    <x v="0"/>
    <n v="5"/>
  </r>
  <r>
    <x v="93"/>
    <x v="1"/>
    <x v="0"/>
    <x v="0"/>
    <x v="3"/>
    <n v="92.98"/>
    <n v="2"/>
    <x v="494"/>
    <x v="0"/>
    <n v="8"/>
  </r>
  <r>
    <x v="93"/>
    <x v="0"/>
    <x v="0"/>
    <x v="0"/>
    <x v="3"/>
    <n v="29.56"/>
    <n v="5"/>
    <x v="495"/>
    <x v="1"/>
    <n v="6.9"/>
  </r>
  <r>
    <x v="93"/>
    <x v="1"/>
    <x v="1"/>
    <x v="0"/>
    <x v="3"/>
    <n v="22.51"/>
    <n v="7"/>
    <x v="496"/>
    <x v="0"/>
    <n v="4.8"/>
  </r>
  <r>
    <x v="93"/>
    <x v="1"/>
    <x v="0"/>
    <x v="0"/>
    <x v="0"/>
    <n v="14.87"/>
    <n v="2"/>
    <x v="497"/>
    <x v="0"/>
    <n v="8.9"/>
  </r>
  <r>
    <x v="93"/>
    <x v="2"/>
    <x v="0"/>
    <x v="1"/>
    <x v="1"/>
    <n v="32.25"/>
    <n v="4"/>
    <x v="498"/>
    <x v="2"/>
    <n v="6.5"/>
  </r>
  <r>
    <x v="93"/>
    <x v="0"/>
    <x v="1"/>
    <x v="1"/>
    <x v="2"/>
    <n v="13.69"/>
    <n v="6"/>
    <x v="499"/>
    <x v="1"/>
    <n v="6.3"/>
  </r>
  <r>
    <x v="93"/>
    <x v="2"/>
    <x v="0"/>
    <x v="1"/>
    <x v="5"/>
    <n v="91.3"/>
    <n v="1"/>
    <x v="500"/>
    <x v="2"/>
    <n v="9.1999999999999993"/>
  </r>
  <r>
    <x v="93"/>
    <x v="2"/>
    <x v="1"/>
    <x v="1"/>
    <x v="2"/>
    <n v="44.65"/>
    <n v="3"/>
    <x v="501"/>
    <x v="1"/>
    <n v="6.2"/>
  </r>
  <r>
    <x v="93"/>
    <x v="0"/>
    <x v="0"/>
    <x v="1"/>
    <x v="5"/>
    <n v="75.739999999999995"/>
    <n v="4"/>
    <x v="502"/>
    <x v="1"/>
    <n v="7.6"/>
  </r>
  <r>
    <x v="93"/>
    <x v="0"/>
    <x v="0"/>
    <x v="0"/>
    <x v="2"/>
    <n v="60.08"/>
    <n v="7"/>
    <x v="503"/>
    <x v="0"/>
    <n v="4.5"/>
  </r>
  <r>
    <x v="93"/>
    <x v="1"/>
    <x v="0"/>
    <x v="1"/>
    <x v="0"/>
    <n v="27.66"/>
    <n v="10"/>
    <x v="504"/>
    <x v="0"/>
    <n v="8.9"/>
  </r>
  <r>
    <x v="94"/>
    <x v="1"/>
    <x v="1"/>
    <x v="1"/>
    <x v="5"/>
    <n v="33.64"/>
    <n v="8"/>
    <x v="516"/>
    <x v="0"/>
    <n v="9.3000000000000007"/>
  </r>
  <r>
    <x v="94"/>
    <x v="1"/>
    <x v="0"/>
    <x v="1"/>
    <x v="5"/>
    <n v="68.55"/>
    <n v="4"/>
    <x v="517"/>
    <x v="0"/>
    <n v="9.1999999999999993"/>
  </r>
  <r>
    <x v="94"/>
    <x v="1"/>
    <x v="0"/>
    <x v="0"/>
    <x v="2"/>
    <n v="24.74"/>
    <n v="3"/>
    <x v="518"/>
    <x v="0"/>
    <n v="10"/>
  </r>
  <r>
    <x v="94"/>
    <x v="2"/>
    <x v="1"/>
    <x v="1"/>
    <x v="5"/>
    <n v="15.26"/>
    <n v="6"/>
    <x v="519"/>
    <x v="2"/>
    <n v="9.8000000000000007"/>
  </r>
  <r>
    <x v="94"/>
    <x v="0"/>
    <x v="0"/>
    <x v="1"/>
    <x v="2"/>
    <n v="88.31"/>
    <n v="1"/>
    <x v="520"/>
    <x v="0"/>
    <n v="5.2"/>
  </r>
  <r>
    <x v="94"/>
    <x v="0"/>
    <x v="1"/>
    <x v="0"/>
    <x v="1"/>
    <n v="88.25"/>
    <n v="9"/>
    <x v="521"/>
    <x v="0"/>
    <n v="7.6"/>
  </r>
  <r>
    <x v="94"/>
    <x v="0"/>
    <x v="1"/>
    <x v="1"/>
    <x v="5"/>
    <n v="57.59"/>
    <n v="6"/>
    <x v="522"/>
    <x v="1"/>
    <n v="5.0999999999999996"/>
  </r>
  <r>
    <x v="94"/>
    <x v="1"/>
    <x v="0"/>
    <x v="0"/>
    <x v="3"/>
    <n v="80.48"/>
    <n v="3"/>
    <x v="523"/>
    <x v="1"/>
    <n v="8.1"/>
  </r>
  <r>
    <x v="94"/>
    <x v="0"/>
    <x v="0"/>
    <x v="1"/>
    <x v="4"/>
    <n v="17.77"/>
    <n v="5"/>
    <x v="524"/>
    <x v="0"/>
    <n v="5.4"/>
  </r>
  <r>
    <x v="94"/>
    <x v="1"/>
    <x v="0"/>
    <x v="0"/>
    <x v="3"/>
    <n v="99.3"/>
    <n v="10"/>
    <x v="525"/>
    <x v="0"/>
    <n v="6.6"/>
  </r>
  <r>
    <x v="94"/>
    <x v="2"/>
    <x v="1"/>
    <x v="1"/>
    <x v="3"/>
    <n v="51.94"/>
    <n v="3"/>
    <x v="526"/>
    <x v="1"/>
    <n v="7.9"/>
  </r>
  <r>
    <x v="94"/>
    <x v="1"/>
    <x v="0"/>
    <x v="0"/>
    <x v="5"/>
    <n v="47.71"/>
    <n v="6"/>
    <x v="527"/>
    <x v="2"/>
    <n v="4.4000000000000004"/>
  </r>
  <r>
    <x v="94"/>
    <x v="2"/>
    <x v="0"/>
    <x v="1"/>
    <x v="0"/>
    <n v="24.82"/>
    <n v="7"/>
    <x v="528"/>
    <x v="0"/>
    <n v="7.1"/>
  </r>
  <r>
    <x v="94"/>
    <x v="1"/>
    <x v="0"/>
    <x v="1"/>
    <x v="1"/>
    <n v="12.05"/>
    <n v="5"/>
    <x v="529"/>
    <x v="2"/>
    <n v="5.5"/>
  </r>
  <r>
    <x v="94"/>
    <x v="0"/>
    <x v="1"/>
    <x v="1"/>
    <x v="2"/>
    <n v="51.91"/>
    <n v="10"/>
    <x v="530"/>
    <x v="1"/>
    <n v="8.1999999999999993"/>
  </r>
  <r>
    <x v="94"/>
    <x v="0"/>
    <x v="1"/>
    <x v="0"/>
    <x v="3"/>
    <n v="36.51"/>
    <n v="9"/>
    <x v="531"/>
    <x v="1"/>
    <n v="4.2"/>
  </r>
  <r>
    <x v="94"/>
    <x v="0"/>
    <x v="0"/>
    <x v="1"/>
    <x v="3"/>
    <n v="60.18"/>
    <n v="4"/>
    <x v="532"/>
    <x v="0"/>
    <n v="9.4"/>
  </r>
  <r>
    <x v="94"/>
    <x v="1"/>
    <x v="0"/>
    <x v="0"/>
    <x v="3"/>
    <n v="97.79"/>
    <n v="7"/>
    <x v="533"/>
    <x v="2"/>
    <n v="4.9000000000000004"/>
  </r>
  <r>
    <x v="94"/>
    <x v="0"/>
    <x v="0"/>
    <x v="1"/>
    <x v="3"/>
    <n v="91.35"/>
    <n v="1"/>
    <x v="534"/>
    <x v="1"/>
    <n v="6.8"/>
  </r>
  <r>
    <x v="94"/>
    <x v="1"/>
    <x v="1"/>
    <x v="0"/>
    <x v="2"/>
    <n v="46.66"/>
    <n v="9"/>
    <x v="535"/>
    <x v="2"/>
    <n v="5.3"/>
  </r>
  <r>
    <x v="94"/>
    <x v="0"/>
    <x v="0"/>
    <x v="0"/>
    <x v="1"/>
    <n v="35.74"/>
    <n v="8"/>
    <x v="536"/>
    <x v="2"/>
    <n v="4.9000000000000004"/>
  </r>
  <r>
    <x v="94"/>
    <x v="1"/>
    <x v="0"/>
    <x v="0"/>
    <x v="2"/>
    <n v="67.989999999999995"/>
    <n v="7"/>
    <x v="537"/>
    <x v="2"/>
    <n v="5.7"/>
  </r>
  <r>
    <x v="94"/>
    <x v="2"/>
    <x v="0"/>
    <x v="0"/>
    <x v="4"/>
    <n v="88.79"/>
    <n v="8"/>
    <x v="538"/>
    <x v="1"/>
    <n v="4.0999999999999996"/>
  </r>
  <r>
    <x v="94"/>
    <x v="1"/>
    <x v="1"/>
    <x v="1"/>
    <x v="1"/>
    <n v="11.81"/>
    <n v="5"/>
    <x v="539"/>
    <x v="1"/>
    <n v="9.4"/>
  </r>
  <r>
    <x v="94"/>
    <x v="2"/>
    <x v="0"/>
    <x v="1"/>
    <x v="0"/>
    <n v="80.959999999999994"/>
    <n v="8"/>
    <x v="540"/>
    <x v="0"/>
    <n v="7.4"/>
  </r>
  <r>
    <x v="94"/>
    <x v="0"/>
    <x v="0"/>
    <x v="1"/>
    <x v="1"/>
    <n v="87.45"/>
    <n v="6"/>
    <x v="541"/>
    <x v="0"/>
    <n v="8.8000000000000007"/>
  </r>
  <r>
    <x v="94"/>
    <x v="2"/>
    <x v="1"/>
    <x v="1"/>
    <x v="1"/>
    <n v="34.56"/>
    <n v="5"/>
    <x v="542"/>
    <x v="2"/>
    <n v="9.9"/>
  </r>
  <r>
    <x v="94"/>
    <x v="2"/>
    <x v="1"/>
    <x v="1"/>
    <x v="0"/>
    <n v="32.9"/>
    <n v="3"/>
    <x v="543"/>
    <x v="0"/>
    <n v="9.1"/>
  </r>
  <r>
    <x v="95"/>
    <x v="0"/>
    <x v="0"/>
    <x v="0"/>
    <x v="4"/>
    <n v="88.39"/>
    <n v="9"/>
    <x v="668"/>
    <x v="1"/>
    <n v="6.3"/>
  </r>
  <r>
    <x v="95"/>
    <x v="2"/>
    <x v="0"/>
    <x v="1"/>
    <x v="2"/>
    <n v="88.63"/>
    <n v="3"/>
    <x v="671"/>
    <x v="2"/>
    <n v="6"/>
  </r>
  <r>
    <x v="95"/>
    <x v="1"/>
    <x v="0"/>
    <x v="1"/>
    <x v="5"/>
    <n v="85.6"/>
    <n v="7"/>
    <x v="673"/>
    <x v="1"/>
    <n v="5.3"/>
  </r>
  <r>
    <x v="95"/>
    <x v="1"/>
    <x v="1"/>
    <x v="0"/>
    <x v="2"/>
    <n v="73.98"/>
    <n v="7"/>
    <x v="674"/>
    <x v="2"/>
    <n v="4.0999999999999996"/>
  </r>
  <r>
    <x v="95"/>
    <x v="0"/>
    <x v="1"/>
    <x v="1"/>
    <x v="2"/>
    <n v="25.31"/>
    <n v="2"/>
    <x v="675"/>
    <x v="2"/>
    <n v="7.2"/>
  </r>
  <r>
    <x v="95"/>
    <x v="0"/>
    <x v="1"/>
    <x v="0"/>
    <x v="5"/>
    <n v="73.41"/>
    <n v="3"/>
    <x v="676"/>
    <x v="2"/>
    <n v="4"/>
  </r>
  <r>
    <x v="95"/>
    <x v="1"/>
    <x v="1"/>
    <x v="0"/>
    <x v="2"/>
    <n v="14.39"/>
    <n v="2"/>
    <x v="677"/>
    <x v="0"/>
    <n v="7.2"/>
  </r>
  <r>
    <x v="95"/>
    <x v="1"/>
    <x v="0"/>
    <x v="1"/>
    <x v="5"/>
    <n v="46.53"/>
    <n v="6"/>
    <x v="679"/>
    <x v="0"/>
    <n v="4.3"/>
  </r>
  <r>
    <x v="95"/>
    <x v="1"/>
    <x v="1"/>
    <x v="0"/>
    <x v="4"/>
    <n v="44.01"/>
    <n v="8"/>
    <x v="683"/>
    <x v="1"/>
    <n v="8.8000000000000007"/>
  </r>
  <r>
    <x v="95"/>
    <x v="2"/>
    <x v="1"/>
    <x v="1"/>
    <x v="5"/>
    <n v="25"/>
    <n v="1"/>
    <x v="686"/>
    <x v="2"/>
    <n v="5.5"/>
  </r>
  <r>
    <x v="95"/>
    <x v="2"/>
    <x v="1"/>
    <x v="1"/>
    <x v="5"/>
    <n v="28.95"/>
    <n v="7"/>
    <x v="687"/>
    <x v="0"/>
    <n v="6"/>
  </r>
  <r>
    <x v="95"/>
    <x v="0"/>
    <x v="0"/>
    <x v="0"/>
    <x v="4"/>
    <n v="94.49"/>
    <n v="8"/>
    <x v="688"/>
    <x v="2"/>
    <n v="7.5"/>
  </r>
  <r>
    <x v="95"/>
    <x v="0"/>
    <x v="0"/>
    <x v="1"/>
    <x v="4"/>
    <n v="30.12"/>
    <n v="8"/>
    <x v="690"/>
    <x v="1"/>
    <n v="7.7"/>
  </r>
  <r>
    <x v="95"/>
    <x v="2"/>
    <x v="1"/>
    <x v="1"/>
    <x v="4"/>
    <n v="46.33"/>
    <n v="7"/>
    <x v="691"/>
    <x v="0"/>
    <n v="7.4"/>
  </r>
  <r>
    <x v="95"/>
    <x v="2"/>
    <x v="1"/>
    <x v="0"/>
    <x v="4"/>
    <n v="33.299999999999997"/>
    <n v="9"/>
    <x v="693"/>
    <x v="2"/>
    <n v="7.2"/>
  </r>
  <r>
    <x v="95"/>
    <x v="2"/>
    <x v="1"/>
    <x v="0"/>
    <x v="5"/>
    <n v="68.709999999999994"/>
    <n v="3"/>
    <x v="695"/>
    <x v="1"/>
    <n v="8.6999999999999993"/>
  </r>
  <r>
    <x v="95"/>
    <x v="2"/>
    <x v="0"/>
    <x v="1"/>
    <x v="0"/>
    <n v="18.850000000000001"/>
    <n v="10"/>
    <x v="642"/>
    <x v="2"/>
    <n v="5.6"/>
  </r>
  <r>
    <x v="95"/>
    <x v="0"/>
    <x v="1"/>
    <x v="1"/>
    <x v="3"/>
    <n v="52.42"/>
    <n v="3"/>
    <x v="643"/>
    <x v="2"/>
    <n v="7.5"/>
  </r>
  <r>
    <x v="95"/>
    <x v="1"/>
    <x v="1"/>
    <x v="0"/>
    <x v="1"/>
    <n v="85.98"/>
    <n v="8"/>
    <x v="647"/>
    <x v="1"/>
    <n v="8.1999999999999993"/>
  </r>
  <r>
    <x v="96"/>
    <x v="2"/>
    <x v="1"/>
    <x v="1"/>
    <x v="1"/>
    <n v="78.31"/>
    <n v="3"/>
    <x v="714"/>
    <x v="2"/>
    <n v="5.4"/>
  </r>
  <r>
    <x v="96"/>
    <x v="1"/>
    <x v="0"/>
    <x v="1"/>
    <x v="5"/>
    <n v="65.31"/>
    <n v="7"/>
    <x v="715"/>
    <x v="0"/>
    <n v="4.2"/>
  </r>
  <r>
    <x v="96"/>
    <x v="0"/>
    <x v="0"/>
    <x v="1"/>
    <x v="3"/>
    <n v="21.94"/>
    <n v="5"/>
    <x v="716"/>
    <x v="2"/>
    <n v="5.3"/>
  </r>
  <r>
    <x v="96"/>
    <x v="2"/>
    <x v="1"/>
    <x v="0"/>
    <x v="3"/>
    <n v="81.91"/>
    <n v="2"/>
    <x v="717"/>
    <x v="1"/>
    <n v="7.8"/>
  </r>
  <r>
    <x v="96"/>
    <x v="1"/>
    <x v="1"/>
    <x v="0"/>
    <x v="2"/>
    <n v="83.06"/>
    <n v="7"/>
    <x v="718"/>
    <x v="2"/>
    <n v="4"/>
  </r>
  <r>
    <x v="96"/>
    <x v="0"/>
    <x v="1"/>
    <x v="1"/>
    <x v="5"/>
    <n v="87.98"/>
    <n v="3"/>
    <x v="719"/>
    <x v="2"/>
    <n v="5.0999999999999996"/>
  </r>
  <r>
    <x v="96"/>
    <x v="1"/>
    <x v="0"/>
    <x v="0"/>
    <x v="0"/>
    <n v="78.31"/>
    <n v="10"/>
    <x v="720"/>
    <x v="2"/>
    <n v="6.6"/>
  </r>
  <r>
    <x v="96"/>
    <x v="0"/>
    <x v="0"/>
    <x v="1"/>
    <x v="2"/>
    <n v="37.32"/>
    <n v="9"/>
    <x v="721"/>
    <x v="2"/>
    <n v="5.0999999999999996"/>
  </r>
  <r>
    <x v="96"/>
    <x v="0"/>
    <x v="1"/>
    <x v="1"/>
    <x v="1"/>
    <n v="28.38"/>
    <n v="5"/>
    <x v="722"/>
    <x v="1"/>
    <n v="9.4"/>
  </r>
  <r>
    <x v="96"/>
    <x v="2"/>
    <x v="0"/>
    <x v="0"/>
    <x v="2"/>
    <n v="92.13"/>
    <n v="6"/>
    <x v="723"/>
    <x v="1"/>
    <n v="8.3000000000000007"/>
  </r>
  <r>
    <x v="96"/>
    <x v="0"/>
    <x v="1"/>
    <x v="1"/>
    <x v="0"/>
    <n v="62.08"/>
    <n v="7"/>
    <x v="724"/>
    <x v="2"/>
    <n v="5.4"/>
  </r>
  <r>
    <x v="96"/>
    <x v="0"/>
    <x v="1"/>
    <x v="0"/>
    <x v="2"/>
    <n v="67.430000000000007"/>
    <n v="5"/>
    <x v="725"/>
    <x v="2"/>
    <n v="6.3"/>
  </r>
  <r>
    <x v="96"/>
    <x v="2"/>
    <x v="0"/>
    <x v="1"/>
    <x v="2"/>
    <n v="15.81"/>
    <n v="10"/>
    <x v="726"/>
    <x v="0"/>
    <n v="8.6"/>
  </r>
  <r>
    <x v="96"/>
    <x v="2"/>
    <x v="1"/>
    <x v="0"/>
    <x v="5"/>
    <n v="79.739999999999995"/>
    <n v="1"/>
    <x v="727"/>
    <x v="2"/>
    <n v="7.3"/>
  </r>
  <r>
    <x v="96"/>
    <x v="2"/>
    <x v="0"/>
    <x v="1"/>
    <x v="1"/>
    <n v="21.5"/>
    <n v="9"/>
    <x v="728"/>
    <x v="0"/>
    <n v="7.8"/>
  </r>
  <r>
    <x v="96"/>
    <x v="0"/>
    <x v="0"/>
    <x v="1"/>
    <x v="4"/>
    <n v="71.86"/>
    <n v="8"/>
    <x v="729"/>
    <x v="0"/>
    <n v="6.2"/>
  </r>
  <r>
    <x v="96"/>
    <x v="0"/>
    <x v="0"/>
    <x v="1"/>
    <x v="3"/>
    <n v="49.92"/>
    <n v="2"/>
    <x v="730"/>
    <x v="0"/>
    <n v="7"/>
  </r>
  <r>
    <x v="97"/>
    <x v="1"/>
    <x v="1"/>
    <x v="1"/>
    <x v="4"/>
    <n v="37"/>
    <n v="1"/>
    <x v="731"/>
    <x v="0"/>
    <n v="7.9"/>
  </r>
  <r>
    <x v="97"/>
    <x v="1"/>
    <x v="1"/>
    <x v="1"/>
    <x v="1"/>
    <n v="84.07"/>
    <n v="4"/>
    <x v="732"/>
    <x v="2"/>
    <n v="4.4000000000000004"/>
  </r>
  <r>
    <x v="97"/>
    <x v="0"/>
    <x v="1"/>
    <x v="1"/>
    <x v="4"/>
    <n v="16.16"/>
    <n v="2"/>
    <x v="733"/>
    <x v="2"/>
    <n v="6.5"/>
  </r>
  <r>
    <x v="97"/>
    <x v="1"/>
    <x v="1"/>
    <x v="0"/>
    <x v="3"/>
    <n v="16.45"/>
    <n v="4"/>
    <x v="734"/>
    <x v="2"/>
    <n v="5.6"/>
  </r>
  <r>
    <x v="97"/>
    <x v="1"/>
    <x v="1"/>
    <x v="1"/>
    <x v="0"/>
    <n v="99.79"/>
    <n v="2"/>
    <x v="735"/>
    <x v="2"/>
    <n v="8"/>
  </r>
  <r>
    <x v="97"/>
    <x v="2"/>
    <x v="0"/>
    <x v="0"/>
    <x v="5"/>
    <n v="15.55"/>
    <n v="9"/>
    <x v="736"/>
    <x v="1"/>
    <n v="5"/>
  </r>
  <r>
    <x v="97"/>
    <x v="2"/>
    <x v="0"/>
    <x v="0"/>
    <x v="4"/>
    <n v="28.31"/>
    <n v="4"/>
    <x v="737"/>
    <x v="1"/>
    <n v="8.1999999999999993"/>
  </r>
  <r>
    <x v="97"/>
    <x v="2"/>
    <x v="1"/>
    <x v="1"/>
    <x v="4"/>
    <n v="97.94"/>
    <n v="1"/>
    <x v="738"/>
    <x v="2"/>
    <n v="6.9"/>
  </r>
  <r>
    <x v="97"/>
    <x v="1"/>
    <x v="1"/>
    <x v="1"/>
    <x v="1"/>
    <n v="22.21"/>
    <n v="6"/>
    <x v="739"/>
    <x v="0"/>
    <n v="8.6"/>
  </r>
  <r>
    <x v="97"/>
    <x v="0"/>
    <x v="1"/>
    <x v="1"/>
    <x v="4"/>
    <n v="50.28"/>
    <n v="5"/>
    <x v="620"/>
    <x v="2"/>
    <n v="9.6999999999999993"/>
  </r>
  <r>
    <x v="97"/>
    <x v="2"/>
    <x v="1"/>
    <x v="1"/>
    <x v="1"/>
    <n v="97.16"/>
    <n v="1"/>
    <x v="740"/>
    <x v="2"/>
    <n v="7.2"/>
  </r>
  <r>
    <x v="97"/>
    <x v="1"/>
    <x v="0"/>
    <x v="1"/>
    <x v="0"/>
    <n v="17.04"/>
    <n v="4"/>
    <x v="741"/>
    <x v="2"/>
    <n v="7"/>
  </r>
  <r>
    <x v="97"/>
    <x v="1"/>
    <x v="1"/>
    <x v="0"/>
    <x v="1"/>
    <n v="15.28"/>
    <n v="5"/>
    <x v="742"/>
    <x v="1"/>
    <n v="9.6"/>
  </r>
  <r>
    <x v="97"/>
    <x v="2"/>
    <x v="1"/>
    <x v="1"/>
    <x v="4"/>
    <n v="33.99"/>
    <n v="6"/>
    <x v="743"/>
    <x v="0"/>
    <n v="7.7"/>
  </r>
  <r>
    <x v="97"/>
    <x v="2"/>
    <x v="1"/>
    <x v="0"/>
    <x v="3"/>
    <n v="61.77"/>
    <n v="5"/>
    <x v="744"/>
    <x v="1"/>
    <n v="6.7"/>
  </r>
  <r>
    <x v="97"/>
    <x v="1"/>
    <x v="1"/>
    <x v="1"/>
    <x v="0"/>
    <n v="43.27"/>
    <n v="2"/>
    <x v="745"/>
    <x v="2"/>
    <n v="5.7"/>
  </r>
  <r>
    <x v="98"/>
    <x v="1"/>
    <x v="1"/>
    <x v="0"/>
    <x v="3"/>
    <n v="37.549999999999997"/>
    <n v="10"/>
    <x v="748"/>
    <x v="0"/>
    <n v="9.3000000000000007"/>
  </r>
  <r>
    <x v="98"/>
    <x v="1"/>
    <x v="1"/>
    <x v="0"/>
    <x v="5"/>
    <n v="81.3"/>
    <n v="6"/>
    <x v="749"/>
    <x v="2"/>
    <n v="5.3"/>
  </r>
  <r>
    <x v="98"/>
    <x v="1"/>
    <x v="1"/>
    <x v="0"/>
    <x v="5"/>
    <n v="46.26"/>
    <n v="6"/>
    <x v="750"/>
    <x v="0"/>
    <n v="9.5"/>
  </r>
  <r>
    <x v="98"/>
    <x v="0"/>
    <x v="0"/>
    <x v="0"/>
    <x v="1"/>
    <n v="93.96"/>
    <n v="4"/>
    <x v="751"/>
    <x v="1"/>
    <n v="9.5"/>
  </r>
  <r>
    <x v="98"/>
    <x v="2"/>
    <x v="1"/>
    <x v="1"/>
    <x v="5"/>
    <n v="51.71"/>
    <n v="4"/>
    <x v="752"/>
    <x v="0"/>
    <n v="9.8000000000000007"/>
  </r>
  <r>
    <x v="98"/>
    <x v="1"/>
    <x v="0"/>
    <x v="0"/>
    <x v="0"/>
    <n v="98.97"/>
    <n v="9"/>
    <x v="753"/>
    <x v="1"/>
    <n v="6.7"/>
  </r>
  <r>
    <x v="98"/>
    <x v="0"/>
    <x v="0"/>
    <x v="1"/>
    <x v="2"/>
    <n v="99.96"/>
    <n v="9"/>
    <x v="754"/>
    <x v="0"/>
    <n v="4.2"/>
  </r>
  <r>
    <x v="98"/>
    <x v="2"/>
    <x v="1"/>
    <x v="1"/>
    <x v="2"/>
    <n v="60.87"/>
    <n v="2"/>
    <x v="755"/>
    <x v="2"/>
    <n v="8.6999999999999993"/>
  </r>
  <r>
    <x v="98"/>
    <x v="2"/>
    <x v="0"/>
    <x v="1"/>
    <x v="5"/>
    <n v="51.94"/>
    <n v="10"/>
    <x v="756"/>
    <x v="2"/>
    <n v="6.5"/>
  </r>
  <r>
    <x v="98"/>
    <x v="2"/>
    <x v="0"/>
    <x v="0"/>
    <x v="2"/>
    <n v="52.26"/>
    <n v="10"/>
    <x v="757"/>
    <x v="0"/>
    <n v="6.2"/>
  </r>
  <r>
    <x v="98"/>
    <x v="0"/>
    <x v="1"/>
    <x v="1"/>
    <x v="3"/>
    <n v="95.54"/>
    <n v="7"/>
    <x v="758"/>
    <x v="0"/>
    <n v="9.6"/>
  </r>
  <r>
    <x v="98"/>
    <x v="0"/>
    <x v="1"/>
    <x v="0"/>
    <x v="1"/>
    <n v="25.45"/>
    <n v="1"/>
    <x v="769"/>
    <x v="0"/>
    <n v="5.0999999999999996"/>
  </r>
  <r>
    <x v="98"/>
    <x v="0"/>
    <x v="1"/>
    <x v="1"/>
    <x v="0"/>
    <n v="18.22"/>
    <n v="7"/>
    <x v="770"/>
    <x v="0"/>
    <n v="6.6"/>
  </r>
  <r>
    <x v="99"/>
    <x v="1"/>
    <x v="0"/>
    <x v="1"/>
    <x v="5"/>
    <n v="81.95"/>
    <n v="10"/>
    <x v="772"/>
    <x v="0"/>
    <n v="6"/>
  </r>
  <r>
    <x v="99"/>
    <x v="2"/>
    <x v="1"/>
    <x v="0"/>
    <x v="4"/>
    <n v="93.69"/>
    <n v="7"/>
    <x v="773"/>
    <x v="0"/>
    <n v="4.5"/>
  </r>
  <r>
    <x v="99"/>
    <x v="1"/>
    <x v="0"/>
    <x v="0"/>
    <x v="4"/>
    <n v="35.79"/>
    <n v="9"/>
    <x v="774"/>
    <x v="0"/>
    <n v="5.0999999999999996"/>
  </r>
  <r>
    <x v="99"/>
    <x v="2"/>
    <x v="0"/>
    <x v="1"/>
    <x v="2"/>
    <n v="62.62"/>
    <n v="5"/>
    <x v="775"/>
    <x v="2"/>
    <n v="7"/>
  </r>
  <r>
    <x v="99"/>
    <x v="2"/>
    <x v="1"/>
    <x v="0"/>
    <x v="3"/>
    <n v="87.67"/>
    <n v="2"/>
    <x v="776"/>
    <x v="0"/>
    <n v="7.7"/>
  </r>
  <r>
    <x v="99"/>
    <x v="1"/>
    <x v="1"/>
    <x v="1"/>
    <x v="3"/>
    <n v="45.74"/>
    <n v="3"/>
    <x v="777"/>
    <x v="0"/>
    <n v="6.5"/>
  </r>
  <r>
    <x v="99"/>
    <x v="2"/>
    <x v="0"/>
    <x v="1"/>
    <x v="0"/>
    <n v="10.130000000000001"/>
    <n v="7"/>
    <x v="778"/>
    <x v="2"/>
    <n v="8.3000000000000007"/>
  </r>
  <r>
    <x v="99"/>
    <x v="0"/>
    <x v="1"/>
    <x v="0"/>
    <x v="4"/>
    <n v="40.299999999999997"/>
    <n v="2"/>
    <x v="779"/>
    <x v="2"/>
    <n v="4.4000000000000004"/>
  </r>
  <r>
    <x v="99"/>
    <x v="2"/>
    <x v="0"/>
    <x v="0"/>
    <x v="5"/>
    <n v="68.930000000000007"/>
    <n v="7"/>
    <x v="780"/>
    <x v="0"/>
    <n v="4.5999999999999996"/>
  </r>
  <r>
    <x v="99"/>
    <x v="1"/>
    <x v="1"/>
    <x v="1"/>
    <x v="0"/>
    <n v="46.77"/>
    <n v="6"/>
    <x v="781"/>
    <x v="1"/>
    <n v="6"/>
  </r>
  <r>
    <x v="99"/>
    <x v="1"/>
    <x v="0"/>
    <x v="1"/>
    <x v="2"/>
    <n v="34.56"/>
    <n v="7"/>
    <x v="782"/>
    <x v="0"/>
    <n v="7.3"/>
  </r>
  <r>
    <x v="99"/>
    <x v="2"/>
    <x v="1"/>
    <x v="1"/>
    <x v="5"/>
    <n v="59.77"/>
    <n v="2"/>
    <x v="783"/>
    <x v="0"/>
    <n v="5.8"/>
  </r>
  <r>
    <x v="99"/>
    <x v="2"/>
    <x v="1"/>
    <x v="0"/>
    <x v="4"/>
    <n v="63.42"/>
    <n v="8"/>
    <x v="784"/>
    <x v="2"/>
    <n v="7.4"/>
  </r>
  <r>
    <x v="100"/>
    <x v="0"/>
    <x v="0"/>
    <x v="1"/>
    <x v="1"/>
    <n v="72.17"/>
    <n v="1"/>
    <x v="33"/>
    <x v="1"/>
    <n v="6.1"/>
  </r>
  <r>
    <x v="100"/>
    <x v="1"/>
    <x v="0"/>
    <x v="0"/>
    <x v="3"/>
    <n v="31.9"/>
    <n v="1"/>
    <x v="34"/>
    <x v="2"/>
    <n v="9.1"/>
  </r>
  <r>
    <x v="100"/>
    <x v="1"/>
    <x v="1"/>
    <x v="1"/>
    <x v="3"/>
    <n v="27.38"/>
    <n v="6"/>
    <x v="35"/>
    <x v="0"/>
    <n v="7.9"/>
  </r>
  <r>
    <x v="100"/>
    <x v="0"/>
    <x v="0"/>
    <x v="0"/>
    <x v="4"/>
    <n v="35.380000000000003"/>
    <n v="9"/>
    <x v="36"/>
    <x v="0"/>
    <n v="9.6"/>
  </r>
  <r>
    <x v="100"/>
    <x v="1"/>
    <x v="1"/>
    <x v="0"/>
    <x v="3"/>
    <n v="76.06"/>
    <n v="3"/>
    <x v="37"/>
    <x v="0"/>
    <n v="9.8000000000000007"/>
  </r>
  <r>
    <x v="100"/>
    <x v="2"/>
    <x v="0"/>
    <x v="0"/>
    <x v="5"/>
    <n v="74.69"/>
    <n v="7"/>
    <x v="38"/>
    <x v="2"/>
    <n v="9.1"/>
  </r>
  <r>
    <x v="100"/>
    <x v="0"/>
    <x v="1"/>
    <x v="0"/>
    <x v="0"/>
    <n v="71.2"/>
    <n v="1"/>
    <x v="39"/>
    <x v="0"/>
    <n v="9.1999999999999993"/>
  </r>
  <r>
    <x v="100"/>
    <x v="2"/>
    <x v="0"/>
    <x v="1"/>
    <x v="4"/>
    <n v="70.739999999999995"/>
    <n v="4"/>
    <x v="40"/>
    <x v="0"/>
    <n v="4.4000000000000004"/>
  </r>
  <r>
    <x v="100"/>
    <x v="2"/>
    <x v="1"/>
    <x v="0"/>
    <x v="1"/>
    <n v="93.88"/>
    <n v="7"/>
    <x v="41"/>
    <x v="0"/>
    <n v="7.3"/>
  </r>
  <r>
    <x v="100"/>
    <x v="1"/>
    <x v="1"/>
    <x v="0"/>
    <x v="5"/>
    <n v="78.89"/>
    <n v="7"/>
    <x v="42"/>
    <x v="2"/>
    <n v="7.5"/>
  </r>
  <r>
    <x v="100"/>
    <x v="0"/>
    <x v="0"/>
    <x v="0"/>
    <x v="3"/>
    <n v="73.959999999999994"/>
    <n v="1"/>
    <x v="43"/>
    <x v="0"/>
    <n v="5"/>
  </r>
  <r>
    <x v="100"/>
    <x v="2"/>
    <x v="0"/>
    <x v="1"/>
    <x v="4"/>
    <n v="62.65"/>
    <n v="4"/>
    <x v="44"/>
    <x v="1"/>
    <n v="4.2"/>
  </r>
  <r>
    <x v="100"/>
    <x v="2"/>
    <x v="1"/>
    <x v="0"/>
    <x v="4"/>
    <n v="42.91"/>
    <n v="5"/>
    <x v="45"/>
    <x v="2"/>
    <n v="6.1"/>
  </r>
  <r>
    <x v="100"/>
    <x v="0"/>
    <x v="1"/>
    <x v="1"/>
    <x v="4"/>
    <n v="62.19"/>
    <n v="4"/>
    <x v="46"/>
    <x v="2"/>
    <n v="4.3"/>
  </r>
  <r>
    <x v="100"/>
    <x v="1"/>
    <x v="1"/>
    <x v="1"/>
    <x v="0"/>
    <n v="89.48"/>
    <n v="10"/>
    <x v="47"/>
    <x v="0"/>
    <n v="9.6"/>
  </r>
  <r>
    <x v="100"/>
    <x v="2"/>
    <x v="1"/>
    <x v="0"/>
    <x v="2"/>
    <n v="15.34"/>
    <n v="1"/>
    <x v="48"/>
    <x v="1"/>
    <n v="6.5"/>
  </r>
  <r>
    <x v="100"/>
    <x v="0"/>
    <x v="0"/>
    <x v="1"/>
    <x v="5"/>
    <n v="80.47"/>
    <n v="9"/>
    <x v="49"/>
    <x v="1"/>
    <n v="9.1999999999999993"/>
  </r>
  <r>
    <x v="100"/>
    <x v="2"/>
    <x v="0"/>
    <x v="1"/>
    <x v="4"/>
    <n v="58.9"/>
    <n v="8"/>
    <x v="50"/>
    <x v="1"/>
    <n v="8.9"/>
  </r>
  <r>
    <x v="101"/>
    <x v="1"/>
    <x v="0"/>
    <x v="0"/>
    <x v="0"/>
    <n v="49.79"/>
    <n v="4"/>
    <x v="972"/>
    <x v="0"/>
    <n v="6.4"/>
  </r>
  <r>
    <x v="101"/>
    <x v="0"/>
    <x v="1"/>
    <x v="1"/>
    <x v="5"/>
    <n v="71.77"/>
    <n v="7"/>
    <x v="973"/>
    <x v="1"/>
    <n v="8.9"/>
  </r>
  <r>
    <x v="101"/>
    <x v="0"/>
    <x v="1"/>
    <x v="1"/>
    <x v="5"/>
    <n v="87.87"/>
    <n v="10"/>
    <x v="974"/>
    <x v="2"/>
    <n v="5.0999999999999996"/>
  </r>
  <r>
    <x v="101"/>
    <x v="1"/>
    <x v="0"/>
    <x v="1"/>
    <x v="1"/>
    <n v="82.34"/>
    <n v="10"/>
    <x v="975"/>
    <x v="2"/>
    <n v="4.3"/>
  </r>
  <r>
    <x v="101"/>
    <x v="2"/>
    <x v="0"/>
    <x v="0"/>
    <x v="4"/>
    <n v="72.42"/>
    <n v="3"/>
    <x v="976"/>
    <x v="2"/>
    <n v="8.1999999999999993"/>
  </r>
  <r>
    <x v="101"/>
    <x v="0"/>
    <x v="0"/>
    <x v="1"/>
    <x v="5"/>
    <n v="54.86"/>
    <n v="5"/>
    <x v="977"/>
    <x v="2"/>
    <n v="9.8000000000000007"/>
  </r>
  <r>
    <x v="101"/>
    <x v="1"/>
    <x v="1"/>
    <x v="1"/>
    <x v="1"/>
    <n v="28.84"/>
    <n v="4"/>
    <x v="978"/>
    <x v="1"/>
    <n v="6.4"/>
  </r>
  <r>
    <x v="101"/>
    <x v="2"/>
    <x v="1"/>
    <x v="0"/>
    <x v="5"/>
    <n v="71.38"/>
    <n v="10"/>
    <x v="979"/>
    <x v="1"/>
    <n v="5.7"/>
  </r>
  <r>
    <x v="101"/>
    <x v="0"/>
    <x v="0"/>
    <x v="1"/>
    <x v="5"/>
    <n v="61.29"/>
    <n v="5"/>
    <x v="980"/>
    <x v="1"/>
    <n v="7"/>
  </r>
  <r>
    <x v="101"/>
    <x v="1"/>
    <x v="0"/>
    <x v="1"/>
    <x v="1"/>
    <n v="96.82"/>
    <n v="3"/>
    <x v="981"/>
    <x v="1"/>
    <n v="6.7"/>
  </r>
  <r>
    <x v="101"/>
    <x v="0"/>
    <x v="0"/>
    <x v="1"/>
    <x v="5"/>
    <n v="97.22"/>
    <n v="9"/>
    <x v="982"/>
    <x v="2"/>
    <n v="6"/>
  </r>
  <r>
    <x v="101"/>
    <x v="2"/>
    <x v="0"/>
    <x v="0"/>
    <x v="1"/>
    <n v="64.44"/>
    <n v="5"/>
    <x v="983"/>
    <x v="1"/>
    <n v="6.6"/>
  </r>
  <r>
    <x v="101"/>
    <x v="2"/>
    <x v="1"/>
    <x v="0"/>
    <x v="2"/>
    <n v="89.48"/>
    <n v="5"/>
    <x v="984"/>
    <x v="1"/>
    <n v="7.4"/>
  </r>
  <r>
    <x v="101"/>
    <x v="0"/>
    <x v="0"/>
    <x v="1"/>
    <x v="0"/>
    <n v="93.4"/>
    <n v="2"/>
    <x v="985"/>
    <x v="1"/>
    <n v="5.5"/>
  </r>
  <r>
    <x v="101"/>
    <x v="2"/>
    <x v="1"/>
    <x v="0"/>
    <x v="2"/>
    <n v="40.229999999999997"/>
    <n v="7"/>
    <x v="986"/>
    <x v="1"/>
    <n v="9.6"/>
  </r>
  <r>
    <x v="101"/>
    <x v="0"/>
    <x v="0"/>
    <x v="1"/>
    <x v="5"/>
    <n v="72.569999999999993"/>
    <n v="8"/>
    <x v="987"/>
    <x v="1"/>
    <n v="4.5999999999999996"/>
  </r>
  <r>
    <x v="101"/>
    <x v="1"/>
    <x v="0"/>
    <x v="0"/>
    <x v="0"/>
    <n v="72.52"/>
    <n v="8"/>
    <x v="988"/>
    <x v="0"/>
    <n v="4"/>
  </r>
  <r>
    <x v="101"/>
    <x v="1"/>
    <x v="0"/>
    <x v="0"/>
    <x v="3"/>
    <n v="10.18"/>
    <n v="8"/>
    <x v="989"/>
    <x v="0"/>
    <n v="9.5"/>
  </r>
  <r>
    <x v="101"/>
    <x v="2"/>
    <x v="0"/>
    <x v="0"/>
    <x v="4"/>
    <n v="34.42"/>
    <n v="6"/>
    <x v="548"/>
    <x v="2"/>
    <n v="7.5"/>
  </r>
  <r>
    <x v="101"/>
    <x v="1"/>
    <x v="1"/>
    <x v="1"/>
    <x v="5"/>
    <n v="70.209999999999994"/>
    <n v="6"/>
    <x v="990"/>
    <x v="1"/>
    <n v="7.4"/>
  </r>
  <r>
    <x v="102"/>
    <x v="0"/>
    <x v="1"/>
    <x v="1"/>
    <x v="3"/>
    <n v="69.08"/>
    <n v="2"/>
    <x v="348"/>
    <x v="0"/>
    <n v="6.9"/>
  </r>
  <r>
    <x v="102"/>
    <x v="0"/>
    <x v="1"/>
    <x v="1"/>
    <x v="1"/>
    <n v="45.35"/>
    <n v="6"/>
    <x v="349"/>
    <x v="2"/>
    <n v="6.1"/>
  </r>
  <r>
    <x v="102"/>
    <x v="2"/>
    <x v="0"/>
    <x v="1"/>
    <x v="1"/>
    <n v="66.349999999999994"/>
    <n v="1"/>
    <x v="350"/>
    <x v="0"/>
    <n v="9.6999999999999993"/>
  </r>
  <r>
    <x v="102"/>
    <x v="1"/>
    <x v="0"/>
    <x v="0"/>
    <x v="0"/>
    <n v="87.48"/>
    <n v="6"/>
    <x v="351"/>
    <x v="2"/>
    <n v="5.0999999999999996"/>
  </r>
  <r>
    <x v="102"/>
    <x v="2"/>
    <x v="0"/>
    <x v="0"/>
    <x v="0"/>
    <n v="14.23"/>
    <n v="5"/>
    <x v="352"/>
    <x v="0"/>
    <n v="4.4000000000000004"/>
  </r>
  <r>
    <x v="102"/>
    <x v="2"/>
    <x v="0"/>
    <x v="1"/>
    <x v="2"/>
    <n v="69.52"/>
    <n v="7"/>
    <x v="353"/>
    <x v="0"/>
    <n v="8.5"/>
  </r>
  <r>
    <x v="102"/>
    <x v="1"/>
    <x v="1"/>
    <x v="0"/>
    <x v="1"/>
    <n v="23.07"/>
    <n v="9"/>
    <x v="354"/>
    <x v="1"/>
    <n v="4.9000000000000004"/>
  </r>
  <r>
    <x v="102"/>
    <x v="1"/>
    <x v="0"/>
    <x v="0"/>
    <x v="4"/>
    <n v="80.790000000000006"/>
    <n v="9"/>
    <x v="355"/>
    <x v="0"/>
    <n v="9.5"/>
  </r>
  <r>
    <x v="102"/>
    <x v="2"/>
    <x v="0"/>
    <x v="0"/>
    <x v="5"/>
    <n v="77.680000000000007"/>
    <n v="4"/>
    <x v="356"/>
    <x v="1"/>
    <n v="8.4"/>
  </r>
  <r>
    <x v="102"/>
    <x v="0"/>
    <x v="0"/>
    <x v="0"/>
    <x v="1"/>
    <n v="26.26"/>
    <n v="7"/>
    <x v="357"/>
    <x v="1"/>
    <n v="9.9"/>
  </r>
  <r>
    <x v="102"/>
    <x v="2"/>
    <x v="0"/>
    <x v="1"/>
    <x v="3"/>
    <n v="43.13"/>
    <n v="10"/>
    <x v="358"/>
    <x v="0"/>
    <n v="5.5"/>
  </r>
  <r>
    <x v="102"/>
    <x v="0"/>
    <x v="1"/>
    <x v="0"/>
    <x v="3"/>
    <n v="25.56"/>
    <n v="7"/>
    <x v="359"/>
    <x v="1"/>
    <n v="7.1"/>
  </r>
  <r>
    <x v="102"/>
    <x v="1"/>
    <x v="0"/>
    <x v="0"/>
    <x v="0"/>
    <n v="38.42"/>
    <n v="1"/>
    <x v="360"/>
    <x v="1"/>
    <n v="8.6"/>
  </r>
  <r>
    <x v="102"/>
    <x v="2"/>
    <x v="1"/>
    <x v="0"/>
    <x v="5"/>
    <n v="71.38"/>
    <n v="10"/>
    <x v="979"/>
    <x v="1"/>
    <n v="5.7"/>
  </r>
  <r>
    <x v="103"/>
    <x v="0"/>
    <x v="0"/>
    <x v="0"/>
    <x v="3"/>
    <n v="72.040000000000006"/>
    <n v="2"/>
    <x v="393"/>
    <x v="1"/>
    <n v="9.5"/>
  </r>
  <r>
    <x v="103"/>
    <x v="2"/>
    <x v="1"/>
    <x v="0"/>
    <x v="3"/>
    <n v="48.63"/>
    <n v="4"/>
    <x v="394"/>
    <x v="2"/>
    <n v="7.6"/>
  </r>
  <r>
    <x v="103"/>
    <x v="0"/>
    <x v="0"/>
    <x v="0"/>
    <x v="4"/>
    <n v="77.680000000000007"/>
    <n v="9"/>
    <x v="395"/>
    <x v="2"/>
    <n v="9.8000000000000007"/>
  </r>
  <r>
    <x v="103"/>
    <x v="2"/>
    <x v="0"/>
    <x v="0"/>
    <x v="3"/>
    <n v="30.62"/>
    <n v="1"/>
    <x v="396"/>
    <x v="0"/>
    <n v="4.0999999999999996"/>
  </r>
  <r>
    <x v="103"/>
    <x v="0"/>
    <x v="0"/>
    <x v="0"/>
    <x v="0"/>
    <n v="42.82"/>
    <n v="9"/>
    <x v="397"/>
    <x v="0"/>
    <n v="8.9"/>
  </r>
  <r>
    <x v="103"/>
    <x v="1"/>
    <x v="0"/>
    <x v="0"/>
    <x v="0"/>
    <n v="21.04"/>
    <n v="4"/>
    <x v="123"/>
    <x v="1"/>
    <n v="7.6"/>
  </r>
  <r>
    <x v="103"/>
    <x v="0"/>
    <x v="0"/>
    <x v="1"/>
    <x v="3"/>
    <n v="59.86"/>
    <n v="2"/>
    <x v="124"/>
    <x v="2"/>
    <n v="6.7"/>
  </r>
  <r>
    <x v="103"/>
    <x v="0"/>
    <x v="1"/>
    <x v="1"/>
    <x v="0"/>
    <n v="72.39"/>
    <n v="2"/>
    <x v="125"/>
    <x v="0"/>
    <n v="8.1"/>
  </r>
  <r>
    <x v="103"/>
    <x v="2"/>
    <x v="1"/>
    <x v="1"/>
    <x v="2"/>
    <n v="45.58"/>
    <n v="7"/>
    <x v="126"/>
    <x v="1"/>
    <n v="5"/>
  </r>
  <r>
    <x v="103"/>
    <x v="1"/>
    <x v="1"/>
    <x v="0"/>
    <x v="1"/>
    <n v="41.65"/>
    <n v="10"/>
    <x v="127"/>
    <x v="0"/>
    <n v="5.4"/>
  </r>
  <r>
    <x v="103"/>
    <x v="1"/>
    <x v="0"/>
    <x v="1"/>
    <x v="5"/>
    <n v="60.47"/>
    <n v="3"/>
    <x v="128"/>
    <x v="0"/>
    <n v="5.6"/>
  </r>
  <r>
    <x v="103"/>
    <x v="0"/>
    <x v="1"/>
    <x v="0"/>
    <x v="2"/>
    <n v="34.81"/>
    <n v="1"/>
    <x v="129"/>
    <x v="0"/>
    <n v="7"/>
  </r>
  <r>
    <x v="103"/>
    <x v="1"/>
    <x v="1"/>
    <x v="1"/>
    <x v="0"/>
    <n v="77.56"/>
    <n v="10"/>
    <x v="824"/>
    <x v="2"/>
    <n v="6.9"/>
  </r>
  <r>
    <x v="104"/>
    <x v="0"/>
    <x v="0"/>
    <x v="1"/>
    <x v="0"/>
    <n v="93.4"/>
    <n v="2"/>
    <x v="985"/>
    <x v="1"/>
    <n v="5.5"/>
  </r>
  <r>
    <x v="104"/>
    <x v="2"/>
    <x v="1"/>
    <x v="0"/>
    <x v="2"/>
    <n v="40.229999999999997"/>
    <n v="7"/>
    <x v="986"/>
    <x v="1"/>
    <n v="9.6"/>
  </r>
  <r>
    <x v="104"/>
    <x v="0"/>
    <x v="0"/>
    <x v="1"/>
    <x v="5"/>
    <n v="72.569999999999993"/>
    <n v="8"/>
    <x v="987"/>
    <x v="1"/>
    <n v="4.5999999999999996"/>
  </r>
  <r>
    <x v="104"/>
    <x v="1"/>
    <x v="0"/>
    <x v="0"/>
    <x v="0"/>
    <n v="72.52"/>
    <n v="8"/>
    <x v="988"/>
    <x v="0"/>
    <n v="4"/>
  </r>
  <r>
    <x v="104"/>
    <x v="1"/>
    <x v="0"/>
    <x v="0"/>
    <x v="3"/>
    <n v="10.18"/>
    <n v="8"/>
    <x v="989"/>
    <x v="0"/>
    <n v="9.5"/>
  </r>
  <r>
    <x v="104"/>
    <x v="2"/>
    <x v="0"/>
    <x v="0"/>
    <x v="4"/>
    <n v="34.42"/>
    <n v="6"/>
    <x v="548"/>
    <x v="2"/>
    <n v="7.5"/>
  </r>
  <r>
    <x v="104"/>
    <x v="1"/>
    <x v="1"/>
    <x v="1"/>
    <x v="5"/>
    <n v="70.209999999999994"/>
    <n v="6"/>
    <x v="990"/>
    <x v="1"/>
    <n v="7.4"/>
  </r>
  <r>
    <x v="104"/>
    <x v="1"/>
    <x v="0"/>
    <x v="1"/>
    <x v="1"/>
    <n v="37.06"/>
    <n v="4"/>
    <x v="345"/>
    <x v="2"/>
    <n v="9.6999999999999993"/>
  </r>
  <r>
    <x v="104"/>
    <x v="0"/>
    <x v="0"/>
    <x v="1"/>
    <x v="1"/>
    <n v="87.87"/>
    <n v="9"/>
    <x v="347"/>
    <x v="2"/>
    <n v="5.6"/>
  </r>
  <r>
    <x v="104"/>
    <x v="0"/>
    <x v="1"/>
    <x v="1"/>
    <x v="1"/>
    <n v="45.35"/>
    <n v="6"/>
    <x v="349"/>
    <x v="2"/>
    <n v="6.1"/>
  </r>
  <r>
    <x v="104"/>
    <x v="2"/>
    <x v="0"/>
    <x v="1"/>
    <x v="1"/>
    <n v="66.349999999999994"/>
    <n v="1"/>
    <x v="350"/>
    <x v="0"/>
    <n v="9.6999999999999993"/>
  </r>
  <r>
    <x v="104"/>
    <x v="1"/>
    <x v="0"/>
    <x v="0"/>
    <x v="0"/>
    <n v="87.48"/>
    <n v="6"/>
    <x v="351"/>
    <x v="2"/>
    <n v="5.0999999999999996"/>
  </r>
  <r>
    <x v="105"/>
    <x v="2"/>
    <x v="0"/>
    <x v="0"/>
    <x v="5"/>
    <n v="27.73"/>
    <n v="5"/>
    <x v="941"/>
    <x v="0"/>
    <n v="4.2"/>
  </r>
  <r>
    <x v="105"/>
    <x v="2"/>
    <x v="0"/>
    <x v="1"/>
    <x v="1"/>
    <n v="72.2"/>
    <n v="7"/>
    <x v="942"/>
    <x v="2"/>
    <n v="4.3"/>
  </r>
  <r>
    <x v="105"/>
    <x v="1"/>
    <x v="0"/>
    <x v="1"/>
    <x v="5"/>
    <n v="43.7"/>
    <n v="2"/>
    <x v="943"/>
    <x v="1"/>
    <n v="4.9000000000000004"/>
  </r>
  <r>
    <x v="105"/>
    <x v="2"/>
    <x v="0"/>
    <x v="1"/>
    <x v="3"/>
    <n v="41.28"/>
    <n v="3"/>
    <x v="944"/>
    <x v="0"/>
    <n v="8.5"/>
  </r>
  <r>
    <x v="105"/>
    <x v="0"/>
    <x v="1"/>
    <x v="0"/>
    <x v="1"/>
    <n v="45.71"/>
    <n v="3"/>
    <x v="945"/>
    <x v="0"/>
    <n v="7.7"/>
  </r>
  <r>
    <x v="105"/>
    <x v="0"/>
    <x v="0"/>
    <x v="0"/>
    <x v="4"/>
    <n v="12.29"/>
    <n v="9"/>
    <x v="946"/>
    <x v="0"/>
    <n v="8"/>
  </r>
  <r>
    <x v="105"/>
    <x v="0"/>
    <x v="0"/>
    <x v="0"/>
    <x v="2"/>
    <n v="39.119999999999997"/>
    <n v="1"/>
    <x v="947"/>
    <x v="0"/>
    <n v="9.6"/>
  </r>
  <r>
    <x v="105"/>
    <x v="2"/>
    <x v="0"/>
    <x v="0"/>
    <x v="1"/>
    <n v="94.64"/>
    <n v="3"/>
    <x v="574"/>
    <x v="1"/>
    <n v="5.5"/>
  </r>
  <r>
    <x v="105"/>
    <x v="0"/>
    <x v="0"/>
    <x v="1"/>
    <x v="5"/>
    <n v="39.909999999999997"/>
    <n v="3"/>
    <x v="575"/>
    <x v="2"/>
    <n v="9.3000000000000007"/>
  </r>
  <r>
    <x v="105"/>
    <x v="1"/>
    <x v="1"/>
    <x v="0"/>
    <x v="5"/>
    <n v="83.66"/>
    <n v="5"/>
    <x v="576"/>
    <x v="1"/>
    <n v="7.2"/>
  </r>
  <r>
    <x v="105"/>
    <x v="1"/>
    <x v="1"/>
    <x v="0"/>
    <x v="2"/>
    <n v="98.8"/>
    <n v="2"/>
    <x v="577"/>
    <x v="1"/>
    <n v="7.7"/>
  </r>
  <r>
    <x v="105"/>
    <x v="1"/>
    <x v="0"/>
    <x v="0"/>
    <x v="3"/>
    <n v="12.54"/>
    <n v="1"/>
    <x v="578"/>
    <x v="1"/>
    <n v="8.1999999999999993"/>
  </r>
  <r>
    <x v="105"/>
    <x v="2"/>
    <x v="0"/>
    <x v="1"/>
    <x v="5"/>
    <n v="58.22"/>
    <n v="8"/>
    <x v="295"/>
    <x v="2"/>
    <n v="8.4"/>
  </r>
  <r>
    <x v="105"/>
    <x v="2"/>
    <x v="1"/>
    <x v="0"/>
    <x v="2"/>
    <n v="32.25"/>
    <n v="5"/>
    <x v="296"/>
    <x v="1"/>
    <n v="9"/>
  </r>
  <r>
    <x v="106"/>
    <x v="2"/>
    <x v="1"/>
    <x v="0"/>
    <x v="0"/>
    <n v="33.880000000000003"/>
    <n v="8"/>
    <x v="195"/>
    <x v="2"/>
    <n v="9.6"/>
  </r>
  <r>
    <x v="106"/>
    <x v="1"/>
    <x v="0"/>
    <x v="1"/>
    <x v="2"/>
    <n v="67.260000000000005"/>
    <n v="4"/>
    <x v="196"/>
    <x v="0"/>
    <n v="8"/>
  </r>
  <r>
    <x v="106"/>
    <x v="2"/>
    <x v="0"/>
    <x v="1"/>
    <x v="4"/>
    <n v="88.61"/>
    <n v="1"/>
    <x v="197"/>
    <x v="1"/>
    <n v="7.7"/>
  </r>
  <r>
    <x v="106"/>
    <x v="1"/>
    <x v="1"/>
    <x v="0"/>
    <x v="4"/>
    <n v="58.07"/>
    <n v="9"/>
    <x v="198"/>
    <x v="2"/>
    <n v="4.3"/>
  </r>
  <r>
    <x v="106"/>
    <x v="1"/>
    <x v="1"/>
    <x v="0"/>
    <x v="0"/>
    <n v="51.28"/>
    <n v="6"/>
    <x v="199"/>
    <x v="1"/>
    <n v="6.5"/>
  </r>
  <r>
    <x v="106"/>
    <x v="0"/>
    <x v="0"/>
    <x v="1"/>
    <x v="2"/>
    <n v="82.93"/>
    <n v="4"/>
    <x v="200"/>
    <x v="2"/>
    <n v="9.6"/>
  </r>
  <r>
    <x v="106"/>
    <x v="2"/>
    <x v="0"/>
    <x v="1"/>
    <x v="3"/>
    <n v="63.88"/>
    <n v="8"/>
    <x v="208"/>
    <x v="2"/>
    <n v="9.9"/>
  </r>
  <r>
    <x v="106"/>
    <x v="2"/>
    <x v="1"/>
    <x v="0"/>
    <x v="4"/>
    <n v="89.25"/>
    <n v="8"/>
    <x v="209"/>
    <x v="1"/>
    <n v="4.7"/>
  </r>
  <r>
    <x v="106"/>
    <x v="0"/>
    <x v="1"/>
    <x v="1"/>
    <x v="4"/>
    <n v="73.22"/>
    <n v="6"/>
    <x v="210"/>
    <x v="1"/>
    <n v="7.2"/>
  </r>
  <r>
    <x v="106"/>
    <x v="0"/>
    <x v="1"/>
    <x v="1"/>
    <x v="5"/>
    <n v="99.19"/>
    <n v="6"/>
    <x v="211"/>
    <x v="0"/>
    <n v="5.5"/>
  </r>
  <r>
    <x v="106"/>
    <x v="1"/>
    <x v="1"/>
    <x v="1"/>
    <x v="5"/>
    <n v="53.17"/>
    <n v="7"/>
    <x v="212"/>
    <x v="1"/>
    <n v="8.9"/>
  </r>
  <r>
    <x v="106"/>
    <x v="2"/>
    <x v="0"/>
    <x v="0"/>
    <x v="2"/>
    <n v="98.13"/>
    <n v="1"/>
    <x v="213"/>
    <x v="1"/>
    <n v="8.9"/>
  </r>
  <r>
    <x v="106"/>
    <x v="1"/>
    <x v="1"/>
    <x v="1"/>
    <x v="0"/>
    <n v="36.36"/>
    <n v="2"/>
    <x v="214"/>
    <x v="1"/>
    <n v="7.1"/>
  </r>
  <r>
    <x v="107"/>
    <x v="2"/>
    <x v="1"/>
    <x v="1"/>
    <x v="3"/>
    <n v="86.68"/>
    <n v="8"/>
    <x v="243"/>
    <x v="0"/>
    <n v="7.2"/>
  </r>
  <r>
    <x v="107"/>
    <x v="1"/>
    <x v="1"/>
    <x v="1"/>
    <x v="1"/>
    <n v="48.62"/>
    <n v="8"/>
    <x v="244"/>
    <x v="1"/>
    <n v="5"/>
  </r>
  <r>
    <x v="107"/>
    <x v="1"/>
    <x v="1"/>
    <x v="1"/>
    <x v="4"/>
    <n v="60.87"/>
    <n v="1"/>
    <x v="245"/>
    <x v="1"/>
    <n v="5.5"/>
  </r>
  <r>
    <x v="107"/>
    <x v="2"/>
    <x v="0"/>
    <x v="1"/>
    <x v="4"/>
    <n v="73.28"/>
    <n v="5"/>
    <x v="246"/>
    <x v="2"/>
    <n v="8.4"/>
  </r>
  <r>
    <x v="107"/>
    <x v="1"/>
    <x v="0"/>
    <x v="1"/>
    <x v="5"/>
    <n v="77.5"/>
    <n v="5"/>
    <x v="247"/>
    <x v="2"/>
    <n v="4.3"/>
  </r>
  <r>
    <x v="107"/>
    <x v="2"/>
    <x v="1"/>
    <x v="1"/>
    <x v="1"/>
    <n v="75.88"/>
    <n v="7"/>
    <x v="254"/>
    <x v="2"/>
    <n v="8.9"/>
  </r>
  <r>
    <x v="107"/>
    <x v="0"/>
    <x v="1"/>
    <x v="0"/>
    <x v="3"/>
    <n v="60.96"/>
    <n v="2"/>
    <x v="255"/>
    <x v="0"/>
    <n v="4.9000000000000004"/>
  </r>
  <r>
    <x v="107"/>
    <x v="2"/>
    <x v="1"/>
    <x v="1"/>
    <x v="0"/>
    <n v="48.51"/>
    <n v="7"/>
    <x v="256"/>
    <x v="0"/>
    <n v="5.2"/>
  </r>
  <r>
    <x v="107"/>
    <x v="0"/>
    <x v="0"/>
    <x v="1"/>
    <x v="4"/>
    <n v="60.01"/>
    <n v="4"/>
    <x v="257"/>
    <x v="1"/>
    <n v="4.5"/>
  </r>
  <r>
    <x v="107"/>
    <x v="0"/>
    <x v="0"/>
    <x v="0"/>
    <x v="5"/>
    <n v="96.11"/>
    <n v="1"/>
    <x v="258"/>
    <x v="2"/>
    <n v="7.8"/>
  </r>
  <r>
    <x v="107"/>
    <x v="0"/>
    <x v="0"/>
    <x v="1"/>
    <x v="5"/>
    <n v="51.13"/>
    <n v="4"/>
    <x v="259"/>
    <x v="0"/>
    <n v="4"/>
  </r>
  <r>
    <x v="108"/>
    <x v="2"/>
    <x v="0"/>
    <x v="1"/>
    <x v="5"/>
    <n v="58.22"/>
    <n v="8"/>
    <x v="295"/>
    <x v="2"/>
    <n v="8.4"/>
  </r>
  <r>
    <x v="108"/>
    <x v="1"/>
    <x v="0"/>
    <x v="0"/>
    <x v="2"/>
    <n v="32.25"/>
    <n v="5"/>
    <x v="296"/>
    <x v="1"/>
    <n v="9"/>
  </r>
  <r>
    <x v="108"/>
    <x v="1"/>
    <x v="1"/>
    <x v="0"/>
    <x v="5"/>
    <n v="96.16"/>
    <n v="4"/>
    <x v="297"/>
    <x v="0"/>
    <n v="8.4"/>
  </r>
  <r>
    <x v="108"/>
    <x v="1"/>
    <x v="1"/>
    <x v="0"/>
    <x v="4"/>
    <n v="69.400000000000006"/>
    <n v="2"/>
    <x v="298"/>
    <x v="2"/>
    <n v="9"/>
  </r>
  <r>
    <x v="108"/>
    <x v="1"/>
    <x v="0"/>
    <x v="0"/>
    <x v="4"/>
    <n v="12.03"/>
    <n v="2"/>
    <x v="299"/>
    <x v="1"/>
    <n v="5.0999999999999996"/>
  </r>
  <r>
    <x v="108"/>
    <x v="0"/>
    <x v="1"/>
    <x v="0"/>
    <x v="0"/>
    <n v="81.709999999999994"/>
    <n v="6"/>
    <x v="300"/>
    <x v="0"/>
    <n v="8"/>
  </r>
  <r>
    <x v="108"/>
    <x v="1"/>
    <x v="0"/>
    <x v="0"/>
    <x v="5"/>
    <n v="19.149999999999999"/>
    <n v="1"/>
    <x v="305"/>
    <x v="0"/>
    <n v="9.5"/>
  </r>
  <r>
    <x v="108"/>
    <x v="2"/>
    <x v="1"/>
    <x v="0"/>
    <x v="2"/>
    <n v="80.97"/>
    <n v="8"/>
    <x v="306"/>
    <x v="1"/>
    <n v="9.3000000000000007"/>
  </r>
  <r>
    <x v="108"/>
    <x v="1"/>
    <x v="1"/>
    <x v="0"/>
    <x v="0"/>
    <n v="11.53"/>
    <n v="7"/>
    <x v="307"/>
    <x v="1"/>
    <n v="8.1"/>
  </r>
  <r>
    <x v="108"/>
    <x v="0"/>
    <x v="1"/>
    <x v="1"/>
    <x v="3"/>
    <n v="23.82"/>
    <n v="5"/>
    <x v="308"/>
    <x v="2"/>
    <n v="5.4"/>
  </r>
  <r>
    <x v="109"/>
    <x v="1"/>
    <x v="1"/>
    <x v="1"/>
    <x v="3"/>
    <n v="83.24"/>
    <n v="9"/>
    <x v="328"/>
    <x v="0"/>
    <n v="7.4"/>
  </r>
  <r>
    <x v="109"/>
    <x v="2"/>
    <x v="0"/>
    <x v="0"/>
    <x v="4"/>
    <n v="22.96"/>
    <n v="1"/>
    <x v="329"/>
    <x v="1"/>
    <n v="4.3"/>
  </r>
  <r>
    <x v="109"/>
    <x v="1"/>
    <x v="1"/>
    <x v="1"/>
    <x v="1"/>
    <n v="23.65"/>
    <n v="4"/>
    <x v="330"/>
    <x v="0"/>
    <n v="4"/>
  </r>
  <r>
    <x v="109"/>
    <x v="0"/>
    <x v="1"/>
    <x v="0"/>
    <x v="1"/>
    <n v="93.78"/>
    <n v="3"/>
    <x v="331"/>
    <x v="0"/>
    <n v="5.9"/>
  </r>
  <r>
    <x v="109"/>
    <x v="1"/>
    <x v="0"/>
    <x v="0"/>
    <x v="0"/>
    <n v="98.52"/>
    <n v="10"/>
    <x v="332"/>
    <x v="2"/>
    <n v="4.5"/>
  </r>
  <r>
    <x v="109"/>
    <x v="0"/>
    <x v="0"/>
    <x v="1"/>
    <x v="2"/>
    <n v="22.38"/>
    <n v="1"/>
    <x v="333"/>
    <x v="0"/>
    <n v="8.6"/>
  </r>
  <r>
    <x v="109"/>
    <x v="2"/>
    <x v="0"/>
    <x v="0"/>
    <x v="0"/>
    <n v="97.03"/>
    <n v="5"/>
    <x v="334"/>
    <x v="2"/>
    <n v="9.3000000000000007"/>
  </r>
  <r>
    <x v="109"/>
    <x v="1"/>
    <x v="0"/>
    <x v="0"/>
    <x v="1"/>
    <n v="72.13"/>
    <n v="10"/>
    <x v="341"/>
    <x v="0"/>
    <n v="4.2"/>
  </r>
  <r>
    <x v="109"/>
    <x v="1"/>
    <x v="1"/>
    <x v="1"/>
    <x v="3"/>
    <n v="51.34"/>
    <n v="8"/>
    <x v="342"/>
    <x v="2"/>
    <n v="7.6"/>
  </r>
  <r>
    <x v="109"/>
    <x v="0"/>
    <x v="1"/>
    <x v="0"/>
    <x v="2"/>
    <n v="75.819999999999993"/>
    <n v="1"/>
    <x v="343"/>
    <x v="1"/>
    <n v="5.8"/>
  </r>
  <r>
    <x v="109"/>
    <x v="1"/>
    <x v="1"/>
    <x v="0"/>
    <x v="3"/>
    <n v="62.18"/>
    <n v="10"/>
    <x v="344"/>
    <x v="2"/>
    <n v="6"/>
  </r>
  <r>
    <x v="109"/>
    <x v="2"/>
    <x v="0"/>
    <x v="1"/>
    <x v="1"/>
    <n v="37.06"/>
    <n v="4"/>
    <x v="345"/>
    <x v="2"/>
    <n v="9.6999999999999993"/>
  </r>
  <r>
    <x v="109"/>
    <x v="1"/>
    <x v="0"/>
    <x v="1"/>
    <x v="2"/>
    <n v="79.930000000000007"/>
    <n v="6"/>
    <x v="346"/>
    <x v="1"/>
    <n v="5.5"/>
  </r>
  <r>
    <x v="109"/>
    <x v="0"/>
    <x v="1"/>
    <x v="0"/>
    <x v="1"/>
    <n v="87.87"/>
    <n v="9"/>
    <x v="347"/>
    <x v="2"/>
    <n v="5.6"/>
  </r>
  <r>
    <x v="110"/>
    <x v="0"/>
    <x v="1"/>
    <x v="1"/>
    <x v="0"/>
    <n v="14.87"/>
    <n v="2"/>
    <x v="497"/>
    <x v="0"/>
    <n v="8.9"/>
  </r>
  <r>
    <x v="110"/>
    <x v="0"/>
    <x v="0"/>
    <x v="1"/>
    <x v="1"/>
    <n v="32.25"/>
    <n v="4"/>
    <x v="498"/>
    <x v="2"/>
    <n v="6.5"/>
  </r>
  <r>
    <x v="110"/>
    <x v="2"/>
    <x v="1"/>
    <x v="0"/>
    <x v="2"/>
    <n v="13.69"/>
    <n v="6"/>
    <x v="499"/>
    <x v="1"/>
    <n v="6.3"/>
  </r>
  <r>
    <x v="110"/>
    <x v="2"/>
    <x v="1"/>
    <x v="1"/>
    <x v="5"/>
    <n v="91.3"/>
    <n v="1"/>
    <x v="500"/>
    <x v="2"/>
    <n v="9.1999999999999993"/>
  </r>
  <r>
    <x v="110"/>
    <x v="2"/>
    <x v="0"/>
    <x v="0"/>
    <x v="2"/>
    <n v="44.65"/>
    <n v="3"/>
    <x v="501"/>
    <x v="1"/>
    <n v="6.2"/>
  </r>
  <r>
    <x v="110"/>
    <x v="2"/>
    <x v="0"/>
    <x v="1"/>
    <x v="5"/>
    <n v="75.739999999999995"/>
    <n v="4"/>
    <x v="502"/>
    <x v="1"/>
    <n v="7.6"/>
  </r>
  <r>
    <x v="110"/>
    <x v="0"/>
    <x v="0"/>
    <x v="0"/>
    <x v="2"/>
    <n v="60.08"/>
    <n v="7"/>
    <x v="503"/>
    <x v="0"/>
    <n v="4.5"/>
  </r>
  <r>
    <x v="110"/>
    <x v="1"/>
    <x v="0"/>
    <x v="0"/>
    <x v="0"/>
    <n v="27.66"/>
    <n v="10"/>
    <x v="504"/>
    <x v="0"/>
    <n v="8.9"/>
  </r>
  <r>
    <x v="110"/>
    <x v="0"/>
    <x v="0"/>
    <x v="0"/>
    <x v="0"/>
    <n v="99.37"/>
    <n v="2"/>
    <x v="505"/>
    <x v="1"/>
    <n v="5.2"/>
  </r>
  <r>
    <x v="110"/>
    <x v="1"/>
    <x v="1"/>
    <x v="0"/>
    <x v="5"/>
    <n v="58.32"/>
    <n v="2"/>
    <x v="506"/>
    <x v="2"/>
    <n v="6"/>
  </r>
  <r>
    <x v="110"/>
    <x v="2"/>
    <x v="1"/>
    <x v="0"/>
    <x v="5"/>
    <n v="76.900000000000006"/>
    <n v="7"/>
    <x v="513"/>
    <x v="1"/>
    <n v="7.7"/>
  </r>
  <r>
    <x v="110"/>
    <x v="1"/>
    <x v="1"/>
    <x v="0"/>
    <x v="0"/>
    <n v="77.400000000000006"/>
    <n v="9"/>
    <x v="514"/>
    <x v="0"/>
    <n v="4.5"/>
  </r>
  <r>
    <x v="110"/>
    <x v="2"/>
    <x v="1"/>
    <x v="1"/>
    <x v="0"/>
    <n v="67.099999999999994"/>
    <n v="3"/>
    <x v="515"/>
    <x v="1"/>
    <n v="7.5"/>
  </r>
  <r>
    <x v="110"/>
    <x v="2"/>
    <x v="1"/>
    <x v="0"/>
    <x v="5"/>
    <n v="33.64"/>
    <n v="8"/>
    <x v="516"/>
    <x v="0"/>
    <n v="9.3000000000000007"/>
  </r>
  <r>
    <x v="110"/>
    <x v="0"/>
    <x v="1"/>
    <x v="0"/>
    <x v="5"/>
    <n v="68.55"/>
    <n v="4"/>
    <x v="517"/>
    <x v="0"/>
    <n v="9.1999999999999993"/>
  </r>
  <r>
    <x v="110"/>
    <x v="1"/>
    <x v="0"/>
    <x v="0"/>
    <x v="2"/>
    <n v="24.74"/>
    <n v="3"/>
    <x v="518"/>
    <x v="0"/>
    <n v="10"/>
  </r>
  <r>
    <x v="111"/>
    <x v="0"/>
    <x v="1"/>
    <x v="0"/>
    <x v="0"/>
    <n v="26.43"/>
    <n v="8"/>
    <x v="601"/>
    <x v="2"/>
    <n v="8.9"/>
  </r>
  <r>
    <x v="111"/>
    <x v="0"/>
    <x v="1"/>
    <x v="0"/>
    <x v="3"/>
    <n v="83.77"/>
    <n v="2"/>
    <x v="145"/>
    <x v="1"/>
    <n v="4.5999999999999996"/>
  </r>
  <r>
    <x v="111"/>
    <x v="1"/>
    <x v="1"/>
    <x v="1"/>
    <x v="3"/>
    <n v="94.13"/>
    <n v="5"/>
    <x v="607"/>
    <x v="0"/>
    <n v="4.8"/>
  </r>
  <r>
    <x v="111"/>
    <x v="0"/>
    <x v="1"/>
    <x v="0"/>
    <x v="0"/>
    <n v="94.13"/>
    <n v="3"/>
    <x v="991"/>
    <x v="1"/>
    <n v="5.8"/>
  </r>
  <r>
    <x v="111"/>
    <x v="0"/>
    <x v="0"/>
    <x v="0"/>
    <x v="0"/>
    <n v="48.61"/>
    <n v="1"/>
    <x v="611"/>
    <x v="1"/>
    <n v="4.4000000000000004"/>
  </r>
  <r>
    <x v="111"/>
    <x v="2"/>
    <x v="0"/>
    <x v="0"/>
    <x v="5"/>
    <n v="62.57"/>
    <n v="4"/>
    <x v="614"/>
    <x v="1"/>
    <n v="9.5"/>
  </r>
  <r>
    <x v="111"/>
    <x v="1"/>
    <x v="0"/>
    <x v="0"/>
    <x v="3"/>
    <n v="73.05"/>
    <n v="4"/>
    <x v="616"/>
    <x v="0"/>
    <n v="4.9000000000000004"/>
  </r>
  <r>
    <x v="111"/>
    <x v="1"/>
    <x v="0"/>
    <x v="0"/>
    <x v="5"/>
    <n v="65.180000000000007"/>
    <n v="3"/>
    <x v="618"/>
    <x v="0"/>
    <n v="6.3"/>
  </r>
  <r>
    <x v="111"/>
    <x v="0"/>
    <x v="0"/>
    <x v="1"/>
    <x v="3"/>
    <n v="99.89"/>
    <n v="2"/>
    <x v="626"/>
    <x v="2"/>
    <n v="7.1"/>
  </r>
  <r>
    <x v="111"/>
    <x v="0"/>
    <x v="0"/>
    <x v="0"/>
    <x v="3"/>
    <n v="55.45"/>
    <n v="1"/>
    <x v="629"/>
    <x v="0"/>
    <n v="4.9000000000000004"/>
  </r>
  <r>
    <x v="111"/>
    <x v="1"/>
    <x v="1"/>
    <x v="0"/>
    <x v="5"/>
    <n v="56.69"/>
    <n v="9"/>
    <x v="631"/>
    <x v="0"/>
    <n v="8.4"/>
  </r>
  <r>
    <x v="111"/>
    <x v="0"/>
    <x v="0"/>
    <x v="1"/>
    <x v="5"/>
    <n v="67.27"/>
    <n v="5"/>
    <x v="632"/>
    <x v="1"/>
    <n v="6.9"/>
  </r>
  <r>
    <x v="111"/>
    <x v="0"/>
    <x v="1"/>
    <x v="0"/>
    <x v="3"/>
    <n v="19.77"/>
    <n v="10"/>
    <x v="633"/>
    <x v="0"/>
    <n v="5"/>
  </r>
  <r>
    <x v="112"/>
    <x v="0"/>
    <x v="1"/>
    <x v="0"/>
    <x v="3"/>
    <n v="52.42"/>
    <n v="3"/>
    <x v="643"/>
    <x v="2"/>
    <n v="7.5"/>
  </r>
  <r>
    <x v="112"/>
    <x v="2"/>
    <x v="1"/>
    <x v="0"/>
    <x v="0"/>
    <n v="74.44"/>
    <n v="10"/>
    <x v="644"/>
    <x v="2"/>
    <n v="5.0999999999999996"/>
  </r>
  <r>
    <x v="112"/>
    <x v="1"/>
    <x v="1"/>
    <x v="0"/>
    <x v="3"/>
    <n v="41.09"/>
    <n v="10"/>
    <x v="645"/>
    <x v="1"/>
    <n v="7.3"/>
  </r>
  <r>
    <x v="112"/>
    <x v="1"/>
    <x v="0"/>
    <x v="0"/>
    <x v="5"/>
    <n v="56"/>
    <n v="3"/>
    <x v="646"/>
    <x v="2"/>
    <n v="4.8"/>
  </r>
  <r>
    <x v="112"/>
    <x v="2"/>
    <x v="0"/>
    <x v="1"/>
    <x v="0"/>
    <n v="80.62"/>
    <n v="6"/>
    <x v="648"/>
    <x v="1"/>
    <n v="9.1"/>
  </r>
  <r>
    <x v="112"/>
    <x v="0"/>
    <x v="1"/>
    <x v="0"/>
    <x v="3"/>
    <n v="93.2"/>
    <n v="2"/>
    <x v="649"/>
    <x v="0"/>
    <n v="6"/>
  </r>
  <r>
    <x v="112"/>
    <x v="2"/>
    <x v="0"/>
    <x v="1"/>
    <x v="0"/>
    <n v="74.89"/>
    <n v="4"/>
    <x v="652"/>
    <x v="2"/>
    <n v="4.2"/>
  </r>
  <r>
    <x v="112"/>
    <x v="2"/>
    <x v="1"/>
    <x v="1"/>
    <x v="4"/>
    <n v="34.729999999999997"/>
    <n v="2"/>
    <x v="656"/>
    <x v="2"/>
    <n v="9.6999999999999993"/>
  </r>
  <r>
    <x v="112"/>
    <x v="0"/>
    <x v="1"/>
    <x v="1"/>
    <x v="2"/>
    <n v="54.55"/>
    <n v="10"/>
    <x v="662"/>
    <x v="0"/>
    <n v="7.1"/>
  </r>
  <r>
    <x v="112"/>
    <x v="0"/>
    <x v="0"/>
    <x v="0"/>
    <x v="2"/>
    <n v="39.47"/>
    <n v="2"/>
    <x v="663"/>
    <x v="0"/>
    <n v="5"/>
  </r>
  <r>
    <x v="113"/>
    <x v="0"/>
    <x v="1"/>
    <x v="1"/>
    <x v="5"/>
    <n v="10.75"/>
    <n v="8"/>
    <x v="832"/>
    <x v="2"/>
    <n v="6.2"/>
  </r>
  <r>
    <x v="113"/>
    <x v="2"/>
    <x v="0"/>
    <x v="1"/>
    <x v="5"/>
    <n v="96.58"/>
    <n v="2"/>
    <x v="839"/>
    <x v="0"/>
    <n v="5.0999999999999996"/>
  </r>
  <r>
    <x v="113"/>
    <x v="1"/>
    <x v="1"/>
    <x v="1"/>
    <x v="5"/>
    <n v="92.78"/>
    <n v="1"/>
    <x v="840"/>
    <x v="0"/>
    <n v="9.8000000000000007"/>
  </r>
  <r>
    <x v="113"/>
    <x v="0"/>
    <x v="1"/>
    <x v="0"/>
    <x v="0"/>
    <n v="87.8"/>
    <n v="9"/>
    <x v="842"/>
    <x v="1"/>
    <n v="9.1999999999999993"/>
  </r>
  <r>
    <x v="113"/>
    <x v="0"/>
    <x v="0"/>
    <x v="1"/>
    <x v="0"/>
    <n v="63.61"/>
    <n v="5"/>
    <x v="843"/>
    <x v="2"/>
    <n v="4.8"/>
  </r>
  <r>
    <x v="113"/>
    <x v="2"/>
    <x v="1"/>
    <x v="1"/>
    <x v="5"/>
    <n v="15.37"/>
    <n v="2"/>
    <x v="844"/>
    <x v="1"/>
    <n v="7.2"/>
  </r>
  <r>
    <x v="113"/>
    <x v="1"/>
    <x v="0"/>
    <x v="0"/>
    <x v="0"/>
    <n v="91.61"/>
    <n v="1"/>
    <x v="885"/>
    <x v="1"/>
    <n v="9.8000000000000007"/>
  </r>
  <r>
    <x v="113"/>
    <x v="0"/>
    <x v="1"/>
    <x v="1"/>
    <x v="0"/>
    <n v="43.25"/>
    <n v="2"/>
    <x v="891"/>
    <x v="1"/>
    <n v="6.2"/>
  </r>
  <r>
    <x v="113"/>
    <x v="2"/>
    <x v="0"/>
    <x v="0"/>
    <x v="0"/>
    <n v="57.29"/>
    <n v="6"/>
    <x v="899"/>
    <x v="2"/>
    <n v="5.9"/>
  </r>
  <r>
    <x v="113"/>
    <x v="1"/>
    <x v="1"/>
    <x v="1"/>
    <x v="0"/>
    <n v="56.56"/>
    <n v="5"/>
    <x v="902"/>
    <x v="0"/>
    <n v="4.5"/>
  </r>
  <r>
    <x v="113"/>
    <x v="0"/>
    <x v="0"/>
    <x v="0"/>
    <x v="0"/>
    <n v="52.75"/>
    <n v="3"/>
    <x v="910"/>
    <x v="2"/>
    <n v="9.3000000000000007"/>
  </r>
  <r>
    <x v="113"/>
    <x v="0"/>
    <x v="0"/>
    <x v="1"/>
    <x v="5"/>
    <n v="54.92"/>
    <n v="8"/>
    <x v="916"/>
    <x v="2"/>
    <n v="7.6"/>
  </r>
  <r>
    <x v="114"/>
    <x v="2"/>
    <x v="0"/>
    <x v="0"/>
    <x v="5"/>
    <n v="21.8"/>
    <n v="8"/>
    <x v="559"/>
    <x v="1"/>
    <n v="8.3000000000000007"/>
  </r>
  <r>
    <x v="114"/>
    <x v="0"/>
    <x v="1"/>
    <x v="0"/>
    <x v="2"/>
    <n v="64.08"/>
    <n v="7"/>
    <x v="207"/>
    <x v="0"/>
    <n v="7.3"/>
  </r>
  <r>
    <x v="114"/>
    <x v="1"/>
    <x v="0"/>
    <x v="1"/>
    <x v="0"/>
    <n v="41.24"/>
    <n v="4"/>
    <x v="561"/>
    <x v="1"/>
    <n v="7.1"/>
  </r>
  <r>
    <x v="114"/>
    <x v="2"/>
    <x v="0"/>
    <x v="0"/>
    <x v="0"/>
    <n v="54.84"/>
    <n v="3"/>
    <x v="563"/>
    <x v="0"/>
    <n v="5.9"/>
  </r>
  <r>
    <x v="114"/>
    <x v="2"/>
    <x v="1"/>
    <x v="1"/>
    <x v="0"/>
    <n v="39.9"/>
    <n v="10"/>
    <x v="564"/>
    <x v="0"/>
    <n v="5.9"/>
  </r>
  <r>
    <x v="114"/>
    <x v="2"/>
    <x v="0"/>
    <x v="1"/>
    <x v="0"/>
    <n v="92.29"/>
    <n v="5"/>
    <x v="569"/>
    <x v="0"/>
    <n v="9"/>
  </r>
  <r>
    <x v="114"/>
    <x v="0"/>
    <x v="0"/>
    <x v="1"/>
    <x v="0"/>
    <n v="57.74"/>
    <n v="3"/>
    <x v="570"/>
    <x v="2"/>
    <n v="7.7"/>
  </r>
  <r>
    <x v="114"/>
    <x v="0"/>
    <x v="1"/>
    <x v="1"/>
    <x v="5"/>
    <n v="66.680000000000007"/>
    <n v="5"/>
    <x v="571"/>
    <x v="1"/>
    <n v="7.6"/>
  </r>
  <r>
    <x v="114"/>
    <x v="1"/>
    <x v="0"/>
    <x v="0"/>
    <x v="5"/>
    <n v="32.32"/>
    <n v="10"/>
    <x v="572"/>
    <x v="0"/>
    <n v="10"/>
  </r>
  <r>
    <x v="115"/>
    <x v="1"/>
    <x v="0"/>
    <x v="0"/>
    <x v="5"/>
    <n v="17.97"/>
    <n v="4"/>
    <x v="591"/>
    <x v="2"/>
    <n v="6.4"/>
  </r>
  <r>
    <x v="115"/>
    <x v="1"/>
    <x v="1"/>
    <x v="1"/>
    <x v="0"/>
    <n v="98.79"/>
    <n v="3"/>
    <x v="593"/>
    <x v="2"/>
    <n v="6.4"/>
  </r>
  <r>
    <x v="115"/>
    <x v="1"/>
    <x v="0"/>
    <x v="0"/>
    <x v="2"/>
    <n v="58.39"/>
    <n v="7"/>
    <x v="594"/>
    <x v="0"/>
    <n v="8.1999999999999993"/>
  </r>
  <r>
    <x v="115"/>
    <x v="0"/>
    <x v="1"/>
    <x v="1"/>
    <x v="0"/>
    <n v="73.47"/>
    <n v="4"/>
    <x v="596"/>
    <x v="1"/>
    <n v="6"/>
  </r>
  <r>
    <x v="115"/>
    <x v="2"/>
    <x v="0"/>
    <x v="0"/>
    <x v="0"/>
    <n v="80.36"/>
    <n v="4"/>
    <x v="597"/>
    <x v="0"/>
    <n v="8.3000000000000007"/>
  </r>
  <r>
    <x v="115"/>
    <x v="1"/>
    <x v="1"/>
    <x v="1"/>
    <x v="4"/>
    <n v="55.73"/>
    <n v="6"/>
    <x v="598"/>
    <x v="2"/>
    <n v="7"/>
  </r>
  <r>
    <x v="115"/>
    <x v="2"/>
    <x v="0"/>
    <x v="0"/>
    <x v="2"/>
    <n v="91.41"/>
    <n v="5"/>
    <x v="606"/>
    <x v="2"/>
    <n v="7.1"/>
  </r>
  <r>
    <x v="115"/>
    <x v="1"/>
    <x v="0"/>
    <x v="0"/>
    <x v="0"/>
    <n v="94.13"/>
    <n v="3"/>
    <x v="991"/>
    <x v="1"/>
    <n v="5.8"/>
  </r>
  <r>
    <x v="115"/>
    <x v="0"/>
    <x v="1"/>
    <x v="0"/>
    <x v="4"/>
    <n v="82.04"/>
    <n v="5"/>
    <x v="610"/>
    <x v="0"/>
    <n v="7.6"/>
  </r>
  <r>
    <x v="115"/>
    <x v="1"/>
    <x v="1"/>
    <x v="0"/>
    <x v="0"/>
    <n v="48.61"/>
    <n v="1"/>
    <x v="611"/>
    <x v="1"/>
    <n v="4.4000000000000004"/>
  </r>
  <r>
    <x v="115"/>
    <x v="0"/>
    <x v="1"/>
    <x v="0"/>
    <x v="2"/>
    <n v="88.45"/>
    <n v="1"/>
    <x v="613"/>
    <x v="0"/>
    <n v="9.5"/>
  </r>
  <r>
    <x v="116"/>
    <x v="1"/>
    <x v="0"/>
    <x v="1"/>
    <x v="0"/>
    <n v="81.209999999999994"/>
    <n v="10"/>
    <x v="165"/>
    <x v="0"/>
    <n v="6.3"/>
  </r>
  <r>
    <x v="116"/>
    <x v="1"/>
    <x v="0"/>
    <x v="1"/>
    <x v="0"/>
    <n v="57.89"/>
    <n v="2"/>
    <x v="166"/>
    <x v="2"/>
    <n v="8.9"/>
  </r>
  <r>
    <x v="116"/>
    <x v="1"/>
    <x v="1"/>
    <x v="1"/>
    <x v="4"/>
    <n v="21.52"/>
    <n v="6"/>
    <x v="167"/>
    <x v="0"/>
    <n v="9.4"/>
  </r>
  <r>
    <x v="116"/>
    <x v="1"/>
    <x v="1"/>
    <x v="0"/>
    <x v="4"/>
    <n v="94.59"/>
    <n v="7"/>
    <x v="168"/>
    <x v="0"/>
    <n v="4.9000000000000004"/>
  </r>
  <r>
    <x v="116"/>
    <x v="0"/>
    <x v="1"/>
    <x v="1"/>
    <x v="5"/>
    <n v="62.82"/>
    <n v="2"/>
    <x v="169"/>
    <x v="2"/>
    <n v="4.9000000000000004"/>
  </r>
  <r>
    <x v="116"/>
    <x v="2"/>
    <x v="0"/>
    <x v="1"/>
    <x v="0"/>
    <n v="65.650000000000006"/>
    <n v="2"/>
    <x v="170"/>
    <x v="1"/>
    <n v="6"/>
  </r>
  <r>
    <x v="116"/>
    <x v="0"/>
    <x v="0"/>
    <x v="1"/>
    <x v="4"/>
    <n v="86.72"/>
    <n v="1"/>
    <x v="173"/>
    <x v="2"/>
    <n v="7.9"/>
  </r>
  <r>
    <x v="116"/>
    <x v="1"/>
    <x v="1"/>
    <x v="0"/>
    <x v="3"/>
    <n v="88.15"/>
    <n v="3"/>
    <x v="175"/>
    <x v="2"/>
    <n v="7.9"/>
  </r>
  <r>
    <x v="116"/>
    <x v="1"/>
    <x v="1"/>
    <x v="1"/>
    <x v="3"/>
    <n v="17.48"/>
    <n v="6"/>
    <x v="183"/>
    <x v="0"/>
    <n v="6.1"/>
  </r>
  <r>
    <x v="116"/>
    <x v="0"/>
    <x v="1"/>
    <x v="1"/>
    <x v="3"/>
    <n v="99.1"/>
    <n v="6"/>
    <x v="186"/>
    <x v="1"/>
    <n v="4.2"/>
  </r>
  <r>
    <x v="116"/>
    <x v="2"/>
    <x v="0"/>
    <x v="1"/>
    <x v="4"/>
    <n v="45.68"/>
    <n v="10"/>
    <x v="189"/>
    <x v="2"/>
    <n v="5.7"/>
  </r>
  <r>
    <x v="117"/>
    <x v="2"/>
    <x v="0"/>
    <x v="0"/>
    <x v="0"/>
    <n v="87.1"/>
    <n v="10"/>
    <x v="485"/>
    <x v="0"/>
    <n v="9.9"/>
  </r>
  <r>
    <x v="117"/>
    <x v="1"/>
    <x v="0"/>
    <x v="0"/>
    <x v="3"/>
    <n v="52.35"/>
    <n v="1"/>
    <x v="486"/>
    <x v="1"/>
    <n v="4"/>
  </r>
  <r>
    <x v="117"/>
    <x v="1"/>
    <x v="1"/>
    <x v="1"/>
    <x v="3"/>
    <n v="94.87"/>
    <n v="8"/>
    <x v="487"/>
    <x v="2"/>
    <n v="8.6999999999999993"/>
  </r>
  <r>
    <x v="117"/>
    <x v="0"/>
    <x v="0"/>
    <x v="0"/>
    <x v="3"/>
    <n v="92.98"/>
    <n v="2"/>
    <x v="494"/>
    <x v="0"/>
    <n v="8"/>
  </r>
  <r>
    <x v="117"/>
    <x v="1"/>
    <x v="1"/>
    <x v="1"/>
    <x v="3"/>
    <n v="29.56"/>
    <n v="5"/>
    <x v="495"/>
    <x v="1"/>
    <n v="6.9"/>
  </r>
  <r>
    <x v="117"/>
    <x v="1"/>
    <x v="1"/>
    <x v="0"/>
    <x v="0"/>
    <n v="99.37"/>
    <n v="2"/>
    <x v="505"/>
    <x v="1"/>
    <n v="5.2"/>
  </r>
  <r>
    <x v="117"/>
    <x v="1"/>
    <x v="0"/>
    <x v="0"/>
    <x v="0"/>
    <n v="52.2"/>
    <n v="3"/>
    <x v="509"/>
    <x v="0"/>
    <n v="9.5"/>
  </r>
  <r>
    <x v="117"/>
    <x v="1"/>
    <x v="0"/>
    <x v="1"/>
    <x v="3"/>
    <n v="72.84"/>
    <n v="7"/>
    <x v="511"/>
    <x v="1"/>
    <n v="8.4"/>
  </r>
  <r>
    <x v="118"/>
    <x v="2"/>
    <x v="0"/>
    <x v="1"/>
    <x v="0"/>
    <n v="71.39"/>
    <n v="5"/>
    <x v="544"/>
    <x v="0"/>
    <n v="5.5"/>
  </r>
  <r>
    <x v="118"/>
    <x v="0"/>
    <x v="1"/>
    <x v="0"/>
    <x v="3"/>
    <n v="45.38"/>
    <n v="3"/>
    <x v="547"/>
    <x v="0"/>
    <n v="7.2"/>
  </r>
  <r>
    <x v="118"/>
    <x v="0"/>
    <x v="0"/>
    <x v="1"/>
    <x v="3"/>
    <n v="90.22"/>
    <n v="3"/>
    <x v="549"/>
    <x v="1"/>
    <n v="6.2"/>
  </r>
  <r>
    <x v="118"/>
    <x v="1"/>
    <x v="0"/>
    <x v="0"/>
    <x v="3"/>
    <n v="88.34"/>
    <n v="7"/>
    <x v="552"/>
    <x v="1"/>
    <n v="6.6"/>
  </r>
  <r>
    <x v="118"/>
    <x v="0"/>
    <x v="0"/>
    <x v="1"/>
    <x v="3"/>
    <n v="98.48"/>
    <n v="2"/>
    <x v="555"/>
    <x v="2"/>
    <n v="9.1999999999999993"/>
  </r>
  <r>
    <x v="118"/>
    <x v="2"/>
    <x v="0"/>
    <x v="1"/>
    <x v="0"/>
    <n v="98.66"/>
    <n v="9"/>
    <x v="556"/>
    <x v="1"/>
    <n v="8.4"/>
  </r>
  <r>
    <x v="118"/>
    <x v="2"/>
    <x v="1"/>
    <x v="1"/>
    <x v="0"/>
    <n v="41.24"/>
    <n v="4"/>
    <x v="561"/>
    <x v="1"/>
    <n v="7.1"/>
  </r>
  <r>
    <x v="118"/>
    <x v="0"/>
    <x v="1"/>
    <x v="1"/>
    <x v="3"/>
    <n v="12.54"/>
    <n v="1"/>
    <x v="578"/>
    <x v="1"/>
    <n v="8.1999999999999993"/>
  </r>
  <r>
    <x v="118"/>
    <x v="0"/>
    <x v="1"/>
    <x v="1"/>
    <x v="3"/>
    <n v="39.75"/>
    <n v="5"/>
    <x v="580"/>
    <x v="2"/>
    <n v="9.6"/>
  </r>
  <r>
    <x v="118"/>
    <x v="2"/>
    <x v="0"/>
    <x v="1"/>
    <x v="0"/>
    <n v="30.41"/>
    <n v="1"/>
    <x v="581"/>
    <x v="0"/>
    <n v="8.4"/>
  </r>
  <r>
    <x v="118"/>
    <x v="0"/>
    <x v="0"/>
    <x v="1"/>
    <x v="3"/>
    <n v="17.489999999999998"/>
    <n v="10"/>
    <x v="582"/>
    <x v="2"/>
    <n v="6.6"/>
  </r>
  <r>
    <x v="118"/>
    <x v="0"/>
    <x v="0"/>
    <x v="1"/>
    <x v="0"/>
    <n v="35.89"/>
    <n v="1"/>
    <x v="590"/>
    <x v="0"/>
    <n v="7.9"/>
  </r>
  <r>
    <x v="119"/>
    <x v="0"/>
    <x v="1"/>
    <x v="0"/>
    <x v="0"/>
    <n v="94.13"/>
    <n v="3"/>
    <x v="991"/>
    <x v="1"/>
    <n v="5.8"/>
  </r>
  <r>
    <x v="119"/>
    <x v="0"/>
    <x v="0"/>
    <x v="0"/>
    <x v="0"/>
    <n v="48.61"/>
    <n v="1"/>
    <x v="611"/>
    <x v="1"/>
    <n v="4.4000000000000004"/>
  </r>
  <r>
    <x v="119"/>
    <x v="2"/>
    <x v="0"/>
    <x v="0"/>
    <x v="5"/>
    <n v="62.57"/>
    <n v="4"/>
    <x v="614"/>
    <x v="1"/>
    <n v="9.5"/>
  </r>
  <r>
    <x v="119"/>
    <x v="1"/>
    <x v="0"/>
    <x v="0"/>
    <x v="3"/>
    <n v="73.05"/>
    <n v="4"/>
    <x v="616"/>
    <x v="0"/>
    <n v="4.9000000000000004"/>
  </r>
  <r>
    <x v="119"/>
    <x v="1"/>
    <x v="0"/>
    <x v="0"/>
    <x v="5"/>
    <n v="65.180000000000007"/>
    <n v="3"/>
    <x v="618"/>
    <x v="0"/>
    <n v="6.3"/>
  </r>
  <r>
    <x v="119"/>
    <x v="0"/>
    <x v="1"/>
    <x v="0"/>
    <x v="5"/>
    <n v="42.57"/>
    <n v="8"/>
    <x v="619"/>
    <x v="2"/>
    <n v="5.6"/>
  </r>
  <r>
    <x v="119"/>
    <x v="0"/>
    <x v="0"/>
    <x v="1"/>
    <x v="0"/>
    <n v="62.85"/>
    <n v="4"/>
    <x v="620"/>
    <x v="2"/>
    <n v="8.6999999999999993"/>
  </r>
  <r>
    <x v="119"/>
    <x v="0"/>
    <x v="1"/>
    <x v="1"/>
    <x v="0"/>
    <n v="22.93"/>
    <n v="9"/>
    <x v="622"/>
    <x v="1"/>
    <n v="5.5"/>
  </r>
  <r>
    <x v="119"/>
    <x v="0"/>
    <x v="0"/>
    <x v="1"/>
    <x v="3"/>
    <n v="55.45"/>
    <n v="1"/>
    <x v="629"/>
    <x v="0"/>
    <n v="4.9000000000000004"/>
  </r>
  <r>
    <x v="119"/>
    <x v="0"/>
    <x v="1"/>
    <x v="0"/>
    <x v="5"/>
    <n v="56.69"/>
    <n v="9"/>
    <x v="631"/>
    <x v="0"/>
    <n v="8.4"/>
  </r>
  <r>
    <x v="119"/>
    <x v="0"/>
    <x v="1"/>
    <x v="1"/>
    <x v="5"/>
    <n v="67.27"/>
    <n v="5"/>
    <x v="632"/>
    <x v="1"/>
    <n v="6.9"/>
  </r>
  <r>
    <x v="120"/>
    <x v="0"/>
    <x v="1"/>
    <x v="0"/>
    <x v="5"/>
    <n v="25.43"/>
    <n v="3"/>
    <x v="992"/>
    <x v="0"/>
    <n v="7.1"/>
  </r>
  <r>
    <x v="120"/>
    <x v="0"/>
    <x v="1"/>
    <x v="1"/>
    <x v="3"/>
    <n v="79.86"/>
    <n v="2"/>
    <x v="993"/>
    <x v="1"/>
    <n v="6.2"/>
  </r>
  <r>
    <x v="120"/>
    <x v="0"/>
    <x v="1"/>
    <x v="1"/>
    <x v="0"/>
    <n v="84.63"/>
    <n v="2"/>
    <x v="994"/>
    <x v="2"/>
    <n v="7.2"/>
  </r>
  <r>
    <x v="120"/>
    <x v="0"/>
    <x v="1"/>
    <x v="1"/>
    <x v="0"/>
    <n v="21.12"/>
    <n v="3"/>
    <x v="995"/>
    <x v="2"/>
    <n v="6.9"/>
  </r>
  <r>
    <x v="120"/>
    <x v="0"/>
    <x v="1"/>
    <x v="1"/>
    <x v="2"/>
    <n v="70.19"/>
    <n v="2"/>
    <x v="996"/>
    <x v="0"/>
    <n v="8.1"/>
  </r>
  <r>
    <x v="120"/>
    <x v="2"/>
    <x v="0"/>
    <x v="0"/>
    <x v="0"/>
    <n v="41.66"/>
    <n v="3"/>
    <x v="997"/>
    <x v="1"/>
    <n v="6.8"/>
  </r>
  <r>
    <x v="120"/>
    <x v="2"/>
    <x v="1"/>
    <x v="1"/>
    <x v="0"/>
    <n v="71.2"/>
    <n v="4"/>
    <x v="998"/>
    <x v="0"/>
    <n v="8.3000000000000007"/>
  </r>
  <r>
    <x v="120"/>
    <x v="1"/>
    <x v="1"/>
    <x v="0"/>
    <x v="5"/>
    <n v="91.3"/>
    <n v="1"/>
    <x v="500"/>
    <x v="1"/>
    <n v="7.2"/>
  </r>
  <r>
    <x v="120"/>
    <x v="2"/>
    <x v="1"/>
    <x v="1"/>
    <x v="3"/>
    <n v="89.69"/>
    <n v="3"/>
    <x v="999"/>
    <x v="0"/>
    <n v="5.5"/>
  </r>
  <r>
    <x v="120"/>
    <x v="0"/>
    <x v="1"/>
    <x v="1"/>
    <x v="4"/>
    <n v="16.37"/>
    <n v="3"/>
    <x v="1000"/>
    <x v="1"/>
    <n v="6.3"/>
  </r>
  <r>
    <x v="120"/>
    <x v="0"/>
    <x v="1"/>
    <x v="1"/>
    <x v="5"/>
    <n v="75.739999999999995"/>
    <n v="2"/>
    <x v="1001"/>
    <x v="1"/>
    <n v="8.8000000000000007"/>
  </r>
  <r>
    <x v="120"/>
    <x v="2"/>
    <x v="0"/>
    <x v="0"/>
    <x v="5"/>
    <n v="58.32"/>
    <n v="3"/>
    <x v="1002"/>
    <x v="1"/>
    <n v="6.3"/>
  </r>
  <r>
    <x v="120"/>
    <x v="2"/>
    <x v="1"/>
    <x v="0"/>
    <x v="4"/>
    <n v="45.97"/>
    <n v="3"/>
    <x v="1003"/>
    <x v="0"/>
    <n v="6.8"/>
  </r>
  <r>
    <x v="120"/>
    <x v="0"/>
    <x v="1"/>
    <x v="1"/>
    <x v="0"/>
    <n v="89.48"/>
    <n v="3"/>
    <x v="1004"/>
    <x v="0"/>
    <n v="7.6"/>
  </r>
  <r>
    <x v="120"/>
    <x v="1"/>
    <x v="0"/>
    <x v="1"/>
    <x v="0"/>
    <n v="40.94"/>
    <n v="3"/>
    <x v="1005"/>
    <x v="2"/>
    <n v="8.3000000000000007"/>
  </r>
  <r>
    <x v="120"/>
    <x v="0"/>
    <x v="1"/>
    <x v="0"/>
    <x v="4"/>
    <n v="15.95"/>
    <n v="4"/>
    <x v="1006"/>
    <x v="0"/>
    <n v="7.5"/>
  </r>
  <r>
    <x v="120"/>
    <x v="1"/>
    <x v="1"/>
    <x v="1"/>
    <x v="1"/>
    <n v="63.22"/>
    <n v="1"/>
    <x v="1007"/>
    <x v="2"/>
    <n v="7.2"/>
  </r>
  <r>
    <x v="120"/>
    <x v="2"/>
    <x v="0"/>
    <x v="1"/>
    <x v="0"/>
    <n v="27.22"/>
    <n v="4"/>
    <x v="1008"/>
    <x v="0"/>
    <n v="7.7"/>
  </r>
  <r>
    <x v="120"/>
    <x v="1"/>
    <x v="0"/>
    <x v="0"/>
    <x v="0"/>
    <n v="89.14"/>
    <n v="2"/>
    <x v="1009"/>
    <x v="1"/>
    <n v="8.1"/>
  </r>
  <r>
    <x v="120"/>
    <x v="0"/>
    <x v="1"/>
    <x v="1"/>
    <x v="0"/>
    <n v="33.21"/>
    <n v="2"/>
    <x v="1010"/>
    <x v="2"/>
    <n v="9.8000000000000007"/>
  </r>
  <r>
    <x v="120"/>
    <x v="0"/>
    <x v="1"/>
    <x v="0"/>
    <x v="0"/>
    <n v="68.540000000000006"/>
    <n v="4"/>
    <x v="1011"/>
    <x v="0"/>
    <n v="6.6"/>
  </r>
  <r>
    <x v="120"/>
    <x v="0"/>
    <x v="1"/>
    <x v="0"/>
    <x v="1"/>
    <n v="74.709999999999994"/>
    <n v="1"/>
    <x v="1012"/>
    <x v="2"/>
    <n v="6.6"/>
  </r>
  <r>
    <x v="120"/>
    <x v="0"/>
    <x v="1"/>
    <x v="1"/>
    <x v="0"/>
    <n v="74.599999999999994"/>
    <n v="5"/>
    <x v="1013"/>
    <x v="0"/>
    <n v="6.6"/>
  </r>
  <r>
    <x v="120"/>
    <x v="0"/>
    <x v="1"/>
    <x v="0"/>
    <x v="0"/>
    <n v="24.31"/>
    <n v="5"/>
    <x v="1014"/>
    <x v="1"/>
    <n v="8.5"/>
  </r>
  <r>
    <x v="121"/>
    <x v="2"/>
    <x v="1"/>
    <x v="0"/>
    <x v="0"/>
    <n v="72.88"/>
    <n v="7"/>
    <x v="1015"/>
    <x v="2"/>
    <n v="7.5"/>
  </r>
  <r>
    <x v="121"/>
    <x v="2"/>
    <x v="0"/>
    <x v="0"/>
    <x v="1"/>
    <n v="74.22"/>
    <n v="2"/>
    <x v="1016"/>
    <x v="1"/>
    <n v="5.4"/>
  </r>
  <r>
    <x v="121"/>
    <x v="2"/>
    <x v="1"/>
    <x v="0"/>
    <x v="5"/>
    <n v="76.900000000000006"/>
    <n v="1"/>
    <x v="1017"/>
    <x v="0"/>
    <n v="9.6999999999999993"/>
  </r>
  <r>
    <x v="121"/>
    <x v="0"/>
    <x v="1"/>
    <x v="0"/>
    <x v="0"/>
    <n v="50.49"/>
    <n v="4"/>
    <x v="1018"/>
    <x v="2"/>
    <n v="7.9"/>
  </r>
  <r>
    <x v="121"/>
    <x v="1"/>
    <x v="1"/>
    <x v="1"/>
    <x v="5"/>
    <n v="33.64"/>
    <n v="4"/>
    <x v="1019"/>
    <x v="2"/>
    <n v="7.1"/>
  </r>
  <r>
    <x v="121"/>
    <x v="1"/>
    <x v="1"/>
    <x v="0"/>
    <x v="0"/>
    <n v="24.94"/>
    <n v="3"/>
    <x v="1020"/>
    <x v="1"/>
    <n v="8.5"/>
  </r>
  <r>
    <x v="121"/>
    <x v="2"/>
    <x v="1"/>
    <x v="0"/>
    <x v="5"/>
    <n v="68.55"/>
    <n v="4"/>
    <x v="517"/>
    <x v="1"/>
    <n v="5.9"/>
  </r>
  <r>
    <x v="121"/>
    <x v="0"/>
    <x v="1"/>
    <x v="1"/>
    <x v="4"/>
    <n v="65.91"/>
    <n v="1"/>
    <x v="1021"/>
    <x v="2"/>
    <n v="8.6999999999999993"/>
  </r>
  <r>
    <x v="121"/>
    <x v="0"/>
    <x v="1"/>
    <x v="1"/>
    <x v="4"/>
    <n v="74.069999999999993"/>
    <n v="1"/>
    <x v="468"/>
    <x v="2"/>
    <n v="5.9"/>
  </r>
  <r>
    <x v="121"/>
    <x v="0"/>
    <x v="0"/>
    <x v="1"/>
    <x v="4"/>
    <n v="36.909999999999997"/>
    <n v="4"/>
    <x v="1022"/>
    <x v="0"/>
    <n v="8"/>
  </r>
  <r>
    <x v="121"/>
    <x v="2"/>
    <x v="1"/>
    <x v="0"/>
    <x v="0"/>
    <n v="36.770000000000003"/>
    <n v="5"/>
    <x v="1023"/>
    <x v="1"/>
    <n v="5.5"/>
  </r>
  <r>
    <x v="121"/>
    <x v="1"/>
    <x v="1"/>
    <x v="1"/>
    <x v="0"/>
    <n v="48.5"/>
    <n v="3"/>
    <x v="79"/>
    <x v="2"/>
    <n v="8.1999999999999993"/>
  </r>
  <r>
    <x v="121"/>
    <x v="0"/>
    <x v="1"/>
    <x v="1"/>
    <x v="5"/>
    <n v="15.26"/>
    <n v="3"/>
    <x v="1024"/>
    <x v="2"/>
    <n v="6.7"/>
  </r>
  <r>
    <x v="121"/>
    <x v="0"/>
    <x v="1"/>
    <x v="1"/>
    <x v="4"/>
    <n v="86.69"/>
    <n v="1"/>
    <x v="1025"/>
    <x v="2"/>
    <n v="5.4"/>
  </r>
  <r>
    <x v="121"/>
    <x v="0"/>
    <x v="1"/>
    <x v="0"/>
    <x v="0"/>
    <n v="13.79"/>
    <n v="1"/>
    <x v="1026"/>
    <x v="1"/>
    <n v="7.9"/>
  </r>
  <r>
    <x v="121"/>
    <x v="2"/>
    <x v="1"/>
    <x v="0"/>
    <x v="5"/>
    <n v="57.59"/>
    <n v="3"/>
    <x v="1027"/>
    <x v="1"/>
    <n v="7.8"/>
  </r>
  <r>
    <x v="121"/>
    <x v="0"/>
    <x v="0"/>
    <x v="0"/>
    <x v="3"/>
    <n v="83.25"/>
    <n v="1"/>
    <x v="1028"/>
    <x v="1"/>
    <n v="8.3000000000000007"/>
  </r>
  <r>
    <x v="121"/>
    <x v="0"/>
    <x v="1"/>
    <x v="1"/>
    <x v="1"/>
    <n v="22.01"/>
    <n v="2"/>
    <x v="1029"/>
    <x v="2"/>
    <n v="7.9"/>
  </r>
  <r>
    <x v="121"/>
    <x v="0"/>
    <x v="1"/>
    <x v="1"/>
    <x v="0"/>
    <n v="21.04"/>
    <n v="3"/>
    <x v="1030"/>
    <x v="1"/>
    <n v="7.5"/>
  </r>
  <r>
    <x v="121"/>
    <x v="2"/>
    <x v="1"/>
    <x v="0"/>
    <x v="0"/>
    <n v="72.39"/>
    <n v="5"/>
    <x v="1031"/>
    <x v="2"/>
    <n v="7.8"/>
  </r>
  <r>
    <x v="121"/>
    <x v="1"/>
    <x v="0"/>
    <x v="1"/>
    <x v="3"/>
    <n v="29.42"/>
    <n v="2"/>
    <x v="1032"/>
    <x v="1"/>
    <n v="5.8"/>
  </r>
  <r>
    <x v="121"/>
    <x v="2"/>
    <x v="1"/>
    <x v="1"/>
    <x v="0"/>
    <n v="99.69"/>
    <n v="2"/>
    <x v="1033"/>
    <x v="2"/>
    <n v="8.9"/>
  </r>
  <r>
    <x v="121"/>
    <x v="0"/>
    <x v="0"/>
    <x v="0"/>
    <x v="0"/>
    <n v="84.83"/>
    <n v="4"/>
    <x v="1034"/>
    <x v="0"/>
    <n v="7.3"/>
  </r>
  <r>
    <x v="121"/>
    <x v="0"/>
    <x v="1"/>
    <x v="0"/>
    <x v="5"/>
    <n v="47.71"/>
    <n v="4"/>
    <x v="1035"/>
    <x v="0"/>
    <n v="7.6"/>
  </r>
  <r>
    <x v="121"/>
    <x v="1"/>
    <x v="0"/>
    <x v="0"/>
    <x v="2"/>
    <n v="51.54"/>
    <n v="2"/>
    <x v="1036"/>
    <x v="0"/>
    <n v="5.8"/>
  </r>
  <r>
    <x v="122"/>
    <x v="0"/>
    <x v="1"/>
    <x v="1"/>
    <x v="4"/>
    <n v="77.040000000000006"/>
    <n v="1"/>
    <x v="1037"/>
    <x v="1"/>
    <n v="6.3"/>
  </r>
  <r>
    <x v="122"/>
    <x v="1"/>
    <x v="1"/>
    <x v="0"/>
    <x v="5"/>
    <n v="92.09"/>
    <n v="1"/>
    <x v="1038"/>
    <x v="1"/>
    <n v="8.4"/>
  </r>
  <r>
    <x v="122"/>
    <x v="0"/>
    <x v="1"/>
    <x v="0"/>
    <x v="3"/>
    <n v="20.010000000000002"/>
    <n v="1"/>
    <x v="1039"/>
    <x v="0"/>
    <n v="9.6"/>
  </r>
  <r>
    <x v="122"/>
    <x v="0"/>
    <x v="1"/>
    <x v="0"/>
    <x v="4"/>
    <n v="80.08"/>
    <n v="3"/>
    <x v="481"/>
    <x v="2"/>
    <n v="7.3"/>
  </r>
  <r>
    <x v="122"/>
    <x v="1"/>
    <x v="0"/>
    <x v="1"/>
    <x v="0"/>
    <n v="73.06"/>
    <n v="2"/>
    <x v="1040"/>
    <x v="0"/>
    <n v="8.1"/>
  </r>
  <r>
    <x v="122"/>
    <x v="0"/>
    <x v="1"/>
    <x v="0"/>
    <x v="4"/>
    <n v="60.38"/>
    <n v="1"/>
    <x v="1041"/>
    <x v="2"/>
    <n v="6.4"/>
  </r>
  <r>
    <x v="122"/>
    <x v="1"/>
    <x v="1"/>
    <x v="0"/>
    <x v="2"/>
    <n v="44.86"/>
    <n v="3"/>
    <x v="1042"/>
    <x v="0"/>
    <n v="7"/>
  </r>
  <r>
    <x v="122"/>
    <x v="0"/>
    <x v="1"/>
    <x v="1"/>
    <x v="5"/>
    <n v="14.76"/>
    <n v="4"/>
    <x v="1043"/>
    <x v="1"/>
    <n v="8.6"/>
  </r>
  <r>
    <x v="122"/>
    <x v="2"/>
    <x v="1"/>
    <x v="0"/>
    <x v="0"/>
    <n v="31.77"/>
    <n v="4"/>
    <x v="137"/>
    <x v="2"/>
    <n v="8.5"/>
  </r>
  <r>
    <x v="122"/>
    <x v="0"/>
    <x v="1"/>
    <x v="0"/>
    <x v="2"/>
    <n v="14.36"/>
    <n v="1"/>
    <x v="1044"/>
    <x v="1"/>
    <n v="6.7"/>
  </r>
  <r>
    <x v="122"/>
    <x v="0"/>
    <x v="0"/>
    <x v="1"/>
    <x v="2"/>
    <n v="32.25"/>
    <n v="2"/>
    <x v="1045"/>
    <x v="0"/>
    <n v="7.7"/>
  </r>
  <r>
    <x v="122"/>
    <x v="1"/>
    <x v="0"/>
    <x v="1"/>
    <x v="2"/>
    <n v="80.97"/>
    <n v="2"/>
    <x v="1046"/>
    <x v="0"/>
    <n v="5.9"/>
  </r>
  <r>
    <x v="122"/>
    <x v="0"/>
    <x v="1"/>
    <x v="1"/>
    <x v="5"/>
    <n v="44.07"/>
    <n v="4"/>
    <x v="553"/>
    <x v="0"/>
    <n v="8.1"/>
  </r>
  <r>
    <x v="122"/>
    <x v="0"/>
    <x v="0"/>
    <x v="1"/>
    <x v="0"/>
    <n v="83.77"/>
    <n v="3"/>
    <x v="1047"/>
    <x v="1"/>
    <n v="9.8000000000000007"/>
  </r>
  <r>
    <x v="122"/>
    <x v="1"/>
    <x v="1"/>
    <x v="1"/>
    <x v="5"/>
    <n v="50.79"/>
    <n v="1"/>
    <x v="1048"/>
    <x v="1"/>
    <n v="5.3"/>
  </r>
  <r>
    <x v="122"/>
    <x v="0"/>
    <x v="1"/>
    <x v="0"/>
    <x v="0"/>
    <n v="17.440000000000001"/>
    <n v="6"/>
    <x v="1049"/>
    <x v="0"/>
    <n v="7.6"/>
  </r>
  <r>
    <x v="122"/>
    <x v="1"/>
    <x v="1"/>
    <x v="0"/>
    <x v="2"/>
    <n v="78.069999999999993"/>
    <n v="1"/>
    <x v="1050"/>
    <x v="0"/>
    <n v="7.1"/>
  </r>
  <r>
    <x v="122"/>
    <x v="2"/>
    <x v="1"/>
    <x v="0"/>
    <x v="0"/>
    <n v="93.26"/>
    <n v="2"/>
    <x v="1051"/>
    <x v="1"/>
    <n v="8.1"/>
  </r>
  <r>
    <x v="122"/>
    <x v="1"/>
    <x v="0"/>
    <x v="1"/>
    <x v="1"/>
    <n v="66.650000000000006"/>
    <n v="2"/>
    <x v="1052"/>
    <x v="0"/>
    <n v="7.2"/>
  </r>
  <r>
    <x v="122"/>
    <x v="1"/>
    <x v="1"/>
    <x v="0"/>
    <x v="5"/>
    <n v="21.8"/>
    <n v="1"/>
    <x v="1053"/>
    <x v="1"/>
    <n v="7.7"/>
  </r>
  <r>
    <x v="122"/>
    <x v="2"/>
    <x v="1"/>
    <x v="1"/>
    <x v="5"/>
    <n v="66.680000000000007"/>
    <n v="3"/>
    <x v="1054"/>
    <x v="1"/>
    <n v="8.6999999999999993"/>
  </r>
  <r>
    <x v="122"/>
    <x v="0"/>
    <x v="1"/>
    <x v="1"/>
    <x v="5"/>
    <n v="32.32"/>
    <n v="2"/>
    <x v="1055"/>
    <x v="0"/>
    <n v="7.5"/>
  </r>
  <r>
    <x v="122"/>
    <x v="2"/>
    <x v="1"/>
    <x v="1"/>
    <x v="0"/>
    <n v="52.6"/>
    <n v="4"/>
    <x v="1056"/>
    <x v="2"/>
    <n v="7.2"/>
  </r>
  <r>
    <x v="123"/>
    <x v="1"/>
    <x v="0"/>
    <x v="1"/>
    <x v="5"/>
    <n v="39.909999999999997"/>
    <n v="2"/>
    <x v="1057"/>
    <x v="1"/>
    <n v="6.1"/>
  </r>
  <r>
    <x v="123"/>
    <x v="0"/>
    <x v="0"/>
    <x v="1"/>
    <x v="0"/>
    <n v="81.209999999999994"/>
    <n v="2"/>
    <x v="1058"/>
    <x v="1"/>
    <n v="8.6999999999999993"/>
  </r>
  <r>
    <x v="123"/>
    <x v="0"/>
    <x v="1"/>
    <x v="0"/>
    <x v="5"/>
    <n v="83.66"/>
    <n v="2"/>
    <x v="1059"/>
    <x v="2"/>
    <n v="7.9"/>
  </r>
  <r>
    <x v="123"/>
    <x v="0"/>
    <x v="0"/>
    <x v="1"/>
    <x v="0"/>
    <n v="57.89"/>
    <n v="4"/>
    <x v="1060"/>
    <x v="1"/>
    <n v="7.4"/>
  </r>
  <r>
    <x v="123"/>
    <x v="0"/>
    <x v="1"/>
    <x v="1"/>
    <x v="5"/>
    <n v="17.97"/>
    <n v="4"/>
    <x v="591"/>
    <x v="2"/>
    <n v="8.1"/>
  </r>
  <r>
    <x v="123"/>
    <x v="2"/>
    <x v="0"/>
    <x v="1"/>
    <x v="0"/>
    <n v="65.650000000000006"/>
    <n v="3"/>
    <x v="1061"/>
    <x v="0"/>
    <n v="7.3"/>
  </r>
  <r>
    <x v="123"/>
    <x v="2"/>
    <x v="0"/>
    <x v="1"/>
    <x v="5"/>
    <n v="10.16"/>
    <n v="3"/>
    <x v="1062"/>
    <x v="2"/>
    <n v="7.1"/>
  </r>
  <r>
    <x v="123"/>
    <x v="0"/>
    <x v="1"/>
    <x v="1"/>
    <x v="0"/>
    <n v="19.79"/>
    <n v="3"/>
    <x v="1063"/>
    <x v="0"/>
    <n v="8.6999999999999993"/>
  </r>
  <r>
    <x v="123"/>
    <x v="0"/>
    <x v="1"/>
    <x v="1"/>
    <x v="0"/>
    <n v="59.59"/>
    <n v="4"/>
    <x v="190"/>
    <x v="0"/>
    <n v="9.3000000000000007"/>
  </r>
  <r>
    <x v="123"/>
    <x v="0"/>
    <x v="1"/>
    <x v="1"/>
    <x v="5"/>
    <n v="62.57"/>
    <n v="3"/>
    <x v="1064"/>
    <x v="0"/>
    <n v="9.4"/>
  </r>
  <r>
    <x v="123"/>
    <x v="1"/>
    <x v="0"/>
    <x v="0"/>
    <x v="3"/>
    <n v="74.290000000000006"/>
    <n v="2"/>
    <x v="1065"/>
    <x v="0"/>
    <n v="8.8000000000000007"/>
  </r>
  <r>
    <x v="123"/>
    <x v="0"/>
    <x v="0"/>
    <x v="0"/>
    <x v="4"/>
    <n v="69.959999999999994"/>
    <n v="3"/>
    <x v="1066"/>
    <x v="0"/>
    <n v="7.5"/>
  </r>
  <r>
    <x v="123"/>
    <x v="2"/>
    <x v="0"/>
    <x v="0"/>
    <x v="0"/>
    <n v="43.18"/>
    <n v="5"/>
    <x v="1067"/>
    <x v="2"/>
    <n v="8.1"/>
  </r>
  <r>
    <x v="123"/>
    <x v="2"/>
    <x v="1"/>
    <x v="1"/>
    <x v="0"/>
    <n v="33.880000000000003"/>
    <n v="3"/>
    <x v="1068"/>
    <x v="1"/>
    <n v="8.5"/>
  </r>
  <r>
    <x v="123"/>
    <x v="0"/>
    <x v="0"/>
    <x v="0"/>
    <x v="5"/>
    <n v="65.180000000000007"/>
    <n v="3"/>
    <x v="618"/>
    <x v="2"/>
    <n v="8.5"/>
  </r>
  <r>
    <x v="123"/>
    <x v="0"/>
    <x v="1"/>
    <x v="1"/>
    <x v="0"/>
    <n v="51.28"/>
    <n v="3"/>
    <x v="1069"/>
    <x v="1"/>
    <n v="5.8"/>
  </r>
  <r>
    <x v="123"/>
    <x v="0"/>
    <x v="1"/>
    <x v="1"/>
    <x v="5"/>
    <n v="42.57"/>
    <n v="3"/>
    <x v="1070"/>
    <x v="1"/>
    <n v="7.4"/>
  </r>
  <r>
    <x v="123"/>
    <x v="0"/>
    <x v="1"/>
    <x v="1"/>
    <x v="5"/>
    <n v="99.71"/>
    <n v="4"/>
    <x v="1071"/>
    <x v="2"/>
    <n v="7.3"/>
  </r>
  <r>
    <x v="123"/>
    <x v="1"/>
    <x v="1"/>
    <x v="0"/>
    <x v="4"/>
    <n v="17.77"/>
    <n v="5"/>
    <x v="524"/>
    <x v="2"/>
    <n v="7.5"/>
  </r>
  <r>
    <x v="123"/>
    <x v="0"/>
    <x v="1"/>
    <x v="0"/>
    <x v="4"/>
    <n v="88.79"/>
    <n v="3"/>
    <x v="1072"/>
    <x v="2"/>
    <n v="9.5"/>
  </r>
  <r>
    <x v="123"/>
    <x v="2"/>
    <x v="1"/>
    <x v="1"/>
    <x v="0"/>
    <n v="36.36"/>
    <n v="3"/>
    <x v="1073"/>
    <x v="1"/>
    <n v="5.2"/>
  </r>
  <r>
    <x v="124"/>
    <x v="0"/>
    <x v="1"/>
    <x v="0"/>
    <x v="0"/>
    <n v="68.98"/>
    <n v="7"/>
    <x v="1074"/>
    <x v="2"/>
    <n v="9.3000000000000007"/>
  </r>
  <r>
    <x v="124"/>
    <x v="0"/>
    <x v="1"/>
    <x v="1"/>
    <x v="0"/>
    <n v="54.67"/>
    <n v="2"/>
    <x v="1075"/>
    <x v="0"/>
    <n v="6.8"/>
  </r>
  <r>
    <x v="124"/>
    <x v="2"/>
    <x v="1"/>
    <x v="0"/>
    <x v="0"/>
    <n v="28.86"/>
    <n v="3"/>
    <x v="1076"/>
    <x v="0"/>
    <n v="5.3"/>
  </r>
  <r>
    <x v="124"/>
    <x v="2"/>
    <x v="1"/>
    <x v="0"/>
    <x v="4"/>
    <n v="34.42"/>
    <n v="2"/>
    <x v="1077"/>
    <x v="1"/>
    <n v="6.8"/>
  </r>
  <r>
    <x v="124"/>
    <x v="0"/>
    <x v="1"/>
    <x v="0"/>
    <x v="3"/>
    <n v="59.86"/>
    <n v="2"/>
    <x v="124"/>
    <x v="2"/>
    <n v="5.6"/>
  </r>
  <r>
    <x v="124"/>
    <x v="0"/>
    <x v="1"/>
    <x v="0"/>
    <x v="5"/>
    <n v="56.69"/>
    <n v="4"/>
    <x v="1078"/>
    <x v="2"/>
    <n v="6.5"/>
  </r>
  <r>
    <x v="124"/>
    <x v="0"/>
    <x v="0"/>
    <x v="1"/>
    <x v="4"/>
    <n v="37.69"/>
    <n v="3"/>
    <x v="1079"/>
    <x v="0"/>
    <n v="8.9"/>
  </r>
  <r>
    <x v="124"/>
    <x v="0"/>
    <x v="1"/>
    <x v="0"/>
    <x v="3"/>
    <n v="18.079999999999998"/>
    <n v="1"/>
    <x v="1080"/>
    <x v="1"/>
    <n v="6"/>
  </r>
  <r>
    <x v="124"/>
    <x v="2"/>
    <x v="1"/>
    <x v="1"/>
    <x v="0"/>
    <n v="47.63"/>
    <n v="3"/>
    <x v="1081"/>
    <x v="0"/>
    <n v="6.9"/>
  </r>
  <r>
    <x v="124"/>
    <x v="1"/>
    <x v="1"/>
    <x v="0"/>
    <x v="0"/>
    <n v="38.47"/>
    <n v="3"/>
    <x v="1082"/>
    <x v="2"/>
    <n v="8.1999999999999993"/>
  </r>
  <r>
    <x v="124"/>
    <x v="0"/>
    <x v="1"/>
    <x v="1"/>
    <x v="4"/>
    <n v="86.27"/>
    <n v="3"/>
    <x v="1083"/>
    <x v="2"/>
    <n v="5.5"/>
  </r>
  <r>
    <x v="124"/>
    <x v="0"/>
    <x v="0"/>
    <x v="0"/>
    <x v="2"/>
    <n v="22.01"/>
    <n v="1"/>
    <x v="1084"/>
    <x v="0"/>
    <n v="7.6"/>
  </r>
  <r>
    <x v="124"/>
    <x v="0"/>
    <x v="1"/>
    <x v="1"/>
    <x v="0"/>
    <n v="19.25"/>
    <n v="3"/>
    <x v="1085"/>
    <x v="0"/>
    <n v="8.9"/>
  </r>
  <r>
    <x v="124"/>
    <x v="2"/>
    <x v="1"/>
    <x v="1"/>
    <x v="5"/>
    <n v="67.27"/>
    <n v="1"/>
    <x v="1086"/>
    <x v="2"/>
    <n v="8.6999999999999993"/>
  </r>
  <r>
    <x v="124"/>
    <x v="2"/>
    <x v="1"/>
    <x v="1"/>
    <x v="0"/>
    <n v="98.53"/>
    <n v="4"/>
    <x v="1087"/>
    <x v="1"/>
    <n v="4.8"/>
  </r>
  <r>
    <x v="124"/>
    <x v="2"/>
    <x v="0"/>
    <x v="1"/>
    <x v="0"/>
    <n v="48.51"/>
    <n v="3"/>
    <x v="1088"/>
    <x v="1"/>
    <n v="8.8000000000000007"/>
  </r>
  <r>
    <x v="124"/>
    <x v="0"/>
    <x v="1"/>
    <x v="1"/>
    <x v="0"/>
    <n v="88.36"/>
    <n v="3"/>
    <x v="1089"/>
    <x v="1"/>
    <n v="6.5"/>
  </r>
  <r>
    <x v="124"/>
    <x v="2"/>
    <x v="1"/>
    <x v="0"/>
    <x v="0"/>
    <n v="80.05"/>
    <n v="3"/>
    <x v="1090"/>
    <x v="2"/>
    <n v="8.1"/>
  </r>
  <r>
    <x v="124"/>
    <x v="2"/>
    <x v="1"/>
    <x v="0"/>
    <x v="0"/>
    <n v="78.88"/>
    <n v="2"/>
    <x v="278"/>
    <x v="0"/>
    <n v="6.3"/>
  </r>
  <r>
    <x v="124"/>
    <x v="0"/>
    <x v="1"/>
    <x v="0"/>
    <x v="5"/>
    <n v="76.989999999999995"/>
    <n v="2"/>
    <x v="1091"/>
    <x v="2"/>
    <n v="6.8"/>
  </r>
  <r>
    <x v="125"/>
    <x v="2"/>
    <x v="1"/>
    <x v="0"/>
    <x v="0"/>
    <n v="33.33"/>
    <n v="4"/>
    <x v="1092"/>
    <x v="0"/>
    <n v="8"/>
  </r>
  <r>
    <x v="125"/>
    <x v="0"/>
    <x v="1"/>
    <x v="0"/>
    <x v="3"/>
    <n v="96.7"/>
    <n v="1"/>
    <x v="1093"/>
    <x v="1"/>
    <n v="5.4"/>
  </r>
  <r>
    <x v="125"/>
    <x v="2"/>
    <x v="1"/>
    <x v="0"/>
    <x v="0"/>
    <n v="96.68"/>
    <n v="1"/>
    <x v="1094"/>
    <x v="1"/>
    <n v="8.3000000000000007"/>
  </r>
  <r>
    <x v="125"/>
    <x v="1"/>
    <x v="1"/>
    <x v="0"/>
    <x v="5"/>
    <n v="85.87"/>
    <n v="1"/>
    <x v="1095"/>
    <x v="0"/>
    <n v="8.5"/>
  </r>
  <r>
    <x v="125"/>
    <x v="2"/>
    <x v="1"/>
    <x v="0"/>
    <x v="0"/>
    <n v="90.24"/>
    <n v="3"/>
    <x v="1096"/>
    <x v="2"/>
    <n v="8"/>
  </r>
  <r>
    <x v="125"/>
    <x v="0"/>
    <x v="1"/>
    <x v="0"/>
    <x v="2"/>
    <n v="27.93"/>
    <n v="3"/>
    <x v="1097"/>
    <x v="1"/>
    <n v="6.2"/>
  </r>
  <r>
    <x v="125"/>
    <x v="2"/>
    <x v="1"/>
    <x v="0"/>
    <x v="0"/>
    <n v="81.709999999999994"/>
    <n v="1"/>
    <x v="1098"/>
    <x v="1"/>
    <n v="9.8000000000000007"/>
  </r>
  <r>
    <x v="125"/>
    <x v="2"/>
    <x v="1"/>
    <x v="1"/>
    <x v="5"/>
    <n v="13.5"/>
    <n v="2"/>
    <x v="1099"/>
    <x v="2"/>
    <n v="4.9000000000000004"/>
  </r>
  <r>
    <x v="125"/>
    <x v="0"/>
    <x v="1"/>
    <x v="1"/>
    <x v="5"/>
    <n v="69.510000000000005"/>
    <n v="1"/>
    <x v="1100"/>
    <x v="1"/>
    <n v="6.8"/>
  </r>
  <r>
    <x v="125"/>
    <x v="1"/>
    <x v="1"/>
    <x v="0"/>
    <x v="0"/>
    <n v="11.53"/>
    <n v="3"/>
    <x v="1101"/>
    <x v="2"/>
    <n v="6.2"/>
  </r>
  <r>
    <x v="125"/>
    <x v="2"/>
    <x v="1"/>
    <x v="0"/>
    <x v="4"/>
    <n v="65.819999999999993"/>
    <n v="5"/>
    <x v="1102"/>
    <x v="2"/>
    <n v="7"/>
  </r>
  <r>
    <x v="125"/>
    <x v="1"/>
    <x v="1"/>
    <x v="1"/>
    <x v="0"/>
    <n v="84.05"/>
    <n v="3"/>
    <x v="226"/>
    <x v="2"/>
    <n v="8.6"/>
  </r>
  <r>
    <x v="125"/>
    <x v="0"/>
    <x v="0"/>
    <x v="0"/>
    <x v="2"/>
    <n v="19.149999999999999"/>
    <n v="2"/>
    <x v="1103"/>
    <x v="0"/>
    <n v="7.6"/>
  </r>
  <r>
    <x v="125"/>
    <x v="1"/>
    <x v="0"/>
    <x v="0"/>
    <x v="0"/>
    <n v="98.52"/>
    <n v="4"/>
    <x v="1104"/>
    <x v="0"/>
    <n v="9.1"/>
  </r>
  <r>
    <x v="126"/>
    <x v="2"/>
    <x v="1"/>
    <x v="1"/>
    <x v="5"/>
    <n v="14.82"/>
    <n v="4"/>
    <x v="1105"/>
    <x v="0"/>
    <n v="7.1"/>
  </r>
  <r>
    <x v="126"/>
    <x v="1"/>
    <x v="1"/>
    <x v="1"/>
    <x v="4"/>
    <n v="12.73"/>
    <n v="2"/>
    <x v="584"/>
    <x v="2"/>
    <n v="6"/>
  </r>
  <r>
    <x v="126"/>
    <x v="1"/>
    <x v="0"/>
    <x v="1"/>
    <x v="0"/>
    <n v="97.03"/>
    <n v="2"/>
    <x v="1106"/>
    <x v="1"/>
    <n v="5.4"/>
  </r>
  <r>
    <x v="126"/>
    <x v="0"/>
    <x v="0"/>
    <x v="1"/>
    <x v="0"/>
    <n v="87.48"/>
    <n v="3"/>
    <x v="1107"/>
    <x v="1"/>
    <n v="8.3000000000000007"/>
  </r>
  <r>
    <x v="126"/>
    <x v="2"/>
    <x v="1"/>
    <x v="1"/>
    <x v="0"/>
    <n v="14.23"/>
    <n v="4"/>
    <x v="1108"/>
    <x v="2"/>
    <n v="5.4"/>
  </r>
  <r>
    <x v="126"/>
    <x v="0"/>
    <x v="1"/>
    <x v="1"/>
    <x v="3"/>
    <n v="56.04"/>
    <n v="3"/>
    <x v="1109"/>
    <x v="2"/>
    <n v="8.3000000000000007"/>
  </r>
  <r>
    <x v="126"/>
    <x v="1"/>
    <x v="1"/>
    <x v="1"/>
    <x v="0"/>
    <n v="38.42"/>
    <n v="5"/>
    <x v="1110"/>
    <x v="0"/>
    <n v="7.5"/>
  </r>
  <r>
    <x v="126"/>
    <x v="0"/>
    <x v="0"/>
    <x v="1"/>
    <x v="0"/>
    <n v="65.97"/>
    <n v="3"/>
    <x v="1111"/>
    <x v="2"/>
    <n v="9.6"/>
  </r>
  <r>
    <x v="126"/>
    <x v="2"/>
    <x v="1"/>
    <x v="1"/>
    <x v="0"/>
    <n v="46.55"/>
    <n v="2"/>
    <x v="1112"/>
    <x v="0"/>
    <n v="7.1"/>
  </r>
  <r>
    <x v="126"/>
    <x v="2"/>
    <x v="1"/>
    <x v="1"/>
    <x v="0"/>
    <n v="10.96"/>
    <n v="1"/>
    <x v="1113"/>
    <x v="2"/>
    <n v="8.3000000000000007"/>
  </r>
  <r>
    <x v="126"/>
    <x v="2"/>
    <x v="1"/>
    <x v="1"/>
    <x v="0"/>
    <n v="27.28"/>
    <n v="3"/>
    <x v="1114"/>
    <x v="1"/>
    <n v="8.9"/>
  </r>
  <r>
    <x v="126"/>
    <x v="0"/>
    <x v="0"/>
    <x v="0"/>
    <x v="4"/>
    <n v="68.97"/>
    <n v="5"/>
    <x v="1115"/>
    <x v="0"/>
    <n v="8.8000000000000007"/>
  </r>
  <r>
    <x v="126"/>
    <x v="0"/>
    <x v="1"/>
    <x v="0"/>
    <x v="0"/>
    <n v="47.16"/>
    <n v="9"/>
    <x v="1116"/>
    <x v="2"/>
    <n v="8.1"/>
  </r>
  <r>
    <x v="127"/>
    <x v="1"/>
    <x v="1"/>
    <x v="1"/>
    <x v="4"/>
    <n v="55.73"/>
    <n v="3"/>
    <x v="1117"/>
    <x v="2"/>
    <n v="7.5"/>
  </r>
  <r>
    <x v="127"/>
    <x v="0"/>
    <x v="1"/>
    <x v="0"/>
    <x v="0"/>
    <n v="91.4"/>
    <n v="2"/>
    <x v="1118"/>
    <x v="1"/>
    <n v="7.5"/>
  </r>
  <r>
    <x v="127"/>
    <x v="2"/>
    <x v="1"/>
    <x v="1"/>
    <x v="1"/>
    <n v="72.17"/>
    <n v="1"/>
    <x v="33"/>
    <x v="2"/>
    <n v="7.5"/>
  </r>
  <r>
    <x v="127"/>
    <x v="2"/>
    <x v="1"/>
    <x v="0"/>
    <x v="5"/>
    <n v="85.6"/>
    <n v="2"/>
    <x v="1119"/>
    <x v="2"/>
    <n v="6.8"/>
  </r>
  <r>
    <x v="127"/>
    <x v="1"/>
    <x v="1"/>
    <x v="1"/>
    <x v="2"/>
    <n v="26.67"/>
    <n v="1"/>
    <x v="1120"/>
    <x v="2"/>
    <n v="6.9"/>
  </r>
  <r>
    <x v="127"/>
    <x v="0"/>
    <x v="1"/>
    <x v="1"/>
    <x v="2"/>
    <n v="22.38"/>
    <n v="3"/>
    <x v="1121"/>
    <x v="2"/>
    <n v="9.1999999999999993"/>
  </r>
  <r>
    <x v="127"/>
    <x v="2"/>
    <x v="1"/>
    <x v="1"/>
    <x v="1"/>
    <n v="93.88"/>
    <n v="1"/>
    <x v="1122"/>
    <x v="2"/>
    <n v="8.5"/>
  </r>
  <r>
    <x v="127"/>
    <x v="0"/>
    <x v="0"/>
    <x v="1"/>
    <x v="0"/>
    <n v="67.45"/>
    <n v="2"/>
    <x v="1123"/>
    <x v="2"/>
    <n v="7.5"/>
  </r>
  <r>
    <x v="127"/>
    <x v="2"/>
    <x v="0"/>
    <x v="0"/>
    <x v="4"/>
    <n v="47.68"/>
    <n v="4"/>
    <x v="1124"/>
    <x v="2"/>
    <n v="7.3"/>
  </r>
  <r>
    <x v="127"/>
    <x v="1"/>
    <x v="1"/>
    <x v="1"/>
    <x v="0"/>
    <n v="40.520000000000003"/>
    <n v="3"/>
    <x v="1125"/>
    <x v="2"/>
    <n v="6.4"/>
  </r>
  <r>
    <x v="127"/>
    <x v="0"/>
    <x v="0"/>
    <x v="1"/>
    <x v="5"/>
    <n v="73.41"/>
    <n v="4"/>
    <x v="1126"/>
    <x v="0"/>
    <n v="9.8000000000000007"/>
  </r>
  <r>
    <x v="127"/>
    <x v="0"/>
    <x v="0"/>
    <x v="1"/>
    <x v="0"/>
    <n v="67.77"/>
    <n v="3"/>
    <x v="1127"/>
    <x v="2"/>
    <n v="6.2"/>
  </r>
  <r>
    <x v="128"/>
    <x v="0"/>
    <x v="1"/>
    <x v="0"/>
    <x v="0"/>
    <n v="23.34"/>
    <n v="2"/>
    <x v="1128"/>
    <x v="0"/>
    <n v="6.1"/>
  </r>
  <r>
    <x v="128"/>
    <x v="2"/>
    <x v="0"/>
    <x v="1"/>
    <x v="5"/>
    <n v="46.53"/>
    <n v="1"/>
    <x v="1129"/>
    <x v="1"/>
    <n v="8.1999999999999993"/>
  </r>
  <r>
    <x v="128"/>
    <x v="1"/>
    <x v="1"/>
    <x v="1"/>
    <x v="1"/>
    <n v="77.72"/>
    <n v="2"/>
    <x v="1130"/>
    <x v="2"/>
    <n v="7.6"/>
  </r>
  <r>
    <x v="128"/>
    <x v="2"/>
    <x v="1"/>
    <x v="0"/>
    <x v="2"/>
    <n v="76.400000000000006"/>
    <n v="1"/>
    <x v="1131"/>
    <x v="1"/>
    <n v="7.1"/>
  </r>
  <r>
    <x v="128"/>
    <x v="2"/>
    <x v="0"/>
    <x v="1"/>
    <x v="2"/>
    <n v="23.75"/>
    <n v="3"/>
    <x v="1132"/>
    <x v="0"/>
    <n v="9.1999999999999993"/>
  </r>
  <r>
    <x v="128"/>
    <x v="2"/>
    <x v="1"/>
    <x v="1"/>
    <x v="0"/>
    <n v="42.82"/>
    <n v="1"/>
    <x v="1133"/>
    <x v="0"/>
    <n v="8.6999999999999993"/>
  </r>
  <r>
    <x v="128"/>
    <x v="0"/>
    <x v="1"/>
    <x v="1"/>
    <x v="3"/>
    <n v="73.52"/>
    <n v="3"/>
    <x v="1134"/>
    <x v="1"/>
    <n v="8.1999999999999993"/>
  </r>
  <r>
    <x v="128"/>
    <x v="0"/>
    <x v="1"/>
    <x v="0"/>
    <x v="3"/>
    <n v="39.21"/>
    <n v="3"/>
    <x v="1135"/>
    <x v="1"/>
    <n v="7.8"/>
  </r>
  <r>
    <x v="128"/>
    <x v="1"/>
    <x v="1"/>
    <x v="1"/>
    <x v="5"/>
    <n v="25"/>
    <n v="4"/>
    <x v="1136"/>
    <x v="2"/>
    <n v="8.6"/>
  </r>
  <r>
    <x v="128"/>
    <x v="2"/>
    <x v="1"/>
    <x v="1"/>
    <x v="5"/>
    <n v="28.95"/>
    <n v="2"/>
    <x v="1137"/>
    <x v="2"/>
    <n v="7.8"/>
  </r>
  <r>
    <x v="128"/>
    <x v="2"/>
    <x v="1"/>
    <x v="0"/>
    <x v="5"/>
    <n v="68.709999999999994"/>
    <n v="3"/>
    <x v="695"/>
    <x v="2"/>
    <n v="9.1"/>
  </r>
  <r>
    <x v="129"/>
    <x v="2"/>
    <x v="1"/>
    <x v="0"/>
    <x v="0"/>
    <n v="47.27"/>
    <n v="4"/>
    <x v="1138"/>
    <x v="1"/>
    <n v="8.9"/>
  </r>
  <r>
    <x v="129"/>
    <x v="0"/>
    <x v="1"/>
    <x v="0"/>
    <x v="0"/>
    <n v="87.9"/>
    <n v="2"/>
    <x v="1139"/>
    <x v="0"/>
    <n v="7.2"/>
  </r>
  <r>
    <x v="129"/>
    <x v="0"/>
    <x v="0"/>
    <x v="0"/>
    <x v="2"/>
    <n v="75.819999999999993"/>
    <n v="2"/>
    <x v="1140"/>
    <x v="2"/>
    <n v="5.9"/>
  </r>
  <r>
    <x v="129"/>
    <x v="2"/>
    <x v="1"/>
    <x v="1"/>
    <x v="2"/>
    <n v="79.930000000000007"/>
    <n v="2"/>
    <x v="1141"/>
    <x v="2"/>
    <n v="5.5"/>
  </r>
  <r>
    <x v="129"/>
    <x v="2"/>
    <x v="1"/>
    <x v="1"/>
    <x v="2"/>
    <n v="69.52"/>
    <n v="2"/>
    <x v="1142"/>
    <x v="2"/>
    <n v="9.4"/>
  </r>
  <r>
    <x v="129"/>
    <x v="1"/>
    <x v="1"/>
    <x v="1"/>
    <x v="0"/>
    <n v="20.010000000000002"/>
    <n v="3"/>
    <x v="1143"/>
    <x v="2"/>
    <n v="9.5"/>
  </r>
  <r>
    <x v="129"/>
    <x v="2"/>
    <x v="1"/>
    <x v="1"/>
    <x v="0"/>
    <n v="99.42"/>
    <n v="1"/>
    <x v="1144"/>
    <x v="0"/>
    <n v="6"/>
  </r>
  <r>
    <x v="129"/>
    <x v="0"/>
    <x v="1"/>
    <x v="1"/>
    <x v="5"/>
    <n v="14.62"/>
    <n v="4"/>
    <x v="1145"/>
    <x v="0"/>
    <n v="6.8"/>
  </r>
  <r>
    <x v="129"/>
    <x v="1"/>
    <x v="1"/>
    <x v="1"/>
    <x v="0"/>
    <n v="52.42"/>
    <n v="2"/>
    <x v="1146"/>
    <x v="2"/>
    <n v="6.5"/>
  </r>
  <r>
    <x v="129"/>
    <x v="2"/>
    <x v="0"/>
    <x v="1"/>
    <x v="0"/>
    <n v="16.48"/>
    <n v="4"/>
    <x v="1147"/>
    <x v="1"/>
    <n v="9.6999999999999993"/>
  </r>
  <r>
    <x v="130"/>
    <x v="0"/>
    <x v="0"/>
    <x v="1"/>
    <x v="5"/>
    <n v="99.83"/>
    <n v="1"/>
    <x v="1148"/>
    <x v="0"/>
    <n v="8.4"/>
  </r>
  <r>
    <x v="130"/>
    <x v="1"/>
    <x v="1"/>
    <x v="0"/>
    <x v="4"/>
    <n v="73.56"/>
    <n v="4"/>
    <x v="1149"/>
    <x v="0"/>
    <n v="6.8"/>
  </r>
  <r>
    <x v="130"/>
    <x v="0"/>
    <x v="0"/>
    <x v="0"/>
    <x v="0"/>
    <n v="43.19"/>
    <n v="1"/>
    <x v="1150"/>
    <x v="1"/>
    <n v="7.5"/>
  </r>
  <r>
    <x v="130"/>
    <x v="2"/>
    <x v="1"/>
    <x v="0"/>
    <x v="0"/>
    <n v="54.36"/>
    <n v="2"/>
    <x v="1151"/>
    <x v="1"/>
    <n v="7.8"/>
  </r>
  <r>
    <x v="130"/>
    <x v="0"/>
    <x v="1"/>
    <x v="0"/>
    <x v="0"/>
    <n v="35.04"/>
    <n v="1"/>
    <x v="1152"/>
    <x v="1"/>
    <n v="8.1"/>
  </r>
  <r>
    <x v="130"/>
    <x v="0"/>
    <x v="1"/>
    <x v="0"/>
    <x v="0"/>
    <n v="21.58"/>
    <n v="3"/>
    <x v="1153"/>
    <x v="1"/>
    <n v="7.6"/>
  </r>
  <r>
    <x v="130"/>
    <x v="0"/>
    <x v="1"/>
    <x v="0"/>
    <x v="4"/>
    <n v="82.04"/>
    <n v="3"/>
    <x v="1154"/>
    <x v="2"/>
    <n v="7.2"/>
  </r>
  <r>
    <x v="130"/>
    <x v="2"/>
    <x v="0"/>
    <x v="0"/>
    <x v="5"/>
    <n v="48.63"/>
    <n v="1"/>
    <x v="1155"/>
    <x v="2"/>
    <n v="5.5"/>
  </r>
  <r>
    <x v="130"/>
    <x v="0"/>
    <x v="1"/>
    <x v="0"/>
    <x v="4"/>
    <n v="34.729999999999997"/>
    <n v="1"/>
    <x v="1156"/>
    <x v="2"/>
    <n v="8.1999999999999993"/>
  </r>
  <r>
    <x v="131"/>
    <x v="1"/>
    <x v="1"/>
    <x v="0"/>
    <x v="4"/>
    <n v="97.38"/>
    <n v="5"/>
    <x v="1157"/>
    <x v="2"/>
    <n v="7.1"/>
  </r>
  <r>
    <x v="131"/>
    <x v="1"/>
    <x v="1"/>
    <x v="0"/>
    <x v="4"/>
    <n v="27"/>
    <n v="1"/>
    <x v="1099"/>
    <x v="1"/>
    <n v="8"/>
  </r>
  <r>
    <x v="131"/>
    <x v="2"/>
    <x v="1"/>
    <x v="1"/>
    <x v="0"/>
    <n v="31.84"/>
    <n v="3"/>
    <x v="1158"/>
    <x v="0"/>
    <n v="7"/>
  </r>
  <r>
    <x v="131"/>
    <x v="0"/>
    <x v="1"/>
    <x v="1"/>
    <x v="5"/>
    <n v="41.06"/>
    <n v="2"/>
    <x v="1159"/>
    <x v="2"/>
    <n v="5.7"/>
  </r>
  <r>
    <x v="131"/>
    <x v="2"/>
    <x v="1"/>
    <x v="0"/>
    <x v="4"/>
    <n v="88.39"/>
    <n v="4"/>
    <x v="1160"/>
    <x v="1"/>
    <n v="5.9"/>
  </r>
  <r>
    <x v="131"/>
    <x v="0"/>
    <x v="1"/>
    <x v="0"/>
    <x v="5"/>
    <n v="25.32"/>
    <n v="4"/>
    <x v="1161"/>
    <x v="0"/>
    <n v="5.5"/>
  </r>
  <r>
    <x v="131"/>
    <x v="2"/>
    <x v="1"/>
    <x v="0"/>
    <x v="4"/>
    <n v="44.01"/>
    <n v="3"/>
    <x v="1162"/>
    <x v="1"/>
    <n v="8"/>
  </r>
  <r>
    <x v="131"/>
    <x v="0"/>
    <x v="0"/>
    <x v="0"/>
    <x v="2"/>
    <n v="51.52"/>
    <n v="2"/>
    <x v="1163"/>
    <x v="1"/>
    <n v="7.8"/>
  </r>
  <r>
    <x v="132"/>
    <x v="0"/>
    <x v="1"/>
    <x v="0"/>
    <x v="5"/>
    <n v="55.97"/>
    <n v="1"/>
    <x v="1164"/>
    <x v="2"/>
    <n v="5.0999999999999996"/>
  </r>
  <r>
    <x v="132"/>
    <x v="2"/>
    <x v="0"/>
    <x v="0"/>
    <x v="0"/>
    <n v="21.08"/>
    <n v="1"/>
    <x v="1165"/>
    <x v="1"/>
    <n v="8.4"/>
  </r>
  <r>
    <x v="132"/>
    <x v="2"/>
    <x v="1"/>
    <x v="1"/>
    <x v="5"/>
    <n v="65.31"/>
    <n v="4"/>
    <x v="1166"/>
    <x v="2"/>
    <n v="6.3"/>
  </r>
  <r>
    <x v="132"/>
    <x v="1"/>
    <x v="1"/>
    <x v="1"/>
    <x v="3"/>
    <n v="51.36"/>
    <n v="1"/>
    <x v="161"/>
    <x v="2"/>
    <n v="7"/>
  </r>
  <r>
    <x v="132"/>
    <x v="1"/>
    <x v="0"/>
    <x v="0"/>
    <x v="0"/>
    <n v="44.59"/>
    <n v="5"/>
    <x v="467"/>
    <x v="1"/>
    <n v="7.2"/>
  </r>
  <r>
    <x v="132"/>
    <x v="1"/>
    <x v="1"/>
    <x v="1"/>
    <x v="3"/>
    <n v="88.15"/>
    <n v="2"/>
    <x v="1167"/>
    <x v="0"/>
    <n v="8.1999999999999993"/>
  </r>
  <r>
    <x v="132"/>
    <x v="2"/>
    <x v="1"/>
    <x v="1"/>
    <x v="4"/>
    <n v="94.49"/>
    <n v="5"/>
    <x v="1168"/>
    <x v="1"/>
    <n v="7.2"/>
  </r>
  <r>
    <x v="132"/>
    <x v="2"/>
    <x v="0"/>
    <x v="0"/>
    <x v="0"/>
    <n v="89.2"/>
    <n v="4"/>
    <x v="1169"/>
    <x v="2"/>
    <n v="7.8"/>
  </r>
  <r>
    <x v="132"/>
    <x v="2"/>
    <x v="1"/>
    <x v="1"/>
    <x v="5"/>
    <n v="87.98"/>
    <n v="3"/>
    <x v="719"/>
    <x v="1"/>
    <n v="7.6"/>
  </r>
  <r>
    <x v="132"/>
    <x v="0"/>
    <x v="1"/>
    <x v="0"/>
    <x v="0"/>
    <n v="77.2"/>
    <n v="4"/>
    <x v="1170"/>
    <x v="1"/>
    <n v="9"/>
  </r>
  <r>
    <x v="133"/>
    <x v="2"/>
    <x v="1"/>
    <x v="1"/>
    <x v="5"/>
    <n v="79.739999999999995"/>
    <n v="4"/>
    <x v="1171"/>
    <x v="1"/>
    <n v="8.3000000000000007"/>
  </r>
  <r>
    <x v="133"/>
    <x v="2"/>
    <x v="1"/>
    <x v="0"/>
    <x v="0"/>
    <n v="87.1"/>
    <n v="6"/>
    <x v="1172"/>
    <x v="1"/>
    <n v="7.8"/>
  </r>
  <r>
    <x v="133"/>
    <x v="2"/>
    <x v="0"/>
    <x v="0"/>
    <x v="5"/>
    <n v="15.55"/>
    <n v="1"/>
    <x v="1173"/>
    <x v="1"/>
    <n v="5.8"/>
  </r>
  <r>
    <x v="133"/>
    <x v="1"/>
    <x v="1"/>
    <x v="1"/>
    <x v="2"/>
    <n v="55.07"/>
    <n v="3"/>
    <x v="1174"/>
    <x v="2"/>
    <n v="5.2"/>
  </r>
  <r>
    <x v="133"/>
    <x v="0"/>
    <x v="0"/>
    <x v="1"/>
    <x v="2"/>
    <n v="42.97"/>
    <n v="1"/>
    <x v="1175"/>
    <x v="2"/>
    <n v="9.8000000000000007"/>
  </r>
  <r>
    <x v="133"/>
    <x v="0"/>
    <x v="0"/>
    <x v="0"/>
    <x v="4"/>
    <n v="30.12"/>
    <n v="4"/>
    <x v="1176"/>
    <x v="2"/>
    <n v="7.9"/>
  </r>
  <r>
    <x v="133"/>
    <x v="0"/>
    <x v="0"/>
    <x v="1"/>
    <x v="0"/>
    <n v="14.87"/>
    <n v="1"/>
    <x v="1177"/>
    <x v="2"/>
    <n v="6"/>
  </r>
  <r>
    <x v="133"/>
    <x v="0"/>
    <x v="1"/>
    <x v="1"/>
    <x v="0"/>
    <n v="27.66"/>
    <n v="5"/>
    <x v="1178"/>
    <x v="2"/>
    <n v="8.3000000000000007"/>
  </r>
  <r>
    <x v="133"/>
    <x v="0"/>
    <x v="1"/>
    <x v="0"/>
    <x v="4"/>
    <n v="46.33"/>
    <n v="3"/>
    <x v="1179"/>
    <x v="2"/>
    <n v="6.6"/>
  </r>
  <r>
    <x v="133"/>
    <x v="2"/>
    <x v="1"/>
    <x v="1"/>
    <x v="0"/>
    <n v="99.37"/>
    <n v="4"/>
    <x v="1180"/>
    <x v="2"/>
    <n v="7.4"/>
  </r>
  <r>
    <x v="133"/>
    <x v="1"/>
    <x v="1"/>
    <x v="1"/>
    <x v="4"/>
    <n v="33.299999999999997"/>
    <n v="5"/>
    <x v="1181"/>
    <x v="1"/>
    <n v="6.3"/>
  </r>
  <r>
    <x v="133"/>
    <x v="2"/>
    <x v="0"/>
    <x v="0"/>
    <x v="3"/>
    <n v="60.74"/>
    <n v="1"/>
    <x v="1182"/>
    <x v="2"/>
    <n v="7.9"/>
  </r>
  <r>
    <x v="134"/>
    <x v="1"/>
    <x v="1"/>
    <x v="1"/>
    <x v="1"/>
    <n v="50.23"/>
    <n v="1"/>
    <x v="1183"/>
    <x v="2"/>
    <n v="6.1"/>
  </r>
  <r>
    <x v="134"/>
    <x v="0"/>
    <x v="1"/>
    <x v="0"/>
    <x v="3"/>
    <n v="60.74"/>
    <n v="3"/>
    <x v="1184"/>
    <x v="2"/>
    <n v="7.7"/>
  </r>
  <r>
    <x v="134"/>
    <x v="2"/>
    <x v="1"/>
    <x v="1"/>
    <x v="0"/>
    <n v="52.2"/>
    <n v="1"/>
    <x v="1185"/>
    <x v="2"/>
    <n v="6.9"/>
  </r>
  <r>
    <x v="134"/>
    <x v="2"/>
    <x v="1"/>
    <x v="0"/>
    <x v="0"/>
    <n v="77.400000000000006"/>
    <n v="2"/>
    <x v="1186"/>
    <x v="1"/>
    <n v="7.1"/>
  </r>
  <r>
    <x v="134"/>
    <x v="2"/>
    <x v="1"/>
    <x v="0"/>
    <x v="4"/>
    <n v="56.53"/>
    <n v="5"/>
    <x v="1187"/>
    <x v="0"/>
    <n v="5.0999999999999996"/>
  </r>
  <r>
    <x v="134"/>
    <x v="0"/>
    <x v="1"/>
    <x v="1"/>
    <x v="0"/>
    <n v="67.099999999999994"/>
    <n v="1"/>
    <x v="1188"/>
    <x v="0"/>
    <n v="9.8000000000000007"/>
  </r>
  <r>
    <x v="134"/>
    <x v="1"/>
    <x v="1"/>
    <x v="0"/>
    <x v="0"/>
    <n v="24.82"/>
    <n v="4"/>
    <x v="1189"/>
    <x v="1"/>
    <n v="6.2"/>
  </r>
  <r>
    <x v="134"/>
    <x v="2"/>
    <x v="0"/>
    <x v="0"/>
    <x v="3"/>
    <n v="60.74"/>
    <n v="2"/>
    <x v="1190"/>
    <x v="1"/>
    <n v="6.7"/>
  </r>
  <r>
    <x v="134"/>
    <x v="0"/>
    <x v="1"/>
    <x v="0"/>
    <x v="0"/>
    <n v="80.959999999999994"/>
    <n v="4"/>
    <x v="1191"/>
    <x v="2"/>
    <n v="7"/>
  </r>
  <r>
    <x v="134"/>
    <x v="2"/>
    <x v="0"/>
    <x v="1"/>
    <x v="4"/>
    <n v="12.12"/>
    <n v="2"/>
    <x v="1192"/>
    <x v="1"/>
    <n v="8.6"/>
  </r>
  <r>
    <x v="134"/>
    <x v="1"/>
    <x v="1"/>
    <x v="0"/>
    <x v="0"/>
    <n v="32.9"/>
    <n v="2"/>
    <x v="734"/>
    <x v="2"/>
    <n v="8.8000000000000007"/>
  </r>
  <r>
    <x v="134"/>
    <x v="0"/>
    <x v="1"/>
    <x v="0"/>
    <x v="1"/>
    <n v="79.59"/>
    <n v="2"/>
    <x v="1193"/>
    <x v="1"/>
    <n v="7.1"/>
  </r>
  <r>
    <x v="134"/>
    <x v="2"/>
    <x v="0"/>
    <x v="1"/>
    <x v="1"/>
    <n v="96.37"/>
    <n v="1"/>
    <x v="1194"/>
    <x v="0"/>
    <n v="6.7"/>
  </r>
  <r>
    <x v="134"/>
    <x v="1"/>
    <x v="1"/>
    <x v="0"/>
    <x v="4"/>
    <n v="95.46"/>
    <n v="3"/>
    <x v="1195"/>
    <x v="1"/>
    <n v="4.7"/>
  </r>
  <r>
    <x v="134"/>
    <x v="0"/>
    <x v="1"/>
    <x v="0"/>
    <x v="0"/>
    <n v="71.39"/>
    <n v="1"/>
    <x v="1196"/>
    <x v="1"/>
    <n v="8.4"/>
  </r>
  <r>
    <x v="134"/>
    <x v="0"/>
    <x v="0"/>
    <x v="1"/>
    <x v="5"/>
    <n v="81.3"/>
    <n v="2"/>
    <x v="1197"/>
    <x v="1"/>
    <n v="8.9"/>
  </r>
  <r>
    <x v="134"/>
    <x v="1"/>
    <x v="1"/>
    <x v="1"/>
    <x v="0"/>
    <n v="98.66"/>
    <n v="1"/>
    <x v="1198"/>
    <x v="0"/>
    <n v="7.7"/>
  </r>
  <r>
    <x v="134"/>
    <x v="1"/>
    <x v="1"/>
    <x v="0"/>
    <x v="0"/>
    <n v="41.24"/>
    <n v="1"/>
    <x v="1199"/>
    <x v="1"/>
    <n v="6.6"/>
  </r>
  <r>
    <x v="134"/>
    <x v="2"/>
    <x v="1"/>
    <x v="1"/>
    <x v="5"/>
    <n v="46.26"/>
    <n v="2"/>
    <x v="1200"/>
    <x v="2"/>
    <n v="7"/>
  </r>
  <r>
    <x v="135"/>
    <x v="1"/>
    <x v="0"/>
    <x v="0"/>
    <x v="4"/>
    <n v="82.7"/>
    <n v="1"/>
    <x v="1201"/>
    <x v="1"/>
    <n v="7.2"/>
  </r>
  <r>
    <x v="135"/>
    <x v="2"/>
    <x v="0"/>
    <x v="0"/>
    <x v="2"/>
    <n v="73.95"/>
    <n v="2"/>
    <x v="1202"/>
    <x v="2"/>
    <n v="8.1999999999999993"/>
  </r>
  <r>
    <x v="135"/>
    <x v="0"/>
    <x v="1"/>
    <x v="0"/>
    <x v="2"/>
    <n v="49.33"/>
    <n v="1"/>
    <x v="1203"/>
    <x v="2"/>
    <n v="8.5"/>
  </r>
  <r>
    <x v="135"/>
    <x v="0"/>
    <x v="0"/>
    <x v="0"/>
    <x v="2"/>
    <n v="73.97"/>
    <n v="3"/>
    <x v="1204"/>
    <x v="0"/>
    <n v="8"/>
  </r>
  <r>
    <x v="135"/>
    <x v="2"/>
    <x v="1"/>
    <x v="0"/>
    <x v="0"/>
    <n v="54.84"/>
    <n v="6"/>
    <x v="1205"/>
    <x v="0"/>
    <n v="8.5"/>
  </r>
  <r>
    <x v="135"/>
    <x v="0"/>
    <x v="1"/>
    <x v="1"/>
    <x v="2"/>
    <n v="43.06"/>
    <n v="3"/>
    <x v="1206"/>
    <x v="0"/>
    <n v="6.6"/>
  </r>
  <r>
    <x v="135"/>
    <x v="2"/>
    <x v="1"/>
    <x v="0"/>
    <x v="0"/>
    <n v="39.9"/>
    <n v="4"/>
    <x v="1207"/>
    <x v="2"/>
    <n v="8.3000000000000007"/>
  </r>
  <r>
    <x v="135"/>
    <x v="0"/>
    <x v="0"/>
    <x v="0"/>
    <x v="2"/>
    <n v="16.489999999999998"/>
    <n v="1"/>
    <x v="1208"/>
    <x v="2"/>
    <n v="8.1999999999999993"/>
  </r>
  <r>
    <x v="135"/>
    <x v="2"/>
    <x v="0"/>
    <x v="0"/>
    <x v="0"/>
    <n v="60.3"/>
    <n v="3"/>
    <x v="1209"/>
    <x v="1"/>
    <n v="8.5"/>
  </r>
  <r>
    <x v="135"/>
    <x v="2"/>
    <x v="0"/>
    <x v="1"/>
    <x v="1"/>
    <n v="74.790000000000006"/>
    <n v="2"/>
    <x v="1210"/>
    <x v="0"/>
    <n v="6.9"/>
  </r>
  <r>
    <x v="135"/>
    <x v="2"/>
    <x v="1"/>
    <x v="1"/>
    <x v="5"/>
    <n v="51.71"/>
    <n v="4"/>
    <x v="752"/>
    <x v="1"/>
    <n v="9.8000000000000007"/>
  </r>
  <r>
    <x v="136"/>
    <x v="2"/>
    <x v="1"/>
    <x v="0"/>
    <x v="1"/>
    <n v="13.78"/>
    <n v="1"/>
    <x v="1211"/>
    <x v="0"/>
    <n v="8.4"/>
  </r>
  <r>
    <x v="136"/>
    <x v="2"/>
    <x v="1"/>
    <x v="0"/>
    <x v="0"/>
    <n v="92.29"/>
    <n v="2"/>
    <x v="1212"/>
    <x v="0"/>
    <n v="7"/>
  </r>
  <r>
    <x v="136"/>
    <x v="0"/>
    <x v="1"/>
    <x v="1"/>
    <x v="5"/>
    <n v="51.94"/>
    <n v="3"/>
    <x v="526"/>
    <x v="2"/>
    <n v="6.2"/>
  </r>
  <r>
    <x v="136"/>
    <x v="2"/>
    <x v="0"/>
    <x v="0"/>
    <x v="5"/>
    <n v="81.95"/>
    <n v="3"/>
    <x v="1213"/>
    <x v="2"/>
    <n v="6.9"/>
  </r>
  <r>
    <x v="136"/>
    <x v="0"/>
    <x v="1"/>
    <x v="0"/>
    <x v="0"/>
    <n v="57.74"/>
    <n v="2"/>
    <x v="1214"/>
    <x v="1"/>
    <n v="7.9"/>
  </r>
  <r>
    <x v="136"/>
    <x v="0"/>
    <x v="0"/>
    <x v="0"/>
    <x v="0"/>
    <n v="30.41"/>
    <n v="4"/>
    <x v="1215"/>
    <x v="0"/>
    <n v="6.1"/>
  </r>
  <r>
    <x v="136"/>
    <x v="2"/>
    <x v="0"/>
    <x v="1"/>
    <x v="5"/>
    <n v="68.930000000000007"/>
    <n v="2"/>
    <x v="1216"/>
    <x v="2"/>
    <n v="7.2"/>
  </r>
  <r>
    <x v="136"/>
    <x v="1"/>
    <x v="0"/>
    <x v="1"/>
    <x v="0"/>
    <n v="35.89"/>
    <n v="1"/>
    <x v="590"/>
    <x v="1"/>
    <n v="6.9"/>
  </r>
  <r>
    <x v="136"/>
    <x v="0"/>
    <x v="1"/>
    <x v="1"/>
    <x v="2"/>
    <n v="75.2"/>
    <n v="2"/>
    <x v="1217"/>
    <x v="0"/>
    <n v="6.7"/>
  </r>
  <r>
    <x v="136"/>
    <x v="0"/>
    <x v="0"/>
    <x v="0"/>
    <x v="5"/>
    <n v="59.77"/>
    <n v="3"/>
    <x v="1218"/>
    <x v="1"/>
    <n v="8.3000000000000007"/>
  </r>
  <r>
    <x v="137"/>
    <x v="2"/>
    <x v="1"/>
    <x v="1"/>
    <x v="4"/>
    <n v="71.86"/>
    <n v="2"/>
    <x v="1219"/>
    <x v="2"/>
    <n v="6"/>
  </r>
  <r>
    <x v="137"/>
    <x v="1"/>
    <x v="1"/>
    <x v="1"/>
    <x v="4"/>
    <n v="37"/>
    <n v="1"/>
    <x v="731"/>
    <x v="0"/>
    <n v="7.4"/>
  </r>
  <r>
    <x v="137"/>
    <x v="1"/>
    <x v="1"/>
    <x v="1"/>
    <x v="0"/>
    <n v="98.79"/>
    <n v="2"/>
    <x v="1220"/>
    <x v="2"/>
    <n v="6.8"/>
  </r>
  <r>
    <x v="137"/>
    <x v="2"/>
    <x v="1"/>
    <x v="0"/>
    <x v="0"/>
    <n v="73.47"/>
    <n v="4"/>
    <x v="596"/>
    <x v="2"/>
    <n v="7.5"/>
  </r>
  <r>
    <x v="137"/>
    <x v="0"/>
    <x v="1"/>
    <x v="0"/>
    <x v="3"/>
    <n v="60.74"/>
    <n v="2"/>
    <x v="1190"/>
    <x v="2"/>
    <n v="6.7"/>
  </r>
  <r>
    <x v="137"/>
    <x v="2"/>
    <x v="1"/>
    <x v="0"/>
    <x v="3"/>
    <n v="60.74"/>
    <n v="2"/>
    <x v="1190"/>
    <x v="2"/>
    <n v="9.4"/>
  </r>
  <r>
    <x v="137"/>
    <x v="2"/>
    <x v="1"/>
    <x v="1"/>
    <x v="0"/>
    <n v="80.36"/>
    <n v="2"/>
    <x v="1221"/>
    <x v="1"/>
    <n v="7.8"/>
  </r>
  <r>
    <x v="137"/>
    <x v="0"/>
    <x v="1"/>
    <x v="0"/>
    <x v="4"/>
    <n v="16.16"/>
    <n v="3"/>
    <x v="1222"/>
    <x v="2"/>
    <n v="9"/>
  </r>
  <r>
    <x v="137"/>
    <x v="2"/>
    <x v="1"/>
    <x v="0"/>
    <x v="5"/>
    <n v="29.67"/>
    <n v="4"/>
    <x v="1223"/>
    <x v="0"/>
    <n v="7.3"/>
  </r>
  <r>
    <x v="138"/>
    <x v="2"/>
    <x v="1"/>
    <x v="1"/>
    <x v="4"/>
    <n v="28.31"/>
    <n v="2"/>
    <x v="1224"/>
    <x v="1"/>
    <n v="8.1999999999999993"/>
  </r>
  <r>
    <x v="138"/>
    <x v="2"/>
    <x v="0"/>
    <x v="1"/>
    <x v="3"/>
    <n v="60.74"/>
    <n v="1"/>
    <x v="1182"/>
    <x v="0"/>
    <n v="8.8000000000000007"/>
  </r>
  <r>
    <x v="138"/>
    <x v="0"/>
    <x v="1"/>
    <x v="0"/>
    <x v="0"/>
    <n v="26.43"/>
    <n v="6"/>
    <x v="1225"/>
    <x v="2"/>
    <n v="8.3000000000000007"/>
  </r>
  <r>
    <x v="138"/>
    <x v="0"/>
    <x v="0"/>
    <x v="1"/>
    <x v="4"/>
    <n v="97.94"/>
    <n v="4"/>
    <x v="1226"/>
    <x v="2"/>
    <n v="8.6"/>
  </r>
  <r>
    <x v="138"/>
    <x v="1"/>
    <x v="0"/>
    <x v="0"/>
    <x v="5"/>
    <n v="47.67"/>
    <n v="3"/>
    <x v="1227"/>
    <x v="2"/>
    <n v="6.8"/>
  </r>
  <r>
    <x v="138"/>
    <x v="2"/>
    <x v="1"/>
    <x v="0"/>
    <x v="5"/>
    <n v="64.36"/>
    <n v="4"/>
    <x v="1228"/>
    <x v="2"/>
    <n v="7.6"/>
  </r>
  <r>
    <x v="138"/>
    <x v="0"/>
    <x v="1"/>
    <x v="1"/>
    <x v="0"/>
    <n v="94.13"/>
    <n v="3"/>
    <x v="991"/>
    <x v="1"/>
    <n v="6.9"/>
  </r>
  <r>
    <x v="138"/>
    <x v="1"/>
    <x v="1"/>
    <x v="1"/>
    <x v="2"/>
    <n v="45.58"/>
    <n v="2"/>
    <x v="1229"/>
    <x v="2"/>
    <n v="4.9000000000000004"/>
  </r>
  <r>
    <x v="139"/>
    <x v="2"/>
    <x v="1"/>
    <x v="0"/>
    <x v="0"/>
    <n v="48.61"/>
    <n v="3"/>
    <x v="1230"/>
    <x v="1"/>
    <n v="7"/>
  </r>
  <r>
    <x v="139"/>
    <x v="0"/>
    <x v="1"/>
    <x v="1"/>
    <x v="5"/>
    <n v="41.5"/>
    <n v="1"/>
    <x v="1231"/>
    <x v="0"/>
    <n v="8.9"/>
  </r>
  <r>
    <x v="139"/>
    <x v="1"/>
    <x v="0"/>
    <x v="0"/>
    <x v="1"/>
    <n v="91.56"/>
    <n v="1"/>
    <x v="519"/>
    <x v="2"/>
    <n v="8.1"/>
  </r>
  <r>
    <x v="139"/>
    <x v="0"/>
    <x v="0"/>
    <x v="0"/>
    <x v="0"/>
    <n v="62.85"/>
    <n v="4"/>
    <x v="620"/>
    <x v="2"/>
    <n v="8.1"/>
  </r>
  <r>
    <x v="139"/>
    <x v="0"/>
    <x v="0"/>
    <x v="1"/>
    <x v="0"/>
    <n v="22.93"/>
    <n v="7"/>
    <x v="1232"/>
    <x v="2"/>
    <n v="9.8000000000000007"/>
  </r>
  <r>
    <x v="139"/>
    <x v="2"/>
    <x v="0"/>
    <x v="0"/>
    <x v="0"/>
    <n v="26.6"/>
    <n v="4"/>
    <x v="1233"/>
    <x v="2"/>
    <n v="7.8"/>
  </r>
  <r>
    <x v="139"/>
    <x v="0"/>
    <x v="1"/>
    <x v="0"/>
    <x v="0"/>
    <n v="94.47"/>
    <n v="6"/>
    <x v="1234"/>
    <x v="2"/>
    <n v="6.7"/>
  </r>
  <r>
    <x v="140"/>
    <x v="2"/>
    <x v="1"/>
    <x v="1"/>
    <x v="0"/>
    <n v="18.850000000000001"/>
    <n v="2"/>
    <x v="1235"/>
    <x v="2"/>
    <n v="6.7"/>
  </r>
  <r>
    <x v="140"/>
    <x v="0"/>
    <x v="1"/>
    <x v="1"/>
    <x v="0"/>
    <n v="53.72"/>
    <n v="3"/>
    <x v="1236"/>
    <x v="2"/>
    <n v="7.8"/>
  </r>
  <r>
    <x v="140"/>
    <x v="0"/>
    <x v="1"/>
    <x v="0"/>
    <x v="5"/>
    <n v="39.01"/>
    <n v="2"/>
    <x v="1237"/>
    <x v="1"/>
    <n v="8.6"/>
  </r>
  <r>
    <x v="140"/>
    <x v="0"/>
    <x v="0"/>
    <x v="1"/>
    <x v="4"/>
    <n v="50.28"/>
    <n v="5"/>
    <x v="620"/>
    <x v="0"/>
    <n v="7.6"/>
  </r>
  <r>
    <x v="140"/>
    <x v="0"/>
    <x v="1"/>
    <x v="0"/>
    <x v="3"/>
    <n v="60.74"/>
    <n v="1"/>
    <x v="1182"/>
    <x v="0"/>
    <n v="6"/>
  </r>
  <r>
    <x v="140"/>
    <x v="0"/>
    <x v="0"/>
    <x v="1"/>
    <x v="2"/>
    <n v="10.17"/>
    <n v="2"/>
    <x v="1238"/>
    <x v="0"/>
    <n v="7.4"/>
  </r>
  <r>
    <x v="140"/>
    <x v="2"/>
    <x v="1"/>
    <x v="1"/>
    <x v="3"/>
    <n v="60.74"/>
    <n v="2"/>
    <x v="1190"/>
    <x v="2"/>
    <n v="7"/>
  </r>
  <r>
    <x v="140"/>
    <x v="1"/>
    <x v="1"/>
    <x v="1"/>
    <x v="4"/>
    <n v="33.99"/>
    <n v="2"/>
    <x v="1239"/>
    <x v="0"/>
    <n v="5.3"/>
  </r>
  <r>
    <x v="140"/>
    <x v="2"/>
    <x v="0"/>
    <x v="1"/>
    <x v="0"/>
    <n v="66.52"/>
    <n v="4"/>
    <x v="678"/>
    <x v="2"/>
    <n v="7"/>
  </r>
  <r>
    <x v="140"/>
    <x v="2"/>
    <x v="0"/>
    <x v="1"/>
    <x v="0"/>
    <n v="22.17"/>
    <n v="1"/>
    <x v="1240"/>
    <x v="1"/>
    <n v="7.3"/>
  </r>
  <r>
    <x v="140"/>
    <x v="0"/>
    <x v="1"/>
    <x v="0"/>
    <x v="0"/>
    <n v="73.05"/>
    <n v="3"/>
    <x v="1241"/>
    <x v="1"/>
    <n v="6.7"/>
  </r>
  <r>
    <x v="140"/>
    <x v="0"/>
    <x v="1"/>
    <x v="0"/>
    <x v="0"/>
    <n v="74.66"/>
    <n v="3"/>
    <x v="1242"/>
    <x v="1"/>
    <n v="8"/>
  </r>
  <r>
    <x v="141"/>
    <x v="0"/>
    <x v="1"/>
    <x v="1"/>
    <x v="2"/>
    <n v="86.31"/>
    <n v="1"/>
    <x v="1243"/>
    <x v="1"/>
    <n v="5.9"/>
  </r>
  <r>
    <x v="141"/>
    <x v="2"/>
    <x v="1"/>
    <x v="0"/>
    <x v="4"/>
    <n v="90.65"/>
    <n v="5"/>
    <x v="1244"/>
    <x v="2"/>
    <n v="8.3000000000000007"/>
  </r>
  <r>
    <x v="141"/>
    <x v="0"/>
    <x v="0"/>
    <x v="0"/>
    <x v="5"/>
    <n v="15.87"/>
    <n v="1"/>
    <x v="1245"/>
    <x v="0"/>
    <n v="6.5"/>
  </r>
  <r>
    <x v="141"/>
    <x v="2"/>
    <x v="0"/>
    <x v="0"/>
    <x v="3"/>
    <n v="60.74"/>
    <n v="3"/>
    <x v="1184"/>
    <x v="2"/>
    <n v="7.2"/>
  </r>
  <r>
    <x v="141"/>
    <x v="2"/>
    <x v="1"/>
    <x v="0"/>
    <x v="4"/>
    <n v="52.18"/>
    <n v="5"/>
    <x v="1246"/>
    <x v="1"/>
    <n v="8"/>
  </r>
  <r>
    <x v="141"/>
    <x v="2"/>
    <x v="1"/>
    <x v="0"/>
    <x v="3"/>
    <n v="60.74"/>
    <n v="2"/>
    <x v="1190"/>
    <x v="0"/>
    <n v="7.5"/>
  </r>
  <r>
    <x v="141"/>
    <x v="1"/>
    <x v="1"/>
    <x v="0"/>
    <x v="5"/>
    <n v="18.11"/>
    <n v="4"/>
    <x v="1247"/>
    <x v="1"/>
    <n v="9.8000000000000007"/>
  </r>
  <r>
    <x v="141"/>
    <x v="0"/>
    <x v="1"/>
    <x v="1"/>
    <x v="0"/>
    <n v="98.7"/>
    <n v="5"/>
    <x v="1248"/>
    <x v="2"/>
    <n v="7.2"/>
  </r>
  <r>
    <x v="141"/>
    <x v="0"/>
    <x v="1"/>
    <x v="1"/>
    <x v="0"/>
    <n v="48.52"/>
    <n v="6"/>
    <x v="1249"/>
    <x v="0"/>
    <n v="9.1"/>
  </r>
  <r>
    <x v="141"/>
    <x v="2"/>
    <x v="1"/>
    <x v="0"/>
    <x v="0"/>
    <n v="18.079999999999998"/>
    <n v="2"/>
    <x v="1250"/>
    <x v="2"/>
    <n v="5.9"/>
  </r>
  <r>
    <x v="141"/>
    <x v="0"/>
    <x v="0"/>
    <x v="1"/>
    <x v="5"/>
    <n v="82.58"/>
    <n v="4"/>
    <x v="1251"/>
    <x v="1"/>
    <n v="8.9"/>
  </r>
  <r>
    <x v="141"/>
    <x v="2"/>
    <x v="1"/>
    <x v="1"/>
    <x v="0"/>
    <n v="78.31"/>
    <n v="4"/>
    <x v="1252"/>
    <x v="1"/>
    <n v="7.2"/>
  </r>
  <r>
    <x v="141"/>
    <x v="1"/>
    <x v="1"/>
    <x v="1"/>
    <x v="0"/>
    <n v="62.08"/>
    <n v="2"/>
    <x v="1253"/>
    <x v="1"/>
    <n v="7.5"/>
  </r>
  <r>
    <x v="141"/>
    <x v="0"/>
    <x v="0"/>
    <x v="1"/>
    <x v="0"/>
    <n v="99.79"/>
    <n v="1"/>
    <x v="1254"/>
    <x v="2"/>
    <n v="8.8000000000000007"/>
  </r>
  <r>
    <x v="142"/>
    <x v="0"/>
    <x v="1"/>
    <x v="1"/>
    <x v="0"/>
    <n v="17.04"/>
    <n v="3"/>
    <x v="1255"/>
    <x v="2"/>
    <n v="7.7"/>
  </r>
  <r>
    <x v="142"/>
    <x v="2"/>
    <x v="0"/>
    <x v="1"/>
    <x v="4"/>
    <n v="93.69"/>
    <n v="3"/>
    <x v="1256"/>
    <x v="1"/>
    <n v="7.9"/>
  </r>
  <r>
    <x v="142"/>
    <x v="0"/>
    <x v="0"/>
    <x v="1"/>
    <x v="0"/>
    <n v="43.27"/>
    <n v="4"/>
    <x v="1257"/>
    <x v="0"/>
    <n v="7.8"/>
  </r>
  <r>
    <x v="142"/>
    <x v="2"/>
    <x v="1"/>
    <x v="1"/>
    <x v="2"/>
    <n v="90.28"/>
    <n v="2"/>
    <x v="1258"/>
    <x v="2"/>
    <n v="6"/>
  </r>
  <r>
    <x v="142"/>
    <x v="2"/>
    <x v="0"/>
    <x v="0"/>
    <x v="0"/>
    <n v="17.63"/>
    <n v="1"/>
    <x v="1259"/>
    <x v="0"/>
    <n v="6.3"/>
  </r>
  <r>
    <x v="142"/>
    <x v="1"/>
    <x v="1"/>
    <x v="0"/>
    <x v="0"/>
    <n v="98.97"/>
    <n v="2"/>
    <x v="1260"/>
    <x v="2"/>
    <n v="8"/>
  </r>
  <r>
    <x v="142"/>
    <x v="0"/>
    <x v="0"/>
    <x v="0"/>
    <x v="4"/>
    <n v="35.79"/>
    <n v="4"/>
    <x v="1261"/>
    <x v="2"/>
    <n v="7.5"/>
  </r>
  <r>
    <x v="142"/>
    <x v="0"/>
    <x v="1"/>
    <x v="0"/>
    <x v="0"/>
    <n v="99.78"/>
    <n v="4"/>
    <x v="1262"/>
    <x v="2"/>
    <n v="8.4"/>
  </r>
  <r>
    <x v="142"/>
    <x v="1"/>
    <x v="1"/>
    <x v="1"/>
    <x v="4"/>
    <n v="40.299999999999997"/>
    <n v="3"/>
    <x v="1263"/>
    <x v="0"/>
    <n v="7.8"/>
  </r>
  <r>
    <x v="142"/>
    <x v="2"/>
    <x v="0"/>
    <x v="0"/>
    <x v="3"/>
    <n v="60.74"/>
    <n v="1"/>
    <x v="1182"/>
    <x v="0"/>
    <n v="8.1999999999999993"/>
  </r>
  <r>
    <x v="142"/>
    <x v="1"/>
    <x v="0"/>
    <x v="0"/>
    <x v="4"/>
    <n v="63.42"/>
    <n v="3"/>
    <x v="1264"/>
    <x v="1"/>
    <n v="8.5"/>
  </r>
  <r>
    <x v="142"/>
    <x v="1"/>
    <x v="1"/>
    <x v="1"/>
    <x v="0"/>
    <n v="18.22"/>
    <n v="4"/>
    <x v="1265"/>
    <x v="2"/>
    <n v="8.6"/>
  </r>
  <r>
    <x v="142"/>
    <x v="2"/>
    <x v="1"/>
    <x v="0"/>
    <x v="0"/>
    <n v="57.34"/>
    <n v="2"/>
    <x v="1266"/>
    <x v="1"/>
    <n v="7.6"/>
  </r>
  <r>
    <x v="143"/>
    <x v="2"/>
    <x v="0"/>
    <x v="1"/>
    <x v="2"/>
    <n v="64.97"/>
    <n v="1"/>
    <x v="1267"/>
    <x v="2"/>
    <n v="7.1"/>
  </r>
  <r>
    <x v="143"/>
    <x v="1"/>
    <x v="0"/>
    <x v="0"/>
    <x v="0"/>
    <n v="10.130000000000001"/>
    <n v="1"/>
    <x v="1268"/>
    <x v="0"/>
    <n v="7.3"/>
  </r>
  <r>
    <x v="143"/>
    <x v="0"/>
    <x v="1"/>
    <x v="1"/>
    <x v="2"/>
    <n v="69.12"/>
    <n v="2"/>
    <x v="1269"/>
    <x v="1"/>
    <n v="7"/>
  </r>
  <r>
    <x v="143"/>
    <x v="0"/>
    <x v="1"/>
    <x v="0"/>
    <x v="3"/>
    <n v="60.74"/>
    <n v="2"/>
    <x v="1190"/>
    <x v="2"/>
    <n v="7"/>
  </r>
  <r>
    <x v="143"/>
    <x v="0"/>
    <x v="0"/>
    <x v="1"/>
    <x v="0"/>
    <n v="46.77"/>
    <n v="4"/>
    <x v="1270"/>
    <x v="2"/>
    <n v="8.1"/>
  </r>
  <r>
    <x v="143"/>
    <x v="0"/>
    <x v="0"/>
    <x v="1"/>
    <x v="5"/>
    <n v="24.89"/>
    <n v="1"/>
    <x v="1271"/>
    <x v="1"/>
    <n v="7.1"/>
  </r>
  <r>
    <x v="143"/>
    <x v="1"/>
    <x v="1"/>
    <x v="1"/>
    <x v="4"/>
    <n v="28.32"/>
    <n v="2"/>
    <x v="1272"/>
    <x v="0"/>
    <n v="5.7"/>
  </r>
  <r>
    <x v="143"/>
    <x v="2"/>
    <x v="1"/>
    <x v="1"/>
    <x v="0"/>
    <n v="94.26"/>
    <n v="6"/>
    <x v="1273"/>
    <x v="2"/>
    <n v="7.7"/>
  </r>
  <r>
    <x v="143"/>
    <x v="0"/>
    <x v="1"/>
    <x v="1"/>
    <x v="3"/>
    <n v="60.74"/>
    <n v="1"/>
    <x v="1182"/>
    <x v="1"/>
    <n v="5.3"/>
  </r>
  <r>
    <x v="143"/>
    <x v="0"/>
    <x v="0"/>
    <x v="0"/>
    <x v="0"/>
    <n v="55.04"/>
    <n v="2"/>
    <x v="1274"/>
    <x v="2"/>
    <n v="7.1"/>
  </r>
  <r>
    <x v="143"/>
    <x v="0"/>
    <x v="0"/>
    <x v="1"/>
    <x v="4"/>
    <n v="40.729999999999997"/>
    <n v="4"/>
    <x v="1275"/>
    <x v="0"/>
    <n v="8.6999999999999993"/>
  </r>
  <r>
    <x v="144"/>
    <x v="1"/>
    <x v="1"/>
    <x v="0"/>
    <x v="0"/>
    <n v="54.27"/>
    <n v="3"/>
    <x v="1276"/>
    <x v="1"/>
    <n v="8.5"/>
  </r>
  <r>
    <x v="144"/>
    <x v="1"/>
    <x v="0"/>
    <x v="0"/>
    <x v="0"/>
    <n v="45.79"/>
    <n v="3"/>
    <x v="1277"/>
    <x v="1"/>
    <n v="8.1"/>
  </r>
  <r>
    <x v="144"/>
    <x v="2"/>
    <x v="0"/>
    <x v="0"/>
    <x v="0"/>
    <n v="77.56"/>
    <n v="3"/>
    <x v="1278"/>
    <x v="0"/>
    <n v="9.1"/>
  </r>
  <r>
    <x v="144"/>
    <x v="2"/>
    <x v="1"/>
    <x v="1"/>
    <x v="4"/>
    <n v="46.22"/>
    <n v="1"/>
    <x v="1279"/>
    <x v="1"/>
    <n v="6.9"/>
  </r>
  <r>
    <x v="144"/>
    <x v="1"/>
    <x v="1"/>
    <x v="1"/>
    <x v="4"/>
    <n v="63.91"/>
    <n v="1"/>
    <x v="1280"/>
    <x v="2"/>
    <n v="8.3000000000000007"/>
  </r>
  <r>
    <x v="144"/>
    <x v="0"/>
    <x v="1"/>
    <x v="0"/>
    <x v="0"/>
    <n v="53.21"/>
    <n v="2"/>
    <x v="1281"/>
    <x v="2"/>
    <n v="7.6"/>
  </r>
  <r>
    <x v="144"/>
    <x v="0"/>
    <x v="1"/>
    <x v="0"/>
    <x v="5"/>
    <n v="10.75"/>
    <n v="2"/>
    <x v="1282"/>
    <x v="0"/>
    <n v="8.3000000000000007"/>
  </r>
  <r>
    <x v="144"/>
    <x v="1"/>
    <x v="0"/>
    <x v="0"/>
    <x v="5"/>
    <n v="96.58"/>
    <n v="1"/>
    <x v="1283"/>
    <x v="0"/>
    <n v="8.1"/>
  </r>
  <r>
    <x v="144"/>
    <x v="0"/>
    <x v="0"/>
    <x v="1"/>
    <x v="0"/>
    <n v="87.8"/>
    <n v="3"/>
    <x v="1284"/>
    <x v="0"/>
    <n v="8"/>
  </r>
  <r>
    <x v="144"/>
    <x v="1"/>
    <x v="1"/>
    <x v="0"/>
    <x v="0"/>
    <n v="63.61"/>
    <n v="5"/>
    <x v="843"/>
    <x v="1"/>
    <n v="7.4"/>
  </r>
  <r>
    <x v="145"/>
    <x v="1"/>
    <x v="0"/>
    <x v="0"/>
    <x v="0"/>
    <n v="22.62"/>
    <n v="1"/>
    <x v="851"/>
    <x v="1"/>
    <n v="8.1"/>
  </r>
  <r>
    <x v="145"/>
    <x v="0"/>
    <x v="0"/>
    <x v="1"/>
    <x v="0"/>
    <n v="83.34"/>
    <n v="4"/>
    <x v="1285"/>
    <x v="2"/>
    <n v="9.6999999999999993"/>
  </r>
  <r>
    <x v="145"/>
    <x v="1"/>
    <x v="1"/>
    <x v="0"/>
    <x v="0"/>
    <n v="20.87"/>
    <n v="2"/>
    <x v="1286"/>
    <x v="1"/>
    <n v="7.6"/>
  </r>
  <r>
    <x v="145"/>
    <x v="2"/>
    <x v="0"/>
    <x v="1"/>
    <x v="2"/>
    <n v="22.24"/>
    <n v="1"/>
    <x v="1287"/>
    <x v="1"/>
    <n v="5.7"/>
  </r>
  <r>
    <x v="145"/>
    <x v="2"/>
    <x v="1"/>
    <x v="0"/>
    <x v="5"/>
    <n v="92.78"/>
    <n v="2"/>
    <x v="1288"/>
    <x v="0"/>
    <n v="6.5"/>
  </r>
  <r>
    <x v="145"/>
    <x v="0"/>
    <x v="1"/>
    <x v="0"/>
    <x v="5"/>
    <n v="15.37"/>
    <n v="3"/>
    <x v="1289"/>
    <x v="2"/>
    <n v="6.5"/>
  </r>
  <r>
    <x v="145"/>
    <x v="2"/>
    <x v="0"/>
    <x v="0"/>
    <x v="5"/>
    <n v="30.35"/>
    <n v="1"/>
    <x v="1290"/>
    <x v="1"/>
    <n v="7.2"/>
  </r>
  <r>
    <x v="145"/>
    <x v="2"/>
    <x v="1"/>
    <x v="0"/>
    <x v="3"/>
    <n v="60.74"/>
    <n v="1"/>
    <x v="1182"/>
    <x v="2"/>
    <n v="7.7"/>
  </r>
  <r>
    <x v="145"/>
    <x v="2"/>
    <x v="0"/>
    <x v="1"/>
    <x v="0"/>
    <n v="79.91"/>
    <n v="3"/>
    <x v="884"/>
    <x v="2"/>
    <n v="8.1"/>
  </r>
  <r>
    <x v="145"/>
    <x v="1"/>
    <x v="1"/>
    <x v="0"/>
    <x v="0"/>
    <n v="91.61"/>
    <n v="4"/>
    <x v="1291"/>
    <x v="2"/>
    <n v="8.1999999999999993"/>
  </r>
  <r>
    <x v="145"/>
    <x v="2"/>
    <x v="1"/>
    <x v="1"/>
    <x v="0"/>
    <n v="43.25"/>
    <n v="3"/>
    <x v="1292"/>
    <x v="2"/>
    <n v="4.9000000000000004"/>
  </r>
  <r>
    <x v="145"/>
    <x v="1"/>
    <x v="0"/>
    <x v="0"/>
    <x v="0"/>
    <n v="57.29"/>
    <n v="3"/>
    <x v="1293"/>
    <x v="1"/>
    <n v="7.9"/>
  </r>
  <r>
    <x v="145"/>
    <x v="0"/>
    <x v="1"/>
    <x v="0"/>
    <x v="0"/>
    <n v="56.56"/>
    <n v="5"/>
    <x v="902"/>
    <x v="2"/>
    <n v="6.9"/>
  </r>
  <r>
    <x v="145"/>
    <x v="0"/>
    <x v="1"/>
    <x v="1"/>
    <x v="2"/>
    <n v="34.840000000000003"/>
    <n v="2"/>
    <x v="1294"/>
    <x v="2"/>
    <n v="8.4"/>
  </r>
  <r>
    <x v="145"/>
    <x v="2"/>
    <x v="0"/>
    <x v="1"/>
    <x v="0"/>
    <n v="52.75"/>
    <n v="3"/>
    <x v="910"/>
    <x v="1"/>
    <n v="9"/>
  </r>
  <r>
    <x v="146"/>
    <x v="2"/>
    <x v="1"/>
    <x v="1"/>
    <x v="1"/>
    <n v="88.67"/>
    <n v="1"/>
    <x v="1295"/>
    <x v="2"/>
    <n v="6.7"/>
  </r>
  <r>
    <x v="146"/>
    <x v="0"/>
    <x v="0"/>
    <x v="0"/>
    <x v="2"/>
    <n v="94.76"/>
    <n v="2"/>
    <x v="231"/>
    <x v="2"/>
    <n v="6"/>
  </r>
  <r>
    <x v="146"/>
    <x v="1"/>
    <x v="1"/>
    <x v="0"/>
    <x v="5"/>
    <n v="66.14"/>
    <n v="2"/>
    <x v="1296"/>
    <x v="2"/>
    <n v="5.4"/>
  </r>
  <r>
    <x v="146"/>
    <x v="1"/>
    <x v="1"/>
    <x v="1"/>
    <x v="0"/>
    <n v="73.88"/>
    <n v="5"/>
    <x v="1297"/>
    <x v="2"/>
    <n v="6.8"/>
  </r>
  <r>
    <x v="146"/>
    <x v="1"/>
    <x v="1"/>
    <x v="1"/>
    <x v="0"/>
    <n v="33.979999999999997"/>
    <n v="4"/>
    <x v="1298"/>
    <x v="1"/>
    <n v="8.5"/>
  </r>
  <r>
    <x v="146"/>
    <x v="1"/>
    <x v="1"/>
    <x v="1"/>
    <x v="2"/>
    <n v="71.63"/>
    <n v="2"/>
    <x v="491"/>
    <x v="2"/>
    <n v="8.8000000000000007"/>
  </r>
  <r>
    <x v="146"/>
    <x v="2"/>
    <x v="0"/>
    <x v="0"/>
    <x v="5"/>
    <n v="54.92"/>
    <n v="1"/>
    <x v="1299"/>
    <x v="1"/>
    <n v="7.1"/>
  </r>
  <r>
    <x v="146"/>
    <x v="2"/>
    <x v="1"/>
    <x v="1"/>
    <x v="0"/>
    <n v="39.43"/>
    <n v="3"/>
    <x v="1300"/>
    <x v="1"/>
    <n v="8.6999999999999993"/>
  </r>
  <r>
    <x v="146"/>
    <x v="0"/>
    <x v="1"/>
    <x v="0"/>
    <x v="0"/>
    <n v="55.39"/>
    <n v="1"/>
    <x v="1301"/>
    <x v="1"/>
    <n v="8.5"/>
  </r>
  <r>
    <x v="146"/>
    <x v="1"/>
    <x v="1"/>
    <x v="1"/>
    <x v="0"/>
    <n v="16.309999999999999"/>
    <n v="2"/>
    <x v="1302"/>
    <x v="0"/>
    <n v="6.7"/>
  </r>
  <r>
    <x v="146"/>
    <x v="0"/>
    <x v="1"/>
    <x v="1"/>
    <x v="4"/>
    <n v="70.11"/>
    <n v="4"/>
    <x v="1303"/>
    <x v="2"/>
    <n v="7.9"/>
  </r>
  <r>
    <x v="146"/>
    <x v="0"/>
    <x v="1"/>
    <x v="0"/>
    <x v="4"/>
    <n v="35.47"/>
    <n v="2"/>
    <x v="1304"/>
    <x v="1"/>
    <n v="8.5"/>
  </r>
  <r>
    <x v="146"/>
    <x v="1"/>
    <x v="1"/>
    <x v="1"/>
    <x v="2"/>
    <n v="20.18"/>
    <n v="2"/>
    <x v="1305"/>
    <x v="0"/>
    <n v="6.1"/>
  </r>
  <r>
    <x v="146"/>
    <x v="0"/>
    <x v="1"/>
    <x v="0"/>
    <x v="3"/>
    <n v="60.74"/>
    <n v="3"/>
    <x v="1184"/>
    <x v="0"/>
    <n v="7.3"/>
  </r>
  <r>
    <x v="146"/>
    <x v="0"/>
    <x v="1"/>
    <x v="0"/>
    <x v="0"/>
    <n v="52.34"/>
    <n v="3"/>
    <x v="953"/>
    <x v="0"/>
    <n v="5.8"/>
  </r>
  <r>
    <x v="146"/>
    <x v="1"/>
    <x v="0"/>
    <x v="0"/>
    <x v="2"/>
    <n v="13.69"/>
    <n v="3"/>
    <x v="1306"/>
    <x v="2"/>
    <n v="8.6999999999999993"/>
  </r>
  <r>
    <x v="147"/>
    <x v="2"/>
    <x v="1"/>
    <x v="0"/>
    <x v="5"/>
    <n v="82.88"/>
    <n v="2"/>
    <x v="1307"/>
    <x v="1"/>
    <n v="8.3000000000000007"/>
  </r>
  <r>
    <x v="147"/>
    <x v="0"/>
    <x v="0"/>
    <x v="1"/>
    <x v="0"/>
    <n v="49.38"/>
    <n v="2"/>
    <x v="1308"/>
    <x v="1"/>
    <n v="8.8000000000000007"/>
  </r>
  <r>
    <x v="147"/>
    <x v="2"/>
    <x v="1"/>
    <x v="0"/>
    <x v="0"/>
    <n v="29.15"/>
    <n v="4"/>
    <x v="1309"/>
    <x v="2"/>
    <n v="9"/>
  </r>
  <r>
    <x v="147"/>
    <x v="0"/>
    <x v="1"/>
    <x v="0"/>
    <x v="4"/>
    <n v="33.200000000000003"/>
    <n v="4"/>
    <x v="1310"/>
    <x v="0"/>
    <n v="9.3000000000000007"/>
  </r>
  <r>
    <x v="147"/>
    <x v="2"/>
    <x v="1"/>
    <x v="0"/>
    <x v="0"/>
    <n v="79.540000000000006"/>
    <n v="2"/>
    <x v="960"/>
    <x v="2"/>
    <n v="7.7"/>
  </r>
  <r>
    <x v="147"/>
    <x v="2"/>
    <x v="0"/>
    <x v="0"/>
    <x v="4"/>
    <n v="65.260000000000005"/>
    <n v="1"/>
    <x v="1311"/>
    <x v="1"/>
    <n v="6.3"/>
  </r>
  <r>
    <x v="147"/>
    <x v="1"/>
    <x v="1"/>
    <x v="0"/>
    <x v="0"/>
    <n v="32.32"/>
    <n v="5"/>
    <x v="1312"/>
    <x v="2"/>
    <n v="6.6"/>
  </r>
  <r>
    <x v="147"/>
    <x v="0"/>
    <x v="0"/>
    <x v="0"/>
    <x v="0"/>
    <n v="71.680000000000007"/>
    <n v="3"/>
    <x v="967"/>
    <x v="2"/>
    <n v="7.2"/>
  </r>
  <r>
    <x v="147"/>
    <x v="1"/>
    <x v="1"/>
    <x v="1"/>
    <x v="5"/>
    <n v="15.8"/>
    <n v="1"/>
    <x v="1313"/>
    <x v="1"/>
    <n v="7"/>
  </r>
  <r>
    <x v="147"/>
    <x v="0"/>
    <x v="1"/>
    <x v="1"/>
    <x v="4"/>
    <n v="13.59"/>
    <n v="3"/>
    <x v="1314"/>
    <x v="2"/>
    <n v="7.7"/>
  </r>
  <r>
    <x v="147"/>
    <x v="1"/>
    <x v="1"/>
    <x v="1"/>
    <x v="2"/>
    <n v="44.65"/>
    <n v="2"/>
    <x v="1315"/>
    <x v="2"/>
    <n v="7"/>
  </r>
  <r>
    <x v="147"/>
    <x v="0"/>
    <x v="1"/>
    <x v="1"/>
    <x v="5"/>
    <n v="64.27"/>
    <n v="1"/>
    <x v="1316"/>
    <x v="1"/>
    <n v="6.3"/>
  </r>
  <r>
    <x v="147"/>
    <x v="2"/>
    <x v="1"/>
    <x v="0"/>
    <x v="5"/>
    <n v="27.73"/>
    <n v="4"/>
    <x v="1317"/>
    <x v="2"/>
    <n v="7.2"/>
  </r>
  <r>
    <x v="147"/>
    <x v="1"/>
    <x v="0"/>
    <x v="0"/>
    <x v="3"/>
    <n v="60.74"/>
    <n v="2"/>
    <x v="1190"/>
    <x v="1"/>
    <n v="9.4"/>
  </r>
  <r>
    <x v="148"/>
    <x v="2"/>
    <x v="1"/>
    <x v="1"/>
    <x v="5"/>
    <n v="43.7"/>
    <n v="2"/>
    <x v="943"/>
    <x v="2"/>
    <n v="6.5"/>
  </r>
  <r>
    <x v="148"/>
    <x v="0"/>
    <x v="1"/>
    <x v="0"/>
    <x v="5"/>
    <n v="10.69"/>
    <n v="1"/>
    <x v="1318"/>
    <x v="0"/>
    <n v="9.6"/>
  </r>
  <r>
    <x v="148"/>
    <x v="0"/>
    <x v="0"/>
    <x v="0"/>
    <x v="4"/>
    <n v="23.75"/>
    <n v="4"/>
    <x v="848"/>
    <x v="2"/>
    <n v="6.4"/>
  </r>
  <r>
    <x v="148"/>
    <x v="2"/>
    <x v="0"/>
    <x v="1"/>
    <x v="5"/>
    <n v="32.46"/>
    <n v="1"/>
    <x v="1319"/>
    <x v="0"/>
    <n v="8.3000000000000007"/>
  </r>
  <r>
    <x v="148"/>
    <x v="2"/>
    <x v="1"/>
    <x v="1"/>
    <x v="0"/>
    <n v="51.34"/>
    <n v="4"/>
    <x v="1320"/>
    <x v="2"/>
    <n v="9.3000000000000007"/>
  </r>
  <r>
    <x v="148"/>
    <x v="1"/>
    <x v="1"/>
    <x v="0"/>
    <x v="0"/>
    <n v="58.26"/>
    <n v="3"/>
    <x v="1321"/>
    <x v="2"/>
    <n v="6.6"/>
  </r>
  <r>
    <x v="148"/>
    <x v="2"/>
    <x v="0"/>
    <x v="0"/>
    <x v="2"/>
    <n v="60.08"/>
    <n v="3"/>
    <x v="1322"/>
    <x v="0"/>
    <n v="8.1999999999999993"/>
  </r>
  <r>
    <x v="148"/>
    <x v="0"/>
    <x v="1"/>
    <x v="1"/>
    <x v="0"/>
    <n v="38.6"/>
    <n v="2"/>
    <x v="1323"/>
    <x v="0"/>
    <n v="5.8"/>
  </r>
  <r>
    <x v="148"/>
    <x v="0"/>
    <x v="1"/>
    <x v="0"/>
    <x v="0"/>
    <n v="49.79"/>
    <n v="3"/>
    <x v="1324"/>
    <x v="0"/>
    <n v="9.1"/>
  </r>
  <r>
    <x v="148"/>
    <x v="0"/>
    <x v="0"/>
    <x v="0"/>
    <x v="4"/>
    <n v="11.28"/>
    <n v="1"/>
    <x v="1325"/>
    <x v="2"/>
    <n v="8.6999999999999993"/>
  </r>
  <r>
    <x v="148"/>
    <x v="0"/>
    <x v="1"/>
    <x v="1"/>
    <x v="5"/>
    <n v="10.08"/>
    <n v="4"/>
    <x v="1326"/>
    <x v="2"/>
    <n v="9.8000000000000007"/>
  </r>
  <r>
    <x v="148"/>
    <x v="2"/>
    <x v="1"/>
    <x v="0"/>
    <x v="4"/>
    <n v="77.47"/>
    <n v="4"/>
    <x v="855"/>
    <x v="0"/>
    <n v="7.6"/>
  </r>
  <r>
    <x v="148"/>
    <x v="2"/>
    <x v="1"/>
    <x v="0"/>
    <x v="5"/>
    <n v="71.77"/>
    <n v="1"/>
    <x v="1327"/>
    <x v="1"/>
    <n v="6.7"/>
  </r>
  <r>
    <x v="149"/>
    <x v="2"/>
    <x v="1"/>
    <x v="1"/>
    <x v="2"/>
    <n v="24.74"/>
    <n v="3"/>
    <x v="518"/>
    <x v="1"/>
    <n v="8"/>
  </r>
  <r>
    <x v="149"/>
    <x v="0"/>
    <x v="1"/>
    <x v="0"/>
    <x v="2"/>
    <n v="88.31"/>
    <n v="2"/>
    <x v="1328"/>
    <x v="2"/>
    <n v="7"/>
  </r>
  <r>
    <x v="149"/>
    <x v="1"/>
    <x v="0"/>
    <x v="0"/>
    <x v="0"/>
    <n v="93.4"/>
    <n v="2"/>
    <x v="985"/>
    <x v="0"/>
    <n v="5.6"/>
  </r>
  <r>
    <x v="149"/>
    <x v="0"/>
    <x v="1"/>
    <x v="0"/>
    <x v="0"/>
    <n v="72.52"/>
    <n v="4"/>
    <x v="1329"/>
    <x v="0"/>
    <n v="8.3000000000000007"/>
  </r>
  <r>
    <x v="149"/>
    <x v="1"/>
    <x v="0"/>
    <x v="0"/>
    <x v="0"/>
    <n v="67.45"/>
    <n v="3"/>
    <x v="1330"/>
    <x v="2"/>
    <n v="9"/>
  </r>
  <r>
    <x v="149"/>
    <x v="1"/>
    <x v="1"/>
    <x v="0"/>
    <x v="5"/>
    <n v="87.87"/>
    <n v="1"/>
    <x v="1331"/>
    <x v="0"/>
    <n v="7.7"/>
  </r>
  <r>
    <x v="149"/>
    <x v="2"/>
    <x v="1"/>
    <x v="0"/>
    <x v="0"/>
    <n v="40.520000000000003"/>
    <n v="5"/>
    <x v="381"/>
    <x v="1"/>
    <n v="5.4"/>
  </r>
  <r>
    <x v="149"/>
    <x v="2"/>
    <x v="1"/>
    <x v="0"/>
    <x v="3"/>
    <n v="60.74"/>
    <n v="3"/>
    <x v="1184"/>
    <x v="1"/>
    <n v="7.8"/>
  </r>
  <r>
    <x v="149"/>
    <x v="0"/>
    <x v="1"/>
    <x v="0"/>
    <x v="0"/>
    <n v="67.77"/>
    <n v="1"/>
    <x v="387"/>
    <x v="0"/>
    <n v="6.9"/>
  </r>
  <r>
    <x v="149"/>
    <x v="1"/>
    <x v="1"/>
    <x v="0"/>
    <x v="0"/>
    <n v="23.34"/>
    <n v="4"/>
    <x v="388"/>
    <x v="1"/>
    <n v="6.9"/>
  </r>
  <r>
    <x v="149"/>
    <x v="2"/>
    <x v="1"/>
    <x v="1"/>
    <x v="5"/>
    <n v="54.86"/>
    <n v="4"/>
    <x v="1332"/>
    <x v="2"/>
    <n v="7.2"/>
  </r>
  <r>
    <x v="149"/>
    <x v="1"/>
    <x v="1"/>
    <x v="1"/>
    <x v="0"/>
    <n v="42.82"/>
    <n v="1"/>
    <x v="1133"/>
    <x v="2"/>
    <n v="9.8000000000000007"/>
  </r>
  <r>
    <x v="150"/>
    <x v="2"/>
    <x v="1"/>
    <x v="0"/>
    <x v="4"/>
    <n v="99.7"/>
    <n v="1"/>
    <x v="1333"/>
    <x v="2"/>
    <n v="6.2"/>
  </r>
  <r>
    <x v="150"/>
    <x v="1"/>
    <x v="1"/>
    <x v="1"/>
    <x v="4"/>
    <n v="28.53"/>
    <n v="4"/>
    <x v="1334"/>
    <x v="2"/>
    <n v="9.1"/>
  </r>
  <r>
    <x v="150"/>
    <x v="1"/>
    <x v="1"/>
    <x v="1"/>
    <x v="0"/>
    <n v="47.27"/>
    <n v="1"/>
    <x v="1335"/>
    <x v="1"/>
    <n v="8.8000000000000007"/>
  </r>
  <r>
    <x v="150"/>
    <x v="1"/>
    <x v="1"/>
    <x v="1"/>
    <x v="1"/>
    <n v="23.46"/>
    <n v="2"/>
    <x v="1336"/>
    <x v="0"/>
    <n v="9.8000000000000007"/>
  </r>
  <r>
    <x v="150"/>
    <x v="1"/>
    <x v="0"/>
    <x v="0"/>
    <x v="3"/>
    <n v="60.74"/>
    <n v="2"/>
    <x v="1190"/>
    <x v="0"/>
    <n v="8.1"/>
  </r>
  <r>
    <x v="150"/>
    <x v="1"/>
    <x v="1"/>
    <x v="0"/>
    <x v="0"/>
    <n v="87.9"/>
    <n v="3"/>
    <x v="1337"/>
    <x v="2"/>
    <n v="6.9"/>
  </r>
  <r>
    <x v="150"/>
    <x v="0"/>
    <x v="0"/>
    <x v="1"/>
    <x v="5"/>
    <n v="71.38"/>
    <n v="4"/>
    <x v="1338"/>
    <x v="1"/>
    <n v="6.8"/>
  </r>
  <r>
    <x v="150"/>
    <x v="2"/>
    <x v="1"/>
    <x v="0"/>
    <x v="1"/>
    <n v="41.65"/>
    <n v="1"/>
    <x v="1339"/>
    <x v="2"/>
    <n v="4.8"/>
  </r>
  <r>
    <x v="150"/>
    <x v="1"/>
    <x v="1"/>
    <x v="1"/>
    <x v="3"/>
    <n v="29.56"/>
    <n v="3"/>
    <x v="1340"/>
    <x v="1"/>
    <n v="5.4"/>
  </r>
  <r>
    <x v="150"/>
    <x v="2"/>
    <x v="1"/>
    <x v="0"/>
    <x v="5"/>
    <n v="61.29"/>
    <n v="4"/>
    <x v="1341"/>
    <x v="1"/>
    <n v="9.1999999999999993"/>
  </r>
  <r>
    <x v="150"/>
    <x v="2"/>
    <x v="1"/>
    <x v="0"/>
    <x v="0"/>
    <n v="20.010000000000002"/>
    <n v="3"/>
    <x v="1143"/>
    <x v="2"/>
    <n v="8.3000000000000007"/>
  </r>
  <r>
    <x v="151"/>
    <x v="2"/>
    <x v="0"/>
    <x v="1"/>
    <x v="5"/>
    <n v="35.64"/>
    <n v="4"/>
    <x v="1342"/>
    <x v="0"/>
    <n v="7"/>
  </r>
  <r>
    <x v="151"/>
    <x v="0"/>
    <x v="1"/>
    <x v="1"/>
    <x v="5"/>
    <n v="37"/>
    <n v="2"/>
    <x v="1343"/>
    <x v="1"/>
    <n v="6.1"/>
  </r>
  <r>
    <x v="151"/>
    <x v="1"/>
    <x v="1"/>
    <x v="0"/>
    <x v="5"/>
    <n v="22.8"/>
    <n v="2"/>
    <x v="1344"/>
    <x v="2"/>
    <n v="5.8"/>
  </r>
  <r>
    <x v="151"/>
    <x v="0"/>
    <x v="0"/>
    <x v="1"/>
    <x v="4"/>
    <n v="58.36"/>
    <n v="4"/>
    <x v="1345"/>
    <x v="2"/>
    <n v="8.3000000000000007"/>
  </r>
  <r>
    <x v="151"/>
    <x v="0"/>
    <x v="1"/>
    <x v="1"/>
    <x v="0"/>
    <n v="7.54"/>
    <n v="5"/>
    <x v="1235"/>
    <x v="2"/>
    <n v="8.8000000000000007"/>
  </r>
  <r>
    <x v="151"/>
    <x v="1"/>
    <x v="1"/>
    <x v="0"/>
    <x v="5"/>
    <n v="21.81"/>
    <n v="4"/>
    <x v="1346"/>
    <x v="1"/>
    <n v="5.3"/>
  </r>
  <r>
    <x v="151"/>
    <x v="0"/>
    <x v="0"/>
    <x v="0"/>
    <x v="0"/>
    <n v="5.56"/>
    <n v="4"/>
    <x v="1287"/>
    <x v="1"/>
    <n v="6"/>
  </r>
  <r>
    <x v="151"/>
    <x v="0"/>
    <x v="1"/>
    <x v="1"/>
    <x v="5"/>
    <n v="20.12"/>
    <n v="2"/>
    <x v="1347"/>
    <x v="1"/>
    <n v="6.1"/>
  </r>
  <r>
    <x v="151"/>
    <x v="2"/>
    <x v="1"/>
    <x v="1"/>
    <x v="0"/>
    <n v="6.26"/>
    <n v="3"/>
    <x v="1348"/>
    <x v="1"/>
    <n v="6.9"/>
  </r>
  <r>
    <x v="151"/>
    <x v="2"/>
    <x v="1"/>
    <x v="0"/>
    <x v="0"/>
    <n v="2.96"/>
    <n v="2"/>
    <x v="1349"/>
    <x v="2"/>
    <n v="8.4"/>
  </r>
  <r>
    <x v="151"/>
    <x v="1"/>
    <x v="0"/>
    <x v="1"/>
    <x v="0"/>
    <n v="7.31"/>
    <n v="4"/>
    <x v="1350"/>
    <x v="2"/>
    <n v="8"/>
  </r>
  <r>
    <x v="151"/>
    <x v="1"/>
    <x v="0"/>
    <x v="0"/>
    <x v="0"/>
    <n v="7.01"/>
    <n v="2"/>
    <x v="1351"/>
    <x v="0"/>
    <n v="7.7"/>
  </r>
  <r>
    <x v="151"/>
    <x v="2"/>
    <x v="1"/>
    <x v="1"/>
    <x v="4"/>
    <n v="59.92"/>
    <n v="1"/>
    <x v="1352"/>
    <x v="2"/>
    <n v="9.6999999999999993"/>
  </r>
  <r>
    <x v="151"/>
    <x v="0"/>
    <x v="1"/>
    <x v="1"/>
    <x v="0"/>
    <n v="6.99"/>
    <n v="2"/>
    <x v="389"/>
    <x v="2"/>
    <n v="8.3000000000000007"/>
  </r>
  <r>
    <x v="151"/>
    <x v="0"/>
    <x v="1"/>
    <x v="1"/>
    <x v="5"/>
    <n v="35.78"/>
    <n v="1"/>
    <x v="1353"/>
    <x v="2"/>
    <n v="7.1"/>
  </r>
  <r>
    <x v="151"/>
    <x v="0"/>
    <x v="1"/>
    <x v="0"/>
    <x v="4"/>
    <n v="65"/>
    <n v="5"/>
    <x v="1354"/>
    <x v="0"/>
    <n v="5.0999999999999996"/>
  </r>
  <r>
    <x v="151"/>
    <x v="2"/>
    <x v="1"/>
    <x v="1"/>
    <x v="0"/>
    <n v="6.25"/>
    <n v="3"/>
    <x v="1355"/>
    <x v="1"/>
    <n v="6.5"/>
  </r>
  <r>
    <x v="151"/>
    <x v="0"/>
    <x v="1"/>
    <x v="0"/>
    <x v="0"/>
    <n v="3.9"/>
    <n v="2"/>
    <x v="1356"/>
    <x v="1"/>
    <n v="7.3"/>
  </r>
  <r>
    <x v="151"/>
    <x v="2"/>
    <x v="1"/>
    <x v="1"/>
    <x v="0"/>
    <n v="4.96"/>
    <n v="4"/>
    <x v="1357"/>
    <x v="0"/>
    <n v="8.9"/>
  </r>
  <r>
    <x v="151"/>
    <x v="0"/>
    <x v="1"/>
    <x v="1"/>
    <x v="0"/>
    <n v="6.63"/>
    <n v="4"/>
    <x v="1358"/>
    <x v="1"/>
    <n v="7.3"/>
  </r>
  <r>
    <x v="151"/>
    <x v="0"/>
    <x v="1"/>
    <x v="1"/>
    <x v="0"/>
    <n v="5.71"/>
    <n v="4"/>
    <x v="1359"/>
    <x v="2"/>
    <n v="6.2"/>
  </r>
  <r>
    <x v="151"/>
    <x v="0"/>
    <x v="0"/>
    <x v="0"/>
    <x v="5"/>
    <n v="36.28"/>
    <n v="4"/>
    <x v="1360"/>
    <x v="1"/>
    <n v="7.2"/>
  </r>
  <r>
    <x v="151"/>
    <x v="0"/>
    <x v="1"/>
    <x v="1"/>
    <x v="0"/>
    <n v="6.42"/>
    <n v="3"/>
    <x v="1361"/>
    <x v="1"/>
    <n v="8.6"/>
  </r>
  <r>
    <x v="151"/>
    <x v="1"/>
    <x v="1"/>
    <x v="0"/>
    <x v="2"/>
    <n v="70.97"/>
    <n v="3"/>
    <x v="1362"/>
    <x v="2"/>
    <n v="6.8"/>
  </r>
  <r>
    <x v="151"/>
    <x v="0"/>
    <x v="1"/>
    <x v="0"/>
    <x v="0"/>
    <n v="5.57"/>
    <n v="4"/>
    <x v="1363"/>
    <x v="2"/>
    <n v="8.5"/>
  </r>
  <r>
    <x v="152"/>
    <x v="0"/>
    <x v="0"/>
    <x v="0"/>
    <x v="4"/>
    <n v="72.78"/>
    <n v="5"/>
    <x v="1364"/>
    <x v="0"/>
    <n v="7.5"/>
  </r>
  <r>
    <x v="152"/>
    <x v="0"/>
    <x v="1"/>
    <x v="0"/>
    <x v="2"/>
    <n v="50.67"/>
    <n v="2"/>
    <x v="1365"/>
    <x v="0"/>
    <n v="5.8"/>
  </r>
  <r>
    <x v="152"/>
    <x v="0"/>
    <x v="0"/>
    <x v="1"/>
    <x v="0"/>
    <n v="3.43"/>
    <n v="4"/>
    <x v="1366"/>
    <x v="1"/>
    <n v="6.1"/>
  </r>
  <r>
    <x v="152"/>
    <x v="1"/>
    <x v="1"/>
    <x v="0"/>
    <x v="5"/>
    <n v="17.29"/>
    <n v="3"/>
    <x v="1367"/>
    <x v="1"/>
    <n v="9.1"/>
  </r>
  <r>
    <x v="152"/>
    <x v="2"/>
    <x v="0"/>
    <x v="1"/>
    <x v="5"/>
    <n v="32.200000000000003"/>
    <n v="1"/>
    <x v="1368"/>
    <x v="2"/>
    <n v="9.3000000000000007"/>
  </r>
  <r>
    <x v="152"/>
    <x v="0"/>
    <x v="1"/>
    <x v="1"/>
    <x v="4"/>
    <n v="64.239999999999995"/>
    <n v="4"/>
    <x v="1369"/>
    <x v="2"/>
    <n v="6.1"/>
  </r>
  <r>
    <x v="152"/>
    <x v="2"/>
    <x v="1"/>
    <x v="0"/>
    <x v="1"/>
    <n v="81.489999999999995"/>
    <n v="1"/>
    <x v="1370"/>
    <x v="2"/>
    <n v="6.1"/>
  </r>
  <r>
    <x v="152"/>
    <x v="2"/>
    <x v="1"/>
    <x v="1"/>
    <x v="0"/>
    <n v="6.6"/>
    <n v="2"/>
    <x v="1371"/>
    <x v="0"/>
    <n v="8.6"/>
  </r>
  <r>
    <x v="152"/>
    <x v="2"/>
    <x v="1"/>
    <x v="0"/>
    <x v="0"/>
    <n v="5.68"/>
    <n v="3"/>
    <x v="1372"/>
    <x v="2"/>
    <n v="8.6"/>
  </r>
  <r>
    <x v="152"/>
    <x v="0"/>
    <x v="1"/>
    <x v="0"/>
    <x v="4"/>
    <n v="49.05"/>
    <n v="4"/>
    <x v="1373"/>
    <x v="0"/>
    <n v="5.0999999999999996"/>
  </r>
  <r>
    <x v="152"/>
    <x v="0"/>
    <x v="1"/>
    <x v="1"/>
    <x v="0"/>
    <n v="3.87"/>
    <n v="2"/>
    <x v="1374"/>
    <x v="2"/>
    <n v="5.5"/>
  </r>
  <r>
    <x v="152"/>
    <x v="1"/>
    <x v="0"/>
    <x v="0"/>
    <x v="0"/>
    <n v="3.85"/>
    <n v="1"/>
    <x v="1375"/>
    <x v="1"/>
    <n v="8.6999999999999993"/>
  </r>
  <r>
    <x v="152"/>
    <x v="0"/>
    <x v="0"/>
    <x v="1"/>
    <x v="5"/>
    <n v="36.81"/>
    <n v="3"/>
    <x v="1376"/>
    <x v="0"/>
    <n v="9.8000000000000007"/>
  </r>
  <r>
    <x v="152"/>
    <x v="0"/>
    <x v="0"/>
    <x v="0"/>
    <x v="2"/>
    <n v="56.8"/>
    <n v="1"/>
    <x v="1377"/>
    <x v="2"/>
    <n v="7.4"/>
  </r>
  <r>
    <x v="152"/>
    <x v="0"/>
    <x v="1"/>
    <x v="1"/>
    <x v="5"/>
    <n v="37.64"/>
    <n v="4"/>
    <x v="1378"/>
    <x v="0"/>
    <n v="7.3"/>
  </r>
  <r>
    <x v="152"/>
    <x v="2"/>
    <x v="0"/>
    <x v="0"/>
    <x v="0"/>
    <n v="5.26"/>
    <n v="1"/>
    <x v="1379"/>
    <x v="1"/>
    <n v="7.2"/>
  </r>
  <r>
    <x v="152"/>
    <x v="0"/>
    <x v="1"/>
    <x v="1"/>
    <x v="4"/>
    <n v="54.57"/>
    <n v="2"/>
    <x v="1380"/>
    <x v="0"/>
    <n v="5"/>
  </r>
  <r>
    <x v="152"/>
    <x v="1"/>
    <x v="1"/>
    <x v="0"/>
    <x v="0"/>
    <n v="2.4700000000000002"/>
    <n v="3"/>
    <x v="1381"/>
    <x v="2"/>
    <n v="7.1"/>
  </r>
  <r>
    <x v="152"/>
    <x v="0"/>
    <x v="1"/>
    <x v="1"/>
    <x v="0"/>
    <n v="4.59"/>
    <n v="1"/>
    <x v="1382"/>
    <x v="2"/>
    <n v="7.4"/>
  </r>
  <r>
    <x v="152"/>
    <x v="0"/>
    <x v="1"/>
    <x v="0"/>
    <x v="5"/>
    <n v="31.16"/>
    <n v="3"/>
    <x v="1383"/>
    <x v="1"/>
    <n v="7.7"/>
  </r>
  <r>
    <x v="152"/>
    <x v="0"/>
    <x v="0"/>
    <x v="0"/>
    <x v="5"/>
    <n v="25.9"/>
    <n v="4"/>
    <x v="1384"/>
    <x v="0"/>
    <n v="8.1999999999999993"/>
  </r>
  <r>
    <x v="152"/>
    <x v="2"/>
    <x v="0"/>
    <x v="1"/>
    <x v="5"/>
    <n v="26.84"/>
    <n v="1"/>
    <x v="1385"/>
    <x v="2"/>
    <n v="6"/>
  </r>
  <r>
    <x v="152"/>
    <x v="0"/>
    <x v="1"/>
    <x v="0"/>
    <x v="4"/>
    <n v="68.05"/>
    <n v="5"/>
    <x v="1386"/>
    <x v="2"/>
    <n v="8.1"/>
  </r>
  <r>
    <x v="153"/>
    <x v="1"/>
    <x v="1"/>
    <x v="0"/>
    <x v="4"/>
    <n v="59.45"/>
    <n v="2"/>
    <x v="1387"/>
    <x v="2"/>
    <n v="8.3000000000000007"/>
  </r>
  <r>
    <x v="153"/>
    <x v="2"/>
    <x v="1"/>
    <x v="1"/>
    <x v="3"/>
    <n v="12.5"/>
    <n v="1"/>
    <x v="1388"/>
    <x v="2"/>
    <n v="7.3"/>
  </r>
  <r>
    <x v="153"/>
    <x v="1"/>
    <x v="0"/>
    <x v="1"/>
    <x v="0"/>
    <n v="5.78"/>
    <n v="2"/>
    <x v="1389"/>
    <x v="2"/>
    <n v="7.3"/>
  </r>
  <r>
    <x v="153"/>
    <x v="0"/>
    <x v="1"/>
    <x v="0"/>
    <x v="0"/>
    <n v="5.19"/>
    <n v="6"/>
    <x v="1390"/>
    <x v="1"/>
    <n v="9.8000000000000007"/>
  </r>
  <r>
    <x v="153"/>
    <x v="2"/>
    <x v="1"/>
    <x v="1"/>
    <x v="5"/>
    <n v="21.16"/>
    <n v="3"/>
    <x v="1391"/>
    <x v="0"/>
    <n v="6"/>
  </r>
  <r>
    <x v="153"/>
    <x v="1"/>
    <x v="0"/>
    <x v="0"/>
    <x v="0"/>
    <n v="4.0599999999999996"/>
    <n v="4"/>
    <x v="1392"/>
    <x v="1"/>
    <n v="7.5"/>
  </r>
  <r>
    <x v="153"/>
    <x v="1"/>
    <x v="1"/>
    <x v="1"/>
    <x v="5"/>
    <n v="23.59"/>
    <n v="3"/>
    <x v="1393"/>
    <x v="0"/>
    <n v="7.8"/>
  </r>
  <r>
    <x v="153"/>
    <x v="1"/>
    <x v="1"/>
    <x v="0"/>
    <x v="0"/>
    <n v="4.83"/>
    <n v="2"/>
    <x v="1394"/>
    <x v="2"/>
    <n v="7"/>
  </r>
  <r>
    <x v="153"/>
    <x v="1"/>
    <x v="1"/>
    <x v="0"/>
    <x v="0"/>
    <n v="4.6900000000000004"/>
    <n v="2"/>
    <x v="1395"/>
    <x v="0"/>
    <n v="8.1"/>
  </r>
  <r>
    <x v="153"/>
    <x v="2"/>
    <x v="1"/>
    <x v="0"/>
    <x v="4"/>
    <n v="54.42"/>
    <n v="1"/>
    <x v="1396"/>
    <x v="1"/>
    <n v="5.6"/>
  </r>
  <r>
    <x v="153"/>
    <x v="1"/>
    <x v="0"/>
    <x v="0"/>
    <x v="5"/>
    <n v="33.36"/>
    <n v="3"/>
    <x v="1397"/>
    <x v="1"/>
    <n v="8.6999999999999993"/>
  </r>
  <r>
    <x v="153"/>
    <x v="0"/>
    <x v="1"/>
    <x v="1"/>
    <x v="4"/>
    <n v="63.59"/>
    <n v="5"/>
    <x v="1398"/>
    <x v="1"/>
    <n v="7.2"/>
  </r>
  <r>
    <x v="153"/>
    <x v="1"/>
    <x v="0"/>
    <x v="0"/>
    <x v="0"/>
    <n v="4.0199999999999996"/>
    <n v="4"/>
    <x v="1399"/>
    <x v="0"/>
    <n v="6.7"/>
  </r>
  <r>
    <x v="153"/>
    <x v="1"/>
    <x v="0"/>
    <x v="0"/>
    <x v="0"/>
    <n v="5.44"/>
    <n v="3"/>
    <x v="1400"/>
    <x v="2"/>
    <n v="8.3000000000000007"/>
  </r>
  <r>
    <x v="153"/>
    <x v="2"/>
    <x v="1"/>
    <x v="0"/>
    <x v="0"/>
    <n v="6.56"/>
    <n v="3"/>
    <x v="1401"/>
    <x v="2"/>
    <n v="9"/>
  </r>
  <r>
    <x v="153"/>
    <x v="0"/>
    <x v="1"/>
    <x v="1"/>
    <x v="4"/>
    <n v="59.28"/>
    <n v="3"/>
    <x v="1402"/>
    <x v="1"/>
    <n v="8.9"/>
  </r>
  <r>
    <x v="153"/>
    <x v="2"/>
    <x v="1"/>
    <x v="0"/>
    <x v="0"/>
    <n v="6.6"/>
    <n v="5"/>
    <x v="1403"/>
    <x v="1"/>
    <n v="9.5"/>
  </r>
  <r>
    <x v="153"/>
    <x v="0"/>
    <x v="1"/>
    <x v="1"/>
    <x v="0"/>
    <n v="7.66"/>
    <n v="4"/>
    <x v="1404"/>
    <x v="1"/>
    <n v="7.3"/>
  </r>
  <r>
    <x v="153"/>
    <x v="2"/>
    <x v="1"/>
    <x v="0"/>
    <x v="1"/>
    <n v="89.86"/>
    <n v="1"/>
    <x v="1405"/>
    <x v="2"/>
    <n v="8.6999999999999993"/>
  </r>
  <r>
    <x v="153"/>
    <x v="2"/>
    <x v="0"/>
    <x v="1"/>
    <x v="0"/>
    <n v="3.04"/>
    <n v="5"/>
    <x v="1406"/>
    <x v="0"/>
    <n v="7.7"/>
  </r>
  <r>
    <x v="153"/>
    <x v="1"/>
    <x v="1"/>
    <x v="0"/>
    <x v="0"/>
    <n v="4.22"/>
    <n v="7"/>
    <x v="1407"/>
    <x v="2"/>
    <n v="8.4"/>
  </r>
  <r>
    <x v="153"/>
    <x v="0"/>
    <x v="1"/>
    <x v="0"/>
    <x v="0"/>
    <n v="5.61"/>
    <n v="1"/>
    <x v="1408"/>
    <x v="0"/>
    <n v="6"/>
  </r>
  <r>
    <x v="154"/>
    <x v="0"/>
    <x v="1"/>
    <x v="0"/>
    <x v="5"/>
    <n v="33.17"/>
    <n v="2"/>
    <x v="1409"/>
    <x v="2"/>
    <n v="8.1"/>
  </r>
  <r>
    <x v="154"/>
    <x v="2"/>
    <x v="0"/>
    <x v="0"/>
    <x v="4"/>
    <n v="68.5"/>
    <n v="5"/>
    <x v="1410"/>
    <x v="1"/>
    <n v="7.1"/>
  </r>
  <r>
    <x v="154"/>
    <x v="0"/>
    <x v="0"/>
    <x v="0"/>
    <x v="5"/>
    <n v="36.4"/>
    <n v="4"/>
    <x v="1411"/>
    <x v="0"/>
    <n v="7.8"/>
  </r>
  <r>
    <x v="154"/>
    <x v="1"/>
    <x v="1"/>
    <x v="0"/>
    <x v="5"/>
    <n v="37.700000000000003"/>
    <n v="4"/>
    <x v="1412"/>
    <x v="2"/>
    <n v="6.9"/>
  </r>
  <r>
    <x v="154"/>
    <x v="0"/>
    <x v="1"/>
    <x v="1"/>
    <x v="1"/>
    <n v="95.88"/>
    <n v="2"/>
    <x v="1413"/>
    <x v="1"/>
    <n v="6.8"/>
  </r>
  <r>
    <x v="154"/>
    <x v="1"/>
    <x v="1"/>
    <x v="1"/>
    <x v="2"/>
    <n v="71.08"/>
    <n v="2"/>
    <x v="1414"/>
    <x v="2"/>
    <n v="7.7"/>
  </r>
  <r>
    <x v="154"/>
    <x v="2"/>
    <x v="1"/>
    <x v="0"/>
    <x v="0"/>
    <n v="7.77"/>
    <n v="2"/>
    <x v="1415"/>
    <x v="2"/>
    <n v="9.1"/>
  </r>
  <r>
    <x v="154"/>
    <x v="1"/>
    <x v="0"/>
    <x v="0"/>
    <x v="0"/>
    <n v="5.01"/>
    <n v="5"/>
    <x v="1416"/>
    <x v="0"/>
    <n v="8.5"/>
  </r>
  <r>
    <x v="154"/>
    <x v="2"/>
    <x v="1"/>
    <x v="0"/>
    <x v="0"/>
    <n v="2.66"/>
    <n v="6"/>
    <x v="1417"/>
    <x v="1"/>
    <n v="8.3000000000000007"/>
  </r>
  <r>
    <x v="154"/>
    <x v="2"/>
    <x v="1"/>
    <x v="0"/>
    <x v="3"/>
    <n v="15.59"/>
    <n v="3"/>
    <x v="1418"/>
    <x v="1"/>
    <n v="5.2"/>
  </r>
  <r>
    <x v="154"/>
    <x v="2"/>
    <x v="0"/>
    <x v="0"/>
    <x v="5"/>
    <n v="17.77"/>
    <n v="3"/>
    <x v="1419"/>
    <x v="0"/>
    <n v="7.5"/>
  </r>
  <r>
    <x v="154"/>
    <x v="0"/>
    <x v="1"/>
    <x v="1"/>
    <x v="4"/>
    <n v="70.55"/>
    <n v="5"/>
    <x v="1420"/>
    <x v="2"/>
    <n v="5.6"/>
  </r>
  <r>
    <x v="154"/>
    <x v="2"/>
    <x v="1"/>
    <x v="0"/>
    <x v="0"/>
    <n v="7.8"/>
    <n v="1"/>
    <x v="1356"/>
    <x v="1"/>
    <n v="8.6999999999999993"/>
  </r>
  <r>
    <x v="154"/>
    <x v="1"/>
    <x v="0"/>
    <x v="1"/>
    <x v="0"/>
    <n v="5.2"/>
    <n v="4"/>
    <x v="1421"/>
    <x v="2"/>
    <n v="8.5"/>
  </r>
  <r>
    <x v="154"/>
    <x v="0"/>
    <x v="0"/>
    <x v="1"/>
    <x v="0"/>
    <n v="5.9"/>
    <n v="4"/>
    <x v="1422"/>
    <x v="2"/>
    <n v="9.1999999999999993"/>
  </r>
  <r>
    <x v="154"/>
    <x v="1"/>
    <x v="0"/>
    <x v="1"/>
    <x v="3"/>
    <n v="9.9499999999999993"/>
    <n v="1"/>
    <x v="1423"/>
    <x v="1"/>
    <n v="8.8000000000000007"/>
  </r>
  <r>
    <x v="154"/>
    <x v="0"/>
    <x v="1"/>
    <x v="1"/>
    <x v="0"/>
    <n v="6.87"/>
    <n v="5"/>
    <x v="1424"/>
    <x v="0"/>
    <n v="7.7"/>
  </r>
  <r>
    <x v="154"/>
    <x v="2"/>
    <x v="1"/>
    <x v="0"/>
    <x v="0"/>
    <n v="3.05"/>
    <n v="4"/>
    <x v="1425"/>
    <x v="2"/>
    <n v="7.4"/>
  </r>
  <r>
    <x v="154"/>
    <x v="0"/>
    <x v="1"/>
    <x v="1"/>
    <x v="2"/>
    <n v="66.989999999999995"/>
    <n v="3"/>
    <x v="1426"/>
    <x v="1"/>
    <n v="8.9"/>
  </r>
  <r>
    <x v="154"/>
    <x v="0"/>
    <x v="1"/>
    <x v="1"/>
    <x v="0"/>
    <n v="7.34"/>
    <n v="1"/>
    <x v="1427"/>
    <x v="0"/>
    <n v="8.8000000000000007"/>
  </r>
  <r>
    <x v="154"/>
    <x v="0"/>
    <x v="1"/>
    <x v="1"/>
    <x v="5"/>
    <n v="23.87"/>
    <n v="2"/>
    <x v="1428"/>
    <x v="1"/>
    <n v="5.3"/>
  </r>
  <r>
    <x v="155"/>
    <x v="1"/>
    <x v="0"/>
    <x v="0"/>
    <x v="0"/>
    <n v="6.39"/>
    <n v="2"/>
    <x v="72"/>
    <x v="1"/>
    <n v="8.1999999999999993"/>
  </r>
  <r>
    <x v="155"/>
    <x v="0"/>
    <x v="1"/>
    <x v="0"/>
    <x v="5"/>
    <n v="34.479999999999997"/>
    <n v="2"/>
    <x v="1429"/>
    <x v="2"/>
    <n v="4.5"/>
  </r>
  <r>
    <x v="155"/>
    <x v="2"/>
    <x v="1"/>
    <x v="0"/>
    <x v="1"/>
    <n v="88.12"/>
    <n v="1"/>
    <x v="1430"/>
    <x v="2"/>
    <n v="6.8"/>
  </r>
  <r>
    <x v="155"/>
    <x v="2"/>
    <x v="0"/>
    <x v="1"/>
    <x v="4"/>
    <n v="62.53"/>
    <n v="1"/>
    <x v="1431"/>
    <x v="1"/>
    <n v="6.7"/>
  </r>
  <r>
    <x v="155"/>
    <x v="0"/>
    <x v="1"/>
    <x v="1"/>
    <x v="4"/>
    <n v="62.89"/>
    <n v="5"/>
    <x v="1432"/>
    <x v="2"/>
    <n v="4.9000000000000004"/>
  </r>
  <r>
    <x v="155"/>
    <x v="2"/>
    <x v="0"/>
    <x v="1"/>
    <x v="3"/>
    <n v="19"/>
    <n v="1"/>
    <x v="1433"/>
    <x v="1"/>
    <n v="9.1"/>
  </r>
  <r>
    <x v="155"/>
    <x v="2"/>
    <x v="0"/>
    <x v="0"/>
    <x v="0"/>
    <n v="7.46"/>
    <n v="1"/>
    <x v="1434"/>
    <x v="1"/>
    <n v="8.9"/>
  </r>
  <r>
    <x v="155"/>
    <x v="0"/>
    <x v="1"/>
    <x v="0"/>
    <x v="2"/>
    <n v="47.83"/>
    <n v="2"/>
    <x v="1435"/>
    <x v="2"/>
    <n v="8"/>
  </r>
  <r>
    <x v="155"/>
    <x v="1"/>
    <x v="0"/>
    <x v="0"/>
    <x v="5"/>
    <n v="18.149999999999999"/>
    <n v="2"/>
    <x v="1436"/>
    <x v="2"/>
    <n v="6"/>
  </r>
  <r>
    <x v="155"/>
    <x v="2"/>
    <x v="1"/>
    <x v="1"/>
    <x v="0"/>
    <n v="4.4800000000000004"/>
    <n v="3"/>
    <x v="1437"/>
    <x v="1"/>
    <n v="8.1"/>
  </r>
  <r>
    <x v="155"/>
    <x v="0"/>
    <x v="0"/>
    <x v="1"/>
    <x v="4"/>
    <n v="64.48"/>
    <n v="3"/>
    <x v="315"/>
    <x v="0"/>
    <n v="6.4"/>
  </r>
  <r>
    <x v="155"/>
    <x v="1"/>
    <x v="1"/>
    <x v="0"/>
    <x v="0"/>
    <n v="5.51"/>
    <n v="1"/>
    <x v="1438"/>
    <x v="2"/>
    <n v="8.1999999999999993"/>
  </r>
  <r>
    <x v="155"/>
    <x v="2"/>
    <x v="0"/>
    <x v="0"/>
    <x v="0"/>
    <n v="5.27"/>
    <n v="3"/>
    <x v="1439"/>
    <x v="1"/>
    <n v="7.8"/>
  </r>
  <r>
    <x v="155"/>
    <x v="2"/>
    <x v="1"/>
    <x v="1"/>
    <x v="5"/>
    <n v="20.53"/>
    <n v="3"/>
    <x v="1440"/>
    <x v="1"/>
    <n v="7.9"/>
  </r>
  <r>
    <x v="155"/>
    <x v="1"/>
    <x v="1"/>
    <x v="1"/>
    <x v="5"/>
    <n v="33.880000000000003"/>
    <n v="1"/>
    <x v="1441"/>
    <x v="1"/>
    <n v="7.8"/>
  </r>
  <r>
    <x v="155"/>
    <x v="2"/>
    <x v="0"/>
    <x v="0"/>
    <x v="0"/>
    <n v="6.25"/>
    <n v="2"/>
    <x v="1388"/>
    <x v="1"/>
    <n v="7.3"/>
  </r>
  <r>
    <x v="155"/>
    <x v="1"/>
    <x v="1"/>
    <x v="0"/>
    <x v="4"/>
    <n v="70.36"/>
    <n v="3"/>
    <x v="1442"/>
    <x v="2"/>
    <n v="7.8"/>
  </r>
  <r>
    <x v="155"/>
    <x v="0"/>
    <x v="0"/>
    <x v="1"/>
    <x v="3"/>
    <n v="19.41"/>
    <n v="2"/>
    <x v="1443"/>
    <x v="0"/>
    <n v="8.3000000000000007"/>
  </r>
  <r>
    <x v="155"/>
    <x v="1"/>
    <x v="1"/>
    <x v="0"/>
    <x v="4"/>
    <n v="57.03"/>
    <n v="4"/>
    <x v="1444"/>
    <x v="1"/>
    <n v="6.4"/>
  </r>
  <r>
    <x v="156"/>
    <x v="2"/>
    <x v="1"/>
    <x v="1"/>
    <x v="3"/>
    <n v="11.44"/>
    <n v="1"/>
    <x v="1445"/>
    <x v="2"/>
    <n v="8.4"/>
  </r>
  <r>
    <x v="156"/>
    <x v="1"/>
    <x v="1"/>
    <x v="0"/>
    <x v="3"/>
    <n v="16.89"/>
    <n v="3"/>
    <x v="1446"/>
    <x v="2"/>
    <n v="5.4"/>
  </r>
  <r>
    <x v="156"/>
    <x v="0"/>
    <x v="1"/>
    <x v="0"/>
    <x v="0"/>
    <n v="6.91"/>
    <n v="3"/>
    <x v="1447"/>
    <x v="1"/>
    <n v="6"/>
  </r>
  <r>
    <x v="156"/>
    <x v="0"/>
    <x v="1"/>
    <x v="0"/>
    <x v="3"/>
    <n v="11.36"/>
    <n v="1"/>
    <x v="1448"/>
    <x v="0"/>
    <n v="6.6"/>
  </r>
  <r>
    <x v="156"/>
    <x v="2"/>
    <x v="1"/>
    <x v="1"/>
    <x v="4"/>
    <n v="66.12"/>
    <n v="2"/>
    <x v="1449"/>
    <x v="2"/>
    <n v="8"/>
  </r>
  <r>
    <x v="156"/>
    <x v="0"/>
    <x v="1"/>
    <x v="1"/>
    <x v="0"/>
    <n v="2.46"/>
    <n v="5"/>
    <x v="1450"/>
    <x v="0"/>
    <n v="7.7"/>
  </r>
  <r>
    <x v="156"/>
    <x v="0"/>
    <x v="1"/>
    <x v="1"/>
    <x v="0"/>
    <n v="3.77"/>
    <n v="2"/>
    <x v="1451"/>
    <x v="0"/>
    <n v="7.7"/>
  </r>
  <r>
    <x v="156"/>
    <x v="2"/>
    <x v="1"/>
    <x v="1"/>
    <x v="0"/>
    <n v="4.24"/>
    <n v="1"/>
    <x v="1452"/>
    <x v="0"/>
    <n v="8.4"/>
  </r>
  <r>
    <x v="156"/>
    <x v="0"/>
    <x v="1"/>
    <x v="1"/>
    <x v="4"/>
    <n v="74.290000000000006"/>
    <n v="4"/>
    <x v="1453"/>
    <x v="0"/>
    <n v="5.5"/>
  </r>
  <r>
    <x v="156"/>
    <x v="0"/>
    <x v="1"/>
    <x v="0"/>
    <x v="3"/>
    <n v="11.99"/>
    <n v="1"/>
    <x v="1454"/>
    <x v="1"/>
    <n v="9.8000000000000007"/>
  </r>
  <r>
    <x v="156"/>
    <x v="2"/>
    <x v="0"/>
    <x v="1"/>
    <x v="0"/>
    <n v="3.92"/>
    <n v="2"/>
    <x v="1455"/>
    <x v="2"/>
    <n v="7.7"/>
  </r>
  <r>
    <x v="156"/>
    <x v="2"/>
    <x v="1"/>
    <x v="0"/>
    <x v="3"/>
    <n v="8.56"/>
    <n v="2"/>
    <x v="1456"/>
    <x v="2"/>
    <n v="6.7"/>
  </r>
  <r>
    <x v="156"/>
    <x v="2"/>
    <x v="1"/>
    <x v="0"/>
    <x v="4"/>
    <n v="67.760000000000005"/>
    <n v="5"/>
    <x v="1457"/>
    <x v="2"/>
    <n v="8"/>
  </r>
  <r>
    <x v="156"/>
    <x v="2"/>
    <x v="0"/>
    <x v="0"/>
    <x v="0"/>
    <n v="4.28"/>
    <n v="1"/>
    <x v="1458"/>
    <x v="2"/>
    <n v="6.8"/>
  </r>
  <r>
    <x v="156"/>
    <x v="2"/>
    <x v="1"/>
    <x v="0"/>
    <x v="0"/>
    <n v="6.59"/>
    <n v="3"/>
    <x v="1459"/>
    <x v="1"/>
    <n v="7.5"/>
  </r>
  <r>
    <x v="157"/>
    <x v="2"/>
    <x v="1"/>
    <x v="1"/>
    <x v="0"/>
    <n v="4.07"/>
    <n v="3"/>
    <x v="1460"/>
    <x v="1"/>
    <n v="5.6"/>
  </r>
  <r>
    <x v="157"/>
    <x v="2"/>
    <x v="1"/>
    <x v="0"/>
    <x v="0"/>
    <n v="6.43"/>
    <n v="5"/>
    <x v="1461"/>
    <x v="0"/>
    <n v="7.6"/>
  </r>
  <r>
    <x v="157"/>
    <x v="0"/>
    <x v="1"/>
    <x v="1"/>
    <x v="0"/>
    <n v="4.4000000000000004"/>
    <n v="4"/>
    <x v="1462"/>
    <x v="1"/>
    <n v="7.3"/>
  </r>
  <r>
    <x v="157"/>
    <x v="0"/>
    <x v="1"/>
    <x v="0"/>
    <x v="4"/>
    <n v="61.34"/>
    <n v="1"/>
    <x v="1463"/>
    <x v="1"/>
    <n v="8.3000000000000007"/>
  </r>
  <r>
    <x v="157"/>
    <x v="2"/>
    <x v="1"/>
    <x v="1"/>
    <x v="3"/>
    <n v="13.33"/>
    <n v="3"/>
    <x v="1464"/>
    <x v="2"/>
    <n v="7"/>
  </r>
  <r>
    <x v="157"/>
    <x v="1"/>
    <x v="1"/>
    <x v="1"/>
    <x v="0"/>
    <n v="6.2"/>
    <n v="2"/>
    <x v="1465"/>
    <x v="2"/>
    <n v="7.5"/>
  </r>
  <r>
    <x v="157"/>
    <x v="0"/>
    <x v="1"/>
    <x v="0"/>
    <x v="2"/>
    <n v="53.13"/>
    <n v="2"/>
    <x v="1466"/>
    <x v="0"/>
    <n v="7"/>
  </r>
  <r>
    <x v="157"/>
    <x v="2"/>
    <x v="1"/>
    <x v="0"/>
    <x v="0"/>
    <n v="7.28"/>
    <n v="5"/>
    <x v="1467"/>
    <x v="0"/>
    <n v="7.4"/>
  </r>
  <r>
    <x v="157"/>
    <x v="0"/>
    <x v="0"/>
    <x v="1"/>
    <x v="0"/>
    <n v="4.74"/>
    <n v="2"/>
    <x v="1468"/>
    <x v="2"/>
    <n v="8"/>
  </r>
  <r>
    <x v="157"/>
    <x v="2"/>
    <x v="0"/>
    <x v="1"/>
    <x v="0"/>
    <n v="6.57"/>
    <n v="3"/>
    <x v="1469"/>
    <x v="1"/>
    <n v="7.3"/>
  </r>
  <r>
    <x v="157"/>
    <x v="1"/>
    <x v="1"/>
    <x v="1"/>
    <x v="0"/>
    <n v="4.54"/>
    <n v="2"/>
    <x v="1470"/>
    <x v="2"/>
    <n v="5.4"/>
  </r>
  <r>
    <x v="157"/>
    <x v="1"/>
    <x v="0"/>
    <x v="1"/>
    <x v="5"/>
    <n v="30.61"/>
    <n v="1"/>
    <x v="238"/>
    <x v="2"/>
    <n v="6.9"/>
  </r>
  <r>
    <x v="157"/>
    <x v="2"/>
    <x v="0"/>
    <x v="0"/>
    <x v="0"/>
    <n v="6.35"/>
    <n v="2"/>
    <x v="1471"/>
    <x v="1"/>
    <n v="6.2"/>
  </r>
  <r>
    <x v="157"/>
    <x v="1"/>
    <x v="1"/>
    <x v="1"/>
    <x v="4"/>
    <n v="63"/>
    <n v="4"/>
    <x v="1472"/>
    <x v="1"/>
    <n v="6.9"/>
  </r>
  <r>
    <x v="158"/>
    <x v="2"/>
    <x v="0"/>
    <x v="0"/>
    <x v="4"/>
    <n v="56.67"/>
    <n v="2"/>
    <x v="1473"/>
    <x v="2"/>
    <n v="7.3"/>
  </r>
  <r>
    <x v="158"/>
    <x v="1"/>
    <x v="1"/>
    <x v="0"/>
    <x v="5"/>
    <n v="23.25"/>
    <n v="3"/>
    <x v="1474"/>
    <x v="1"/>
    <n v="5.0999999999999996"/>
  </r>
  <r>
    <x v="158"/>
    <x v="0"/>
    <x v="0"/>
    <x v="0"/>
    <x v="2"/>
    <n v="69.239999999999995"/>
    <n v="3"/>
    <x v="1475"/>
    <x v="1"/>
    <n v="8.8000000000000007"/>
  </r>
  <r>
    <x v="158"/>
    <x v="0"/>
    <x v="0"/>
    <x v="1"/>
    <x v="2"/>
    <n v="49.08"/>
    <n v="3"/>
    <x v="1476"/>
    <x v="1"/>
    <n v="6.5"/>
  </r>
  <r>
    <x v="158"/>
    <x v="1"/>
    <x v="1"/>
    <x v="1"/>
    <x v="0"/>
    <n v="7.4"/>
    <n v="3"/>
    <x v="1477"/>
    <x v="2"/>
    <n v="7.8"/>
  </r>
  <r>
    <x v="158"/>
    <x v="1"/>
    <x v="1"/>
    <x v="0"/>
    <x v="2"/>
    <n v="59.01"/>
    <n v="1"/>
    <x v="1478"/>
    <x v="2"/>
    <n v="5.6"/>
  </r>
  <r>
    <x v="158"/>
    <x v="0"/>
    <x v="0"/>
    <x v="0"/>
    <x v="5"/>
    <n v="28.07"/>
    <n v="3"/>
    <x v="1479"/>
    <x v="1"/>
    <n v="7.1"/>
  </r>
  <r>
    <x v="158"/>
    <x v="0"/>
    <x v="1"/>
    <x v="1"/>
    <x v="0"/>
    <n v="5.39"/>
    <n v="4"/>
    <x v="1480"/>
    <x v="1"/>
    <n v="7.8"/>
  </r>
  <r>
    <x v="158"/>
    <x v="2"/>
    <x v="1"/>
    <x v="1"/>
    <x v="0"/>
    <n v="7.3"/>
    <n v="4"/>
    <x v="1481"/>
    <x v="1"/>
    <n v="8.1999999999999993"/>
  </r>
  <r>
    <x v="158"/>
    <x v="2"/>
    <x v="1"/>
    <x v="1"/>
    <x v="0"/>
    <n v="6.98"/>
    <n v="3"/>
    <x v="1482"/>
    <x v="2"/>
    <n v="7.3"/>
  </r>
  <r>
    <x v="158"/>
    <x v="1"/>
    <x v="1"/>
    <x v="1"/>
    <x v="2"/>
    <n v="71.83"/>
    <n v="1"/>
    <x v="1483"/>
    <x v="2"/>
    <n v="6.3"/>
  </r>
  <r>
    <x v="158"/>
    <x v="0"/>
    <x v="0"/>
    <x v="1"/>
    <x v="5"/>
    <n v="18.510000000000002"/>
    <n v="2"/>
    <x v="1484"/>
    <x v="1"/>
    <n v="7.7"/>
  </r>
  <r>
    <x v="158"/>
    <x v="2"/>
    <x v="1"/>
    <x v="0"/>
    <x v="3"/>
    <n v="17.91"/>
    <n v="3"/>
    <x v="1485"/>
    <x v="0"/>
    <n v="8.9"/>
  </r>
  <r>
    <x v="159"/>
    <x v="0"/>
    <x v="1"/>
    <x v="1"/>
    <x v="5"/>
    <n v="24.29"/>
    <n v="1"/>
    <x v="1486"/>
    <x v="0"/>
    <n v="7.5"/>
  </r>
  <r>
    <x v="159"/>
    <x v="2"/>
    <x v="1"/>
    <x v="1"/>
    <x v="5"/>
    <n v="33.520000000000003"/>
    <n v="4"/>
    <x v="1487"/>
    <x v="2"/>
    <n v="7.4"/>
  </r>
  <r>
    <x v="159"/>
    <x v="1"/>
    <x v="0"/>
    <x v="1"/>
    <x v="0"/>
    <n v="2.89"/>
    <n v="3"/>
    <x v="1488"/>
    <x v="2"/>
    <n v="9.6"/>
  </r>
  <r>
    <x v="159"/>
    <x v="2"/>
    <x v="1"/>
    <x v="0"/>
    <x v="0"/>
    <n v="7.62"/>
    <n v="2"/>
    <x v="1489"/>
    <x v="2"/>
    <n v="7"/>
  </r>
  <r>
    <x v="159"/>
    <x v="1"/>
    <x v="1"/>
    <x v="1"/>
    <x v="2"/>
    <n v="58.84"/>
    <n v="1"/>
    <x v="1032"/>
    <x v="0"/>
    <n v="6.9"/>
  </r>
  <r>
    <x v="159"/>
    <x v="2"/>
    <x v="0"/>
    <x v="1"/>
    <x v="0"/>
    <n v="3.17"/>
    <n v="2"/>
    <x v="1490"/>
    <x v="2"/>
    <n v="9.1999999999999993"/>
  </r>
  <r>
    <x v="159"/>
    <x v="0"/>
    <x v="0"/>
    <x v="1"/>
    <x v="0"/>
    <n v="4.24"/>
    <n v="2"/>
    <x v="1491"/>
    <x v="1"/>
    <n v="8.5"/>
  </r>
  <r>
    <x v="159"/>
    <x v="2"/>
    <x v="1"/>
    <x v="1"/>
    <x v="4"/>
    <n v="52.56"/>
    <n v="5"/>
    <x v="1492"/>
    <x v="1"/>
    <n v="6.9"/>
  </r>
  <r>
    <x v="159"/>
    <x v="2"/>
    <x v="1"/>
    <x v="0"/>
    <x v="2"/>
    <n v="56.97"/>
    <n v="1"/>
    <x v="1493"/>
    <x v="2"/>
    <n v="6.1"/>
  </r>
  <r>
    <x v="159"/>
    <x v="0"/>
    <x v="1"/>
    <x v="1"/>
    <x v="5"/>
    <n v="34.56"/>
    <n v="2"/>
    <x v="1494"/>
    <x v="1"/>
    <n v="7.5"/>
  </r>
  <r>
    <x v="159"/>
    <x v="1"/>
    <x v="1"/>
    <x v="0"/>
    <x v="1"/>
    <n v="96.62"/>
    <n v="1"/>
    <x v="1495"/>
    <x v="2"/>
    <n v="7.4"/>
  </r>
  <r>
    <x v="159"/>
    <x v="2"/>
    <x v="1"/>
    <x v="1"/>
    <x v="3"/>
    <n v="11.68"/>
    <n v="2"/>
    <x v="1496"/>
    <x v="1"/>
    <n v="7.5"/>
  </r>
  <r>
    <x v="160"/>
    <x v="0"/>
    <x v="0"/>
    <x v="1"/>
    <x v="0"/>
    <n v="4.8899999999999997"/>
    <n v="3"/>
    <x v="1497"/>
    <x v="2"/>
    <n v="6.2"/>
  </r>
  <r>
    <x v="160"/>
    <x v="2"/>
    <x v="0"/>
    <x v="0"/>
    <x v="2"/>
    <n v="65.41"/>
    <n v="3"/>
    <x v="1498"/>
    <x v="1"/>
    <n v="7.4"/>
  </r>
  <r>
    <x v="160"/>
    <x v="0"/>
    <x v="1"/>
    <x v="1"/>
    <x v="0"/>
    <n v="6"/>
    <n v="3"/>
    <x v="1499"/>
    <x v="1"/>
    <n v="8.3000000000000007"/>
  </r>
  <r>
    <x v="160"/>
    <x v="0"/>
    <x v="1"/>
    <x v="1"/>
    <x v="0"/>
    <n v="6.53"/>
    <n v="4"/>
    <x v="1500"/>
    <x v="1"/>
    <n v="8.8000000000000007"/>
  </r>
  <r>
    <x v="160"/>
    <x v="1"/>
    <x v="0"/>
    <x v="0"/>
    <x v="5"/>
    <n v="27.05"/>
    <n v="4"/>
    <x v="1501"/>
    <x v="1"/>
    <n v="6.3"/>
  </r>
  <r>
    <x v="160"/>
    <x v="1"/>
    <x v="0"/>
    <x v="0"/>
    <x v="4"/>
    <n v="56.14"/>
    <n v="4"/>
    <x v="1502"/>
    <x v="2"/>
    <n v="7.2"/>
  </r>
  <r>
    <x v="160"/>
    <x v="2"/>
    <x v="1"/>
    <x v="0"/>
    <x v="0"/>
    <n v="4.3"/>
    <n v="2"/>
    <x v="1503"/>
    <x v="2"/>
    <n v="7.3"/>
  </r>
  <r>
    <x v="160"/>
    <x v="2"/>
    <x v="0"/>
    <x v="0"/>
    <x v="5"/>
    <n v="30.9"/>
    <n v="1"/>
    <x v="1504"/>
    <x v="0"/>
    <n v="7.1"/>
  </r>
  <r>
    <x v="160"/>
    <x v="2"/>
    <x v="0"/>
    <x v="0"/>
    <x v="4"/>
    <n v="67.67"/>
    <n v="1"/>
    <x v="1505"/>
    <x v="1"/>
    <n v="7.4"/>
  </r>
  <r>
    <x v="160"/>
    <x v="2"/>
    <x v="1"/>
    <x v="0"/>
    <x v="4"/>
    <n v="70.94"/>
    <n v="3"/>
    <x v="1506"/>
    <x v="1"/>
    <n v="5.5"/>
  </r>
  <r>
    <x v="161"/>
    <x v="0"/>
    <x v="0"/>
    <x v="1"/>
    <x v="0"/>
    <n v="4.07"/>
    <n v="4"/>
    <x v="763"/>
    <x v="2"/>
    <n v="6.6"/>
  </r>
  <r>
    <x v="161"/>
    <x v="2"/>
    <x v="1"/>
    <x v="0"/>
    <x v="5"/>
    <n v="25.25"/>
    <n v="3"/>
    <x v="1507"/>
    <x v="1"/>
    <n v="9.1999999999999993"/>
  </r>
  <r>
    <x v="161"/>
    <x v="2"/>
    <x v="1"/>
    <x v="0"/>
    <x v="0"/>
    <n v="5.57"/>
    <n v="4"/>
    <x v="1363"/>
    <x v="2"/>
    <n v="7.2"/>
  </r>
  <r>
    <x v="161"/>
    <x v="1"/>
    <x v="1"/>
    <x v="1"/>
    <x v="5"/>
    <n v="25.6"/>
    <n v="1"/>
    <x v="1508"/>
    <x v="2"/>
    <n v="6.5"/>
  </r>
  <r>
    <x v="161"/>
    <x v="2"/>
    <x v="0"/>
    <x v="1"/>
    <x v="0"/>
    <n v="3.35"/>
    <n v="3"/>
    <x v="1509"/>
    <x v="1"/>
    <n v="7.4"/>
  </r>
  <r>
    <x v="161"/>
    <x v="0"/>
    <x v="1"/>
    <x v="1"/>
    <x v="3"/>
    <n v="15.68"/>
    <n v="2"/>
    <x v="1510"/>
    <x v="0"/>
    <n v="6.7"/>
  </r>
  <r>
    <x v="161"/>
    <x v="1"/>
    <x v="1"/>
    <x v="0"/>
    <x v="0"/>
    <n v="3.6"/>
    <n v="5"/>
    <x v="1499"/>
    <x v="1"/>
    <n v="6.8"/>
  </r>
  <r>
    <x v="161"/>
    <x v="0"/>
    <x v="1"/>
    <x v="0"/>
    <x v="3"/>
    <n v="10.199999999999999"/>
    <n v="2"/>
    <x v="1511"/>
    <x v="2"/>
    <n v="5.6"/>
  </r>
  <r>
    <x v="161"/>
    <x v="2"/>
    <x v="1"/>
    <x v="1"/>
    <x v="5"/>
    <n v="23.09"/>
    <n v="1"/>
    <x v="1512"/>
    <x v="1"/>
    <n v="8.4"/>
  </r>
  <r>
    <x v="162"/>
    <x v="1"/>
    <x v="0"/>
    <x v="1"/>
    <x v="5"/>
    <n v="23.06"/>
    <n v="3"/>
    <x v="1513"/>
    <x v="2"/>
    <n v="8.1"/>
  </r>
  <r>
    <x v="162"/>
    <x v="0"/>
    <x v="0"/>
    <x v="0"/>
    <x v="3"/>
    <n v="17.57"/>
    <n v="2"/>
    <x v="1514"/>
    <x v="0"/>
    <n v="6.4"/>
  </r>
  <r>
    <x v="162"/>
    <x v="1"/>
    <x v="0"/>
    <x v="0"/>
    <x v="0"/>
    <n v="4.6900000000000004"/>
    <n v="3"/>
    <x v="1515"/>
    <x v="1"/>
    <n v="8.9"/>
  </r>
  <r>
    <x v="162"/>
    <x v="0"/>
    <x v="1"/>
    <x v="1"/>
    <x v="3"/>
    <n v="9.9700000000000006"/>
    <n v="3"/>
    <x v="1516"/>
    <x v="2"/>
    <n v="7.2"/>
  </r>
  <r>
    <x v="162"/>
    <x v="2"/>
    <x v="1"/>
    <x v="1"/>
    <x v="0"/>
    <n v="4.75"/>
    <n v="2"/>
    <x v="1517"/>
    <x v="1"/>
    <n v="7.7"/>
  </r>
  <r>
    <x v="162"/>
    <x v="0"/>
    <x v="0"/>
    <x v="1"/>
    <x v="2"/>
    <n v="74.12"/>
    <n v="2"/>
    <x v="345"/>
    <x v="2"/>
    <n v="8.9"/>
  </r>
  <r>
    <x v="162"/>
    <x v="0"/>
    <x v="0"/>
    <x v="0"/>
    <x v="0"/>
    <n v="3.81"/>
    <n v="3"/>
    <x v="1518"/>
    <x v="2"/>
    <n v="5.4"/>
  </r>
  <r>
    <x v="162"/>
    <x v="2"/>
    <x v="1"/>
    <x v="0"/>
    <x v="4"/>
    <n v="70.37"/>
    <n v="2"/>
    <x v="1519"/>
    <x v="1"/>
    <n v="8"/>
  </r>
  <r>
    <x v="163"/>
    <x v="0"/>
    <x v="1"/>
    <x v="1"/>
    <x v="1"/>
    <n v="75.959999999999994"/>
    <n v="1"/>
    <x v="1520"/>
    <x v="2"/>
    <n v="6.7"/>
  </r>
  <r>
    <x v="163"/>
    <x v="1"/>
    <x v="1"/>
    <x v="0"/>
    <x v="0"/>
    <n v="5.37"/>
    <n v="3"/>
    <x v="1521"/>
    <x v="1"/>
    <n v="6.1"/>
  </r>
  <r>
    <x v="163"/>
    <x v="2"/>
    <x v="0"/>
    <x v="0"/>
    <x v="3"/>
    <n v="13.26"/>
    <n v="1"/>
    <x v="1522"/>
    <x v="2"/>
    <n v="5.7"/>
  </r>
  <r>
    <x v="163"/>
    <x v="0"/>
    <x v="1"/>
    <x v="0"/>
    <x v="0"/>
    <n v="4.72"/>
    <n v="3"/>
    <x v="1523"/>
    <x v="1"/>
    <n v="8.6999999999999993"/>
  </r>
  <r>
    <x v="163"/>
    <x v="1"/>
    <x v="0"/>
    <x v="0"/>
    <x v="3"/>
    <n v="7.75"/>
    <n v="1"/>
    <x v="1524"/>
    <x v="2"/>
    <n v="7.2"/>
  </r>
  <r>
    <x v="163"/>
    <x v="0"/>
    <x v="1"/>
    <x v="0"/>
    <x v="2"/>
    <n v="59.6"/>
    <n v="1"/>
    <x v="1525"/>
    <x v="0"/>
    <n v="8.4"/>
  </r>
  <r>
    <x v="163"/>
    <x v="0"/>
    <x v="0"/>
    <x v="0"/>
    <x v="3"/>
    <n v="10.28"/>
    <n v="1"/>
    <x v="1526"/>
    <x v="1"/>
    <n v="8.3000000000000007"/>
  </r>
  <r>
    <x v="163"/>
    <x v="0"/>
    <x v="0"/>
    <x v="1"/>
    <x v="3"/>
    <n v="16.61"/>
    <n v="1"/>
    <x v="1527"/>
    <x v="1"/>
    <n v="8.6999999999999993"/>
  </r>
  <r>
    <x v="163"/>
    <x v="2"/>
    <x v="0"/>
    <x v="0"/>
    <x v="2"/>
    <n v="44.24"/>
    <n v="2"/>
    <x v="1528"/>
    <x v="1"/>
    <n v="7.8"/>
  </r>
  <r>
    <x v="163"/>
    <x v="1"/>
    <x v="0"/>
    <x v="0"/>
    <x v="3"/>
    <n v="13.96"/>
    <n v="2"/>
    <x v="1529"/>
    <x v="1"/>
    <n v="6"/>
  </r>
  <r>
    <x v="164"/>
    <x v="1"/>
    <x v="0"/>
    <x v="0"/>
    <x v="3"/>
    <n v="6.58"/>
    <n v="1"/>
    <x v="1530"/>
    <x v="2"/>
    <n v="7.1"/>
  </r>
  <r>
    <x v="164"/>
    <x v="0"/>
    <x v="0"/>
    <x v="1"/>
    <x v="5"/>
    <n v="33.450000000000003"/>
    <n v="3"/>
    <x v="1531"/>
    <x v="1"/>
    <n v="8.6999999999999993"/>
  </r>
  <r>
    <x v="164"/>
    <x v="0"/>
    <x v="1"/>
    <x v="0"/>
    <x v="2"/>
    <n v="49.6"/>
    <n v="1"/>
    <x v="1532"/>
    <x v="1"/>
    <n v="6.1"/>
  </r>
  <r>
    <x v="164"/>
    <x v="0"/>
    <x v="1"/>
    <x v="0"/>
    <x v="4"/>
    <n v="66.63"/>
    <n v="1"/>
    <x v="1533"/>
    <x v="1"/>
    <n v="7"/>
  </r>
  <r>
    <x v="164"/>
    <x v="2"/>
    <x v="1"/>
    <x v="1"/>
    <x v="0"/>
    <n v="4.37"/>
    <n v="4"/>
    <x v="1534"/>
    <x v="1"/>
    <n v="9.3000000000000007"/>
  </r>
  <r>
    <x v="164"/>
    <x v="0"/>
    <x v="0"/>
    <x v="0"/>
    <x v="0"/>
    <n v="4.3899999999999997"/>
    <n v="1"/>
    <x v="1535"/>
    <x v="1"/>
    <n v="8.9"/>
  </r>
  <r>
    <x v="164"/>
    <x v="0"/>
    <x v="0"/>
    <x v="0"/>
    <x v="4"/>
    <n v="56.22"/>
    <n v="4"/>
    <x v="1536"/>
    <x v="1"/>
    <n v="8.6"/>
  </r>
  <r>
    <x v="164"/>
    <x v="0"/>
    <x v="0"/>
    <x v="0"/>
    <x v="5"/>
    <n v="20.49"/>
    <n v="2"/>
    <x v="1537"/>
    <x v="1"/>
    <n v="8.9"/>
  </r>
  <r>
    <x v="164"/>
    <x v="2"/>
    <x v="1"/>
    <x v="0"/>
    <x v="0"/>
    <n v="5.41"/>
    <n v="4"/>
    <x v="1538"/>
    <x v="2"/>
    <n v="8.4"/>
  </r>
  <r>
    <x v="164"/>
    <x v="0"/>
    <x v="1"/>
    <x v="0"/>
    <x v="0"/>
    <n v="4.7300000000000004"/>
    <n v="6"/>
    <x v="1539"/>
    <x v="2"/>
    <n v="8.4"/>
  </r>
  <r>
    <x v="164"/>
    <x v="0"/>
    <x v="1"/>
    <x v="1"/>
    <x v="3"/>
    <n v="13.56"/>
    <n v="1"/>
    <x v="1540"/>
    <x v="2"/>
    <n v="7.2"/>
  </r>
  <r>
    <x v="165"/>
    <x v="1"/>
    <x v="1"/>
    <x v="1"/>
    <x v="0"/>
    <n v="7.55"/>
    <n v="6"/>
    <x v="1541"/>
    <x v="2"/>
    <n v="9.3000000000000007"/>
  </r>
  <r>
    <x v="165"/>
    <x v="2"/>
    <x v="1"/>
    <x v="1"/>
    <x v="0"/>
    <n v="6.85"/>
    <n v="2"/>
    <x v="1542"/>
    <x v="1"/>
    <n v="6.9"/>
  </r>
  <r>
    <x v="165"/>
    <x v="1"/>
    <x v="1"/>
    <x v="1"/>
    <x v="5"/>
    <n v="26.68"/>
    <n v="2"/>
    <x v="1543"/>
    <x v="1"/>
    <n v="6.4"/>
  </r>
  <r>
    <x v="165"/>
    <x v="1"/>
    <x v="0"/>
    <x v="0"/>
    <x v="0"/>
    <n v="6.08"/>
    <n v="3"/>
    <x v="1544"/>
    <x v="1"/>
    <n v="9.8000000000000007"/>
  </r>
  <r>
    <x v="165"/>
    <x v="0"/>
    <x v="1"/>
    <x v="0"/>
    <x v="0"/>
    <n v="7.68"/>
    <n v="5"/>
    <x v="1545"/>
    <x v="1"/>
    <n v="9.5"/>
  </r>
  <r>
    <x v="165"/>
    <x v="2"/>
    <x v="1"/>
    <x v="0"/>
    <x v="1"/>
    <n v="80.739999999999995"/>
    <n v="2"/>
    <x v="1546"/>
    <x v="0"/>
    <n v="6.8"/>
  </r>
  <r>
    <x v="165"/>
    <x v="1"/>
    <x v="1"/>
    <x v="1"/>
    <x v="2"/>
    <n v="54.37"/>
    <n v="2"/>
    <x v="1547"/>
    <x v="2"/>
    <n v="6.8"/>
  </r>
  <r>
    <x v="165"/>
    <x v="1"/>
    <x v="1"/>
    <x v="0"/>
    <x v="4"/>
    <n v="47.71"/>
    <n v="1"/>
    <x v="1548"/>
    <x v="1"/>
    <n v="8.1"/>
  </r>
  <r>
    <x v="165"/>
    <x v="0"/>
    <x v="1"/>
    <x v="1"/>
    <x v="0"/>
    <n v="7.32"/>
    <n v="5"/>
    <x v="1549"/>
    <x v="1"/>
    <n v="9"/>
  </r>
  <r>
    <x v="165"/>
    <x v="0"/>
    <x v="1"/>
    <x v="1"/>
    <x v="5"/>
    <n v="31.6"/>
    <n v="4"/>
    <x v="1550"/>
    <x v="2"/>
    <n v="6"/>
  </r>
  <r>
    <x v="165"/>
    <x v="1"/>
    <x v="1"/>
    <x v="0"/>
    <x v="4"/>
    <n v="73.459999999999994"/>
    <n v="2"/>
    <x v="1551"/>
    <x v="2"/>
    <n v="8.8000000000000007"/>
  </r>
  <r>
    <x v="165"/>
    <x v="0"/>
    <x v="0"/>
    <x v="0"/>
    <x v="0"/>
    <n v="7.54"/>
    <n v="1"/>
    <x v="1451"/>
    <x v="2"/>
    <n v="8.6"/>
  </r>
  <r>
    <x v="165"/>
    <x v="2"/>
    <x v="1"/>
    <x v="0"/>
    <x v="5"/>
    <n v="38.29"/>
    <n v="1"/>
    <x v="1552"/>
    <x v="2"/>
    <n v="7.3"/>
  </r>
  <r>
    <x v="165"/>
    <x v="2"/>
    <x v="1"/>
    <x v="0"/>
    <x v="4"/>
    <n v="67.45"/>
    <n v="2"/>
    <x v="1123"/>
    <x v="0"/>
    <n v="6.7"/>
  </r>
  <r>
    <x v="165"/>
    <x v="0"/>
    <x v="0"/>
    <x v="1"/>
    <x v="0"/>
    <n v="5.81"/>
    <n v="3"/>
    <x v="1553"/>
    <x v="1"/>
    <n v="9.1"/>
  </r>
  <r>
    <x v="165"/>
    <x v="1"/>
    <x v="0"/>
    <x v="0"/>
    <x v="4"/>
    <n v="56.69"/>
    <n v="1"/>
    <x v="1554"/>
    <x v="2"/>
    <n v="7.6"/>
  </r>
  <r>
    <x v="165"/>
    <x v="1"/>
    <x v="0"/>
    <x v="0"/>
    <x v="0"/>
    <n v="5.03"/>
    <n v="2"/>
    <x v="1555"/>
    <x v="2"/>
    <n v="7.5"/>
  </r>
  <r>
    <x v="165"/>
    <x v="0"/>
    <x v="1"/>
    <x v="0"/>
    <x v="0"/>
    <n v="6.93"/>
    <n v="2"/>
    <x v="1556"/>
    <x v="2"/>
    <n v="7.8"/>
  </r>
  <r>
    <x v="166"/>
    <x v="0"/>
    <x v="1"/>
    <x v="0"/>
    <x v="2"/>
    <n v="67.2"/>
    <n v="1"/>
    <x v="1557"/>
    <x v="2"/>
    <n v="7.2"/>
  </r>
  <r>
    <x v="166"/>
    <x v="1"/>
    <x v="1"/>
    <x v="0"/>
    <x v="0"/>
    <n v="6.99"/>
    <n v="1"/>
    <x v="1558"/>
    <x v="1"/>
    <n v="8"/>
  </r>
  <r>
    <x v="166"/>
    <x v="1"/>
    <x v="1"/>
    <x v="1"/>
    <x v="2"/>
    <n v="45.1"/>
    <n v="3"/>
    <x v="1559"/>
    <x v="2"/>
    <n v="6.2"/>
  </r>
  <r>
    <x v="166"/>
    <x v="0"/>
    <x v="0"/>
    <x v="1"/>
    <x v="2"/>
    <n v="46.14"/>
    <n v="1"/>
    <x v="1560"/>
    <x v="2"/>
    <n v="7.9"/>
  </r>
  <r>
    <x v="166"/>
    <x v="2"/>
    <x v="1"/>
    <x v="1"/>
    <x v="1"/>
    <n v="88.25"/>
    <n v="1"/>
    <x v="1561"/>
    <x v="0"/>
    <n v="8.5"/>
  </r>
  <r>
    <x v="166"/>
    <x v="0"/>
    <x v="0"/>
    <x v="1"/>
    <x v="0"/>
    <n v="5.0999999999999996"/>
    <n v="4"/>
    <x v="1511"/>
    <x v="2"/>
    <n v="8.1"/>
  </r>
  <r>
    <x v="166"/>
    <x v="0"/>
    <x v="1"/>
    <x v="0"/>
    <x v="4"/>
    <n v="56.23"/>
    <n v="2"/>
    <x v="1562"/>
    <x v="0"/>
    <n v="4.9000000000000004"/>
  </r>
  <r>
    <x v="166"/>
    <x v="1"/>
    <x v="0"/>
    <x v="0"/>
    <x v="5"/>
    <n v="30.11"/>
    <n v="3"/>
    <x v="1563"/>
    <x v="1"/>
    <n v="7.2"/>
  </r>
  <r>
    <x v="166"/>
    <x v="0"/>
    <x v="1"/>
    <x v="1"/>
    <x v="1"/>
    <n v="87.54"/>
    <n v="1"/>
    <x v="1564"/>
    <x v="2"/>
    <n v="9.4"/>
  </r>
  <r>
    <x v="166"/>
    <x v="1"/>
    <x v="1"/>
    <x v="1"/>
    <x v="3"/>
    <n v="10.23"/>
    <n v="3"/>
    <x v="1565"/>
    <x v="0"/>
    <n v="7.9"/>
  </r>
  <r>
    <x v="166"/>
    <x v="2"/>
    <x v="1"/>
    <x v="1"/>
    <x v="1"/>
    <n v="80.78"/>
    <n v="2"/>
    <x v="1566"/>
    <x v="1"/>
    <n v="6.8"/>
  </r>
  <r>
    <x v="166"/>
    <x v="0"/>
    <x v="1"/>
    <x v="1"/>
    <x v="4"/>
    <n v="74.86"/>
    <n v="1"/>
    <x v="929"/>
    <x v="2"/>
    <n v="8"/>
  </r>
  <r>
    <x v="167"/>
    <x v="0"/>
    <x v="1"/>
    <x v="0"/>
    <x v="0"/>
    <n v="7"/>
    <n v="1"/>
    <x v="1567"/>
    <x v="1"/>
    <n v="6.2"/>
  </r>
  <r>
    <x v="167"/>
    <x v="0"/>
    <x v="1"/>
    <x v="1"/>
    <x v="1"/>
    <n v="90.57"/>
    <n v="2"/>
    <x v="1568"/>
    <x v="0"/>
    <n v="8.1999999999999993"/>
  </r>
  <r>
    <x v="167"/>
    <x v="0"/>
    <x v="1"/>
    <x v="1"/>
    <x v="3"/>
    <n v="10"/>
    <n v="3"/>
    <x v="1569"/>
    <x v="0"/>
    <n v="8.5"/>
  </r>
  <r>
    <x v="167"/>
    <x v="2"/>
    <x v="0"/>
    <x v="1"/>
    <x v="4"/>
    <n v="61.15"/>
    <n v="4"/>
    <x v="1570"/>
    <x v="2"/>
    <n v="8.5"/>
  </r>
  <r>
    <x v="167"/>
    <x v="2"/>
    <x v="0"/>
    <x v="1"/>
    <x v="0"/>
    <n v="4.5599999999999996"/>
    <n v="3"/>
    <x v="1571"/>
    <x v="0"/>
    <n v="9.8000000000000007"/>
  </r>
  <r>
    <x v="167"/>
    <x v="2"/>
    <x v="1"/>
    <x v="0"/>
    <x v="4"/>
    <n v="67.290000000000006"/>
    <n v="4"/>
    <x v="1572"/>
    <x v="0"/>
    <n v="8"/>
  </r>
  <r>
    <x v="167"/>
    <x v="1"/>
    <x v="1"/>
    <x v="0"/>
    <x v="2"/>
    <n v="61.98"/>
    <n v="3"/>
    <x v="1573"/>
    <x v="2"/>
    <n v="7.5"/>
  </r>
  <r>
    <x v="167"/>
    <x v="1"/>
    <x v="1"/>
    <x v="0"/>
    <x v="4"/>
    <n v="67.48"/>
    <n v="5"/>
    <x v="1574"/>
    <x v="1"/>
    <n v="8.6999999999999993"/>
  </r>
  <r>
    <x v="167"/>
    <x v="1"/>
    <x v="0"/>
    <x v="0"/>
    <x v="0"/>
    <n v="4"/>
    <n v="1"/>
    <x v="1575"/>
    <x v="0"/>
    <n v="7.6"/>
  </r>
  <r>
    <x v="167"/>
    <x v="0"/>
    <x v="0"/>
    <x v="1"/>
    <x v="0"/>
    <n v="6.05"/>
    <n v="1"/>
    <x v="1576"/>
    <x v="0"/>
    <n v="8.5"/>
  </r>
  <r>
    <x v="167"/>
    <x v="0"/>
    <x v="1"/>
    <x v="1"/>
    <x v="0"/>
    <n v="7.1"/>
    <n v="3"/>
    <x v="1577"/>
    <x v="2"/>
    <n v="7.1"/>
  </r>
  <r>
    <x v="168"/>
    <x v="1"/>
    <x v="1"/>
    <x v="1"/>
    <x v="0"/>
    <n v="5.23"/>
    <n v="3"/>
    <x v="1578"/>
    <x v="0"/>
    <n v="8.1"/>
  </r>
  <r>
    <x v="168"/>
    <x v="0"/>
    <x v="1"/>
    <x v="1"/>
    <x v="4"/>
    <n v="69.2"/>
    <n v="4"/>
    <x v="1579"/>
    <x v="2"/>
    <n v="7.5"/>
  </r>
  <r>
    <x v="168"/>
    <x v="0"/>
    <x v="1"/>
    <x v="0"/>
    <x v="4"/>
    <n v="50.9"/>
    <n v="2"/>
    <x v="1580"/>
    <x v="1"/>
    <n v="6"/>
  </r>
  <r>
    <x v="168"/>
    <x v="1"/>
    <x v="1"/>
    <x v="0"/>
    <x v="1"/>
    <n v="93.8"/>
    <n v="1"/>
    <x v="1581"/>
    <x v="2"/>
    <n v="7.8"/>
  </r>
  <r>
    <x v="168"/>
    <x v="2"/>
    <x v="1"/>
    <x v="1"/>
    <x v="0"/>
    <n v="7.23"/>
    <n v="2"/>
    <x v="1582"/>
    <x v="0"/>
    <n v="8.8000000000000007"/>
  </r>
  <r>
    <x v="168"/>
    <x v="2"/>
    <x v="1"/>
    <x v="0"/>
    <x v="5"/>
    <n v="34.92"/>
    <n v="4"/>
    <x v="1583"/>
    <x v="2"/>
    <n v="8.3000000000000007"/>
  </r>
  <r>
    <x v="168"/>
    <x v="2"/>
    <x v="1"/>
    <x v="1"/>
    <x v="0"/>
    <n v="3.98"/>
    <n v="2"/>
    <x v="1584"/>
    <x v="1"/>
    <n v="6.9"/>
  </r>
  <r>
    <x v="168"/>
    <x v="2"/>
    <x v="0"/>
    <x v="0"/>
    <x v="1"/>
    <n v="96.4"/>
    <n v="2"/>
    <x v="1585"/>
    <x v="2"/>
    <n v="8"/>
  </r>
  <r>
    <x v="168"/>
    <x v="0"/>
    <x v="0"/>
    <x v="0"/>
    <x v="2"/>
    <n v="69.239999999999995"/>
    <n v="2"/>
    <x v="252"/>
    <x v="0"/>
    <n v="4.9000000000000004"/>
  </r>
  <r>
    <x v="168"/>
    <x v="0"/>
    <x v="1"/>
    <x v="1"/>
    <x v="0"/>
    <n v="2.3199999999999998"/>
    <n v="3"/>
    <x v="1586"/>
    <x v="2"/>
    <n v="5.9"/>
  </r>
  <r>
    <x v="169"/>
    <x v="1"/>
    <x v="0"/>
    <x v="0"/>
    <x v="0"/>
    <n v="6.71"/>
    <n v="3"/>
    <x v="1587"/>
    <x v="1"/>
    <n v="7"/>
  </r>
  <r>
    <x v="169"/>
    <x v="2"/>
    <x v="1"/>
    <x v="0"/>
    <x v="0"/>
    <n v="4.16"/>
    <n v="3"/>
    <x v="1588"/>
    <x v="2"/>
    <n v="8.1999999999999993"/>
  </r>
  <r>
    <x v="169"/>
    <x v="2"/>
    <x v="1"/>
    <x v="1"/>
    <x v="0"/>
    <n v="5.28"/>
    <n v="3"/>
    <x v="1589"/>
    <x v="0"/>
    <n v="8.1999999999999993"/>
  </r>
  <r>
    <x v="169"/>
    <x v="0"/>
    <x v="1"/>
    <x v="0"/>
    <x v="5"/>
    <n v="38.159999999999997"/>
    <n v="1"/>
    <x v="1590"/>
    <x v="2"/>
    <n v="6.9"/>
  </r>
  <r>
    <x v="169"/>
    <x v="0"/>
    <x v="1"/>
    <x v="0"/>
    <x v="4"/>
    <n v="70.069999999999993"/>
    <n v="5"/>
    <x v="1591"/>
    <x v="2"/>
    <n v="7.4"/>
  </r>
  <r>
    <x v="169"/>
    <x v="1"/>
    <x v="1"/>
    <x v="1"/>
    <x v="5"/>
    <n v="17.489999999999998"/>
    <n v="2"/>
    <x v="1592"/>
    <x v="0"/>
    <n v="6.8"/>
  </r>
  <r>
    <x v="169"/>
    <x v="1"/>
    <x v="0"/>
    <x v="0"/>
    <x v="5"/>
    <n v="33.35"/>
    <n v="2"/>
    <x v="1593"/>
    <x v="2"/>
    <n v="7.7"/>
  </r>
  <r>
    <x v="169"/>
    <x v="0"/>
    <x v="0"/>
    <x v="0"/>
    <x v="0"/>
    <n v="4.95"/>
    <n v="3"/>
    <x v="1594"/>
    <x v="0"/>
    <n v="7"/>
  </r>
  <r>
    <x v="170"/>
    <x v="0"/>
    <x v="1"/>
    <x v="1"/>
    <x v="5"/>
    <n v="32.590000000000003"/>
    <n v="3"/>
    <x v="1595"/>
    <x v="2"/>
    <n v="7.2"/>
  </r>
  <r>
    <x v="170"/>
    <x v="0"/>
    <x v="1"/>
    <x v="0"/>
    <x v="4"/>
    <n v="55.89"/>
    <n v="2"/>
    <x v="1596"/>
    <x v="0"/>
    <n v="7.3"/>
  </r>
  <r>
    <x v="170"/>
    <x v="0"/>
    <x v="1"/>
    <x v="0"/>
    <x v="4"/>
    <n v="71.64"/>
    <n v="3"/>
    <x v="1597"/>
    <x v="0"/>
    <n v="6.5"/>
  </r>
  <r>
    <x v="170"/>
    <x v="2"/>
    <x v="0"/>
    <x v="1"/>
    <x v="5"/>
    <n v="33.53"/>
    <n v="3"/>
    <x v="1598"/>
    <x v="2"/>
    <n v="7.5"/>
  </r>
  <r>
    <x v="170"/>
    <x v="2"/>
    <x v="0"/>
    <x v="0"/>
    <x v="5"/>
    <n v="23.41"/>
    <n v="1"/>
    <x v="1599"/>
    <x v="0"/>
    <n v="5.7"/>
  </r>
  <r>
    <x v="170"/>
    <x v="1"/>
    <x v="1"/>
    <x v="0"/>
    <x v="0"/>
    <n v="7.5"/>
    <n v="2"/>
    <x v="1600"/>
    <x v="1"/>
    <n v="7.3"/>
  </r>
  <r>
    <x v="170"/>
    <x v="0"/>
    <x v="1"/>
    <x v="0"/>
    <x v="4"/>
    <n v="72.37"/>
    <n v="2"/>
    <x v="1601"/>
    <x v="2"/>
    <n v="8.1999999999999993"/>
  </r>
  <r>
    <x v="171"/>
    <x v="0"/>
    <x v="1"/>
    <x v="0"/>
    <x v="0"/>
    <n v="5.26"/>
    <n v="5"/>
    <x v="1602"/>
    <x v="1"/>
    <n v="8.4"/>
  </r>
  <r>
    <x v="171"/>
    <x v="2"/>
    <x v="1"/>
    <x v="1"/>
    <x v="3"/>
    <n v="14.25"/>
    <n v="3"/>
    <x v="1603"/>
    <x v="0"/>
    <n v="8.1"/>
  </r>
  <r>
    <x v="171"/>
    <x v="0"/>
    <x v="1"/>
    <x v="1"/>
    <x v="4"/>
    <n v="67.09"/>
    <n v="3"/>
    <x v="1604"/>
    <x v="2"/>
    <n v="6.3"/>
  </r>
  <r>
    <x v="171"/>
    <x v="0"/>
    <x v="1"/>
    <x v="1"/>
    <x v="5"/>
    <n v="27.7"/>
    <n v="3"/>
    <x v="1605"/>
    <x v="0"/>
    <n v="6.2"/>
  </r>
  <r>
    <x v="171"/>
    <x v="0"/>
    <x v="1"/>
    <x v="0"/>
    <x v="0"/>
    <n v="6.02"/>
    <n v="2"/>
    <x v="1606"/>
    <x v="2"/>
    <n v="7.5"/>
  </r>
  <r>
    <x v="171"/>
    <x v="2"/>
    <x v="1"/>
    <x v="1"/>
    <x v="4"/>
    <n v="70.86"/>
    <n v="4"/>
    <x v="1607"/>
    <x v="1"/>
    <n v="6.4"/>
  </r>
  <r>
    <x v="171"/>
    <x v="0"/>
    <x v="1"/>
    <x v="0"/>
    <x v="1"/>
    <n v="79.12"/>
    <n v="1"/>
    <x v="1608"/>
    <x v="2"/>
    <n v="7.7"/>
  </r>
  <r>
    <x v="171"/>
    <x v="2"/>
    <x v="1"/>
    <x v="1"/>
    <x v="0"/>
    <n v="4.54"/>
    <n v="3"/>
    <x v="1609"/>
    <x v="0"/>
    <n v="7.4"/>
  </r>
  <r>
    <x v="171"/>
    <x v="0"/>
    <x v="0"/>
    <x v="0"/>
    <x v="3"/>
    <n v="6.52"/>
    <n v="3"/>
    <x v="1610"/>
    <x v="0"/>
    <n v="5.3"/>
  </r>
  <r>
    <x v="171"/>
    <x v="0"/>
    <x v="1"/>
    <x v="0"/>
    <x v="4"/>
    <n v="48.6"/>
    <n v="5"/>
    <x v="666"/>
    <x v="1"/>
    <n v="6.3"/>
  </r>
  <r>
    <x v="171"/>
    <x v="2"/>
    <x v="1"/>
    <x v="0"/>
    <x v="0"/>
    <n v="4.13"/>
    <n v="1"/>
    <x v="1611"/>
    <x v="2"/>
    <n v="8.6999999999999993"/>
  </r>
  <r>
    <x v="171"/>
    <x v="1"/>
    <x v="1"/>
    <x v="1"/>
    <x v="5"/>
    <n v="20.56"/>
    <n v="3"/>
    <x v="1612"/>
    <x v="2"/>
    <n v="6.7"/>
  </r>
  <r>
    <x v="171"/>
    <x v="1"/>
    <x v="0"/>
    <x v="0"/>
    <x v="0"/>
    <n v="5.18"/>
    <n v="3"/>
    <x v="1415"/>
    <x v="0"/>
    <n v="6.9"/>
  </r>
  <r>
    <x v="172"/>
    <x v="1"/>
    <x v="1"/>
    <x v="0"/>
    <x v="0"/>
    <n v="5.99"/>
    <n v="1"/>
    <x v="1613"/>
    <x v="1"/>
    <n v="9.3000000000000007"/>
  </r>
  <r>
    <x v="172"/>
    <x v="1"/>
    <x v="1"/>
    <x v="1"/>
    <x v="0"/>
    <n v="2.2400000000000002"/>
    <n v="4"/>
    <x v="1614"/>
    <x v="1"/>
    <n v="8.8000000000000007"/>
  </r>
  <r>
    <x v="172"/>
    <x v="1"/>
    <x v="0"/>
    <x v="1"/>
    <x v="4"/>
    <n v="64.48"/>
    <n v="5"/>
    <x v="1615"/>
    <x v="1"/>
    <n v="7.3"/>
  </r>
  <r>
    <x v="172"/>
    <x v="0"/>
    <x v="0"/>
    <x v="1"/>
    <x v="0"/>
    <n v="4.42"/>
    <n v="3"/>
    <x v="1522"/>
    <x v="1"/>
    <n v="8"/>
  </r>
  <r>
    <x v="172"/>
    <x v="0"/>
    <x v="1"/>
    <x v="1"/>
    <x v="0"/>
    <n v="7.3"/>
    <n v="5"/>
    <x v="1616"/>
    <x v="1"/>
    <n v="5.6"/>
  </r>
  <r>
    <x v="172"/>
    <x v="0"/>
    <x v="0"/>
    <x v="0"/>
    <x v="5"/>
    <n v="18.149999999999999"/>
    <n v="3"/>
    <x v="1617"/>
    <x v="1"/>
    <n v="8.5"/>
  </r>
  <r>
    <x v="172"/>
    <x v="2"/>
    <x v="1"/>
    <x v="0"/>
    <x v="5"/>
    <n v="38.76"/>
    <n v="2"/>
    <x v="767"/>
    <x v="2"/>
    <n v="6.9"/>
  </r>
  <r>
    <x v="172"/>
    <x v="1"/>
    <x v="1"/>
    <x v="1"/>
    <x v="0"/>
    <n v="7.49"/>
    <n v="1"/>
    <x v="1618"/>
    <x v="1"/>
    <n v="7.1"/>
  </r>
  <r>
    <x v="172"/>
    <x v="2"/>
    <x v="0"/>
    <x v="0"/>
    <x v="4"/>
    <n v="69.489999999999995"/>
    <n v="1"/>
    <x v="1619"/>
    <x v="2"/>
    <n v="7.5"/>
  </r>
  <r>
    <x v="172"/>
    <x v="0"/>
    <x v="1"/>
    <x v="1"/>
    <x v="0"/>
    <n v="5.41"/>
    <n v="3"/>
    <x v="1620"/>
    <x v="2"/>
    <n v="9.1999999999999993"/>
  </r>
  <r>
    <x v="172"/>
    <x v="2"/>
    <x v="1"/>
    <x v="0"/>
    <x v="1"/>
    <n v="87.31"/>
    <n v="2"/>
    <x v="1621"/>
    <x v="2"/>
    <n v="6.1"/>
  </r>
  <r>
    <x v="172"/>
    <x v="2"/>
    <x v="0"/>
    <x v="0"/>
    <x v="5"/>
    <n v="31.18"/>
    <n v="1"/>
    <x v="1622"/>
    <x v="2"/>
    <n v="8.6999999999999993"/>
  </r>
  <r>
    <x v="172"/>
    <x v="0"/>
    <x v="1"/>
    <x v="1"/>
    <x v="5"/>
    <n v="35.28"/>
    <n v="4"/>
    <x v="1623"/>
    <x v="2"/>
    <n v="8.1"/>
  </r>
  <r>
    <x v="172"/>
    <x v="2"/>
    <x v="1"/>
    <x v="1"/>
    <x v="0"/>
    <n v="4.34"/>
    <n v="4"/>
    <x v="1624"/>
    <x v="2"/>
    <n v="7.7"/>
  </r>
  <r>
    <x v="172"/>
    <x v="1"/>
    <x v="1"/>
    <x v="0"/>
    <x v="0"/>
    <n v="6.67"/>
    <n v="2"/>
    <x v="1625"/>
    <x v="1"/>
    <n v="9.1"/>
  </r>
  <r>
    <x v="173"/>
    <x v="2"/>
    <x v="1"/>
    <x v="0"/>
    <x v="0"/>
    <n v="3.63"/>
    <n v="1"/>
    <x v="1626"/>
    <x v="2"/>
    <n v="7.4"/>
  </r>
  <r>
    <x v="173"/>
    <x v="0"/>
    <x v="1"/>
    <x v="0"/>
    <x v="2"/>
    <n v="65.989999999999995"/>
    <n v="1"/>
    <x v="1627"/>
    <x v="0"/>
    <n v="4.2"/>
  </r>
  <r>
    <x v="173"/>
    <x v="1"/>
    <x v="1"/>
    <x v="0"/>
    <x v="4"/>
    <n v="66.27"/>
    <n v="5"/>
    <x v="1628"/>
    <x v="2"/>
    <n v="6.8"/>
  </r>
  <r>
    <x v="173"/>
    <x v="0"/>
    <x v="1"/>
    <x v="1"/>
    <x v="4"/>
    <n v="65.319999999999993"/>
    <n v="2"/>
    <x v="1629"/>
    <x v="2"/>
    <n v="6.9"/>
  </r>
  <r>
    <x v="173"/>
    <x v="0"/>
    <x v="1"/>
    <x v="1"/>
    <x v="5"/>
    <n v="35.49"/>
    <n v="4"/>
    <x v="1630"/>
    <x v="0"/>
    <n v="9.1"/>
  </r>
  <r>
    <x v="173"/>
    <x v="1"/>
    <x v="0"/>
    <x v="1"/>
    <x v="0"/>
    <n v="5.88"/>
    <n v="3"/>
    <x v="1631"/>
    <x v="2"/>
    <n v="6.6"/>
  </r>
  <r>
    <x v="173"/>
    <x v="0"/>
    <x v="1"/>
    <x v="1"/>
    <x v="0"/>
    <n v="6.88"/>
    <n v="4"/>
    <x v="1632"/>
    <x v="0"/>
    <n v="7.6"/>
  </r>
  <r>
    <x v="173"/>
    <x v="2"/>
    <x v="0"/>
    <x v="0"/>
    <x v="3"/>
    <n v="12.13"/>
    <n v="2"/>
    <x v="1633"/>
    <x v="1"/>
    <n v="7.7"/>
  </r>
  <r>
    <x v="173"/>
    <x v="1"/>
    <x v="0"/>
    <x v="1"/>
    <x v="5"/>
    <n v="37.36"/>
    <n v="4"/>
    <x v="1634"/>
    <x v="1"/>
    <n v="7.6"/>
  </r>
  <r>
    <x v="173"/>
    <x v="2"/>
    <x v="0"/>
    <x v="1"/>
    <x v="0"/>
    <n v="6.88"/>
    <n v="1"/>
    <x v="1635"/>
    <x v="1"/>
    <n v="8.5"/>
  </r>
  <r>
    <x v="173"/>
    <x v="2"/>
    <x v="0"/>
    <x v="1"/>
    <x v="0"/>
    <n v="4.97"/>
    <n v="5"/>
    <x v="1636"/>
    <x v="1"/>
    <n v="9.8000000000000007"/>
  </r>
  <r>
    <x v="173"/>
    <x v="0"/>
    <x v="0"/>
    <x v="1"/>
    <x v="1"/>
    <n v="76.14"/>
    <n v="2"/>
    <x v="1637"/>
    <x v="2"/>
    <n v="7"/>
  </r>
  <r>
    <x v="173"/>
    <x v="2"/>
    <x v="1"/>
    <x v="0"/>
    <x v="0"/>
    <n v="3.56"/>
    <n v="1"/>
    <x v="1638"/>
    <x v="2"/>
    <n v="8.4"/>
  </r>
  <r>
    <x v="173"/>
    <x v="2"/>
    <x v="1"/>
    <x v="1"/>
    <x v="1"/>
    <n v="94.81"/>
    <n v="2"/>
    <x v="1639"/>
    <x v="0"/>
    <n v="9"/>
  </r>
  <r>
    <x v="174"/>
    <x v="2"/>
    <x v="1"/>
    <x v="1"/>
    <x v="3"/>
    <n v="12.85"/>
    <n v="3"/>
    <x v="1640"/>
    <x v="0"/>
    <n v="7.6"/>
  </r>
  <r>
    <x v="174"/>
    <x v="1"/>
    <x v="0"/>
    <x v="0"/>
    <x v="0"/>
    <n v="4.78"/>
    <n v="2"/>
    <x v="1641"/>
    <x v="2"/>
    <n v="8.4"/>
  </r>
  <r>
    <x v="174"/>
    <x v="2"/>
    <x v="1"/>
    <x v="0"/>
    <x v="4"/>
    <n v="53.81"/>
    <n v="4"/>
    <x v="1642"/>
    <x v="2"/>
    <n v="6.5"/>
  </r>
  <r>
    <x v="174"/>
    <x v="1"/>
    <x v="1"/>
    <x v="1"/>
    <x v="0"/>
    <n v="7.27"/>
    <n v="3"/>
    <x v="1643"/>
    <x v="1"/>
    <n v="8.1"/>
  </r>
  <r>
    <x v="174"/>
    <x v="0"/>
    <x v="1"/>
    <x v="1"/>
    <x v="4"/>
    <n v="55.14"/>
    <n v="1"/>
    <x v="1644"/>
    <x v="1"/>
    <n v="6.6"/>
  </r>
  <r>
    <x v="174"/>
    <x v="1"/>
    <x v="0"/>
    <x v="0"/>
    <x v="4"/>
    <n v="65.14"/>
    <n v="1"/>
    <x v="1645"/>
    <x v="0"/>
    <n v="9.8000000000000007"/>
  </r>
  <r>
    <x v="174"/>
    <x v="0"/>
    <x v="1"/>
    <x v="1"/>
    <x v="2"/>
    <n v="57.8"/>
    <n v="1"/>
    <x v="1646"/>
    <x v="2"/>
    <n v="5.4"/>
  </r>
  <r>
    <x v="174"/>
    <x v="0"/>
    <x v="0"/>
    <x v="1"/>
    <x v="5"/>
    <n v="33.520000000000003"/>
    <n v="3"/>
    <x v="1647"/>
    <x v="2"/>
    <n v="8"/>
  </r>
  <r>
    <x v="174"/>
    <x v="1"/>
    <x v="1"/>
    <x v="0"/>
    <x v="4"/>
    <n v="53.69"/>
    <n v="5"/>
    <x v="1648"/>
    <x v="0"/>
    <n v="8.3000000000000007"/>
  </r>
  <r>
    <x v="174"/>
    <x v="1"/>
    <x v="1"/>
    <x v="0"/>
    <x v="5"/>
    <n v="36.65"/>
    <n v="1"/>
    <x v="1649"/>
    <x v="2"/>
    <n v="8.4"/>
  </r>
  <r>
    <x v="174"/>
    <x v="1"/>
    <x v="1"/>
    <x v="0"/>
    <x v="0"/>
    <n v="7.12"/>
    <n v="6"/>
    <x v="1650"/>
    <x v="1"/>
    <n v="7.8"/>
  </r>
  <r>
    <x v="174"/>
    <x v="1"/>
    <x v="1"/>
    <x v="0"/>
    <x v="0"/>
    <n v="7.12"/>
    <n v="6"/>
    <x v="1650"/>
    <x v="2"/>
    <n v="8.5"/>
  </r>
  <r>
    <x v="175"/>
    <x v="0"/>
    <x v="0"/>
    <x v="1"/>
    <x v="3"/>
    <n v="13.82"/>
    <n v="2"/>
    <x v="1651"/>
    <x v="0"/>
    <n v="6.8"/>
  </r>
  <r>
    <x v="175"/>
    <x v="0"/>
    <x v="1"/>
    <x v="0"/>
    <x v="0"/>
    <n v="5.14"/>
    <n v="5"/>
    <x v="1652"/>
    <x v="1"/>
    <n v="8.6999999999999993"/>
  </r>
  <r>
    <x v="175"/>
    <x v="2"/>
    <x v="1"/>
    <x v="1"/>
    <x v="0"/>
    <n v="2.73"/>
    <n v="1"/>
    <x v="1653"/>
    <x v="2"/>
    <n v="5.9"/>
  </r>
  <r>
    <x v="175"/>
    <x v="0"/>
    <x v="1"/>
    <x v="0"/>
    <x v="5"/>
    <n v="33.54"/>
    <n v="4"/>
    <x v="1654"/>
    <x v="2"/>
    <n v="6"/>
  </r>
  <r>
    <x v="175"/>
    <x v="0"/>
    <x v="1"/>
    <x v="0"/>
    <x v="4"/>
    <n v="71.77"/>
    <n v="1"/>
    <x v="1327"/>
    <x v="2"/>
    <n v="7.9"/>
  </r>
  <r>
    <x v="175"/>
    <x v="0"/>
    <x v="1"/>
    <x v="1"/>
    <x v="5"/>
    <n v="31.06"/>
    <n v="1"/>
    <x v="1655"/>
    <x v="0"/>
    <n v="8.1999999999999993"/>
  </r>
  <r>
    <x v="175"/>
    <x v="2"/>
    <x v="0"/>
    <x v="0"/>
    <x v="0"/>
    <n v="6.37"/>
    <n v="1"/>
    <x v="1656"/>
    <x v="1"/>
    <n v="9.8000000000000007"/>
  </r>
  <r>
    <x v="175"/>
    <x v="2"/>
    <x v="1"/>
    <x v="1"/>
    <x v="5"/>
    <n v="26.05"/>
    <n v="1"/>
    <x v="1657"/>
    <x v="1"/>
    <n v="7.8"/>
  </r>
  <r>
    <x v="175"/>
    <x v="0"/>
    <x v="1"/>
    <x v="1"/>
    <x v="4"/>
    <n v="68.13"/>
    <n v="1"/>
    <x v="1658"/>
    <x v="1"/>
    <n v="8.4"/>
  </r>
  <r>
    <x v="175"/>
    <x v="1"/>
    <x v="1"/>
    <x v="1"/>
    <x v="0"/>
    <n v="5.99"/>
    <n v="3"/>
    <x v="1659"/>
    <x v="1"/>
    <n v="7"/>
  </r>
  <r>
    <x v="176"/>
    <x v="1"/>
    <x v="1"/>
    <x v="1"/>
    <x v="5"/>
    <n v="39.299999999999997"/>
    <n v="3"/>
    <x v="1660"/>
    <x v="0"/>
    <n v="7.4"/>
  </r>
  <r>
    <x v="176"/>
    <x v="0"/>
    <x v="1"/>
    <x v="0"/>
    <x v="0"/>
    <n v="6.4"/>
    <n v="3"/>
    <x v="1661"/>
    <x v="2"/>
    <n v="9.3000000000000007"/>
  </r>
  <r>
    <x v="176"/>
    <x v="0"/>
    <x v="1"/>
    <x v="0"/>
    <x v="0"/>
    <n v="5.09"/>
    <n v="4"/>
    <x v="1662"/>
    <x v="0"/>
    <n v="6.8"/>
  </r>
  <r>
    <x v="176"/>
    <x v="2"/>
    <x v="1"/>
    <x v="1"/>
    <x v="4"/>
    <n v="53.94"/>
    <n v="1"/>
    <x v="1663"/>
    <x v="2"/>
    <n v="7.7"/>
  </r>
  <r>
    <x v="176"/>
    <x v="1"/>
    <x v="0"/>
    <x v="1"/>
    <x v="3"/>
    <n v="10.91"/>
    <n v="2"/>
    <x v="1664"/>
    <x v="2"/>
    <n v="8.1999999999999993"/>
  </r>
  <r>
    <x v="176"/>
    <x v="2"/>
    <x v="0"/>
    <x v="0"/>
    <x v="4"/>
    <n v="59.13"/>
    <n v="2"/>
    <x v="1665"/>
    <x v="1"/>
    <n v="8.9"/>
  </r>
  <r>
    <x v="176"/>
    <x v="2"/>
    <x v="1"/>
    <x v="1"/>
    <x v="0"/>
    <n v="3.76"/>
    <n v="2"/>
    <x v="1666"/>
    <x v="2"/>
    <n v="6.1"/>
  </r>
  <r>
    <x v="176"/>
    <x v="2"/>
    <x v="0"/>
    <x v="1"/>
    <x v="0"/>
    <n v="7.4"/>
    <n v="7"/>
    <x v="1667"/>
    <x v="1"/>
    <n v="6.3"/>
  </r>
  <r>
    <x v="176"/>
    <x v="0"/>
    <x v="1"/>
    <x v="1"/>
    <x v="0"/>
    <n v="6.38"/>
    <n v="4"/>
    <x v="77"/>
    <x v="2"/>
    <n v="7.6"/>
  </r>
  <r>
    <x v="176"/>
    <x v="1"/>
    <x v="0"/>
    <x v="0"/>
    <x v="0"/>
    <n v="6.4"/>
    <n v="2"/>
    <x v="1668"/>
    <x v="2"/>
    <n v="6.2"/>
  </r>
  <r>
    <x v="176"/>
    <x v="0"/>
    <x v="1"/>
    <x v="1"/>
    <x v="0"/>
    <n v="7.26"/>
    <n v="1"/>
    <x v="1669"/>
    <x v="1"/>
    <n v="9.1999999999999993"/>
  </r>
  <r>
    <x v="176"/>
    <x v="2"/>
    <x v="0"/>
    <x v="1"/>
    <x v="5"/>
    <n v="25.46"/>
    <n v="3"/>
    <x v="1670"/>
    <x v="0"/>
    <n v="9.1"/>
  </r>
  <r>
    <x v="176"/>
    <x v="1"/>
    <x v="1"/>
    <x v="1"/>
    <x v="5"/>
    <n v="28.91"/>
    <n v="4"/>
    <x v="1671"/>
    <x v="1"/>
    <n v="6.2"/>
  </r>
  <r>
    <x v="176"/>
    <x v="1"/>
    <x v="1"/>
    <x v="0"/>
    <x v="2"/>
    <n v="62.69"/>
    <n v="2"/>
    <x v="1672"/>
    <x v="2"/>
    <n v="5.3"/>
  </r>
  <r>
    <x v="176"/>
    <x v="0"/>
    <x v="1"/>
    <x v="1"/>
    <x v="2"/>
    <n v="68.459999999999994"/>
    <n v="2"/>
    <x v="1673"/>
    <x v="1"/>
    <n v="8.8000000000000007"/>
  </r>
  <r>
    <x v="176"/>
    <x v="1"/>
    <x v="1"/>
    <x v="0"/>
    <x v="3"/>
    <n v="14.45"/>
    <n v="1"/>
    <x v="1674"/>
    <x v="2"/>
    <n v="8.1999999999999993"/>
  </r>
  <r>
    <x v="177"/>
    <x v="0"/>
    <x v="1"/>
    <x v="0"/>
    <x v="0"/>
    <n v="6.47"/>
    <n v="3"/>
    <x v="1675"/>
    <x v="1"/>
    <n v="6.7"/>
  </r>
  <r>
    <x v="177"/>
    <x v="0"/>
    <x v="1"/>
    <x v="1"/>
    <x v="0"/>
    <n v="3.71"/>
    <n v="3"/>
    <x v="1676"/>
    <x v="2"/>
    <n v="8.3000000000000007"/>
  </r>
  <r>
    <x v="177"/>
    <x v="0"/>
    <x v="0"/>
    <x v="1"/>
    <x v="0"/>
    <n v="2.48"/>
    <n v="1"/>
    <x v="1677"/>
    <x v="2"/>
    <n v="9.1999999999999993"/>
  </r>
  <r>
    <x v="177"/>
    <x v="0"/>
    <x v="0"/>
    <x v="0"/>
    <x v="5"/>
    <n v="31.2"/>
    <n v="1"/>
    <x v="1678"/>
    <x v="0"/>
    <n v="6.6"/>
  </r>
  <r>
    <x v="177"/>
    <x v="0"/>
    <x v="1"/>
    <x v="0"/>
    <x v="2"/>
    <n v="49.85"/>
    <n v="1"/>
    <x v="1679"/>
    <x v="1"/>
    <n v="7.6"/>
  </r>
  <r>
    <x v="177"/>
    <x v="2"/>
    <x v="1"/>
    <x v="0"/>
    <x v="0"/>
    <n v="7.62"/>
    <n v="3"/>
    <x v="1680"/>
    <x v="1"/>
    <n v="6.7"/>
  </r>
  <r>
    <x v="177"/>
    <x v="1"/>
    <x v="1"/>
    <x v="0"/>
    <x v="2"/>
    <n v="67.760000000000005"/>
    <n v="1"/>
    <x v="1681"/>
    <x v="2"/>
    <n v="7.3"/>
  </r>
  <r>
    <x v="177"/>
    <x v="0"/>
    <x v="1"/>
    <x v="1"/>
    <x v="0"/>
    <n v="3.97"/>
    <n v="4"/>
    <x v="1682"/>
    <x v="0"/>
    <n v="7.3"/>
  </r>
  <r>
    <x v="177"/>
    <x v="2"/>
    <x v="1"/>
    <x v="0"/>
    <x v="0"/>
    <n v="3.17"/>
    <n v="3"/>
    <x v="1683"/>
    <x v="2"/>
    <n v="7.2"/>
  </r>
  <r>
    <x v="177"/>
    <x v="1"/>
    <x v="1"/>
    <x v="1"/>
    <x v="3"/>
    <n v="11.26"/>
    <n v="3"/>
    <x v="1684"/>
    <x v="1"/>
    <n v="4.4000000000000004"/>
  </r>
  <r>
    <x v="177"/>
    <x v="0"/>
    <x v="1"/>
    <x v="1"/>
    <x v="0"/>
    <n v="5.07"/>
    <n v="5"/>
    <x v="1685"/>
    <x v="0"/>
    <n v="9.1"/>
  </r>
  <r>
    <x v="177"/>
    <x v="0"/>
    <x v="1"/>
    <x v="1"/>
    <x v="5"/>
    <n v="24.74"/>
    <n v="2"/>
    <x v="1686"/>
    <x v="1"/>
    <n v="8.3000000000000007"/>
  </r>
  <r>
    <x v="177"/>
    <x v="1"/>
    <x v="0"/>
    <x v="0"/>
    <x v="2"/>
    <n v="68.47"/>
    <n v="2"/>
    <x v="1687"/>
    <x v="1"/>
    <n v="9.1999999999999993"/>
  </r>
  <r>
    <x v="177"/>
    <x v="0"/>
    <x v="0"/>
    <x v="1"/>
    <x v="4"/>
    <n v="66.2"/>
    <n v="4"/>
    <x v="1688"/>
    <x v="1"/>
    <n v="8.5"/>
  </r>
  <r>
    <x v="177"/>
    <x v="2"/>
    <x v="1"/>
    <x v="0"/>
    <x v="0"/>
    <n v="4.57"/>
    <n v="5"/>
    <x v="1689"/>
    <x v="1"/>
    <n v="7.9"/>
  </r>
  <r>
    <x v="177"/>
    <x v="2"/>
    <x v="1"/>
    <x v="1"/>
    <x v="5"/>
    <n v="25.27"/>
    <n v="2"/>
    <x v="1690"/>
    <x v="2"/>
    <n v="9.8000000000000007"/>
  </r>
  <r>
    <x v="177"/>
    <x v="0"/>
    <x v="1"/>
    <x v="0"/>
    <x v="0"/>
    <n v="7.47"/>
    <n v="1"/>
    <x v="1691"/>
    <x v="1"/>
    <n v="6.6"/>
  </r>
  <r>
    <x v="178"/>
    <x v="0"/>
    <x v="1"/>
    <x v="1"/>
    <x v="5"/>
    <n v="36.47"/>
    <n v="1"/>
    <x v="1692"/>
    <x v="0"/>
    <n v="8.1999999999999993"/>
  </r>
  <r>
    <x v="178"/>
    <x v="1"/>
    <x v="1"/>
    <x v="0"/>
    <x v="5"/>
    <n v="32.700000000000003"/>
    <n v="3"/>
    <x v="1693"/>
    <x v="0"/>
    <n v="8.6"/>
  </r>
  <r>
    <x v="178"/>
    <x v="2"/>
    <x v="0"/>
    <x v="1"/>
    <x v="0"/>
    <n v="5.3"/>
    <n v="4"/>
    <x v="1694"/>
    <x v="0"/>
    <n v="6.9"/>
  </r>
  <r>
    <x v="178"/>
    <x v="1"/>
    <x v="1"/>
    <x v="1"/>
    <x v="5"/>
    <n v="22.77"/>
    <n v="3"/>
    <x v="1695"/>
    <x v="1"/>
    <n v="6.2"/>
  </r>
  <r>
    <x v="178"/>
    <x v="2"/>
    <x v="1"/>
    <x v="1"/>
    <x v="4"/>
    <n v="68.83"/>
    <n v="4"/>
    <x v="1696"/>
    <x v="0"/>
    <n v="8.3000000000000007"/>
  </r>
  <r>
    <x v="178"/>
    <x v="0"/>
    <x v="1"/>
    <x v="1"/>
    <x v="5"/>
    <n v="30.23"/>
    <n v="4"/>
    <x v="1697"/>
    <x v="2"/>
    <n v="7.5"/>
  </r>
  <r>
    <x v="178"/>
    <x v="0"/>
    <x v="1"/>
    <x v="0"/>
    <x v="3"/>
    <n v="5.0599999999999996"/>
    <n v="2"/>
    <x v="1698"/>
    <x v="1"/>
    <n v="7.4"/>
  </r>
  <r>
    <x v="178"/>
    <x v="0"/>
    <x v="0"/>
    <x v="0"/>
    <x v="5"/>
    <n v="30.28"/>
    <n v="1"/>
    <x v="1699"/>
    <x v="1"/>
    <n v="8.1"/>
  </r>
  <r>
    <x v="178"/>
    <x v="0"/>
    <x v="1"/>
    <x v="0"/>
    <x v="2"/>
    <n v="74.92"/>
    <n v="2"/>
    <x v="1700"/>
    <x v="1"/>
    <n v="6.6"/>
  </r>
  <r>
    <x v="178"/>
    <x v="2"/>
    <x v="1"/>
    <x v="0"/>
    <x v="5"/>
    <n v="30.51"/>
    <n v="4"/>
    <x v="1701"/>
    <x v="1"/>
    <n v="7.9"/>
  </r>
  <r>
    <x v="178"/>
    <x v="1"/>
    <x v="0"/>
    <x v="0"/>
    <x v="0"/>
    <n v="6.35"/>
    <n v="1"/>
    <x v="1702"/>
    <x v="0"/>
    <n v="7.4"/>
  </r>
  <r>
    <x v="178"/>
    <x v="1"/>
    <x v="1"/>
    <x v="1"/>
    <x v="0"/>
    <n v="5.82"/>
    <n v="2"/>
    <x v="1703"/>
    <x v="0"/>
    <n v="7.6"/>
  </r>
  <r>
    <x v="178"/>
    <x v="0"/>
    <x v="1"/>
    <x v="1"/>
    <x v="2"/>
    <n v="45.6"/>
    <n v="3"/>
    <x v="1704"/>
    <x v="0"/>
    <n v="6.7"/>
  </r>
  <r>
    <x v="178"/>
    <x v="0"/>
    <x v="0"/>
    <x v="1"/>
    <x v="3"/>
    <n v="14.67"/>
    <n v="2"/>
    <x v="1705"/>
    <x v="2"/>
    <n v="7.2"/>
  </r>
  <r>
    <x v="178"/>
    <x v="2"/>
    <x v="1"/>
    <x v="1"/>
    <x v="3"/>
    <n v="13.46"/>
    <n v="1"/>
    <x v="1706"/>
    <x v="0"/>
    <n v="9.1999999999999993"/>
  </r>
  <r>
    <x v="179"/>
    <x v="2"/>
    <x v="0"/>
    <x v="0"/>
    <x v="0"/>
    <n v="6.25"/>
    <n v="2"/>
    <x v="1388"/>
    <x v="0"/>
    <n v="9.8000000000000007"/>
  </r>
  <r>
    <x v="179"/>
    <x v="0"/>
    <x v="0"/>
    <x v="0"/>
    <x v="0"/>
    <n v="5.0999999999999996"/>
    <n v="1"/>
    <x v="1707"/>
    <x v="2"/>
    <n v="8.9"/>
  </r>
  <r>
    <x v="179"/>
    <x v="0"/>
    <x v="1"/>
    <x v="0"/>
    <x v="0"/>
    <n v="7.09"/>
    <n v="4"/>
    <x v="1708"/>
    <x v="0"/>
    <n v="5.9"/>
  </r>
  <r>
    <x v="179"/>
    <x v="0"/>
    <x v="1"/>
    <x v="0"/>
    <x v="4"/>
    <n v="52.1"/>
    <n v="4"/>
    <x v="1709"/>
    <x v="2"/>
    <n v="8"/>
  </r>
  <r>
    <x v="179"/>
    <x v="2"/>
    <x v="1"/>
    <x v="0"/>
    <x v="0"/>
    <n v="6.71"/>
    <n v="3"/>
    <x v="1587"/>
    <x v="2"/>
    <n v="8.1"/>
  </r>
  <r>
    <x v="179"/>
    <x v="2"/>
    <x v="1"/>
    <x v="1"/>
    <x v="0"/>
    <n v="6.82"/>
    <n v="2"/>
    <x v="1710"/>
    <x v="2"/>
    <n v="8.1999999999999993"/>
  </r>
  <r>
    <x v="179"/>
    <x v="0"/>
    <x v="0"/>
    <x v="1"/>
    <x v="5"/>
    <n v="36.6"/>
    <n v="3"/>
    <x v="1711"/>
    <x v="2"/>
    <n v="8"/>
  </r>
  <r>
    <x v="179"/>
    <x v="2"/>
    <x v="0"/>
    <x v="0"/>
    <x v="5"/>
    <n v="31.8"/>
    <n v="2"/>
    <x v="1712"/>
    <x v="2"/>
    <n v="7.6"/>
  </r>
  <r>
    <x v="179"/>
    <x v="1"/>
    <x v="1"/>
    <x v="0"/>
    <x v="4"/>
    <n v="68.67"/>
    <n v="2"/>
    <x v="1713"/>
    <x v="2"/>
    <n v="8"/>
  </r>
  <r>
    <x v="179"/>
    <x v="1"/>
    <x v="1"/>
    <x v="1"/>
    <x v="3"/>
    <n v="17.54"/>
    <n v="1"/>
    <x v="1714"/>
    <x v="2"/>
    <n v="6.8"/>
  </r>
  <r>
    <x v="179"/>
    <x v="0"/>
    <x v="1"/>
    <x v="0"/>
    <x v="3"/>
    <n v="17.63"/>
    <n v="2"/>
    <x v="1715"/>
    <x v="2"/>
    <n v="5.5"/>
  </r>
  <r>
    <x v="179"/>
    <x v="2"/>
    <x v="1"/>
    <x v="1"/>
    <x v="4"/>
    <n v="63.74"/>
    <n v="1"/>
    <x v="1716"/>
    <x v="2"/>
    <n v="7.1"/>
  </r>
  <r>
    <x v="179"/>
    <x v="2"/>
    <x v="1"/>
    <x v="1"/>
    <x v="5"/>
    <n v="16.96"/>
    <n v="3"/>
    <x v="1717"/>
    <x v="0"/>
    <n v="6.8"/>
  </r>
  <r>
    <x v="179"/>
    <x v="1"/>
    <x v="0"/>
    <x v="1"/>
    <x v="0"/>
    <n v="6.12"/>
    <n v="1"/>
    <x v="1718"/>
    <x v="2"/>
    <n v="8.6999999999999993"/>
  </r>
  <r>
    <x v="180"/>
    <x v="2"/>
    <x v="1"/>
    <x v="0"/>
    <x v="0"/>
    <n v="6.13"/>
    <n v="2"/>
    <x v="1719"/>
    <x v="2"/>
    <n v="9.8000000000000007"/>
  </r>
  <r>
    <x v="180"/>
    <x v="0"/>
    <x v="0"/>
    <x v="0"/>
    <x v="0"/>
    <n v="5.0199999999999996"/>
    <n v="2"/>
    <x v="1720"/>
    <x v="1"/>
    <n v="8.1999999999999993"/>
  </r>
  <r>
    <x v="180"/>
    <x v="1"/>
    <x v="1"/>
    <x v="0"/>
    <x v="0"/>
    <n v="6.69"/>
    <n v="2"/>
    <x v="1721"/>
    <x v="2"/>
    <n v="7.9"/>
  </r>
  <r>
    <x v="180"/>
    <x v="0"/>
    <x v="0"/>
    <x v="1"/>
    <x v="3"/>
    <n v="8.9"/>
    <n v="1"/>
    <x v="1722"/>
    <x v="1"/>
    <n v="9.4"/>
  </r>
  <r>
    <x v="180"/>
    <x v="0"/>
    <x v="1"/>
    <x v="1"/>
    <x v="2"/>
    <n v="59.24"/>
    <n v="2"/>
    <x v="1723"/>
    <x v="0"/>
    <n v="7.1"/>
  </r>
  <r>
    <x v="180"/>
    <x v="0"/>
    <x v="0"/>
    <x v="1"/>
    <x v="5"/>
    <n v="20.84"/>
    <n v="4"/>
    <x v="1724"/>
    <x v="1"/>
    <n v="7.1"/>
  </r>
  <r>
    <x v="180"/>
    <x v="1"/>
    <x v="1"/>
    <x v="0"/>
    <x v="4"/>
    <n v="53.43"/>
    <n v="3"/>
    <x v="1725"/>
    <x v="2"/>
    <n v="9.5"/>
  </r>
  <r>
    <x v="180"/>
    <x v="2"/>
    <x v="1"/>
    <x v="0"/>
    <x v="4"/>
    <n v="54.1"/>
    <n v="2"/>
    <x v="1501"/>
    <x v="0"/>
    <n v="8.5"/>
  </r>
  <r>
    <x v="180"/>
    <x v="1"/>
    <x v="0"/>
    <x v="0"/>
    <x v="5"/>
    <n v="18.739999999999998"/>
    <n v="2"/>
    <x v="1726"/>
    <x v="1"/>
    <n v="8.5"/>
  </r>
  <r>
    <x v="180"/>
    <x v="0"/>
    <x v="1"/>
    <x v="0"/>
    <x v="0"/>
    <n v="5.94"/>
    <n v="4"/>
    <x v="1727"/>
    <x v="2"/>
    <n v="8"/>
  </r>
  <r>
    <x v="180"/>
    <x v="0"/>
    <x v="1"/>
    <x v="1"/>
    <x v="5"/>
    <n v="32.61"/>
    <n v="2"/>
    <x v="1728"/>
    <x v="0"/>
    <n v="7.6"/>
  </r>
  <r>
    <x v="180"/>
    <x v="2"/>
    <x v="1"/>
    <x v="1"/>
    <x v="0"/>
    <n v="3.73"/>
    <n v="2"/>
    <x v="1434"/>
    <x v="1"/>
    <n v="8.1"/>
  </r>
  <r>
    <x v="181"/>
    <x v="0"/>
    <x v="1"/>
    <x v="0"/>
    <x v="0"/>
    <n v="3.96"/>
    <n v="2"/>
    <x v="1729"/>
    <x v="2"/>
    <n v="7.9"/>
  </r>
  <r>
    <x v="181"/>
    <x v="1"/>
    <x v="0"/>
    <x v="1"/>
    <x v="5"/>
    <n v="32.14"/>
    <n v="1"/>
    <x v="1730"/>
    <x v="1"/>
    <n v="7.1"/>
  </r>
  <r>
    <x v="181"/>
    <x v="0"/>
    <x v="1"/>
    <x v="1"/>
    <x v="3"/>
    <n v="12.4"/>
    <n v="1"/>
    <x v="1465"/>
    <x v="2"/>
    <n v="6.8"/>
  </r>
  <r>
    <x v="181"/>
    <x v="1"/>
    <x v="1"/>
    <x v="0"/>
    <x v="4"/>
    <n v="63.54"/>
    <n v="4"/>
    <x v="1731"/>
    <x v="1"/>
    <n v="7.1"/>
  </r>
  <r>
    <x v="181"/>
    <x v="0"/>
    <x v="1"/>
    <x v="1"/>
    <x v="0"/>
    <n v="3.36"/>
    <n v="3"/>
    <x v="1732"/>
    <x v="1"/>
    <n v="6.1"/>
  </r>
  <r>
    <x v="181"/>
    <x v="0"/>
    <x v="0"/>
    <x v="1"/>
    <x v="1"/>
    <n v="85.1"/>
    <n v="1"/>
    <x v="1733"/>
    <x v="2"/>
    <n v="8.8000000000000007"/>
  </r>
  <r>
    <x v="181"/>
    <x v="0"/>
    <x v="0"/>
    <x v="0"/>
    <x v="0"/>
    <n v="6.68"/>
    <n v="2"/>
    <x v="1734"/>
    <x v="0"/>
    <n v="8.6"/>
  </r>
  <r>
    <x v="181"/>
    <x v="0"/>
    <x v="1"/>
    <x v="0"/>
    <x v="0"/>
    <n v="6.36"/>
    <n v="3"/>
    <x v="1735"/>
    <x v="2"/>
    <n v="7.3"/>
  </r>
  <r>
    <x v="181"/>
    <x v="2"/>
    <x v="1"/>
    <x v="1"/>
    <x v="0"/>
    <n v="7.8"/>
    <n v="2"/>
    <x v="1736"/>
    <x v="2"/>
    <n v="8.9"/>
  </r>
  <r>
    <x v="181"/>
    <x v="0"/>
    <x v="1"/>
    <x v="1"/>
    <x v="0"/>
    <n v="6.02"/>
    <n v="2"/>
    <x v="1606"/>
    <x v="0"/>
    <n v="8.4"/>
  </r>
  <r>
    <x v="181"/>
    <x v="2"/>
    <x v="1"/>
    <x v="0"/>
    <x v="3"/>
    <n v="14.14"/>
    <n v="2"/>
    <x v="1737"/>
    <x v="2"/>
    <n v="5.4"/>
  </r>
  <r>
    <x v="181"/>
    <x v="0"/>
    <x v="1"/>
    <x v="0"/>
    <x v="3"/>
    <n v="19.420000000000002"/>
    <n v="3"/>
    <x v="1738"/>
    <x v="1"/>
    <n v="5.2"/>
  </r>
  <r>
    <x v="181"/>
    <x v="1"/>
    <x v="1"/>
    <x v="0"/>
    <x v="0"/>
    <n v="6.74"/>
    <n v="2"/>
    <x v="1739"/>
    <x v="2"/>
    <n v="6.4"/>
  </r>
  <r>
    <x v="181"/>
    <x v="2"/>
    <x v="1"/>
    <x v="0"/>
    <x v="5"/>
    <n v="32.94"/>
    <n v="3"/>
    <x v="1740"/>
    <x v="2"/>
    <n v="7.3"/>
  </r>
  <r>
    <x v="181"/>
    <x v="2"/>
    <x v="1"/>
    <x v="1"/>
    <x v="0"/>
    <n v="2.75"/>
    <n v="6"/>
    <x v="1741"/>
    <x v="0"/>
    <n v="7.2"/>
  </r>
  <r>
    <x v="181"/>
    <x v="2"/>
    <x v="1"/>
    <x v="0"/>
    <x v="4"/>
    <n v="51.31"/>
    <n v="1"/>
    <x v="1742"/>
    <x v="1"/>
    <n v="6"/>
  </r>
  <r>
    <x v="181"/>
    <x v="1"/>
    <x v="1"/>
    <x v="1"/>
    <x v="0"/>
    <n v="4.88"/>
    <n v="3"/>
    <x v="1743"/>
    <x v="2"/>
    <n v="7.9"/>
  </r>
  <r>
    <x v="182"/>
    <x v="1"/>
    <x v="0"/>
    <x v="1"/>
    <x v="5"/>
    <n v="26.23"/>
    <n v="3"/>
    <x v="1744"/>
    <x v="1"/>
    <n v="8.9"/>
  </r>
  <r>
    <x v="182"/>
    <x v="1"/>
    <x v="1"/>
    <x v="1"/>
    <x v="2"/>
    <n v="71.67"/>
    <n v="1"/>
    <x v="1745"/>
    <x v="1"/>
    <n v="7.5"/>
  </r>
  <r>
    <x v="182"/>
    <x v="1"/>
    <x v="1"/>
    <x v="0"/>
    <x v="4"/>
    <n v="56.04"/>
    <n v="4"/>
    <x v="1746"/>
    <x v="1"/>
    <n v="7.8"/>
  </r>
  <r>
    <x v="182"/>
    <x v="2"/>
    <x v="1"/>
    <x v="0"/>
    <x v="0"/>
    <n v="4.29"/>
    <n v="4"/>
    <x v="1747"/>
    <x v="2"/>
    <n v="6.5"/>
  </r>
  <r>
    <x v="182"/>
    <x v="0"/>
    <x v="1"/>
    <x v="1"/>
    <x v="0"/>
    <n v="6"/>
    <n v="3"/>
    <x v="1499"/>
    <x v="1"/>
    <n v="7.6"/>
  </r>
  <r>
    <x v="182"/>
    <x v="2"/>
    <x v="1"/>
    <x v="1"/>
    <x v="4"/>
    <n v="61.04"/>
    <n v="5"/>
    <x v="1748"/>
    <x v="0"/>
    <n v="7.1"/>
  </r>
  <r>
    <x v="182"/>
    <x v="2"/>
    <x v="1"/>
    <x v="0"/>
    <x v="0"/>
    <n v="3.46"/>
    <n v="3"/>
    <x v="1749"/>
    <x v="0"/>
    <n v="6"/>
  </r>
  <r>
    <x v="182"/>
    <x v="2"/>
    <x v="0"/>
    <x v="0"/>
    <x v="1"/>
    <n v="96.28"/>
    <n v="2"/>
    <x v="1750"/>
    <x v="2"/>
    <n v="8.4"/>
  </r>
  <r>
    <x v="182"/>
    <x v="2"/>
    <x v="0"/>
    <x v="1"/>
    <x v="0"/>
    <n v="4.1399999999999997"/>
    <n v="4"/>
    <x v="1751"/>
    <x v="2"/>
    <n v="7.2"/>
  </r>
  <r>
    <x v="182"/>
    <x v="0"/>
    <x v="1"/>
    <x v="1"/>
    <x v="0"/>
    <n v="4.55"/>
    <n v="2"/>
    <x v="1752"/>
    <x v="2"/>
    <n v="7.6"/>
  </r>
  <r>
    <x v="183"/>
    <x v="0"/>
    <x v="0"/>
    <x v="0"/>
    <x v="0"/>
    <n v="6.32"/>
    <n v="5"/>
    <x v="1753"/>
    <x v="1"/>
    <n v="7.2"/>
  </r>
  <r>
    <x v="183"/>
    <x v="1"/>
    <x v="1"/>
    <x v="0"/>
    <x v="0"/>
    <n v="7.28"/>
    <n v="4"/>
    <x v="1754"/>
    <x v="1"/>
    <n v="7.6"/>
  </r>
  <r>
    <x v="183"/>
    <x v="1"/>
    <x v="1"/>
    <x v="1"/>
    <x v="5"/>
    <n v="33.32"/>
    <n v="4"/>
    <x v="1755"/>
    <x v="2"/>
    <n v="6.8"/>
  </r>
  <r>
    <x v="183"/>
    <x v="0"/>
    <x v="1"/>
    <x v="0"/>
    <x v="0"/>
    <n v="4.3499999999999996"/>
    <n v="1"/>
    <x v="1756"/>
    <x v="1"/>
    <n v="6.3"/>
  </r>
  <r>
    <x v="183"/>
    <x v="1"/>
    <x v="0"/>
    <x v="0"/>
    <x v="0"/>
    <n v="3.59"/>
    <n v="2"/>
    <x v="1757"/>
    <x v="1"/>
    <n v="7.4"/>
  </r>
  <r>
    <x v="183"/>
    <x v="0"/>
    <x v="1"/>
    <x v="0"/>
    <x v="5"/>
    <n v="29.56"/>
    <n v="2"/>
    <x v="1758"/>
    <x v="0"/>
    <n v="7.8"/>
  </r>
  <r>
    <x v="183"/>
    <x v="0"/>
    <x v="1"/>
    <x v="0"/>
    <x v="0"/>
    <n v="6.55"/>
    <n v="3"/>
    <x v="1759"/>
    <x v="1"/>
    <n v="7.4"/>
  </r>
  <r>
    <x v="183"/>
    <x v="0"/>
    <x v="1"/>
    <x v="1"/>
    <x v="0"/>
    <n v="4.28"/>
    <n v="2"/>
    <x v="1760"/>
    <x v="0"/>
    <n v="6.3"/>
  </r>
  <r>
    <x v="183"/>
    <x v="2"/>
    <x v="1"/>
    <x v="1"/>
    <x v="4"/>
    <n v="70.27"/>
    <n v="4"/>
    <x v="1761"/>
    <x v="0"/>
    <n v="8.6"/>
  </r>
  <r>
    <x v="183"/>
    <x v="2"/>
    <x v="1"/>
    <x v="1"/>
    <x v="0"/>
    <n v="6.09"/>
    <n v="2"/>
    <x v="1762"/>
    <x v="1"/>
    <n v="7.4"/>
  </r>
  <r>
    <x v="183"/>
    <x v="2"/>
    <x v="0"/>
    <x v="0"/>
    <x v="3"/>
    <n v="13.06"/>
    <n v="1"/>
    <x v="1763"/>
    <x v="0"/>
    <n v="8.1"/>
  </r>
  <r>
    <x v="183"/>
    <x v="0"/>
    <x v="1"/>
    <x v="0"/>
    <x v="5"/>
    <n v="34.74"/>
    <n v="3"/>
    <x v="1764"/>
    <x v="2"/>
    <n v="8.1"/>
  </r>
  <r>
    <x v="183"/>
    <x v="2"/>
    <x v="0"/>
    <x v="1"/>
    <x v="5"/>
    <n v="33.43"/>
    <n v="3"/>
    <x v="1765"/>
    <x v="0"/>
    <n v="7"/>
  </r>
  <r>
    <x v="183"/>
    <x v="0"/>
    <x v="1"/>
    <x v="1"/>
    <x v="5"/>
    <n v="26.12"/>
    <n v="3"/>
    <x v="1766"/>
    <x v="0"/>
    <n v="8.4"/>
  </r>
  <r>
    <x v="183"/>
    <x v="1"/>
    <x v="1"/>
    <x v="0"/>
    <x v="0"/>
    <n v="7.73"/>
    <n v="8"/>
    <x v="1767"/>
    <x v="2"/>
    <n v="9.8000000000000007"/>
  </r>
  <r>
    <x v="183"/>
    <x v="2"/>
    <x v="1"/>
    <x v="1"/>
    <x v="0"/>
    <n v="5.8"/>
    <n v="3"/>
    <x v="1768"/>
    <x v="2"/>
    <n v="7.3"/>
  </r>
  <r>
    <x v="184"/>
    <x v="0"/>
    <x v="1"/>
    <x v="1"/>
    <x v="5"/>
    <n v="38.86"/>
    <n v="2"/>
    <x v="1769"/>
    <x v="1"/>
    <n v="7.7"/>
  </r>
  <r>
    <x v="184"/>
    <x v="0"/>
    <x v="1"/>
    <x v="1"/>
    <x v="4"/>
    <n v="63.94"/>
    <n v="4"/>
    <x v="1770"/>
    <x v="1"/>
    <n v="6.3"/>
  </r>
  <r>
    <x v="184"/>
    <x v="1"/>
    <x v="1"/>
    <x v="0"/>
    <x v="2"/>
    <n v="69.12"/>
    <n v="1"/>
    <x v="1494"/>
    <x v="0"/>
    <n v="8.4"/>
  </r>
  <r>
    <x v="184"/>
    <x v="2"/>
    <x v="1"/>
    <x v="0"/>
    <x v="3"/>
    <n v="12.47"/>
    <n v="3"/>
    <x v="1771"/>
    <x v="1"/>
    <n v="6.8"/>
  </r>
  <r>
    <x v="184"/>
    <x v="0"/>
    <x v="1"/>
    <x v="0"/>
    <x v="0"/>
    <n v="4.84"/>
    <n v="1"/>
    <x v="1772"/>
    <x v="0"/>
    <n v="6.7"/>
  </r>
  <r>
    <x v="184"/>
    <x v="2"/>
    <x v="1"/>
    <x v="1"/>
    <x v="0"/>
    <n v="2.57"/>
    <n v="2"/>
    <x v="1773"/>
    <x v="1"/>
    <n v="8.8000000000000007"/>
  </r>
  <r>
    <x v="184"/>
    <x v="2"/>
    <x v="1"/>
    <x v="1"/>
    <x v="0"/>
    <n v="7.81"/>
    <n v="3"/>
    <x v="1774"/>
    <x v="1"/>
    <n v="6.8"/>
  </r>
  <r>
    <x v="184"/>
    <x v="0"/>
    <x v="1"/>
    <x v="1"/>
    <x v="0"/>
    <n v="7.05"/>
    <n v="4"/>
    <x v="1775"/>
    <x v="0"/>
    <n v="7.9"/>
  </r>
  <r>
    <x v="184"/>
    <x v="1"/>
    <x v="1"/>
    <x v="0"/>
    <x v="0"/>
    <n v="4.33"/>
    <n v="2"/>
    <x v="1776"/>
    <x v="0"/>
    <n v="7.2"/>
  </r>
  <r>
    <x v="184"/>
    <x v="2"/>
    <x v="1"/>
    <x v="0"/>
    <x v="2"/>
    <n v="62.05"/>
    <n v="1"/>
    <x v="1777"/>
    <x v="1"/>
    <n v="7.7"/>
  </r>
  <r>
    <x v="184"/>
    <x v="2"/>
    <x v="0"/>
    <x v="0"/>
    <x v="4"/>
    <n v="73.540000000000006"/>
    <n v="3"/>
    <x v="1778"/>
    <x v="2"/>
    <n v="7.8"/>
  </r>
  <r>
    <x v="185"/>
    <x v="0"/>
    <x v="1"/>
    <x v="1"/>
    <x v="0"/>
    <n v="7.25"/>
    <n v="2"/>
    <x v="1779"/>
    <x v="2"/>
    <n v="7.5"/>
  </r>
  <r>
    <x v="185"/>
    <x v="2"/>
    <x v="1"/>
    <x v="1"/>
    <x v="5"/>
    <n v="22.46"/>
    <n v="4"/>
    <x v="1780"/>
    <x v="2"/>
    <n v="5.7"/>
  </r>
  <r>
    <x v="185"/>
    <x v="1"/>
    <x v="1"/>
    <x v="1"/>
    <x v="0"/>
    <n v="7.5"/>
    <n v="2"/>
    <x v="1600"/>
    <x v="2"/>
    <n v="8.1999999999999993"/>
  </r>
  <r>
    <x v="185"/>
    <x v="2"/>
    <x v="1"/>
    <x v="0"/>
    <x v="0"/>
    <n v="7.53"/>
    <n v="2"/>
    <x v="1781"/>
    <x v="2"/>
    <n v="6.5"/>
  </r>
  <r>
    <x v="185"/>
    <x v="0"/>
    <x v="0"/>
    <x v="0"/>
    <x v="0"/>
    <n v="5.25"/>
    <n v="1"/>
    <x v="1782"/>
    <x v="2"/>
    <n v="6.8"/>
  </r>
  <r>
    <x v="185"/>
    <x v="1"/>
    <x v="1"/>
    <x v="0"/>
    <x v="5"/>
    <n v="29.87"/>
    <n v="2"/>
    <x v="1783"/>
    <x v="1"/>
    <n v="8.1"/>
  </r>
  <r>
    <x v="185"/>
    <x v="2"/>
    <x v="1"/>
    <x v="1"/>
    <x v="4"/>
    <n v="72.72"/>
    <n v="1"/>
    <x v="214"/>
    <x v="1"/>
    <n v="7.1"/>
  </r>
  <r>
    <x v="185"/>
    <x v="0"/>
    <x v="1"/>
    <x v="1"/>
    <x v="5"/>
    <n v="28.9"/>
    <n v="3"/>
    <x v="1784"/>
    <x v="0"/>
    <n v="8.8000000000000007"/>
  </r>
  <r>
    <x v="185"/>
    <x v="2"/>
    <x v="1"/>
    <x v="0"/>
    <x v="5"/>
    <n v="30.95"/>
    <n v="3"/>
    <x v="1785"/>
    <x v="2"/>
    <n v="8.1999999999999993"/>
  </r>
  <r>
    <x v="185"/>
    <x v="0"/>
    <x v="1"/>
    <x v="0"/>
    <x v="4"/>
    <n v="65.27"/>
    <n v="4"/>
    <x v="1786"/>
    <x v="1"/>
    <n v="6.2"/>
  </r>
  <r>
    <x v="185"/>
    <x v="1"/>
    <x v="1"/>
    <x v="0"/>
    <x v="5"/>
    <n v="16.649999999999999"/>
    <n v="2"/>
    <x v="1787"/>
    <x v="2"/>
    <n v="6"/>
  </r>
  <r>
    <x v="185"/>
    <x v="2"/>
    <x v="0"/>
    <x v="0"/>
    <x v="0"/>
    <n v="7.22"/>
    <n v="6"/>
    <x v="1788"/>
    <x v="0"/>
    <n v="6.9"/>
  </r>
  <r>
    <x v="185"/>
    <x v="0"/>
    <x v="1"/>
    <x v="1"/>
    <x v="5"/>
    <n v="27.8"/>
    <n v="3"/>
    <x v="1789"/>
    <x v="1"/>
    <n v="6.3"/>
  </r>
  <r>
    <x v="185"/>
    <x v="1"/>
    <x v="1"/>
    <x v="1"/>
    <x v="5"/>
    <n v="32.99"/>
    <n v="3"/>
    <x v="1790"/>
    <x v="1"/>
    <n v="6"/>
  </r>
  <r>
    <x v="185"/>
    <x v="0"/>
    <x v="1"/>
    <x v="1"/>
    <x v="0"/>
    <n v="6.22"/>
    <n v="5"/>
    <x v="1791"/>
    <x v="2"/>
    <n v="8.1999999999999993"/>
  </r>
  <r>
    <x v="185"/>
    <x v="2"/>
    <x v="1"/>
    <x v="0"/>
    <x v="2"/>
    <n v="74.489999999999995"/>
    <n v="1"/>
    <x v="1792"/>
    <x v="1"/>
    <n v="7.7"/>
  </r>
  <r>
    <x v="185"/>
    <x v="2"/>
    <x v="1"/>
    <x v="1"/>
    <x v="2"/>
    <n v="58.27"/>
    <n v="2"/>
    <x v="1793"/>
    <x v="1"/>
    <n v="6"/>
  </r>
  <r>
    <x v="186"/>
    <x v="1"/>
    <x v="1"/>
    <x v="0"/>
    <x v="0"/>
    <n v="3.15"/>
    <n v="3"/>
    <x v="1794"/>
    <x v="2"/>
    <n v="6"/>
  </r>
  <r>
    <x v="186"/>
    <x v="0"/>
    <x v="1"/>
    <x v="1"/>
    <x v="2"/>
    <n v="70.900000000000006"/>
    <n v="1"/>
    <x v="1795"/>
    <x v="0"/>
    <n v="8"/>
  </r>
  <r>
    <x v="186"/>
    <x v="0"/>
    <x v="1"/>
    <x v="1"/>
    <x v="0"/>
    <n v="4.09"/>
    <n v="2"/>
    <x v="1796"/>
    <x v="1"/>
    <n v="7.5"/>
  </r>
  <r>
    <x v="186"/>
    <x v="0"/>
    <x v="0"/>
    <x v="1"/>
    <x v="4"/>
    <n v="70.739999999999995"/>
    <n v="3"/>
    <x v="1797"/>
    <x v="0"/>
    <n v="8.5"/>
  </r>
  <r>
    <x v="186"/>
    <x v="2"/>
    <x v="0"/>
    <x v="1"/>
    <x v="5"/>
    <n v="34.909999999999997"/>
    <n v="2"/>
    <x v="1798"/>
    <x v="1"/>
    <n v="6.1"/>
  </r>
  <r>
    <x v="186"/>
    <x v="0"/>
    <x v="0"/>
    <x v="0"/>
    <x v="3"/>
    <n v="18.34"/>
    <n v="3"/>
    <x v="1799"/>
    <x v="2"/>
    <n v="7.6"/>
  </r>
  <r>
    <x v="186"/>
    <x v="0"/>
    <x v="1"/>
    <x v="1"/>
    <x v="0"/>
    <n v="3.52"/>
    <n v="2"/>
    <x v="1800"/>
    <x v="2"/>
    <n v="6.5"/>
  </r>
  <r>
    <x v="186"/>
    <x v="2"/>
    <x v="0"/>
    <x v="0"/>
    <x v="0"/>
    <n v="5.38"/>
    <n v="3"/>
    <x v="1801"/>
    <x v="1"/>
    <n v="5.7"/>
  </r>
  <r>
    <x v="186"/>
    <x v="2"/>
    <x v="1"/>
    <x v="1"/>
    <x v="0"/>
    <n v="2.52"/>
    <n v="2"/>
    <x v="1802"/>
    <x v="2"/>
    <n v="8.5"/>
  </r>
  <r>
    <x v="187"/>
    <x v="1"/>
    <x v="1"/>
    <x v="1"/>
    <x v="0"/>
    <n v="6.29"/>
    <n v="3"/>
    <x v="1803"/>
    <x v="2"/>
    <n v="6"/>
  </r>
  <r>
    <x v="187"/>
    <x v="0"/>
    <x v="1"/>
    <x v="1"/>
    <x v="5"/>
    <n v="22.56"/>
    <n v="1"/>
    <x v="1804"/>
    <x v="2"/>
    <n v="6.8"/>
  </r>
  <r>
    <x v="187"/>
    <x v="2"/>
    <x v="0"/>
    <x v="0"/>
    <x v="5"/>
    <n v="29.69"/>
    <n v="2"/>
    <x v="1805"/>
    <x v="1"/>
    <n v="6.2"/>
  </r>
  <r>
    <x v="187"/>
    <x v="0"/>
    <x v="1"/>
    <x v="1"/>
    <x v="3"/>
    <n v="11.74"/>
    <n v="2"/>
    <x v="1806"/>
    <x v="1"/>
    <n v="6.8"/>
  </r>
  <r>
    <x v="187"/>
    <x v="2"/>
    <x v="0"/>
    <x v="1"/>
    <x v="4"/>
    <n v="55.23"/>
    <n v="5"/>
    <x v="1807"/>
    <x v="1"/>
    <n v="8.1"/>
  </r>
  <r>
    <x v="187"/>
    <x v="1"/>
    <x v="1"/>
    <x v="0"/>
    <x v="0"/>
    <n v="6.89"/>
    <n v="2"/>
    <x v="1211"/>
    <x v="1"/>
    <n v="8.6"/>
  </r>
  <r>
    <x v="187"/>
    <x v="2"/>
    <x v="1"/>
    <x v="0"/>
    <x v="0"/>
    <n v="3.37"/>
    <n v="5"/>
    <x v="1808"/>
    <x v="0"/>
    <n v="5.8"/>
  </r>
  <r>
    <x v="187"/>
    <x v="2"/>
    <x v="1"/>
    <x v="1"/>
    <x v="0"/>
    <n v="5.05"/>
    <n v="2"/>
    <x v="1809"/>
    <x v="1"/>
    <n v="7.6"/>
  </r>
  <r>
    <x v="187"/>
    <x v="1"/>
    <x v="1"/>
    <x v="0"/>
    <x v="0"/>
    <n v="4.17"/>
    <n v="2"/>
    <x v="1810"/>
    <x v="0"/>
    <n v="6.7"/>
  </r>
  <r>
    <x v="187"/>
    <x v="2"/>
    <x v="1"/>
    <x v="1"/>
    <x v="5"/>
    <n v="32.61"/>
    <n v="3"/>
    <x v="1811"/>
    <x v="1"/>
    <n v="5.4"/>
  </r>
  <r>
    <x v="187"/>
    <x v="0"/>
    <x v="1"/>
    <x v="1"/>
    <x v="0"/>
    <n v="3.44"/>
    <n v="2"/>
    <x v="1635"/>
    <x v="2"/>
    <n v="6.8"/>
  </r>
  <r>
    <x v="187"/>
    <x v="1"/>
    <x v="1"/>
    <x v="0"/>
    <x v="0"/>
    <n v="4.01"/>
    <n v="4"/>
    <x v="1812"/>
    <x v="2"/>
    <n v="8.1"/>
  </r>
  <r>
    <x v="187"/>
    <x v="2"/>
    <x v="1"/>
    <x v="0"/>
    <x v="4"/>
    <n v="65.05"/>
    <n v="5"/>
    <x v="1813"/>
    <x v="2"/>
    <n v="6.6"/>
  </r>
  <r>
    <x v="187"/>
    <x v="0"/>
    <x v="0"/>
    <x v="0"/>
    <x v="0"/>
    <n v="6.83"/>
    <n v="4"/>
    <x v="1814"/>
    <x v="1"/>
    <n v="7.9"/>
  </r>
  <r>
    <x v="188"/>
    <x v="2"/>
    <x v="0"/>
    <x v="0"/>
    <x v="2"/>
    <n v="59.69"/>
    <n v="1"/>
    <x v="1815"/>
    <x v="1"/>
    <n v="5.6"/>
  </r>
  <r>
    <x v="188"/>
    <x v="2"/>
    <x v="1"/>
    <x v="1"/>
    <x v="5"/>
    <n v="32.43"/>
    <n v="1"/>
    <x v="1816"/>
    <x v="2"/>
    <n v="9"/>
  </r>
  <r>
    <x v="188"/>
    <x v="1"/>
    <x v="1"/>
    <x v="0"/>
    <x v="0"/>
    <n v="5.49"/>
    <n v="1"/>
    <x v="1817"/>
    <x v="0"/>
    <n v="7.3"/>
  </r>
  <r>
    <x v="188"/>
    <x v="1"/>
    <x v="1"/>
    <x v="0"/>
    <x v="0"/>
    <n v="4.84"/>
    <n v="4"/>
    <x v="1818"/>
    <x v="0"/>
    <n v="6.6"/>
  </r>
  <r>
    <x v="188"/>
    <x v="0"/>
    <x v="0"/>
    <x v="1"/>
    <x v="3"/>
    <n v="9.08"/>
    <n v="1"/>
    <x v="1470"/>
    <x v="1"/>
    <n v="6"/>
  </r>
  <r>
    <x v="188"/>
    <x v="2"/>
    <x v="1"/>
    <x v="0"/>
    <x v="5"/>
    <n v="28.72"/>
    <n v="2"/>
    <x v="1819"/>
    <x v="1"/>
    <n v="7.4"/>
  </r>
  <r>
    <x v="188"/>
    <x v="0"/>
    <x v="1"/>
    <x v="1"/>
    <x v="0"/>
    <n v="3.78"/>
    <n v="2"/>
    <x v="1820"/>
    <x v="2"/>
    <n v="9.8000000000000007"/>
  </r>
  <r>
    <x v="188"/>
    <x v="0"/>
    <x v="1"/>
    <x v="1"/>
    <x v="4"/>
    <n v="54.4"/>
    <n v="2"/>
    <x v="1821"/>
    <x v="0"/>
    <n v="7.1"/>
  </r>
  <r>
    <x v="188"/>
    <x v="0"/>
    <x v="1"/>
    <x v="0"/>
    <x v="0"/>
    <n v="7.5"/>
    <n v="5"/>
    <x v="1822"/>
    <x v="0"/>
    <n v="7.9"/>
  </r>
  <r>
    <x v="188"/>
    <x v="0"/>
    <x v="1"/>
    <x v="1"/>
    <x v="1"/>
    <n v="95"/>
    <n v="1"/>
    <x v="848"/>
    <x v="0"/>
    <n v="6.8"/>
  </r>
  <r>
    <x v="188"/>
    <x v="0"/>
    <x v="0"/>
    <x v="0"/>
    <x v="4"/>
    <n v="61.86"/>
    <n v="4"/>
    <x v="1823"/>
    <x v="0"/>
    <n v="7"/>
  </r>
  <r>
    <x v="188"/>
    <x v="0"/>
    <x v="1"/>
    <x v="0"/>
    <x v="0"/>
    <n v="3.17"/>
    <n v="4"/>
    <x v="1824"/>
    <x v="1"/>
    <n v="7.4"/>
  </r>
  <r>
    <x v="188"/>
    <x v="1"/>
    <x v="1"/>
    <x v="0"/>
    <x v="5"/>
    <n v="35.35"/>
    <n v="1"/>
    <x v="1825"/>
    <x v="1"/>
    <n v="7.5"/>
  </r>
  <r>
    <x v="188"/>
    <x v="2"/>
    <x v="0"/>
    <x v="0"/>
    <x v="3"/>
    <n v="16.059999999999999"/>
    <n v="3"/>
    <x v="1826"/>
    <x v="1"/>
    <n v="6.9"/>
  </r>
  <r>
    <x v="188"/>
    <x v="2"/>
    <x v="1"/>
    <x v="1"/>
    <x v="3"/>
    <n v="14.21"/>
    <n v="3"/>
    <x v="1827"/>
    <x v="2"/>
    <n v="6.1"/>
  </r>
  <r>
    <x v="189"/>
    <x v="1"/>
    <x v="0"/>
    <x v="0"/>
    <x v="5"/>
    <n v="28.49"/>
    <n v="4"/>
    <x v="1828"/>
    <x v="2"/>
    <n v="7"/>
  </r>
  <r>
    <x v="189"/>
    <x v="1"/>
    <x v="1"/>
    <x v="1"/>
    <x v="0"/>
    <n v="5.43"/>
    <n v="3"/>
    <x v="1829"/>
    <x v="1"/>
    <n v="6.5"/>
  </r>
  <r>
    <x v="189"/>
    <x v="2"/>
    <x v="1"/>
    <x v="1"/>
    <x v="0"/>
    <n v="2.88"/>
    <n v="1"/>
    <x v="1830"/>
    <x v="2"/>
    <n v="9.1"/>
  </r>
  <r>
    <x v="189"/>
    <x v="2"/>
    <x v="0"/>
    <x v="0"/>
    <x v="0"/>
    <n v="7.61"/>
    <n v="4"/>
    <x v="1831"/>
    <x v="1"/>
    <n v="7.3"/>
  </r>
  <r>
    <x v="189"/>
    <x v="2"/>
    <x v="1"/>
    <x v="0"/>
    <x v="0"/>
    <n v="7.17"/>
    <n v="3"/>
    <x v="1832"/>
    <x v="1"/>
    <n v="7.3"/>
  </r>
  <r>
    <x v="189"/>
    <x v="0"/>
    <x v="0"/>
    <x v="0"/>
    <x v="4"/>
    <n v="53.9"/>
    <n v="5"/>
    <x v="1833"/>
    <x v="1"/>
    <n v="5.9"/>
  </r>
  <r>
    <x v="189"/>
    <x v="0"/>
    <x v="1"/>
    <x v="1"/>
    <x v="0"/>
    <n v="6.43"/>
    <n v="1"/>
    <x v="1834"/>
    <x v="1"/>
    <n v="7.1"/>
  </r>
  <r>
    <x v="189"/>
    <x v="0"/>
    <x v="1"/>
    <x v="1"/>
    <x v="0"/>
    <n v="7.14"/>
    <n v="5"/>
    <x v="1835"/>
    <x v="0"/>
    <n v="7.6"/>
  </r>
  <r>
    <x v="189"/>
    <x v="2"/>
    <x v="1"/>
    <x v="1"/>
    <x v="2"/>
    <n v="56.93"/>
    <n v="3"/>
    <x v="1836"/>
    <x v="2"/>
    <n v="7.2"/>
  </r>
  <r>
    <x v="189"/>
    <x v="1"/>
    <x v="1"/>
    <x v="1"/>
    <x v="0"/>
    <n v="3.58"/>
    <n v="6"/>
    <x v="1837"/>
    <x v="1"/>
    <n v="6.3"/>
  </r>
  <r>
    <x v="189"/>
    <x v="0"/>
    <x v="1"/>
    <x v="1"/>
    <x v="5"/>
    <n v="38.74"/>
    <n v="1"/>
    <x v="1838"/>
    <x v="1"/>
    <n v="5.9"/>
  </r>
  <r>
    <x v="189"/>
    <x v="0"/>
    <x v="1"/>
    <x v="0"/>
    <x v="0"/>
    <n v="4.1500000000000004"/>
    <n v="2"/>
    <x v="1839"/>
    <x v="1"/>
    <n v="6.9"/>
  </r>
  <r>
    <x v="189"/>
    <x v="0"/>
    <x v="1"/>
    <x v="1"/>
    <x v="5"/>
    <n v="31.21"/>
    <n v="2"/>
    <x v="1840"/>
    <x v="2"/>
    <n v="6.7"/>
  </r>
  <r>
    <x v="189"/>
    <x v="2"/>
    <x v="1"/>
    <x v="1"/>
    <x v="0"/>
    <n v="4.51"/>
    <n v="7"/>
    <x v="1841"/>
    <x v="2"/>
    <n v="7.6"/>
  </r>
  <r>
    <x v="189"/>
    <x v="0"/>
    <x v="1"/>
    <x v="0"/>
    <x v="0"/>
    <n v="5.46"/>
    <n v="3"/>
    <x v="1842"/>
    <x v="2"/>
    <n v="7"/>
  </r>
  <r>
    <x v="189"/>
    <x v="0"/>
    <x v="0"/>
    <x v="0"/>
    <x v="0"/>
    <n v="3.14"/>
    <n v="4"/>
    <x v="1843"/>
    <x v="0"/>
    <n v="6.2"/>
  </r>
  <r>
    <x v="189"/>
    <x v="2"/>
    <x v="1"/>
    <x v="0"/>
    <x v="3"/>
    <n v="12.21"/>
    <n v="2"/>
    <x v="1844"/>
    <x v="2"/>
    <n v="5.7"/>
  </r>
  <r>
    <x v="189"/>
    <x v="1"/>
    <x v="0"/>
    <x v="0"/>
    <x v="0"/>
    <n v="6.6"/>
    <n v="6"/>
    <x v="1845"/>
    <x v="0"/>
    <n v="7.2"/>
  </r>
  <r>
    <x v="190"/>
    <x v="0"/>
    <x v="1"/>
    <x v="0"/>
    <x v="3"/>
    <n v="7.79"/>
    <n v="1"/>
    <x v="1846"/>
    <x v="2"/>
    <n v="6.5"/>
  </r>
  <r>
    <x v="190"/>
    <x v="0"/>
    <x v="1"/>
    <x v="1"/>
    <x v="5"/>
    <n v="26.49"/>
    <n v="3"/>
    <x v="1847"/>
    <x v="2"/>
    <n v="7.2"/>
  </r>
  <r>
    <x v="190"/>
    <x v="1"/>
    <x v="1"/>
    <x v="1"/>
    <x v="2"/>
    <n v="50.63"/>
    <n v="2"/>
    <x v="1848"/>
    <x v="2"/>
    <n v="7.3"/>
  </r>
  <r>
    <x v="190"/>
    <x v="1"/>
    <x v="1"/>
    <x v="0"/>
    <x v="5"/>
    <n v="26.91"/>
    <n v="1"/>
    <x v="1849"/>
    <x v="1"/>
    <n v="7.2"/>
  </r>
  <r>
    <x v="190"/>
    <x v="2"/>
    <x v="1"/>
    <x v="1"/>
    <x v="4"/>
    <n v="65.61"/>
    <n v="4"/>
    <x v="1107"/>
    <x v="1"/>
    <n v="8.6999999999999993"/>
  </r>
  <r>
    <x v="190"/>
    <x v="1"/>
    <x v="1"/>
    <x v="0"/>
    <x v="0"/>
    <n v="6.96"/>
    <n v="1"/>
    <x v="1850"/>
    <x v="2"/>
    <n v="7.7"/>
  </r>
  <r>
    <x v="190"/>
    <x v="0"/>
    <x v="1"/>
    <x v="1"/>
    <x v="5"/>
    <n v="36.68"/>
    <n v="2"/>
    <x v="1851"/>
    <x v="2"/>
    <n v="6.7"/>
  </r>
  <r>
    <x v="190"/>
    <x v="1"/>
    <x v="1"/>
    <x v="0"/>
    <x v="4"/>
    <n v="54.82"/>
    <n v="3"/>
    <x v="1852"/>
    <x v="1"/>
    <n v="5.3"/>
  </r>
  <r>
    <x v="190"/>
    <x v="1"/>
    <x v="0"/>
    <x v="0"/>
    <x v="0"/>
    <n v="5.59"/>
    <n v="3"/>
    <x v="1853"/>
    <x v="1"/>
    <n v="7.5"/>
  </r>
  <r>
    <x v="190"/>
    <x v="1"/>
    <x v="1"/>
    <x v="1"/>
    <x v="5"/>
    <n v="29.13"/>
    <n v="3"/>
    <x v="1854"/>
    <x v="1"/>
    <n v="6"/>
  </r>
  <r>
    <x v="190"/>
    <x v="2"/>
    <x v="1"/>
    <x v="1"/>
    <x v="0"/>
    <n v="7.58"/>
    <n v="2"/>
    <x v="1855"/>
    <x v="0"/>
    <n v="7.5"/>
  </r>
  <r>
    <x v="190"/>
    <x v="0"/>
    <x v="0"/>
    <x v="0"/>
    <x v="0"/>
    <n v="4.7300000000000004"/>
    <n v="1"/>
    <x v="1856"/>
    <x v="0"/>
    <n v="6.7"/>
  </r>
  <r>
    <x v="191"/>
    <x v="0"/>
    <x v="0"/>
    <x v="1"/>
    <x v="0"/>
    <n v="5.65"/>
    <n v="3"/>
    <x v="1857"/>
    <x v="1"/>
    <n v="8.6"/>
  </r>
  <r>
    <x v="191"/>
    <x v="0"/>
    <x v="1"/>
    <x v="0"/>
    <x v="1"/>
    <n v="93.36"/>
    <n v="2"/>
    <x v="1858"/>
    <x v="2"/>
    <n v="6.8"/>
  </r>
  <r>
    <x v="191"/>
    <x v="2"/>
    <x v="0"/>
    <x v="1"/>
    <x v="0"/>
    <n v="4.24"/>
    <n v="4"/>
    <x v="1859"/>
    <x v="1"/>
    <n v="6.9"/>
  </r>
  <r>
    <x v="191"/>
    <x v="0"/>
    <x v="0"/>
    <x v="0"/>
    <x v="4"/>
    <n v="54.19"/>
    <n v="3"/>
    <x v="1860"/>
    <x v="2"/>
    <n v="7.5"/>
  </r>
  <r>
    <x v="191"/>
    <x v="2"/>
    <x v="1"/>
    <x v="0"/>
    <x v="0"/>
    <n v="4.74"/>
    <n v="3"/>
    <x v="1861"/>
    <x v="2"/>
    <n v="6.3"/>
  </r>
  <r>
    <x v="191"/>
    <x v="0"/>
    <x v="1"/>
    <x v="1"/>
    <x v="3"/>
    <n v="19.71"/>
    <n v="1"/>
    <x v="1469"/>
    <x v="1"/>
    <n v="7"/>
  </r>
  <r>
    <x v="191"/>
    <x v="0"/>
    <x v="1"/>
    <x v="0"/>
    <x v="2"/>
    <n v="67.459999999999994"/>
    <n v="2"/>
    <x v="1862"/>
    <x v="0"/>
    <n v="6.3"/>
  </r>
  <r>
    <x v="191"/>
    <x v="0"/>
    <x v="0"/>
    <x v="0"/>
    <x v="0"/>
    <n v="7.24"/>
    <n v="2"/>
    <x v="1863"/>
    <x v="0"/>
    <n v="8.4"/>
  </r>
  <r>
    <x v="191"/>
    <x v="1"/>
    <x v="1"/>
    <x v="0"/>
    <x v="0"/>
    <n v="6.3"/>
    <n v="3"/>
    <x v="1864"/>
    <x v="2"/>
    <n v="9.6999999999999993"/>
  </r>
  <r>
    <x v="191"/>
    <x v="2"/>
    <x v="1"/>
    <x v="1"/>
    <x v="0"/>
    <n v="7.27"/>
    <n v="2"/>
    <x v="1865"/>
    <x v="1"/>
    <n v="6.7"/>
  </r>
  <r>
    <x v="192"/>
    <x v="2"/>
    <x v="1"/>
    <x v="1"/>
    <x v="1"/>
    <n v="91.82"/>
    <n v="2"/>
    <x v="1866"/>
    <x v="0"/>
    <n v="6.6"/>
  </r>
  <r>
    <x v="192"/>
    <x v="0"/>
    <x v="1"/>
    <x v="0"/>
    <x v="0"/>
    <n v="2.39"/>
    <n v="2"/>
    <x v="1867"/>
    <x v="0"/>
    <n v="8"/>
  </r>
  <r>
    <x v="192"/>
    <x v="0"/>
    <x v="1"/>
    <x v="0"/>
    <x v="4"/>
    <n v="72.42"/>
    <n v="4"/>
    <x v="1868"/>
    <x v="1"/>
    <n v="6.9"/>
  </r>
  <r>
    <x v="192"/>
    <x v="2"/>
    <x v="1"/>
    <x v="1"/>
    <x v="4"/>
    <n v="61.39"/>
    <n v="4"/>
    <x v="1869"/>
    <x v="0"/>
    <n v="5.8"/>
  </r>
  <r>
    <x v="192"/>
    <x v="0"/>
    <x v="1"/>
    <x v="0"/>
    <x v="1"/>
    <n v="81.42"/>
    <n v="2"/>
    <x v="1870"/>
    <x v="0"/>
    <n v="6.1"/>
  </r>
  <r>
    <x v="192"/>
    <x v="0"/>
    <x v="1"/>
    <x v="0"/>
    <x v="5"/>
    <n v="26.85"/>
    <n v="2"/>
    <x v="1871"/>
    <x v="2"/>
    <n v="6.6"/>
  </r>
  <r>
    <x v="192"/>
    <x v="1"/>
    <x v="1"/>
    <x v="0"/>
    <x v="5"/>
    <n v="27.29"/>
    <n v="2"/>
    <x v="1872"/>
    <x v="2"/>
    <n v="6.7"/>
  </r>
  <r>
    <x v="192"/>
    <x v="1"/>
    <x v="1"/>
    <x v="1"/>
    <x v="1"/>
    <n v="85.6"/>
    <n v="2"/>
    <x v="1119"/>
    <x v="2"/>
    <n v="5.5"/>
  </r>
  <r>
    <x v="192"/>
    <x v="2"/>
    <x v="0"/>
    <x v="0"/>
    <x v="0"/>
    <n v="7.82"/>
    <n v="3"/>
    <x v="1873"/>
    <x v="1"/>
    <n v="7.1"/>
  </r>
  <r>
    <x v="192"/>
    <x v="0"/>
    <x v="1"/>
    <x v="1"/>
    <x v="5"/>
    <n v="33.1"/>
    <n v="3"/>
    <x v="1874"/>
    <x v="0"/>
    <n v="5.8"/>
  </r>
  <r>
    <x v="192"/>
    <x v="2"/>
    <x v="1"/>
    <x v="1"/>
    <x v="0"/>
    <n v="3.01"/>
    <n v="2"/>
    <x v="1875"/>
    <x v="1"/>
    <n v="7.4"/>
  </r>
  <r>
    <x v="192"/>
    <x v="2"/>
    <x v="1"/>
    <x v="0"/>
    <x v="0"/>
    <n v="5.16"/>
    <n v="3"/>
    <x v="1876"/>
    <x v="0"/>
    <n v="8.8000000000000007"/>
  </r>
  <r>
    <x v="192"/>
    <x v="0"/>
    <x v="1"/>
    <x v="1"/>
    <x v="0"/>
    <n v="7.64"/>
    <n v="2"/>
    <x v="1877"/>
    <x v="0"/>
    <n v="7.6"/>
  </r>
  <r>
    <x v="192"/>
    <x v="1"/>
    <x v="0"/>
    <x v="1"/>
    <x v="0"/>
    <n v="7.36"/>
    <n v="3"/>
    <x v="1878"/>
    <x v="1"/>
    <n v="7.4"/>
  </r>
  <r>
    <x v="192"/>
    <x v="0"/>
    <x v="1"/>
    <x v="1"/>
    <x v="0"/>
    <n v="3.88"/>
    <n v="3"/>
    <x v="1703"/>
    <x v="0"/>
    <n v="8.1"/>
  </r>
  <r>
    <x v="193"/>
    <x v="0"/>
    <x v="0"/>
    <x v="0"/>
    <x v="0"/>
    <n v="5.53"/>
    <n v="3"/>
    <x v="1879"/>
    <x v="2"/>
    <n v="8.6999999999999993"/>
  </r>
  <r>
    <x v="193"/>
    <x v="0"/>
    <x v="1"/>
    <x v="0"/>
    <x v="2"/>
    <n v="72.39"/>
    <n v="1"/>
    <x v="1880"/>
    <x v="2"/>
    <n v="5.3"/>
  </r>
  <r>
    <x v="193"/>
    <x v="0"/>
    <x v="0"/>
    <x v="0"/>
    <x v="3"/>
    <n v="12.38"/>
    <n v="3"/>
    <x v="1881"/>
    <x v="2"/>
    <n v="7.2"/>
  </r>
  <r>
    <x v="193"/>
    <x v="1"/>
    <x v="1"/>
    <x v="0"/>
    <x v="0"/>
    <n v="6.27"/>
    <n v="2"/>
    <x v="578"/>
    <x v="1"/>
    <n v="7.4"/>
  </r>
  <r>
    <x v="193"/>
    <x v="1"/>
    <x v="0"/>
    <x v="0"/>
    <x v="2"/>
    <n v="67.06"/>
    <n v="1"/>
    <x v="1882"/>
    <x v="0"/>
    <n v="6.9"/>
  </r>
  <r>
    <x v="193"/>
    <x v="2"/>
    <x v="1"/>
    <x v="1"/>
    <x v="0"/>
    <n v="7.21"/>
    <n v="6"/>
    <x v="1883"/>
    <x v="2"/>
    <n v="7.9"/>
  </r>
  <r>
    <x v="193"/>
    <x v="1"/>
    <x v="1"/>
    <x v="1"/>
    <x v="3"/>
    <n v="17.47"/>
    <n v="1"/>
    <x v="1884"/>
    <x v="1"/>
    <n v="6.5"/>
  </r>
  <r>
    <x v="193"/>
    <x v="0"/>
    <x v="1"/>
    <x v="0"/>
    <x v="5"/>
    <n v="32.79"/>
    <n v="1"/>
    <x v="1885"/>
    <x v="0"/>
    <n v="5.8"/>
  </r>
  <r>
    <x v="193"/>
    <x v="1"/>
    <x v="1"/>
    <x v="1"/>
    <x v="4"/>
    <n v="52.31"/>
    <n v="2"/>
    <x v="1886"/>
    <x v="2"/>
    <n v="6.2"/>
  </r>
  <r>
    <x v="193"/>
    <x v="1"/>
    <x v="1"/>
    <x v="1"/>
    <x v="3"/>
    <n v="14.75"/>
    <n v="1"/>
    <x v="1887"/>
    <x v="2"/>
    <n v="7.1"/>
  </r>
  <r>
    <x v="193"/>
    <x v="2"/>
    <x v="1"/>
    <x v="0"/>
    <x v="0"/>
    <n v="6.81"/>
    <n v="2"/>
    <x v="1888"/>
    <x v="1"/>
    <n v="9.6999999999999993"/>
  </r>
  <r>
    <x v="193"/>
    <x v="2"/>
    <x v="0"/>
    <x v="1"/>
    <x v="5"/>
    <n v="24.85"/>
    <n v="2"/>
    <x v="1889"/>
    <x v="1"/>
    <n v="7.9"/>
  </r>
  <r>
    <x v="193"/>
    <x v="2"/>
    <x v="0"/>
    <x v="0"/>
    <x v="5"/>
    <n v="21.5"/>
    <n v="2"/>
    <x v="1890"/>
    <x v="2"/>
    <n v="9.1999999999999993"/>
  </r>
  <r>
    <x v="193"/>
    <x v="2"/>
    <x v="0"/>
    <x v="0"/>
    <x v="5"/>
    <n v="32.380000000000003"/>
    <n v="4"/>
    <x v="1891"/>
    <x v="0"/>
    <n v="7"/>
  </r>
  <r>
    <x v="193"/>
    <x v="2"/>
    <x v="1"/>
    <x v="0"/>
    <x v="3"/>
    <n v="13.13"/>
    <n v="3"/>
    <x v="1892"/>
    <x v="1"/>
    <n v="8"/>
  </r>
  <r>
    <x v="194"/>
    <x v="1"/>
    <x v="1"/>
    <x v="0"/>
    <x v="0"/>
    <n v="5.36"/>
    <n v="3"/>
    <x v="1893"/>
    <x v="0"/>
    <n v="9"/>
  </r>
  <r>
    <x v="194"/>
    <x v="1"/>
    <x v="1"/>
    <x v="0"/>
    <x v="0"/>
    <n v="4.7"/>
    <n v="3"/>
    <x v="1894"/>
    <x v="0"/>
    <n v="8.1"/>
  </r>
  <r>
    <x v="194"/>
    <x v="0"/>
    <x v="1"/>
    <x v="1"/>
    <x v="5"/>
    <n v="25.37"/>
    <n v="2"/>
    <x v="1895"/>
    <x v="1"/>
    <n v="5.6"/>
  </r>
  <r>
    <x v="194"/>
    <x v="0"/>
    <x v="0"/>
    <x v="0"/>
    <x v="0"/>
    <n v="6.2"/>
    <n v="1"/>
    <x v="1896"/>
    <x v="1"/>
    <n v="8.6999999999999993"/>
  </r>
  <r>
    <x v="194"/>
    <x v="2"/>
    <x v="0"/>
    <x v="0"/>
    <x v="4"/>
    <n v="73.55"/>
    <n v="5"/>
    <x v="1897"/>
    <x v="0"/>
    <n v="7.4"/>
  </r>
  <r>
    <x v="194"/>
    <x v="1"/>
    <x v="0"/>
    <x v="1"/>
    <x v="0"/>
    <n v="5.99"/>
    <n v="3"/>
    <x v="1659"/>
    <x v="1"/>
    <n v="7.3"/>
  </r>
  <r>
    <x v="194"/>
    <x v="1"/>
    <x v="1"/>
    <x v="0"/>
    <x v="0"/>
    <n v="4.32"/>
    <n v="5"/>
    <x v="1898"/>
    <x v="2"/>
    <n v="6.9"/>
  </r>
  <r>
    <x v="194"/>
    <x v="2"/>
    <x v="1"/>
    <x v="0"/>
    <x v="0"/>
    <n v="7.9"/>
    <n v="1"/>
    <x v="1899"/>
    <x v="1"/>
    <n v="8.3000000000000007"/>
  </r>
  <r>
    <x v="194"/>
    <x v="2"/>
    <x v="0"/>
    <x v="0"/>
    <x v="0"/>
    <n v="7.14"/>
    <n v="3"/>
    <x v="1900"/>
    <x v="2"/>
    <n v="8.4"/>
  </r>
  <r>
    <x v="194"/>
    <x v="0"/>
    <x v="1"/>
    <x v="0"/>
    <x v="5"/>
    <n v="31.07"/>
    <n v="2"/>
    <x v="1901"/>
    <x v="1"/>
    <n v="6"/>
  </r>
  <r>
    <x v="195"/>
    <x v="0"/>
    <x v="0"/>
    <x v="0"/>
    <x v="3"/>
    <n v="13.83"/>
    <n v="3"/>
    <x v="1902"/>
    <x v="1"/>
    <n v="7.2"/>
  </r>
  <r>
    <x v="195"/>
    <x v="2"/>
    <x v="1"/>
    <x v="0"/>
    <x v="0"/>
    <n v="6.94"/>
    <n v="2"/>
    <x v="1903"/>
    <x v="1"/>
    <n v="7.3"/>
  </r>
  <r>
    <x v="195"/>
    <x v="0"/>
    <x v="1"/>
    <x v="1"/>
    <x v="5"/>
    <n v="30.64"/>
    <n v="1"/>
    <x v="1404"/>
    <x v="1"/>
    <n v="5.9"/>
  </r>
  <r>
    <x v="195"/>
    <x v="2"/>
    <x v="1"/>
    <x v="0"/>
    <x v="0"/>
    <n v="7.56"/>
    <n v="2"/>
    <x v="1904"/>
    <x v="2"/>
    <n v="7.4"/>
  </r>
  <r>
    <x v="195"/>
    <x v="2"/>
    <x v="0"/>
    <x v="1"/>
    <x v="1"/>
    <n v="94.92"/>
    <n v="1"/>
    <x v="1905"/>
    <x v="1"/>
    <n v="9.8000000000000007"/>
  </r>
  <r>
    <x v="195"/>
    <x v="0"/>
    <x v="1"/>
    <x v="1"/>
    <x v="5"/>
    <n v="30.64"/>
    <n v="3"/>
    <x v="1906"/>
    <x v="0"/>
    <n v="5.6"/>
  </r>
  <r>
    <x v="195"/>
    <x v="2"/>
    <x v="0"/>
    <x v="0"/>
    <x v="5"/>
    <n v="28.23"/>
    <n v="4"/>
    <x v="1907"/>
    <x v="2"/>
    <n v="8.1999999999999993"/>
  </r>
  <r>
    <x v="195"/>
    <x v="0"/>
    <x v="1"/>
    <x v="0"/>
    <x v="1"/>
    <n v="96.01"/>
    <n v="1"/>
    <x v="1908"/>
    <x v="0"/>
    <n v="8.3000000000000007"/>
  </r>
  <r>
    <x v="195"/>
    <x v="2"/>
    <x v="1"/>
    <x v="0"/>
    <x v="0"/>
    <n v="5.64"/>
    <n v="4"/>
    <x v="1804"/>
    <x v="0"/>
    <n v="8.5"/>
  </r>
  <r>
    <x v="196"/>
    <x v="0"/>
    <x v="0"/>
    <x v="1"/>
    <x v="0"/>
    <n v="5.45"/>
    <n v="1"/>
    <x v="1909"/>
    <x v="2"/>
    <n v="7.3"/>
  </r>
  <r>
    <x v="196"/>
    <x v="0"/>
    <x v="1"/>
    <x v="1"/>
    <x v="0"/>
    <n v="3.53"/>
    <n v="2"/>
    <x v="1910"/>
    <x v="1"/>
    <n v="7.4"/>
  </r>
  <r>
    <x v="196"/>
    <x v="1"/>
    <x v="1"/>
    <x v="1"/>
    <x v="3"/>
    <n v="5.37"/>
    <n v="2"/>
    <x v="1911"/>
    <x v="1"/>
    <n v="6.8"/>
  </r>
  <r>
    <x v="196"/>
    <x v="1"/>
    <x v="1"/>
    <x v="1"/>
    <x v="5"/>
    <n v="27.11"/>
    <n v="3"/>
    <x v="1912"/>
    <x v="1"/>
    <n v="8.1999999999999993"/>
  </r>
  <r>
    <x v="196"/>
    <x v="0"/>
    <x v="1"/>
    <x v="0"/>
    <x v="0"/>
    <n v="5.62"/>
    <n v="4"/>
    <x v="1913"/>
    <x v="2"/>
    <n v="7.4"/>
  </r>
  <r>
    <x v="196"/>
    <x v="1"/>
    <x v="1"/>
    <x v="0"/>
    <x v="0"/>
    <n v="5.68"/>
    <n v="5"/>
    <x v="1914"/>
    <x v="1"/>
    <n v="5.8"/>
  </r>
  <r>
    <x v="196"/>
    <x v="1"/>
    <x v="1"/>
    <x v="1"/>
    <x v="2"/>
    <n v="57.42"/>
    <n v="2"/>
    <x v="1915"/>
    <x v="0"/>
    <n v="6.8"/>
  </r>
  <r>
    <x v="196"/>
    <x v="0"/>
    <x v="0"/>
    <x v="0"/>
    <x v="5"/>
    <n v="33.9"/>
    <n v="1"/>
    <x v="1916"/>
    <x v="2"/>
    <n v="7.5"/>
  </r>
  <r>
    <x v="196"/>
    <x v="0"/>
    <x v="1"/>
    <x v="0"/>
    <x v="0"/>
    <n v="3.83"/>
    <n v="5"/>
    <x v="305"/>
    <x v="1"/>
    <n v="6.1"/>
  </r>
  <r>
    <x v="196"/>
    <x v="0"/>
    <x v="0"/>
    <x v="1"/>
    <x v="5"/>
    <n v="39.619999999999997"/>
    <n v="1"/>
    <x v="1917"/>
    <x v="1"/>
    <n v="6.8"/>
  </r>
  <r>
    <x v="197"/>
    <x v="0"/>
    <x v="1"/>
    <x v="1"/>
    <x v="0"/>
    <n v="5.41"/>
    <n v="2"/>
    <x v="1918"/>
    <x v="2"/>
    <n v="6.8"/>
  </r>
  <r>
    <x v="197"/>
    <x v="2"/>
    <x v="0"/>
    <x v="0"/>
    <x v="0"/>
    <n v="7.22"/>
    <n v="4"/>
    <x v="1919"/>
    <x v="1"/>
    <n v="7.4"/>
  </r>
  <r>
    <x v="197"/>
    <x v="1"/>
    <x v="1"/>
    <x v="1"/>
    <x v="0"/>
    <n v="5.01"/>
    <n v="3"/>
    <x v="1920"/>
    <x v="1"/>
    <n v="7.5"/>
  </r>
  <r>
    <x v="197"/>
    <x v="1"/>
    <x v="1"/>
    <x v="1"/>
    <x v="0"/>
    <n v="5.9"/>
    <n v="4"/>
    <x v="1422"/>
    <x v="0"/>
    <n v="7.2"/>
  </r>
  <r>
    <x v="197"/>
    <x v="2"/>
    <x v="1"/>
    <x v="1"/>
    <x v="0"/>
    <n v="6.03"/>
    <n v="5"/>
    <x v="1921"/>
    <x v="1"/>
    <n v="8.8000000000000007"/>
  </r>
  <r>
    <x v="197"/>
    <x v="2"/>
    <x v="1"/>
    <x v="1"/>
    <x v="0"/>
    <n v="6.42"/>
    <n v="1"/>
    <x v="1922"/>
    <x v="2"/>
    <n v="6.3"/>
  </r>
  <r>
    <x v="197"/>
    <x v="2"/>
    <x v="1"/>
    <x v="1"/>
    <x v="5"/>
    <n v="29.12"/>
    <n v="3"/>
    <x v="1923"/>
    <x v="1"/>
    <n v="6.7"/>
  </r>
  <r>
    <x v="197"/>
    <x v="1"/>
    <x v="1"/>
    <x v="1"/>
    <x v="0"/>
    <n v="2.34"/>
    <n v="4"/>
    <x v="1924"/>
    <x v="0"/>
    <n v="9"/>
  </r>
  <r>
    <x v="197"/>
    <x v="0"/>
    <x v="1"/>
    <x v="0"/>
    <x v="0"/>
    <n v="3.43"/>
    <n v="4"/>
    <x v="1366"/>
    <x v="2"/>
    <n v="8.3000000000000007"/>
  </r>
  <r>
    <x v="197"/>
    <x v="0"/>
    <x v="1"/>
    <x v="1"/>
    <x v="0"/>
    <n v="6.57"/>
    <n v="2"/>
    <x v="1925"/>
    <x v="2"/>
    <n v="6.9"/>
  </r>
  <r>
    <x v="197"/>
    <x v="2"/>
    <x v="0"/>
    <x v="0"/>
    <x v="2"/>
    <n v="73.400000000000006"/>
    <n v="2"/>
    <x v="1926"/>
    <x v="0"/>
    <n v="8.6999999999999993"/>
  </r>
  <r>
    <x v="197"/>
    <x v="2"/>
    <x v="1"/>
    <x v="0"/>
    <x v="3"/>
    <n v="15.82"/>
    <n v="1"/>
    <x v="1927"/>
    <x v="1"/>
    <n v="8.3000000000000007"/>
  </r>
  <r>
    <x v="198"/>
    <x v="0"/>
    <x v="0"/>
    <x v="0"/>
    <x v="2"/>
    <n v="58.14"/>
    <n v="2"/>
    <x v="1928"/>
    <x v="0"/>
    <n v="7.7"/>
  </r>
  <r>
    <x v="198"/>
    <x v="0"/>
    <x v="0"/>
    <x v="1"/>
    <x v="0"/>
    <n v="6.1"/>
    <n v="1"/>
    <x v="1929"/>
    <x v="2"/>
    <n v="7.7"/>
  </r>
  <r>
    <x v="198"/>
    <x v="0"/>
    <x v="0"/>
    <x v="0"/>
    <x v="3"/>
    <n v="6.81"/>
    <n v="2"/>
    <x v="1888"/>
    <x v="2"/>
    <n v="8.1999999999999993"/>
  </r>
  <r>
    <x v="198"/>
    <x v="2"/>
    <x v="1"/>
    <x v="1"/>
    <x v="0"/>
    <n v="7.11"/>
    <n v="3"/>
    <x v="1930"/>
    <x v="0"/>
    <n v="7.2"/>
  </r>
  <r>
    <x v="198"/>
    <x v="2"/>
    <x v="1"/>
    <x v="1"/>
    <x v="0"/>
    <n v="4.79"/>
    <n v="3"/>
    <x v="1931"/>
    <x v="2"/>
    <n v="6.3"/>
  </r>
  <r>
    <x v="198"/>
    <x v="0"/>
    <x v="0"/>
    <x v="1"/>
    <x v="5"/>
    <n v="33.200000000000003"/>
    <n v="3"/>
    <x v="1932"/>
    <x v="1"/>
    <n v="7.1"/>
  </r>
  <r>
    <x v="198"/>
    <x v="2"/>
    <x v="0"/>
    <x v="1"/>
    <x v="4"/>
    <n v="69.739999999999995"/>
    <n v="4"/>
    <x v="1933"/>
    <x v="0"/>
    <n v="6.9"/>
  </r>
  <r>
    <x v="198"/>
    <x v="0"/>
    <x v="1"/>
    <x v="0"/>
    <x v="2"/>
    <n v="61.82"/>
    <n v="2"/>
    <x v="1934"/>
    <x v="0"/>
    <n v="8.6"/>
  </r>
  <r>
    <x v="198"/>
    <x v="2"/>
    <x v="1"/>
    <x v="0"/>
    <x v="4"/>
    <n v="49.71"/>
    <n v="2"/>
    <x v="1144"/>
    <x v="2"/>
    <n v="6.9"/>
  </r>
  <r>
    <x v="198"/>
    <x v="1"/>
    <x v="1"/>
    <x v="1"/>
    <x v="0"/>
    <n v="2.98"/>
    <n v="3"/>
    <x v="1935"/>
    <x v="1"/>
    <n v="6.1"/>
  </r>
  <r>
    <x v="198"/>
    <x v="2"/>
    <x v="1"/>
    <x v="0"/>
    <x v="0"/>
    <n v="5.29"/>
    <n v="5"/>
    <x v="1936"/>
    <x v="2"/>
    <n v="6.6"/>
  </r>
  <r>
    <x v="198"/>
    <x v="0"/>
    <x v="0"/>
    <x v="0"/>
    <x v="4"/>
    <n v="68.19"/>
    <n v="2"/>
    <x v="1937"/>
    <x v="1"/>
    <n v="6.2"/>
  </r>
  <r>
    <x v="198"/>
    <x v="2"/>
    <x v="0"/>
    <x v="1"/>
    <x v="0"/>
    <n v="6.49"/>
    <n v="2"/>
    <x v="1938"/>
    <x v="0"/>
    <n v="9"/>
  </r>
  <r>
    <x v="198"/>
    <x v="2"/>
    <x v="0"/>
    <x v="0"/>
    <x v="3"/>
    <n v="14.32"/>
    <n v="3"/>
    <x v="640"/>
    <x v="1"/>
    <n v="7.4"/>
  </r>
  <r>
    <x v="198"/>
    <x v="2"/>
    <x v="0"/>
    <x v="0"/>
    <x v="3"/>
    <n v="15.19"/>
    <n v="2"/>
    <x v="1939"/>
    <x v="0"/>
    <n v="7.5"/>
  </r>
  <r>
    <x v="199"/>
    <x v="2"/>
    <x v="0"/>
    <x v="0"/>
    <x v="0"/>
    <n v="3.24"/>
    <n v="2"/>
    <x v="1940"/>
    <x v="0"/>
    <n v="8.3000000000000007"/>
  </r>
  <r>
    <x v="199"/>
    <x v="2"/>
    <x v="0"/>
    <x v="1"/>
    <x v="0"/>
    <n v="6.69"/>
    <n v="3"/>
    <x v="1941"/>
    <x v="0"/>
    <n v="7.4"/>
  </r>
  <r>
    <x v="199"/>
    <x v="2"/>
    <x v="0"/>
    <x v="1"/>
    <x v="0"/>
    <n v="6.78"/>
    <n v="3"/>
    <x v="1238"/>
    <x v="0"/>
    <n v="8.6999999999999993"/>
  </r>
  <r>
    <x v="199"/>
    <x v="0"/>
    <x v="1"/>
    <x v="1"/>
    <x v="0"/>
    <n v="2.69"/>
    <n v="1"/>
    <x v="1942"/>
    <x v="1"/>
    <n v="6.8"/>
  </r>
  <r>
    <x v="199"/>
    <x v="0"/>
    <x v="0"/>
    <x v="0"/>
    <x v="4"/>
    <n v="68.73"/>
    <n v="2"/>
    <x v="1943"/>
    <x v="0"/>
    <n v="6.6"/>
  </r>
  <r>
    <x v="199"/>
    <x v="2"/>
    <x v="1"/>
    <x v="1"/>
    <x v="0"/>
    <n v="2.68"/>
    <n v="4"/>
    <x v="1944"/>
    <x v="1"/>
    <n v="8.1"/>
  </r>
  <r>
    <x v="199"/>
    <x v="0"/>
    <x v="1"/>
    <x v="0"/>
    <x v="0"/>
    <n v="5.45"/>
    <n v="3"/>
    <x v="1945"/>
    <x v="1"/>
    <n v="8.8000000000000007"/>
  </r>
  <r>
    <x v="199"/>
    <x v="2"/>
    <x v="1"/>
    <x v="0"/>
    <x v="4"/>
    <n v="56.98"/>
    <n v="4"/>
    <x v="1946"/>
    <x v="0"/>
    <n v="8"/>
  </r>
  <r>
    <x v="199"/>
    <x v="2"/>
    <x v="1"/>
    <x v="0"/>
    <x v="5"/>
    <n v="16.87"/>
    <n v="3"/>
    <x v="1947"/>
    <x v="0"/>
    <n v="5.0999999999999996"/>
  </r>
  <r>
    <x v="199"/>
    <x v="1"/>
    <x v="0"/>
    <x v="1"/>
    <x v="0"/>
    <n v="7.4"/>
    <n v="5"/>
    <x v="731"/>
    <x v="2"/>
    <n v="8.1999999999999993"/>
  </r>
  <r>
    <x v="200"/>
    <x v="2"/>
    <x v="1"/>
    <x v="1"/>
    <x v="0"/>
    <n v="5.17"/>
    <n v="3"/>
    <x v="1948"/>
    <x v="1"/>
    <n v="7.7"/>
  </r>
  <r>
    <x v="200"/>
    <x v="2"/>
    <x v="1"/>
    <x v="1"/>
    <x v="5"/>
    <n v="27.52"/>
    <n v="2"/>
    <x v="1949"/>
    <x v="2"/>
    <n v="7.3"/>
  </r>
  <r>
    <x v="200"/>
    <x v="2"/>
    <x v="0"/>
    <x v="0"/>
    <x v="5"/>
    <n v="38.89"/>
    <n v="2"/>
    <x v="1950"/>
    <x v="2"/>
    <n v="6.9"/>
  </r>
  <r>
    <x v="200"/>
    <x v="1"/>
    <x v="1"/>
    <x v="1"/>
    <x v="0"/>
    <n v="6.68"/>
    <n v="3"/>
    <x v="1951"/>
    <x v="0"/>
    <n v="6.5"/>
  </r>
  <r>
    <x v="200"/>
    <x v="1"/>
    <x v="1"/>
    <x v="0"/>
    <x v="0"/>
    <n v="6.38"/>
    <n v="4"/>
    <x v="77"/>
    <x v="1"/>
    <n v="6.5"/>
  </r>
  <r>
    <x v="200"/>
    <x v="0"/>
    <x v="1"/>
    <x v="1"/>
    <x v="0"/>
    <n v="5.13"/>
    <n v="1"/>
    <x v="1952"/>
    <x v="0"/>
    <n v="7.8"/>
  </r>
  <r>
    <x v="200"/>
    <x v="0"/>
    <x v="0"/>
    <x v="0"/>
    <x v="5"/>
    <n v="31.79"/>
    <n v="4"/>
    <x v="1953"/>
    <x v="1"/>
    <n v="6.6"/>
  </r>
  <r>
    <x v="200"/>
    <x v="2"/>
    <x v="1"/>
    <x v="1"/>
    <x v="0"/>
    <n v="4.8099999999999996"/>
    <n v="2"/>
    <x v="1954"/>
    <x v="0"/>
    <n v="5.9"/>
  </r>
  <r>
    <x v="200"/>
    <x v="2"/>
    <x v="0"/>
    <x v="1"/>
    <x v="0"/>
    <n v="6.23"/>
    <n v="5"/>
    <x v="1955"/>
    <x v="2"/>
    <n v="8.6999999999999993"/>
  </r>
  <r>
    <x v="200"/>
    <x v="0"/>
    <x v="1"/>
    <x v="0"/>
    <x v="0"/>
    <n v="6.93"/>
    <n v="2"/>
    <x v="1556"/>
    <x v="0"/>
    <n v="7.2"/>
  </r>
  <r>
    <x v="200"/>
    <x v="1"/>
    <x v="1"/>
    <x v="1"/>
    <x v="0"/>
    <n v="4.08"/>
    <n v="3"/>
    <x v="1956"/>
    <x v="0"/>
    <n v="7"/>
  </r>
  <r>
    <x v="200"/>
    <x v="0"/>
    <x v="1"/>
    <x v="0"/>
    <x v="0"/>
    <n v="6.54"/>
    <n v="3"/>
    <x v="1957"/>
    <x v="1"/>
    <n v="8.6999999999999993"/>
  </r>
  <r>
    <x v="200"/>
    <x v="1"/>
    <x v="1"/>
    <x v="0"/>
    <x v="0"/>
    <n v="6.61"/>
    <n v="2"/>
    <x v="1958"/>
    <x v="2"/>
    <n v="7.4"/>
  </r>
  <r>
    <x v="200"/>
    <x v="2"/>
    <x v="1"/>
    <x v="1"/>
    <x v="0"/>
    <n v="5.37"/>
    <n v="2"/>
    <x v="1911"/>
    <x v="2"/>
    <n v="7.8"/>
  </r>
  <r>
    <x v="200"/>
    <x v="2"/>
    <x v="1"/>
    <x v="1"/>
    <x v="2"/>
    <n v="69.459999999999994"/>
    <n v="3"/>
    <x v="1959"/>
    <x v="1"/>
    <n v="6.7"/>
  </r>
  <r>
    <x v="201"/>
    <x v="2"/>
    <x v="1"/>
    <x v="1"/>
    <x v="0"/>
    <n v="5.98"/>
    <n v="3"/>
    <x v="1960"/>
    <x v="1"/>
    <n v="7.5"/>
  </r>
  <r>
    <x v="201"/>
    <x v="0"/>
    <x v="1"/>
    <x v="0"/>
    <x v="3"/>
    <n v="15.16"/>
    <n v="3"/>
    <x v="1961"/>
    <x v="2"/>
    <n v="7.1"/>
  </r>
  <r>
    <x v="201"/>
    <x v="2"/>
    <x v="1"/>
    <x v="0"/>
    <x v="5"/>
    <n v="28.58"/>
    <n v="4"/>
    <x v="1962"/>
    <x v="0"/>
    <n v="6.4"/>
  </r>
  <r>
    <x v="201"/>
    <x v="2"/>
    <x v="1"/>
    <x v="1"/>
    <x v="0"/>
    <n v="6.18"/>
    <n v="1"/>
    <x v="1963"/>
    <x v="1"/>
    <n v="6.8"/>
  </r>
  <r>
    <x v="201"/>
    <x v="1"/>
    <x v="0"/>
    <x v="1"/>
    <x v="0"/>
    <n v="7.14"/>
    <n v="6"/>
    <x v="1964"/>
    <x v="0"/>
    <n v="6.8"/>
  </r>
  <r>
    <x v="201"/>
    <x v="0"/>
    <x v="1"/>
    <x v="1"/>
    <x v="5"/>
    <n v="23.92"/>
    <n v="3"/>
    <x v="1965"/>
    <x v="1"/>
    <n v="8.8000000000000007"/>
  </r>
  <r>
    <x v="201"/>
    <x v="2"/>
    <x v="1"/>
    <x v="1"/>
    <x v="0"/>
    <n v="5.53"/>
    <n v="3"/>
    <x v="1879"/>
    <x v="1"/>
    <n v="5.5"/>
  </r>
  <r>
    <x v="201"/>
    <x v="1"/>
    <x v="1"/>
    <x v="0"/>
    <x v="0"/>
    <n v="3.55"/>
    <n v="1"/>
    <x v="1966"/>
    <x v="0"/>
    <n v="7.3"/>
  </r>
  <r>
    <x v="201"/>
    <x v="2"/>
    <x v="1"/>
    <x v="1"/>
    <x v="0"/>
    <n v="6.1"/>
    <n v="1"/>
    <x v="1929"/>
    <x v="1"/>
    <n v="7.2"/>
  </r>
  <r>
    <x v="202"/>
    <x v="0"/>
    <x v="1"/>
    <x v="1"/>
    <x v="5"/>
    <n v="24.15"/>
    <n v="2"/>
    <x v="1967"/>
    <x v="0"/>
    <n v="8.1"/>
  </r>
  <r>
    <x v="202"/>
    <x v="0"/>
    <x v="1"/>
    <x v="0"/>
    <x v="3"/>
    <n v="12.93"/>
    <n v="1"/>
    <x v="1968"/>
    <x v="2"/>
    <n v="8.3000000000000007"/>
  </r>
  <r>
    <x v="202"/>
    <x v="2"/>
    <x v="1"/>
    <x v="0"/>
    <x v="0"/>
    <n v="2.5"/>
    <n v="3"/>
    <x v="1969"/>
    <x v="1"/>
    <n v="6.6"/>
  </r>
  <r>
    <x v="202"/>
    <x v="2"/>
    <x v="1"/>
    <x v="1"/>
    <x v="5"/>
    <n v="32.65"/>
    <n v="3"/>
    <x v="1970"/>
    <x v="1"/>
    <n v="4.8"/>
  </r>
  <r>
    <x v="202"/>
    <x v="0"/>
    <x v="1"/>
    <x v="1"/>
    <x v="0"/>
    <n v="5.1100000000000003"/>
    <n v="2"/>
    <x v="1971"/>
    <x v="1"/>
    <n v="8.6"/>
  </r>
  <r>
    <x v="202"/>
    <x v="2"/>
    <x v="1"/>
    <x v="0"/>
    <x v="2"/>
    <n v="71.900000000000006"/>
    <n v="1"/>
    <x v="1972"/>
    <x v="2"/>
    <n v="7.4"/>
  </r>
  <r>
    <x v="202"/>
    <x v="1"/>
    <x v="1"/>
    <x v="1"/>
    <x v="0"/>
    <n v="6.2"/>
    <n v="3"/>
    <x v="1973"/>
    <x v="1"/>
    <n v="7.6"/>
  </r>
  <r>
    <x v="202"/>
    <x v="2"/>
    <x v="1"/>
    <x v="0"/>
    <x v="5"/>
    <n v="31.26"/>
    <n v="4"/>
    <x v="1974"/>
    <x v="0"/>
    <n v="7.6"/>
  </r>
  <r>
    <x v="202"/>
    <x v="1"/>
    <x v="1"/>
    <x v="0"/>
    <x v="0"/>
    <n v="6.08"/>
    <n v="3"/>
    <x v="1544"/>
    <x v="0"/>
    <n v="8.6"/>
  </r>
  <r>
    <x v="202"/>
    <x v="2"/>
    <x v="1"/>
    <x v="0"/>
    <x v="5"/>
    <n v="25.68"/>
    <n v="2"/>
    <x v="161"/>
    <x v="1"/>
    <n v="6.7"/>
  </r>
  <r>
    <x v="202"/>
    <x v="2"/>
    <x v="1"/>
    <x v="1"/>
    <x v="5"/>
    <n v="27.81"/>
    <n v="4"/>
    <x v="1975"/>
    <x v="0"/>
    <n v="7.8"/>
  </r>
  <r>
    <x v="202"/>
    <x v="0"/>
    <x v="0"/>
    <x v="1"/>
    <x v="5"/>
    <n v="20.39"/>
    <n v="3"/>
    <x v="1976"/>
    <x v="2"/>
    <n v="7.1"/>
  </r>
  <r>
    <x v="202"/>
    <x v="2"/>
    <x v="1"/>
    <x v="0"/>
    <x v="5"/>
    <n v="35.090000000000003"/>
    <n v="3"/>
    <x v="1977"/>
    <x v="0"/>
    <n v="8.6"/>
  </r>
  <r>
    <x v="202"/>
    <x v="0"/>
    <x v="0"/>
    <x v="0"/>
    <x v="3"/>
    <n v="7.16"/>
    <n v="2"/>
    <x v="1978"/>
    <x v="1"/>
    <n v="4.5999999999999996"/>
  </r>
  <r>
    <x v="202"/>
    <x v="0"/>
    <x v="1"/>
    <x v="0"/>
    <x v="0"/>
    <n v="6.69"/>
    <n v="5"/>
    <x v="1979"/>
    <x v="1"/>
    <n v="7"/>
  </r>
  <r>
    <x v="202"/>
    <x v="0"/>
    <x v="0"/>
    <x v="0"/>
    <x v="0"/>
    <n v="7.18"/>
    <n v="2"/>
    <x v="1044"/>
    <x v="2"/>
    <n v="7.6"/>
  </r>
  <r>
    <x v="202"/>
    <x v="1"/>
    <x v="1"/>
    <x v="1"/>
    <x v="0"/>
    <n v="7.26"/>
    <n v="2"/>
    <x v="1980"/>
    <x v="2"/>
    <n v="5.9"/>
  </r>
  <r>
    <x v="202"/>
    <x v="0"/>
    <x v="1"/>
    <x v="0"/>
    <x v="0"/>
    <n v="2.66"/>
    <n v="4"/>
    <x v="1981"/>
    <x v="1"/>
    <n v="9.6"/>
  </r>
  <r>
    <x v="203"/>
    <x v="1"/>
    <x v="1"/>
    <x v="0"/>
    <x v="0"/>
    <n v="6.54"/>
    <n v="5"/>
    <x v="1982"/>
    <x v="1"/>
    <n v="8.4"/>
  </r>
  <r>
    <x v="203"/>
    <x v="2"/>
    <x v="1"/>
    <x v="1"/>
    <x v="0"/>
    <n v="6.36"/>
    <n v="4"/>
    <x v="1983"/>
    <x v="0"/>
    <n v="6.9"/>
  </r>
  <r>
    <x v="203"/>
    <x v="2"/>
    <x v="1"/>
    <x v="0"/>
    <x v="0"/>
    <n v="7.35"/>
    <n v="4"/>
    <x v="1984"/>
    <x v="1"/>
    <n v="7"/>
  </r>
  <r>
    <x v="203"/>
    <x v="2"/>
    <x v="0"/>
    <x v="0"/>
    <x v="4"/>
    <n v="50.65"/>
    <n v="5"/>
    <x v="1985"/>
    <x v="0"/>
    <n v="6.3"/>
  </r>
  <r>
    <x v="203"/>
    <x v="1"/>
    <x v="0"/>
    <x v="0"/>
    <x v="0"/>
    <n v="5.54"/>
    <n v="6"/>
    <x v="1986"/>
    <x v="2"/>
    <n v="7.4"/>
  </r>
  <r>
    <x v="203"/>
    <x v="2"/>
    <x v="0"/>
    <x v="1"/>
    <x v="1"/>
    <n v="87.26"/>
    <n v="1"/>
    <x v="1987"/>
    <x v="1"/>
    <n v="5.6"/>
  </r>
  <r>
    <x v="203"/>
    <x v="2"/>
    <x v="1"/>
    <x v="0"/>
    <x v="0"/>
    <n v="7.17"/>
    <n v="4"/>
    <x v="1988"/>
    <x v="0"/>
    <n v="7.8"/>
  </r>
  <r>
    <x v="203"/>
    <x v="0"/>
    <x v="1"/>
    <x v="0"/>
    <x v="0"/>
    <n v="7.03"/>
    <n v="3"/>
    <x v="1989"/>
    <x v="2"/>
    <n v="8.1999999999999993"/>
  </r>
  <r>
    <x v="203"/>
    <x v="2"/>
    <x v="1"/>
    <x v="0"/>
    <x v="5"/>
    <n v="35.270000000000003"/>
    <n v="1"/>
    <x v="1990"/>
    <x v="2"/>
    <n v="6.6"/>
  </r>
  <r>
    <x v="204"/>
    <x v="1"/>
    <x v="0"/>
    <x v="1"/>
    <x v="0"/>
    <n v="5.12"/>
    <n v="6"/>
    <x v="1991"/>
    <x v="1"/>
    <n v="7.1"/>
  </r>
  <r>
    <x v="204"/>
    <x v="0"/>
    <x v="1"/>
    <x v="1"/>
    <x v="3"/>
    <n v="17.43"/>
    <n v="2"/>
    <x v="1992"/>
    <x v="0"/>
    <n v="7.8"/>
  </r>
  <r>
    <x v="204"/>
    <x v="2"/>
    <x v="1"/>
    <x v="1"/>
    <x v="0"/>
    <n v="6.13"/>
    <n v="4"/>
    <x v="1993"/>
    <x v="1"/>
    <n v="8.3000000000000007"/>
  </r>
  <r>
    <x v="204"/>
    <x v="1"/>
    <x v="1"/>
    <x v="0"/>
    <x v="5"/>
    <n v="36.61"/>
    <n v="2"/>
    <x v="1994"/>
    <x v="0"/>
    <n v="8.6"/>
  </r>
  <r>
    <x v="204"/>
    <x v="0"/>
    <x v="1"/>
    <x v="0"/>
    <x v="5"/>
    <n v="32.28"/>
    <n v="3"/>
    <x v="1995"/>
    <x v="1"/>
    <n v="6.6"/>
  </r>
  <r>
    <x v="204"/>
    <x v="2"/>
    <x v="1"/>
    <x v="0"/>
    <x v="0"/>
    <n v="5.76"/>
    <n v="2"/>
    <x v="1996"/>
    <x v="2"/>
    <n v="7.3"/>
  </r>
  <r>
    <x v="204"/>
    <x v="2"/>
    <x v="0"/>
    <x v="1"/>
    <x v="5"/>
    <n v="31.41"/>
    <n v="4"/>
    <x v="169"/>
    <x v="1"/>
    <n v="7.4"/>
  </r>
  <r>
    <x v="204"/>
    <x v="2"/>
    <x v="0"/>
    <x v="1"/>
    <x v="3"/>
    <n v="10.58"/>
    <n v="1"/>
    <x v="1997"/>
    <x v="2"/>
    <n v="7.3"/>
  </r>
  <r>
    <x v="204"/>
    <x v="1"/>
    <x v="0"/>
    <x v="0"/>
    <x v="0"/>
    <n v="6.26"/>
    <n v="2"/>
    <x v="1998"/>
    <x v="2"/>
    <n v="6"/>
  </r>
  <r>
    <x v="204"/>
    <x v="2"/>
    <x v="0"/>
    <x v="1"/>
    <x v="0"/>
    <n v="6.12"/>
    <n v="1"/>
    <x v="1718"/>
    <x v="2"/>
    <n v="8.8000000000000007"/>
  </r>
  <r>
    <x v="204"/>
    <x v="0"/>
    <x v="1"/>
    <x v="1"/>
    <x v="5"/>
    <n v="37.14"/>
    <n v="2"/>
    <x v="1999"/>
    <x v="0"/>
    <n v="7.2"/>
  </r>
  <r>
    <x v="204"/>
    <x v="1"/>
    <x v="1"/>
    <x v="1"/>
    <x v="0"/>
    <n v="2.92"/>
    <n v="3"/>
    <x v="2000"/>
    <x v="2"/>
    <n v="7.9"/>
  </r>
  <r>
    <x v="204"/>
    <x v="0"/>
    <x v="1"/>
    <x v="0"/>
    <x v="0"/>
    <n v="6.44"/>
    <n v="1"/>
    <x v="2001"/>
    <x v="1"/>
    <n v="7.7"/>
  </r>
  <r>
    <x v="204"/>
    <x v="2"/>
    <x v="1"/>
    <x v="0"/>
    <x v="0"/>
    <n v="6.7"/>
    <n v="5"/>
    <x v="2002"/>
    <x v="1"/>
    <n v="8.1"/>
  </r>
  <r>
    <x v="204"/>
    <x v="0"/>
    <x v="1"/>
    <x v="1"/>
    <x v="0"/>
    <n v="5.6"/>
    <n v="4"/>
    <x v="2003"/>
    <x v="2"/>
    <n v="8"/>
  </r>
  <r>
    <x v="204"/>
    <x v="2"/>
    <x v="1"/>
    <x v="0"/>
    <x v="0"/>
    <n v="4.42"/>
    <n v="2"/>
    <x v="2004"/>
    <x v="0"/>
    <n v="6.8"/>
  </r>
  <r>
    <x v="204"/>
    <x v="0"/>
    <x v="1"/>
    <x v="1"/>
    <x v="0"/>
    <n v="5.37"/>
    <n v="1"/>
    <x v="2005"/>
    <x v="2"/>
    <n v="6.2"/>
  </r>
  <r>
    <x v="205"/>
    <x v="0"/>
    <x v="0"/>
    <x v="0"/>
    <x v="0"/>
    <n v="7.62"/>
    <n v="5"/>
    <x v="2006"/>
    <x v="1"/>
    <n v="5.9"/>
  </r>
  <r>
    <x v="205"/>
    <x v="0"/>
    <x v="1"/>
    <x v="0"/>
    <x v="4"/>
    <n v="60.48"/>
    <n v="1"/>
    <x v="2007"/>
    <x v="1"/>
    <n v="6.7"/>
  </r>
  <r>
    <x v="205"/>
    <x v="2"/>
    <x v="1"/>
    <x v="1"/>
    <x v="5"/>
    <n v="34.909999999999997"/>
    <n v="1"/>
    <x v="2008"/>
    <x v="2"/>
    <n v="7.2"/>
  </r>
  <r>
    <x v="205"/>
    <x v="0"/>
    <x v="1"/>
    <x v="1"/>
    <x v="0"/>
    <n v="6.43"/>
    <n v="2"/>
    <x v="2009"/>
    <x v="2"/>
    <n v="6.8"/>
  </r>
  <r>
    <x v="205"/>
    <x v="2"/>
    <x v="0"/>
    <x v="0"/>
    <x v="5"/>
    <n v="36.97"/>
    <n v="1"/>
    <x v="2010"/>
    <x v="1"/>
    <n v="7.2"/>
  </r>
  <r>
    <x v="205"/>
    <x v="1"/>
    <x v="1"/>
    <x v="1"/>
    <x v="0"/>
    <n v="5.4"/>
    <n v="4"/>
    <x v="1898"/>
    <x v="1"/>
    <n v="7"/>
  </r>
  <r>
    <x v="205"/>
    <x v="0"/>
    <x v="1"/>
    <x v="1"/>
    <x v="5"/>
    <n v="34.299999999999997"/>
    <n v="1"/>
    <x v="2011"/>
    <x v="1"/>
    <n v="7.4"/>
  </r>
  <r>
    <x v="205"/>
    <x v="1"/>
    <x v="0"/>
    <x v="1"/>
    <x v="0"/>
    <n v="5.21"/>
    <n v="2"/>
    <x v="2012"/>
    <x v="1"/>
    <n v="7.2"/>
  </r>
  <r>
    <x v="205"/>
    <x v="0"/>
    <x v="0"/>
    <x v="1"/>
    <x v="3"/>
    <n v="13.73"/>
    <n v="3"/>
    <x v="2013"/>
    <x v="0"/>
    <n v="7.1"/>
  </r>
  <r>
    <x v="205"/>
    <x v="0"/>
    <x v="1"/>
    <x v="1"/>
    <x v="5"/>
    <n v="22.33"/>
    <n v="3"/>
    <x v="2014"/>
    <x v="0"/>
    <n v="6.4"/>
  </r>
  <r>
    <x v="205"/>
    <x v="0"/>
    <x v="0"/>
    <x v="1"/>
    <x v="5"/>
    <n v="25.22"/>
    <n v="1"/>
    <x v="2015"/>
    <x v="0"/>
    <n v="6.8"/>
  </r>
  <r>
    <x v="205"/>
    <x v="2"/>
    <x v="1"/>
    <x v="0"/>
    <x v="0"/>
    <n v="3.85"/>
    <n v="4"/>
    <x v="2016"/>
    <x v="2"/>
    <n v="7.2"/>
  </r>
  <r>
    <x v="205"/>
    <x v="0"/>
    <x v="1"/>
    <x v="0"/>
    <x v="0"/>
    <n v="7.1"/>
    <n v="2"/>
    <x v="2017"/>
    <x v="2"/>
    <n v="7.7"/>
  </r>
  <r>
    <x v="205"/>
    <x v="2"/>
    <x v="0"/>
    <x v="1"/>
    <x v="5"/>
    <n v="27.63"/>
    <n v="4"/>
    <x v="2018"/>
    <x v="1"/>
    <n v="7.2"/>
  </r>
  <r>
    <x v="205"/>
    <x v="1"/>
    <x v="0"/>
    <x v="0"/>
    <x v="5"/>
    <n v="34.46"/>
    <n v="2"/>
    <x v="2019"/>
    <x v="2"/>
    <n v="6.3"/>
  </r>
  <r>
    <x v="205"/>
    <x v="2"/>
    <x v="0"/>
    <x v="0"/>
    <x v="0"/>
    <n v="6.5"/>
    <n v="2"/>
    <x v="2020"/>
    <x v="1"/>
    <n v="7.3"/>
  </r>
  <r>
    <x v="205"/>
    <x v="0"/>
    <x v="1"/>
    <x v="0"/>
    <x v="5"/>
    <n v="22.75"/>
    <n v="4"/>
    <x v="2021"/>
    <x v="0"/>
    <n v="8.1"/>
  </r>
  <r>
    <x v="206"/>
    <x v="1"/>
    <x v="1"/>
    <x v="0"/>
    <x v="0"/>
    <n v="5.86"/>
    <n v="4"/>
    <x v="2022"/>
    <x v="0"/>
    <n v="6.1"/>
  </r>
  <r>
    <x v="206"/>
    <x v="2"/>
    <x v="1"/>
    <x v="1"/>
    <x v="0"/>
    <n v="3.18"/>
    <n v="4"/>
    <x v="2023"/>
    <x v="0"/>
    <n v="6"/>
  </r>
  <r>
    <x v="206"/>
    <x v="0"/>
    <x v="0"/>
    <x v="0"/>
    <x v="0"/>
    <n v="6.77"/>
    <n v="4"/>
    <x v="2024"/>
    <x v="0"/>
    <n v="6.7"/>
  </r>
  <r>
    <x v="206"/>
    <x v="0"/>
    <x v="1"/>
    <x v="0"/>
    <x v="0"/>
    <n v="5.74"/>
    <n v="4"/>
    <x v="329"/>
    <x v="2"/>
    <n v="7.9"/>
  </r>
  <r>
    <x v="206"/>
    <x v="2"/>
    <x v="0"/>
    <x v="0"/>
    <x v="0"/>
    <n v="3.67"/>
    <n v="3"/>
    <x v="2025"/>
    <x v="2"/>
    <n v="7.4"/>
  </r>
  <r>
    <x v="206"/>
    <x v="0"/>
    <x v="0"/>
    <x v="1"/>
    <x v="5"/>
    <n v="21.08"/>
    <n v="4"/>
    <x v="2026"/>
    <x v="0"/>
    <n v="7.7"/>
  </r>
  <r>
    <x v="206"/>
    <x v="0"/>
    <x v="1"/>
    <x v="0"/>
    <x v="3"/>
    <n v="12.14"/>
    <n v="1"/>
    <x v="2027"/>
    <x v="1"/>
    <n v="6.4"/>
  </r>
  <r>
    <x v="206"/>
    <x v="1"/>
    <x v="0"/>
    <x v="0"/>
    <x v="5"/>
    <n v="33.130000000000003"/>
    <n v="2"/>
    <x v="2028"/>
    <x v="1"/>
    <n v="7.5"/>
  </r>
  <r>
    <x v="206"/>
    <x v="1"/>
    <x v="1"/>
    <x v="1"/>
    <x v="3"/>
    <n v="15.15"/>
    <n v="2"/>
    <x v="2029"/>
    <x v="0"/>
    <n v="6.5"/>
  </r>
  <r>
    <x v="206"/>
    <x v="1"/>
    <x v="1"/>
    <x v="1"/>
    <x v="0"/>
    <n v="4.49"/>
    <n v="2"/>
    <x v="2030"/>
    <x v="1"/>
    <n v="8.8000000000000007"/>
  </r>
  <r>
    <x v="207"/>
    <x v="2"/>
    <x v="0"/>
    <x v="1"/>
    <x v="5"/>
    <n v="36.69"/>
    <n v="3"/>
    <x v="2031"/>
    <x v="0"/>
    <n v="6.9"/>
  </r>
  <r>
    <x v="207"/>
    <x v="1"/>
    <x v="1"/>
    <x v="1"/>
    <x v="3"/>
    <n v="13.78"/>
    <n v="2"/>
    <x v="2032"/>
    <x v="2"/>
    <n v="7"/>
  </r>
  <r>
    <x v="207"/>
    <x v="2"/>
    <x v="0"/>
    <x v="0"/>
    <x v="5"/>
    <n v="16.260000000000002"/>
    <n v="3"/>
    <x v="2033"/>
    <x v="2"/>
    <n v="7.9"/>
  </r>
  <r>
    <x v="207"/>
    <x v="0"/>
    <x v="1"/>
    <x v="1"/>
    <x v="0"/>
    <n v="6.24"/>
    <n v="2"/>
    <x v="1588"/>
    <x v="1"/>
    <n v="6.4"/>
  </r>
  <r>
    <x v="207"/>
    <x v="0"/>
    <x v="1"/>
    <x v="1"/>
    <x v="0"/>
    <n v="7.67"/>
    <n v="2"/>
    <x v="48"/>
    <x v="0"/>
    <n v="8.6999999999999993"/>
  </r>
  <r>
    <x v="207"/>
    <x v="1"/>
    <x v="1"/>
    <x v="1"/>
    <x v="0"/>
    <n v="6.7"/>
    <n v="3"/>
    <x v="2034"/>
    <x v="1"/>
    <n v="7.2"/>
  </r>
  <r>
    <x v="207"/>
    <x v="2"/>
    <x v="1"/>
    <x v="1"/>
    <x v="0"/>
    <n v="5.35"/>
    <n v="4"/>
    <x v="2035"/>
    <x v="2"/>
    <n v="7.7"/>
  </r>
  <r>
    <x v="207"/>
    <x v="2"/>
    <x v="1"/>
    <x v="1"/>
    <x v="0"/>
    <n v="6.09"/>
    <n v="3"/>
    <x v="2036"/>
    <x v="2"/>
    <n v="6.4"/>
  </r>
  <r>
    <x v="207"/>
    <x v="0"/>
    <x v="1"/>
    <x v="0"/>
    <x v="5"/>
    <n v="16.03"/>
    <n v="4"/>
    <x v="2037"/>
    <x v="2"/>
    <n v="5.7"/>
  </r>
  <r>
    <x v="207"/>
    <x v="0"/>
    <x v="1"/>
    <x v="0"/>
    <x v="0"/>
    <n v="3.42"/>
    <n v="2"/>
    <x v="2038"/>
    <x v="2"/>
    <n v="7.5"/>
  </r>
  <r>
    <x v="207"/>
    <x v="0"/>
    <x v="1"/>
    <x v="0"/>
    <x v="0"/>
    <n v="6.33"/>
    <n v="2"/>
    <x v="2039"/>
    <x v="1"/>
    <n v="7.6"/>
  </r>
  <r>
    <x v="207"/>
    <x v="1"/>
    <x v="0"/>
    <x v="0"/>
    <x v="0"/>
    <n v="6.91"/>
    <n v="3"/>
    <x v="1447"/>
    <x v="1"/>
    <n v="8.8000000000000007"/>
  </r>
  <r>
    <x v="208"/>
    <x v="1"/>
    <x v="1"/>
    <x v="1"/>
    <x v="0"/>
    <n v="7.1"/>
    <n v="1"/>
    <x v="2040"/>
    <x v="2"/>
    <n v="7.2"/>
  </r>
  <r>
    <x v="208"/>
    <x v="0"/>
    <x v="1"/>
    <x v="0"/>
    <x v="5"/>
    <n v="25.95"/>
    <n v="3"/>
    <x v="2041"/>
    <x v="1"/>
    <n v="8.1999999999999993"/>
  </r>
  <r>
    <x v="208"/>
    <x v="0"/>
    <x v="1"/>
    <x v="1"/>
    <x v="0"/>
    <n v="4.91"/>
    <n v="1"/>
    <x v="2042"/>
    <x v="0"/>
    <n v="9.3000000000000007"/>
  </r>
  <r>
    <x v="208"/>
    <x v="2"/>
    <x v="1"/>
    <x v="1"/>
    <x v="0"/>
    <n v="5.94"/>
    <n v="2"/>
    <x v="2043"/>
    <x v="0"/>
    <n v="8.1999999999999993"/>
  </r>
  <r>
    <x v="208"/>
    <x v="0"/>
    <x v="0"/>
    <x v="0"/>
    <x v="0"/>
    <n v="3.95"/>
    <n v="2"/>
    <x v="1899"/>
    <x v="1"/>
    <n v="6.6"/>
  </r>
  <r>
    <x v="208"/>
    <x v="0"/>
    <x v="1"/>
    <x v="1"/>
    <x v="0"/>
    <n v="6.83"/>
    <n v="4"/>
    <x v="1814"/>
    <x v="2"/>
    <n v="7.7"/>
  </r>
  <r>
    <x v="208"/>
    <x v="1"/>
    <x v="0"/>
    <x v="1"/>
    <x v="0"/>
    <n v="7.58"/>
    <n v="3"/>
    <x v="2044"/>
    <x v="1"/>
    <n v="8.5"/>
  </r>
  <r>
    <x v="208"/>
    <x v="1"/>
    <x v="0"/>
    <x v="0"/>
    <x v="3"/>
    <n v="11.54"/>
    <n v="1"/>
    <x v="2045"/>
    <x v="0"/>
    <n v="7.3"/>
  </r>
  <r>
    <x v="208"/>
    <x v="0"/>
    <x v="1"/>
    <x v="0"/>
    <x v="5"/>
    <n v="24.78"/>
    <n v="2"/>
    <x v="2046"/>
    <x v="0"/>
    <n v="6"/>
  </r>
  <r>
    <x v="208"/>
    <x v="1"/>
    <x v="1"/>
    <x v="1"/>
    <x v="1"/>
    <n v="94.77"/>
    <n v="1"/>
    <x v="2047"/>
    <x v="2"/>
    <n v="7.6"/>
  </r>
  <r>
    <x v="208"/>
    <x v="0"/>
    <x v="1"/>
    <x v="1"/>
    <x v="0"/>
    <n v="3.76"/>
    <n v="5"/>
    <x v="2048"/>
    <x v="0"/>
    <n v="6.6"/>
  </r>
  <r>
    <x v="208"/>
    <x v="2"/>
    <x v="1"/>
    <x v="0"/>
    <x v="5"/>
    <n v="26.01"/>
    <n v="2"/>
    <x v="2049"/>
    <x v="0"/>
    <n v="5.4"/>
  </r>
  <r>
    <x v="209"/>
    <x v="2"/>
    <x v="1"/>
    <x v="0"/>
    <x v="5"/>
    <n v="20.2"/>
    <n v="2"/>
    <x v="2050"/>
    <x v="0"/>
    <n v="6.6"/>
  </r>
  <r>
    <x v="209"/>
    <x v="1"/>
    <x v="1"/>
    <x v="0"/>
    <x v="0"/>
    <n v="5.29"/>
    <n v="1"/>
    <x v="2051"/>
    <x v="0"/>
    <n v="7.6"/>
  </r>
  <r>
    <x v="209"/>
    <x v="1"/>
    <x v="0"/>
    <x v="0"/>
    <x v="0"/>
    <n v="7.42"/>
    <n v="4"/>
    <x v="2052"/>
    <x v="0"/>
    <n v="7.2"/>
  </r>
  <r>
    <x v="209"/>
    <x v="1"/>
    <x v="1"/>
    <x v="0"/>
    <x v="4"/>
    <n v="68.959999999999994"/>
    <n v="5"/>
    <x v="2053"/>
    <x v="2"/>
    <n v="7"/>
  </r>
  <r>
    <x v="209"/>
    <x v="2"/>
    <x v="0"/>
    <x v="0"/>
    <x v="4"/>
    <n v="48.4"/>
    <n v="2"/>
    <x v="184"/>
    <x v="0"/>
    <n v="6.6"/>
  </r>
  <r>
    <x v="209"/>
    <x v="2"/>
    <x v="1"/>
    <x v="0"/>
    <x v="0"/>
    <n v="6.38"/>
    <n v="2"/>
    <x v="2054"/>
    <x v="2"/>
    <n v="8.4"/>
  </r>
  <r>
    <x v="209"/>
    <x v="2"/>
    <x v="1"/>
    <x v="1"/>
    <x v="0"/>
    <n v="4.54"/>
    <n v="3"/>
    <x v="1609"/>
    <x v="1"/>
    <n v="9.4"/>
  </r>
  <r>
    <x v="209"/>
    <x v="1"/>
    <x v="1"/>
    <x v="1"/>
    <x v="1"/>
    <n v="79.56"/>
    <n v="2"/>
    <x v="2055"/>
    <x v="1"/>
    <n v="7.3"/>
  </r>
  <r>
    <x v="209"/>
    <x v="0"/>
    <x v="1"/>
    <x v="1"/>
    <x v="0"/>
    <n v="5.9"/>
    <n v="3"/>
    <x v="2056"/>
    <x v="0"/>
    <n v="7.2"/>
  </r>
  <r>
    <x v="210"/>
    <x v="0"/>
    <x v="1"/>
    <x v="0"/>
    <x v="3"/>
    <n v="18.670000000000002"/>
    <n v="1"/>
    <x v="2057"/>
    <x v="0"/>
    <n v="7.2"/>
  </r>
  <r>
    <x v="210"/>
    <x v="2"/>
    <x v="1"/>
    <x v="1"/>
    <x v="2"/>
    <n v="57.64"/>
    <n v="3"/>
    <x v="2058"/>
    <x v="2"/>
    <n v="8.6999999999999993"/>
  </r>
  <r>
    <x v="210"/>
    <x v="1"/>
    <x v="1"/>
    <x v="1"/>
    <x v="2"/>
    <n v="67.03"/>
    <n v="1"/>
    <x v="2059"/>
    <x v="2"/>
    <n v="7"/>
  </r>
  <r>
    <x v="210"/>
    <x v="2"/>
    <x v="1"/>
    <x v="1"/>
    <x v="0"/>
    <n v="7.58"/>
    <n v="2"/>
    <x v="1855"/>
    <x v="1"/>
    <n v="8.3000000000000007"/>
  </r>
  <r>
    <x v="210"/>
    <x v="0"/>
    <x v="1"/>
    <x v="0"/>
    <x v="5"/>
    <n v="34.82"/>
    <n v="4"/>
    <x v="2060"/>
    <x v="1"/>
    <n v="6.5"/>
  </r>
  <r>
    <x v="210"/>
    <x v="2"/>
    <x v="0"/>
    <x v="0"/>
    <x v="5"/>
    <n v="24.29"/>
    <n v="2"/>
    <x v="2061"/>
    <x v="2"/>
    <n v="7.4"/>
  </r>
  <r>
    <x v="210"/>
    <x v="0"/>
    <x v="0"/>
    <x v="0"/>
    <x v="4"/>
    <n v="65.239999999999995"/>
    <n v="3"/>
    <x v="2062"/>
    <x v="1"/>
    <n v="7.6"/>
  </r>
  <r>
    <x v="210"/>
    <x v="0"/>
    <x v="1"/>
    <x v="1"/>
    <x v="1"/>
    <n v="86.1"/>
    <n v="2"/>
    <x v="2063"/>
    <x v="1"/>
    <n v="7.6"/>
  </r>
  <r>
    <x v="210"/>
    <x v="2"/>
    <x v="1"/>
    <x v="1"/>
    <x v="0"/>
    <n v="7.93"/>
    <n v="4"/>
    <x v="2064"/>
    <x v="0"/>
    <n v="8.4"/>
  </r>
  <r>
    <x v="210"/>
    <x v="0"/>
    <x v="0"/>
    <x v="0"/>
    <x v="5"/>
    <n v="23.8"/>
    <n v="1"/>
    <x v="2065"/>
    <x v="0"/>
    <n v="5.9"/>
  </r>
  <r>
    <x v="210"/>
    <x v="2"/>
    <x v="1"/>
    <x v="0"/>
    <x v="4"/>
    <n v="62.07"/>
    <n v="4"/>
    <x v="2066"/>
    <x v="2"/>
    <n v="8.3000000000000007"/>
  </r>
  <r>
    <x v="210"/>
    <x v="2"/>
    <x v="1"/>
    <x v="1"/>
    <x v="0"/>
    <n v="7.06"/>
    <n v="1"/>
    <x v="1910"/>
    <x v="2"/>
    <n v="7.3"/>
  </r>
  <r>
    <x v="211"/>
    <x v="0"/>
    <x v="1"/>
    <x v="1"/>
    <x v="5"/>
    <n v="20.02"/>
    <n v="1"/>
    <x v="2067"/>
    <x v="1"/>
    <n v="7.2"/>
  </r>
  <r>
    <x v="211"/>
    <x v="0"/>
    <x v="1"/>
    <x v="1"/>
    <x v="3"/>
    <n v="19.43"/>
    <n v="1"/>
    <x v="2068"/>
    <x v="1"/>
    <n v="8.8000000000000007"/>
  </r>
  <r>
    <x v="211"/>
    <x v="2"/>
    <x v="1"/>
    <x v="1"/>
    <x v="0"/>
    <n v="7.45"/>
    <n v="3"/>
    <x v="2069"/>
    <x v="1"/>
    <n v="5.8"/>
  </r>
  <r>
    <x v="211"/>
    <x v="2"/>
    <x v="0"/>
    <x v="0"/>
    <x v="5"/>
    <n v="32.25"/>
    <n v="4"/>
    <x v="498"/>
    <x v="2"/>
    <n v="5.9"/>
  </r>
  <r>
    <x v="211"/>
    <x v="0"/>
    <x v="1"/>
    <x v="1"/>
    <x v="0"/>
    <n v="5.35"/>
    <n v="3"/>
    <x v="2070"/>
    <x v="0"/>
    <n v="7.6"/>
  </r>
  <r>
    <x v="211"/>
    <x v="1"/>
    <x v="1"/>
    <x v="0"/>
    <x v="5"/>
    <n v="27.8"/>
    <n v="1"/>
    <x v="2071"/>
    <x v="0"/>
    <n v="5.4"/>
  </r>
  <r>
    <x v="211"/>
    <x v="2"/>
    <x v="1"/>
    <x v="1"/>
    <x v="0"/>
    <n v="7.93"/>
    <n v="4"/>
    <x v="2064"/>
    <x v="1"/>
    <n v="6.5"/>
  </r>
  <r>
    <x v="211"/>
    <x v="2"/>
    <x v="1"/>
    <x v="0"/>
    <x v="0"/>
    <n v="6.09"/>
    <n v="2"/>
    <x v="1762"/>
    <x v="1"/>
    <n v="7.4"/>
  </r>
  <r>
    <x v="211"/>
    <x v="0"/>
    <x v="1"/>
    <x v="1"/>
    <x v="0"/>
    <n v="3.93"/>
    <n v="3"/>
    <x v="2072"/>
    <x v="0"/>
    <n v="7.6"/>
  </r>
  <r>
    <x v="211"/>
    <x v="0"/>
    <x v="1"/>
    <x v="0"/>
    <x v="5"/>
    <n v="34.729999999999997"/>
    <n v="4"/>
    <x v="2073"/>
    <x v="1"/>
    <n v="7.4"/>
  </r>
  <r>
    <x v="211"/>
    <x v="0"/>
    <x v="1"/>
    <x v="1"/>
    <x v="4"/>
    <n v="67.69"/>
    <n v="5"/>
    <x v="2074"/>
    <x v="2"/>
    <n v="6.4"/>
  </r>
  <r>
    <x v="211"/>
    <x v="2"/>
    <x v="1"/>
    <x v="0"/>
    <x v="0"/>
    <n v="3.25"/>
    <n v="4"/>
    <x v="2020"/>
    <x v="2"/>
    <n v="7"/>
  </r>
  <r>
    <x v="211"/>
    <x v="0"/>
    <x v="1"/>
    <x v="0"/>
    <x v="0"/>
    <n v="3.88"/>
    <n v="1"/>
    <x v="2075"/>
    <x v="2"/>
    <n v="7.8"/>
  </r>
  <r>
    <x v="211"/>
    <x v="2"/>
    <x v="1"/>
    <x v="0"/>
    <x v="0"/>
    <n v="2.97"/>
    <n v="4"/>
    <x v="2043"/>
    <x v="2"/>
    <n v="7.5"/>
  </r>
  <r>
    <x v="211"/>
    <x v="0"/>
    <x v="1"/>
    <x v="0"/>
    <x v="4"/>
    <n v="69.239999999999995"/>
    <n v="2"/>
    <x v="252"/>
    <x v="2"/>
    <n v="7.7"/>
  </r>
  <r>
    <x v="212"/>
    <x v="0"/>
    <x v="1"/>
    <x v="0"/>
    <x v="0"/>
    <n v="3.96"/>
    <n v="2"/>
    <x v="1729"/>
    <x v="2"/>
    <n v="7.9"/>
  </r>
  <r>
    <x v="212"/>
    <x v="1"/>
    <x v="0"/>
    <x v="1"/>
    <x v="5"/>
    <n v="32.14"/>
    <n v="1"/>
    <x v="1730"/>
    <x v="1"/>
    <n v="7.1"/>
  </r>
  <r>
    <x v="212"/>
    <x v="0"/>
    <x v="1"/>
    <x v="1"/>
    <x v="3"/>
    <n v="12.4"/>
    <n v="1"/>
    <x v="1465"/>
    <x v="2"/>
    <n v="6.8"/>
  </r>
  <r>
    <x v="212"/>
    <x v="1"/>
    <x v="1"/>
    <x v="0"/>
    <x v="4"/>
    <n v="63.54"/>
    <n v="4"/>
    <x v="1731"/>
    <x v="1"/>
    <n v="7.1"/>
  </r>
  <r>
    <x v="212"/>
    <x v="0"/>
    <x v="1"/>
    <x v="1"/>
    <x v="0"/>
    <n v="3.36"/>
    <n v="3"/>
    <x v="1732"/>
    <x v="1"/>
    <n v="6.1"/>
  </r>
  <r>
    <x v="212"/>
    <x v="0"/>
    <x v="0"/>
    <x v="1"/>
    <x v="1"/>
    <n v="85.1"/>
    <n v="1"/>
    <x v="1733"/>
    <x v="2"/>
    <n v="8.8000000000000007"/>
  </r>
  <r>
    <x v="212"/>
    <x v="0"/>
    <x v="0"/>
    <x v="0"/>
    <x v="0"/>
    <n v="6.68"/>
    <n v="2"/>
    <x v="1734"/>
    <x v="0"/>
    <n v="8.6"/>
  </r>
  <r>
    <x v="212"/>
    <x v="0"/>
    <x v="1"/>
    <x v="0"/>
    <x v="0"/>
    <n v="6.36"/>
    <n v="3"/>
    <x v="1735"/>
    <x v="2"/>
    <n v="7.3"/>
  </r>
  <r>
    <x v="212"/>
    <x v="2"/>
    <x v="1"/>
    <x v="1"/>
    <x v="0"/>
    <n v="7.8"/>
    <n v="2"/>
    <x v="1736"/>
    <x v="2"/>
    <n v="8.9"/>
  </r>
  <r>
    <x v="212"/>
    <x v="0"/>
    <x v="1"/>
    <x v="1"/>
    <x v="0"/>
    <n v="6.02"/>
    <n v="2"/>
    <x v="1606"/>
    <x v="0"/>
    <n v="8.4"/>
  </r>
  <r>
    <x v="212"/>
    <x v="2"/>
    <x v="1"/>
    <x v="0"/>
    <x v="3"/>
    <n v="14.14"/>
    <n v="2"/>
    <x v="1737"/>
    <x v="2"/>
    <n v="5.4"/>
  </r>
  <r>
    <x v="212"/>
    <x v="0"/>
    <x v="1"/>
    <x v="0"/>
    <x v="3"/>
    <n v="19.420000000000002"/>
    <n v="3"/>
    <x v="1738"/>
    <x v="1"/>
    <n v="5.2"/>
  </r>
  <r>
    <x v="212"/>
    <x v="1"/>
    <x v="1"/>
    <x v="0"/>
    <x v="0"/>
    <n v="6.74"/>
    <n v="2"/>
    <x v="1739"/>
    <x v="2"/>
    <n v="6.4"/>
  </r>
  <r>
    <x v="212"/>
    <x v="2"/>
    <x v="1"/>
    <x v="0"/>
    <x v="5"/>
    <n v="32.94"/>
    <n v="3"/>
    <x v="1740"/>
    <x v="2"/>
    <n v="7.3"/>
  </r>
  <r>
    <x v="212"/>
    <x v="2"/>
    <x v="1"/>
    <x v="1"/>
    <x v="0"/>
    <n v="2.75"/>
    <n v="6"/>
    <x v="1741"/>
    <x v="0"/>
    <n v="7.2"/>
  </r>
  <r>
    <x v="212"/>
    <x v="2"/>
    <x v="1"/>
    <x v="0"/>
    <x v="4"/>
    <n v="51.31"/>
    <n v="1"/>
    <x v="1742"/>
    <x v="1"/>
    <n v="6"/>
  </r>
  <r>
    <x v="213"/>
    <x v="1"/>
    <x v="1"/>
    <x v="1"/>
    <x v="0"/>
    <n v="4.88"/>
    <n v="3"/>
    <x v="1743"/>
    <x v="2"/>
    <n v="7.9"/>
  </r>
  <r>
    <x v="213"/>
    <x v="1"/>
    <x v="0"/>
    <x v="1"/>
    <x v="5"/>
    <n v="26.23"/>
    <n v="3"/>
    <x v="1744"/>
    <x v="1"/>
    <n v="8.9"/>
  </r>
  <r>
    <x v="213"/>
    <x v="1"/>
    <x v="1"/>
    <x v="1"/>
    <x v="2"/>
    <n v="71.67"/>
    <n v="1"/>
    <x v="1745"/>
    <x v="1"/>
    <n v="7.5"/>
  </r>
  <r>
    <x v="213"/>
    <x v="1"/>
    <x v="1"/>
    <x v="0"/>
    <x v="4"/>
    <n v="56.04"/>
    <n v="4"/>
    <x v="1746"/>
    <x v="1"/>
    <n v="7.8"/>
  </r>
  <r>
    <x v="213"/>
    <x v="2"/>
    <x v="1"/>
    <x v="0"/>
    <x v="0"/>
    <n v="4.29"/>
    <n v="4"/>
    <x v="1747"/>
    <x v="2"/>
    <n v="6.5"/>
  </r>
  <r>
    <x v="213"/>
    <x v="0"/>
    <x v="1"/>
    <x v="1"/>
    <x v="0"/>
    <n v="6"/>
    <n v="3"/>
    <x v="1499"/>
    <x v="1"/>
    <n v="7.6"/>
  </r>
  <r>
    <x v="213"/>
    <x v="2"/>
    <x v="1"/>
    <x v="1"/>
    <x v="4"/>
    <n v="61.04"/>
    <n v="5"/>
    <x v="1748"/>
    <x v="0"/>
    <n v="7.1"/>
  </r>
  <r>
    <x v="213"/>
    <x v="2"/>
    <x v="1"/>
    <x v="0"/>
    <x v="0"/>
    <n v="3.46"/>
    <n v="3"/>
    <x v="1749"/>
    <x v="0"/>
    <n v="6"/>
  </r>
  <r>
    <x v="213"/>
    <x v="2"/>
    <x v="0"/>
    <x v="0"/>
    <x v="1"/>
    <n v="96.28"/>
    <n v="2"/>
    <x v="1750"/>
    <x v="2"/>
    <n v="8.4"/>
  </r>
  <r>
    <x v="214"/>
    <x v="2"/>
    <x v="0"/>
    <x v="1"/>
    <x v="0"/>
    <n v="4.1399999999999997"/>
    <n v="4"/>
    <x v="1751"/>
    <x v="2"/>
    <n v="7.2"/>
  </r>
  <r>
    <x v="214"/>
    <x v="0"/>
    <x v="1"/>
    <x v="1"/>
    <x v="0"/>
    <n v="4.55"/>
    <n v="2"/>
    <x v="1752"/>
    <x v="2"/>
    <n v="7.6"/>
  </r>
  <r>
    <x v="214"/>
    <x v="0"/>
    <x v="0"/>
    <x v="0"/>
    <x v="0"/>
    <n v="6.32"/>
    <n v="5"/>
    <x v="1753"/>
    <x v="1"/>
    <n v="7.2"/>
  </r>
  <r>
    <x v="214"/>
    <x v="1"/>
    <x v="1"/>
    <x v="0"/>
    <x v="0"/>
    <n v="7.28"/>
    <n v="4"/>
    <x v="1754"/>
    <x v="1"/>
    <n v="7.6"/>
  </r>
  <r>
    <x v="214"/>
    <x v="1"/>
    <x v="1"/>
    <x v="1"/>
    <x v="5"/>
    <n v="33.32"/>
    <n v="4"/>
    <x v="1755"/>
    <x v="2"/>
    <n v="6.8"/>
  </r>
  <r>
    <x v="214"/>
    <x v="0"/>
    <x v="1"/>
    <x v="0"/>
    <x v="0"/>
    <n v="4.3499999999999996"/>
    <n v="1"/>
    <x v="1756"/>
    <x v="1"/>
    <n v="6.3"/>
  </r>
  <r>
    <x v="214"/>
    <x v="1"/>
    <x v="0"/>
    <x v="0"/>
    <x v="0"/>
    <n v="3.59"/>
    <n v="2"/>
    <x v="1757"/>
    <x v="1"/>
    <n v="7.4"/>
  </r>
  <r>
    <x v="214"/>
    <x v="0"/>
    <x v="1"/>
    <x v="0"/>
    <x v="5"/>
    <n v="29.56"/>
    <n v="2"/>
    <x v="1758"/>
    <x v="0"/>
    <n v="7.8"/>
  </r>
  <r>
    <x v="214"/>
    <x v="0"/>
    <x v="1"/>
    <x v="0"/>
    <x v="0"/>
    <n v="6.55"/>
    <n v="3"/>
    <x v="1759"/>
    <x v="1"/>
    <n v="7.4"/>
  </r>
  <r>
    <x v="214"/>
    <x v="0"/>
    <x v="1"/>
    <x v="1"/>
    <x v="0"/>
    <n v="4.28"/>
    <n v="2"/>
    <x v="1760"/>
    <x v="0"/>
    <n v="6.3"/>
  </r>
  <r>
    <x v="214"/>
    <x v="2"/>
    <x v="1"/>
    <x v="1"/>
    <x v="4"/>
    <n v="70.27"/>
    <n v="4"/>
    <x v="1761"/>
    <x v="0"/>
    <n v="8.6"/>
  </r>
  <r>
    <x v="214"/>
    <x v="2"/>
    <x v="1"/>
    <x v="1"/>
    <x v="0"/>
    <n v="6.09"/>
    <n v="2"/>
    <x v="1762"/>
    <x v="1"/>
    <n v="7.4"/>
  </r>
  <r>
    <x v="214"/>
    <x v="2"/>
    <x v="0"/>
    <x v="0"/>
    <x v="3"/>
    <n v="13.06"/>
    <n v="1"/>
    <x v="1763"/>
    <x v="0"/>
    <n v="8.1"/>
  </r>
  <r>
    <x v="214"/>
    <x v="0"/>
    <x v="1"/>
    <x v="0"/>
    <x v="5"/>
    <n v="34.74"/>
    <n v="3"/>
    <x v="1764"/>
    <x v="2"/>
    <n v="8.1"/>
  </r>
  <r>
    <x v="214"/>
    <x v="2"/>
    <x v="0"/>
    <x v="1"/>
    <x v="5"/>
    <n v="33.43"/>
    <n v="3"/>
    <x v="1765"/>
    <x v="0"/>
    <n v="7"/>
  </r>
  <r>
    <x v="214"/>
    <x v="0"/>
    <x v="1"/>
    <x v="1"/>
    <x v="5"/>
    <n v="26.12"/>
    <n v="3"/>
    <x v="1766"/>
    <x v="0"/>
    <n v="8.4"/>
  </r>
  <r>
    <x v="214"/>
    <x v="1"/>
    <x v="1"/>
    <x v="0"/>
    <x v="0"/>
    <n v="7.73"/>
    <n v="8"/>
    <x v="1767"/>
    <x v="2"/>
    <n v="9.8000000000000007"/>
  </r>
  <r>
    <x v="214"/>
    <x v="2"/>
    <x v="1"/>
    <x v="1"/>
    <x v="0"/>
    <n v="5.8"/>
    <n v="3"/>
    <x v="1768"/>
    <x v="2"/>
    <n v="7.3"/>
  </r>
  <r>
    <x v="215"/>
    <x v="0"/>
    <x v="1"/>
    <x v="1"/>
    <x v="5"/>
    <n v="38.86"/>
    <n v="2"/>
    <x v="1769"/>
    <x v="1"/>
    <n v="7.7"/>
  </r>
  <r>
    <x v="215"/>
    <x v="0"/>
    <x v="1"/>
    <x v="1"/>
    <x v="4"/>
    <n v="63.94"/>
    <n v="4"/>
    <x v="1770"/>
    <x v="1"/>
    <n v="6.3"/>
  </r>
  <r>
    <x v="215"/>
    <x v="1"/>
    <x v="1"/>
    <x v="0"/>
    <x v="2"/>
    <n v="69.12"/>
    <n v="1"/>
    <x v="1494"/>
    <x v="0"/>
    <n v="8.4"/>
  </r>
  <r>
    <x v="215"/>
    <x v="2"/>
    <x v="1"/>
    <x v="0"/>
    <x v="3"/>
    <n v="12.47"/>
    <n v="3"/>
    <x v="1771"/>
    <x v="1"/>
    <n v="6.8"/>
  </r>
  <r>
    <x v="215"/>
    <x v="0"/>
    <x v="1"/>
    <x v="0"/>
    <x v="0"/>
    <n v="4.84"/>
    <n v="1"/>
    <x v="1772"/>
    <x v="0"/>
    <n v="6.7"/>
  </r>
  <r>
    <x v="215"/>
    <x v="2"/>
    <x v="1"/>
    <x v="1"/>
    <x v="0"/>
    <n v="2.57"/>
    <n v="2"/>
    <x v="1773"/>
    <x v="1"/>
    <n v="8.8000000000000007"/>
  </r>
  <r>
    <x v="215"/>
    <x v="2"/>
    <x v="1"/>
    <x v="1"/>
    <x v="0"/>
    <n v="7.81"/>
    <n v="3"/>
    <x v="1774"/>
    <x v="1"/>
    <n v="6.8"/>
  </r>
  <r>
    <x v="215"/>
    <x v="0"/>
    <x v="1"/>
    <x v="1"/>
    <x v="0"/>
    <n v="7.05"/>
    <n v="4"/>
    <x v="1775"/>
    <x v="0"/>
    <n v="7.9"/>
  </r>
  <r>
    <x v="215"/>
    <x v="1"/>
    <x v="1"/>
    <x v="0"/>
    <x v="0"/>
    <n v="4.33"/>
    <n v="2"/>
    <x v="1776"/>
    <x v="0"/>
    <n v="7.2"/>
  </r>
  <r>
    <x v="215"/>
    <x v="2"/>
    <x v="1"/>
    <x v="0"/>
    <x v="2"/>
    <n v="62.05"/>
    <n v="1"/>
    <x v="1777"/>
    <x v="1"/>
    <n v="7.7"/>
  </r>
  <r>
    <x v="215"/>
    <x v="2"/>
    <x v="0"/>
    <x v="0"/>
    <x v="4"/>
    <n v="73.540000000000006"/>
    <n v="3"/>
    <x v="1778"/>
    <x v="2"/>
    <n v="7.8"/>
  </r>
  <r>
    <x v="215"/>
    <x v="0"/>
    <x v="1"/>
    <x v="1"/>
    <x v="0"/>
    <n v="7.25"/>
    <n v="2"/>
    <x v="1779"/>
    <x v="2"/>
    <n v="7.5"/>
  </r>
  <r>
    <x v="215"/>
    <x v="2"/>
    <x v="1"/>
    <x v="1"/>
    <x v="5"/>
    <n v="22.46"/>
    <n v="4"/>
    <x v="1780"/>
    <x v="2"/>
    <n v="5.7"/>
  </r>
  <r>
    <x v="215"/>
    <x v="1"/>
    <x v="1"/>
    <x v="1"/>
    <x v="0"/>
    <n v="7.5"/>
    <n v="2"/>
    <x v="1600"/>
    <x v="2"/>
    <n v="8.1999999999999993"/>
  </r>
  <r>
    <x v="215"/>
    <x v="2"/>
    <x v="1"/>
    <x v="0"/>
    <x v="0"/>
    <n v="7.53"/>
    <n v="2"/>
    <x v="1781"/>
    <x v="2"/>
    <n v="6.5"/>
  </r>
  <r>
    <x v="216"/>
    <x v="0"/>
    <x v="0"/>
    <x v="0"/>
    <x v="0"/>
    <n v="5.25"/>
    <n v="1"/>
    <x v="1782"/>
    <x v="2"/>
    <n v="6.8"/>
  </r>
  <r>
    <x v="216"/>
    <x v="1"/>
    <x v="1"/>
    <x v="0"/>
    <x v="5"/>
    <n v="29.87"/>
    <n v="2"/>
    <x v="1783"/>
    <x v="1"/>
    <n v="8.1"/>
  </r>
  <r>
    <x v="216"/>
    <x v="2"/>
    <x v="1"/>
    <x v="1"/>
    <x v="4"/>
    <n v="72.72"/>
    <n v="1"/>
    <x v="214"/>
    <x v="1"/>
    <n v="7.1"/>
  </r>
  <r>
    <x v="216"/>
    <x v="0"/>
    <x v="1"/>
    <x v="1"/>
    <x v="5"/>
    <n v="28.9"/>
    <n v="3"/>
    <x v="1784"/>
    <x v="0"/>
    <n v="8.8000000000000007"/>
  </r>
  <r>
    <x v="216"/>
    <x v="2"/>
    <x v="1"/>
    <x v="0"/>
    <x v="5"/>
    <n v="30.95"/>
    <n v="3"/>
    <x v="1785"/>
    <x v="2"/>
    <n v="8.1999999999999993"/>
  </r>
  <r>
    <x v="216"/>
    <x v="0"/>
    <x v="1"/>
    <x v="0"/>
    <x v="4"/>
    <n v="65.27"/>
    <n v="4"/>
    <x v="1786"/>
    <x v="1"/>
    <n v="6.2"/>
  </r>
  <r>
    <x v="216"/>
    <x v="1"/>
    <x v="1"/>
    <x v="0"/>
    <x v="5"/>
    <n v="16.649999999999999"/>
    <n v="2"/>
    <x v="1787"/>
    <x v="2"/>
    <n v="6"/>
  </r>
  <r>
    <x v="216"/>
    <x v="2"/>
    <x v="0"/>
    <x v="0"/>
    <x v="0"/>
    <n v="7.22"/>
    <n v="6"/>
    <x v="1788"/>
    <x v="0"/>
    <n v="6.9"/>
  </r>
  <r>
    <x v="216"/>
    <x v="0"/>
    <x v="1"/>
    <x v="1"/>
    <x v="5"/>
    <n v="27.8"/>
    <n v="3"/>
    <x v="1789"/>
    <x v="1"/>
    <n v="6.3"/>
  </r>
  <r>
    <x v="216"/>
    <x v="1"/>
    <x v="1"/>
    <x v="1"/>
    <x v="5"/>
    <n v="32.99"/>
    <n v="3"/>
    <x v="1790"/>
    <x v="1"/>
    <n v="6"/>
  </r>
  <r>
    <x v="217"/>
    <x v="0"/>
    <x v="1"/>
    <x v="1"/>
    <x v="0"/>
    <n v="6.22"/>
    <n v="5"/>
    <x v="1791"/>
    <x v="2"/>
    <n v="8.1999999999999993"/>
  </r>
  <r>
    <x v="217"/>
    <x v="2"/>
    <x v="1"/>
    <x v="0"/>
    <x v="2"/>
    <n v="74.489999999999995"/>
    <n v="1"/>
    <x v="1792"/>
    <x v="1"/>
    <n v="7.7"/>
  </r>
  <r>
    <x v="217"/>
    <x v="2"/>
    <x v="1"/>
    <x v="1"/>
    <x v="2"/>
    <n v="58.27"/>
    <n v="2"/>
    <x v="1793"/>
    <x v="1"/>
    <n v="6"/>
  </r>
  <r>
    <x v="217"/>
    <x v="1"/>
    <x v="1"/>
    <x v="0"/>
    <x v="0"/>
    <n v="3.15"/>
    <n v="3"/>
    <x v="1794"/>
    <x v="2"/>
    <n v="6"/>
  </r>
  <r>
    <x v="217"/>
    <x v="0"/>
    <x v="1"/>
    <x v="1"/>
    <x v="2"/>
    <n v="70.900000000000006"/>
    <n v="1"/>
    <x v="1795"/>
    <x v="0"/>
    <n v="8"/>
  </r>
  <r>
    <x v="217"/>
    <x v="0"/>
    <x v="1"/>
    <x v="1"/>
    <x v="0"/>
    <n v="4.09"/>
    <n v="2"/>
    <x v="1796"/>
    <x v="1"/>
    <n v="7.5"/>
  </r>
  <r>
    <x v="217"/>
    <x v="0"/>
    <x v="0"/>
    <x v="1"/>
    <x v="4"/>
    <n v="70.739999999999995"/>
    <n v="3"/>
    <x v="1797"/>
    <x v="0"/>
    <n v="8.5"/>
  </r>
  <r>
    <x v="217"/>
    <x v="2"/>
    <x v="0"/>
    <x v="1"/>
    <x v="5"/>
    <n v="34.909999999999997"/>
    <n v="2"/>
    <x v="1798"/>
    <x v="1"/>
    <n v="6.1"/>
  </r>
  <r>
    <x v="217"/>
    <x v="0"/>
    <x v="0"/>
    <x v="0"/>
    <x v="3"/>
    <n v="18.34"/>
    <n v="3"/>
    <x v="1799"/>
    <x v="2"/>
    <n v="7.6"/>
  </r>
  <r>
    <x v="217"/>
    <x v="0"/>
    <x v="1"/>
    <x v="1"/>
    <x v="0"/>
    <n v="3.52"/>
    <n v="2"/>
    <x v="1800"/>
    <x v="2"/>
    <n v="6.5"/>
  </r>
  <r>
    <x v="217"/>
    <x v="2"/>
    <x v="0"/>
    <x v="0"/>
    <x v="0"/>
    <n v="5.38"/>
    <n v="3"/>
    <x v="1801"/>
    <x v="1"/>
    <n v="5.7"/>
  </r>
  <r>
    <x v="217"/>
    <x v="2"/>
    <x v="1"/>
    <x v="1"/>
    <x v="0"/>
    <n v="2.52"/>
    <n v="2"/>
    <x v="1802"/>
    <x v="2"/>
    <n v="8.5"/>
  </r>
  <r>
    <x v="217"/>
    <x v="1"/>
    <x v="1"/>
    <x v="1"/>
    <x v="0"/>
    <n v="6.29"/>
    <n v="3"/>
    <x v="1803"/>
    <x v="2"/>
    <n v="6"/>
  </r>
  <r>
    <x v="217"/>
    <x v="0"/>
    <x v="1"/>
    <x v="1"/>
    <x v="5"/>
    <n v="22.56"/>
    <n v="1"/>
    <x v="1804"/>
    <x v="2"/>
    <n v="6.8"/>
  </r>
  <r>
    <x v="217"/>
    <x v="2"/>
    <x v="0"/>
    <x v="0"/>
    <x v="5"/>
    <n v="29.69"/>
    <n v="2"/>
    <x v="1805"/>
    <x v="1"/>
    <n v="6.2"/>
  </r>
  <r>
    <x v="217"/>
    <x v="0"/>
    <x v="1"/>
    <x v="1"/>
    <x v="3"/>
    <n v="11.74"/>
    <n v="2"/>
    <x v="1806"/>
    <x v="1"/>
    <n v="6.8"/>
  </r>
  <r>
    <x v="218"/>
    <x v="2"/>
    <x v="0"/>
    <x v="1"/>
    <x v="4"/>
    <n v="55.23"/>
    <n v="5"/>
    <x v="1807"/>
    <x v="1"/>
    <n v="8.1"/>
  </r>
  <r>
    <x v="218"/>
    <x v="1"/>
    <x v="1"/>
    <x v="0"/>
    <x v="0"/>
    <n v="6.89"/>
    <n v="2"/>
    <x v="1211"/>
    <x v="1"/>
    <n v="8.6"/>
  </r>
  <r>
    <x v="218"/>
    <x v="2"/>
    <x v="1"/>
    <x v="0"/>
    <x v="0"/>
    <n v="3.37"/>
    <n v="5"/>
    <x v="1808"/>
    <x v="0"/>
    <n v="5.8"/>
  </r>
  <r>
    <x v="218"/>
    <x v="2"/>
    <x v="1"/>
    <x v="1"/>
    <x v="0"/>
    <n v="5.05"/>
    <n v="2"/>
    <x v="1809"/>
    <x v="1"/>
    <n v="7.6"/>
  </r>
  <r>
    <x v="218"/>
    <x v="1"/>
    <x v="1"/>
    <x v="0"/>
    <x v="0"/>
    <n v="4.17"/>
    <n v="2"/>
    <x v="1810"/>
    <x v="0"/>
    <n v="6.7"/>
  </r>
  <r>
    <x v="218"/>
    <x v="2"/>
    <x v="1"/>
    <x v="1"/>
    <x v="5"/>
    <n v="32.61"/>
    <n v="3"/>
    <x v="1811"/>
    <x v="1"/>
    <n v="5.4"/>
  </r>
  <r>
    <x v="218"/>
    <x v="0"/>
    <x v="1"/>
    <x v="1"/>
    <x v="0"/>
    <n v="3.44"/>
    <n v="2"/>
    <x v="1635"/>
    <x v="2"/>
    <n v="6.8"/>
  </r>
  <r>
    <x v="218"/>
    <x v="1"/>
    <x v="1"/>
    <x v="0"/>
    <x v="0"/>
    <n v="4.01"/>
    <n v="4"/>
    <x v="1812"/>
    <x v="2"/>
    <n v="8.1"/>
  </r>
  <r>
    <x v="219"/>
    <x v="2"/>
    <x v="1"/>
    <x v="0"/>
    <x v="4"/>
    <n v="65.05"/>
    <n v="5"/>
    <x v="1813"/>
    <x v="2"/>
    <n v="6.6"/>
  </r>
  <r>
    <x v="219"/>
    <x v="0"/>
    <x v="0"/>
    <x v="0"/>
    <x v="0"/>
    <n v="6.83"/>
    <n v="4"/>
    <x v="1814"/>
    <x v="1"/>
    <n v="7.9"/>
  </r>
  <r>
    <x v="219"/>
    <x v="2"/>
    <x v="0"/>
    <x v="0"/>
    <x v="2"/>
    <n v="59.69"/>
    <n v="1"/>
    <x v="1815"/>
    <x v="1"/>
    <n v="5.6"/>
  </r>
  <r>
    <x v="219"/>
    <x v="2"/>
    <x v="1"/>
    <x v="1"/>
    <x v="5"/>
    <n v="32.43"/>
    <n v="1"/>
    <x v="1816"/>
    <x v="2"/>
    <n v="9"/>
  </r>
  <r>
    <x v="219"/>
    <x v="1"/>
    <x v="1"/>
    <x v="0"/>
    <x v="0"/>
    <n v="5.49"/>
    <n v="1"/>
    <x v="1817"/>
    <x v="0"/>
    <n v="7.3"/>
  </r>
  <r>
    <x v="219"/>
    <x v="1"/>
    <x v="1"/>
    <x v="0"/>
    <x v="0"/>
    <n v="4.84"/>
    <n v="4"/>
    <x v="1818"/>
    <x v="0"/>
    <n v="6.6"/>
  </r>
  <r>
    <x v="219"/>
    <x v="0"/>
    <x v="0"/>
    <x v="1"/>
    <x v="3"/>
    <n v="9.08"/>
    <n v="1"/>
    <x v="1470"/>
    <x v="1"/>
    <n v="6"/>
  </r>
  <r>
    <x v="219"/>
    <x v="2"/>
    <x v="1"/>
    <x v="0"/>
    <x v="5"/>
    <n v="28.72"/>
    <n v="2"/>
    <x v="1819"/>
    <x v="1"/>
    <n v="7.4"/>
  </r>
  <r>
    <x v="219"/>
    <x v="0"/>
    <x v="1"/>
    <x v="1"/>
    <x v="0"/>
    <n v="3.78"/>
    <n v="2"/>
    <x v="1820"/>
    <x v="2"/>
    <n v="9.8000000000000007"/>
  </r>
  <r>
    <x v="219"/>
    <x v="0"/>
    <x v="1"/>
    <x v="1"/>
    <x v="4"/>
    <n v="54.4"/>
    <n v="2"/>
    <x v="1821"/>
    <x v="0"/>
    <n v="7.1"/>
  </r>
  <r>
    <x v="219"/>
    <x v="0"/>
    <x v="1"/>
    <x v="0"/>
    <x v="0"/>
    <n v="7.5"/>
    <n v="5"/>
    <x v="1822"/>
    <x v="0"/>
    <n v="7.9"/>
  </r>
  <r>
    <x v="219"/>
    <x v="0"/>
    <x v="1"/>
    <x v="1"/>
    <x v="1"/>
    <n v="95"/>
    <n v="1"/>
    <x v="848"/>
    <x v="0"/>
    <n v="6.8"/>
  </r>
  <r>
    <x v="219"/>
    <x v="0"/>
    <x v="0"/>
    <x v="0"/>
    <x v="4"/>
    <n v="61.86"/>
    <n v="4"/>
    <x v="1823"/>
    <x v="0"/>
    <n v="7"/>
  </r>
  <r>
    <x v="220"/>
    <x v="0"/>
    <x v="1"/>
    <x v="0"/>
    <x v="0"/>
    <n v="3.17"/>
    <n v="4"/>
    <x v="1824"/>
    <x v="1"/>
    <n v="7.4"/>
  </r>
  <r>
    <x v="220"/>
    <x v="1"/>
    <x v="1"/>
    <x v="0"/>
    <x v="5"/>
    <n v="35.35"/>
    <n v="1"/>
    <x v="1825"/>
    <x v="1"/>
    <n v="7.5"/>
  </r>
  <r>
    <x v="220"/>
    <x v="2"/>
    <x v="0"/>
    <x v="0"/>
    <x v="3"/>
    <n v="16.059999999999999"/>
    <n v="3"/>
    <x v="1826"/>
    <x v="1"/>
    <n v="6.9"/>
  </r>
  <r>
    <x v="220"/>
    <x v="2"/>
    <x v="1"/>
    <x v="1"/>
    <x v="3"/>
    <n v="14.21"/>
    <n v="3"/>
    <x v="1827"/>
    <x v="2"/>
    <n v="6.1"/>
  </r>
  <r>
    <x v="220"/>
    <x v="1"/>
    <x v="0"/>
    <x v="0"/>
    <x v="5"/>
    <n v="28.49"/>
    <n v="4"/>
    <x v="1828"/>
    <x v="2"/>
    <n v="7"/>
  </r>
  <r>
    <x v="220"/>
    <x v="1"/>
    <x v="1"/>
    <x v="1"/>
    <x v="0"/>
    <n v="5.43"/>
    <n v="3"/>
    <x v="1829"/>
    <x v="1"/>
    <n v="6.5"/>
  </r>
  <r>
    <x v="220"/>
    <x v="2"/>
    <x v="1"/>
    <x v="1"/>
    <x v="0"/>
    <n v="2.88"/>
    <n v="1"/>
    <x v="1830"/>
    <x v="2"/>
    <n v="9.1"/>
  </r>
  <r>
    <x v="220"/>
    <x v="2"/>
    <x v="0"/>
    <x v="0"/>
    <x v="0"/>
    <n v="7.61"/>
    <n v="4"/>
    <x v="1831"/>
    <x v="1"/>
    <n v="7.3"/>
  </r>
  <r>
    <x v="220"/>
    <x v="2"/>
    <x v="1"/>
    <x v="0"/>
    <x v="0"/>
    <n v="7.17"/>
    <n v="3"/>
    <x v="1832"/>
    <x v="1"/>
    <n v="7.3"/>
  </r>
  <r>
    <x v="220"/>
    <x v="0"/>
    <x v="0"/>
    <x v="0"/>
    <x v="4"/>
    <n v="53.9"/>
    <n v="5"/>
    <x v="1833"/>
    <x v="1"/>
    <n v="5.9"/>
  </r>
  <r>
    <x v="220"/>
    <x v="0"/>
    <x v="1"/>
    <x v="1"/>
    <x v="0"/>
    <n v="6.43"/>
    <n v="1"/>
    <x v="1834"/>
    <x v="1"/>
    <n v="7.1"/>
  </r>
  <r>
    <x v="220"/>
    <x v="0"/>
    <x v="1"/>
    <x v="1"/>
    <x v="0"/>
    <n v="7.14"/>
    <n v="5"/>
    <x v="1835"/>
    <x v="0"/>
    <n v="7.6"/>
  </r>
  <r>
    <x v="220"/>
    <x v="2"/>
    <x v="1"/>
    <x v="1"/>
    <x v="2"/>
    <n v="56.93"/>
    <n v="3"/>
    <x v="1836"/>
    <x v="2"/>
    <n v="7.2"/>
  </r>
  <r>
    <x v="220"/>
    <x v="1"/>
    <x v="1"/>
    <x v="1"/>
    <x v="0"/>
    <n v="3.58"/>
    <n v="6"/>
    <x v="1837"/>
    <x v="1"/>
    <n v="6.3"/>
  </r>
  <r>
    <x v="221"/>
    <x v="0"/>
    <x v="1"/>
    <x v="1"/>
    <x v="5"/>
    <n v="38.74"/>
    <n v="1"/>
    <x v="1838"/>
    <x v="1"/>
    <n v="5.9"/>
  </r>
  <r>
    <x v="221"/>
    <x v="0"/>
    <x v="1"/>
    <x v="0"/>
    <x v="0"/>
    <n v="4.1500000000000004"/>
    <n v="2"/>
    <x v="1839"/>
    <x v="1"/>
    <n v="6.9"/>
  </r>
  <r>
    <x v="221"/>
    <x v="0"/>
    <x v="1"/>
    <x v="1"/>
    <x v="5"/>
    <n v="31.21"/>
    <n v="2"/>
    <x v="1840"/>
    <x v="2"/>
    <n v="6.7"/>
  </r>
  <r>
    <x v="221"/>
    <x v="2"/>
    <x v="1"/>
    <x v="1"/>
    <x v="0"/>
    <n v="4.51"/>
    <n v="7"/>
    <x v="1841"/>
    <x v="2"/>
    <n v="7.6"/>
  </r>
  <r>
    <x v="221"/>
    <x v="0"/>
    <x v="1"/>
    <x v="0"/>
    <x v="0"/>
    <n v="5.46"/>
    <n v="3"/>
    <x v="1842"/>
    <x v="2"/>
    <n v="7"/>
  </r>
  <r>
    <x v="221"/>
    <x v="0"/>
    <x v="0"/>
    <x v="0"/>
    <x v="0"/>
    <n v="3.14"/>
    <n v="4"/>
    <x v="1843"/>
    <x v="0"/>
    <n v="6.2"/>
  </r>
  <r>
    <x v="221"/>
    <x v="2"/>
    <x v="1"/>
    <x v="0"/>
    <x v="3"/>
    <n v="12.21"/>
    <n v="2"/>
    <x v="1844"/>
    <x v="2"/>
    <n v="5.7"/>
  </r>
  <r>
    <x v="221"/>
    <x v="1"/>
    <x v="0"/>
    <x v="0"/>
    <x v="0"/>
    <n v="6.6"/>
    <n v="6"/>
    <x v="1845"/>
    <x v="0"/>
    <n v="7.2"/>
  </r>
  <r>
    <x v="221"/>
    <x v="0"/>
    <x v="1"/>
    <x v="0"/>
    <x v="3"/>
    <n v="7.79"/>
    <n v="1"/>
    <x v="1846"/>
    <x v="2"/>
    <n v="6.5"/>
  </r>
  <r>
    <x v="221"/>
    <x v="0"/>
    <x v="1"/>
    <x v="1"/>
    <x v="5"/>
    <n v="26.49"/>
    <n v="3"/>
    <x v="1847"/>
    <x v="2"/>
    <n v="7.2"/>
  </r>
  <r>
    <x v="221"/>
    <x v="1"/>
    <x v="1"/>
    <x v="1"/>
    <x v="2"/>
    <n v="50.63"/>
    <n v="2"/>
    <x v="1848"/>
    <x v="2"/>
    <n v="7.3"/>
  </r>
  <r>
    <x v="221"/>
    <x v="1"/>
    <x v="1"/>
    <x v="0"/>
    <x v="5"/>
    <n v="26.91"/>
    <n v="1"/>
    <x v="1849"/>
    <x v="1"/>
    <n v="7.2"/>
  </r>
  <r>
    <x v="221"/>
    <x v="2"/>
    <x v="1"/>
    <x v="1"/>
    <x v="4"/>
    <n v="65.61"/>
    <n v="4"/>
    <x v="1107"/>
    <x v="1"/>
    <n v="8.6999999999999993"/>
  </r>
  <r>
    <x v="221"/>
    <x v="1"/>
    <x v="1"/>
    <x v="0"/>
    <x v="0"/>
    <n v="6.96"/>
    <n v="1"/>
    <x v="1850"/>
    <x v="2"/>
    <n v="7.7"/>
  </r>
  <r>
    <x v="221"/>
    <x v="0"/>
    <x v="1"/>
    <x v="1"/>
    <x v="5"/>
    <n v="36.68"/>
    <n v="2"/>
    <x v="1851"/>
    <x v="2"/>
    <n v="6.7"/>
  </r>
  <r>
    <x v="221"/>
    <x v="1"/>
    <x v="1"/>
    <x v="0"/>
    <x v="4"/>
    <n v="54.82"/>
    <n v="3"/>
    <x v="1852"/>
    <x v="1"/>
    <n v="5.3"/>
  </r>
  <r>
    <x v="221"/>
    <x v="1"/>
    <x v="0"/>
    <x v="0"/>
    <x v="0"/>
    <n v="5.59"/>
    <n v="3"/>
    <x v="1853"/>
    <x v="1"/>
    <n v="7.5"/>
  </r>
  <r>
    <x v="222"/>
    <x v="1"/>
    <x v="1"/>
    <x v="1"/>
    <x v="5"/>
    <n v="29.13"/>
    <n v="3"/>
    <x v="1854"/>
    <x v="1"/>
    <n v="6"/>
  </r>
  <r>
    <x v="222"/>
    <x v="2"/>
    <x v="1"/>
    <x v="1"/>
    <x v="0"/>
    <n v="7.58"/>
    <n v="2"/>
    <x v="1855"/>
    <x v="0"/>
    <n v="7.5"/>
  </r>
  <r>
    <x v="222"/>
    <x v="0"/>
    <x v="0"/>
    <x v="0"/>
    <x v="0"/>
    <n v="4.7300000000000004"/>
    <n v="1"/>
    <x v="1856"/>
    <x v="0"/>
    <n v="6.7"/>
  </r>
  <r>
    <x v="222"/>
    <x v="0"/>
    <x v="0"/>
    <x v="1"/>
    <x v="0"/>
    <n v="5.65"/>
    <n v="3"/>
    <x v="1857"/>
    <x v="1"/>
    <n v="8.6"/>
  </r>
  <r>
    <x v="222"/>
    <x v="0"/>
    <x v="1"/>
    <x v="0"/>
    <x v="1"/>
    <n v="93.36"/>
    <n v="2"/>
    <x v="1858"/>
    <x v="2"/>
    <n v="6.8"/>
  </r>
  <r>
    <x v="222"/>
    <x v="2"/>
    <x v="0"/>
    <x v="1"/>
    <x v="0"/>
    <n v="4.24"/>
    <n v="4"/>
    <x v="1859"/>
    <x v="1"/>
    <n v="6.9"/>
  </r>
  <r>
    <x v="222"/>
    <x v="0"/>
    <x v="0"/>
    <x v="0"/>
    <x v="4"/>
    <n v="54.19"/>
    <n v="3"/>
    <x v="1860"/>
    <x v="2"/>
    <n v="7.5"/>
  </r>
  <r>
    <x v="222"/>
    <x v="2"/>
    <x v="1"/>
    <x v="0"/>
    <x v="0"/>
    <n v="4.74"/>
    <n v="3"/>
    <x v="1861"/>
    <x v="2"/>
    <n v="6.3"/>
  </r>
  <r>
    <x v="222"/>
    <x v="0"/>
    <x v="1"/>
    <x v="1"/>
    <x v="3"/>
    <n v="19.71"/>
    <n v="1"/>
    <x v="1469"/>
    <x v="1"/>
    <n v="7"/>
  </r>
  <r>
    <x v="222"/>
    <x v="0"/>
    <x v="1"/>
    <x v="0"/>
    <x v="2"/>
    <n v="67.459999999999994"/>
    <n v="2"/>
    <x v="1862"/>
    <x v="0"/>
    <n v="6.3"/>
  </r>
  <r>
    <x v="222"/>
    <x v="0"/>
    <x v="0"/>
    <x v="0"/>
    <x v="0"/>
    <n v="7.24"/>
    <n v="2"/>
    <x v="1863"/>
    <x v="0"/>
    <n v="8.4"/>
  </r>
  <r>
    <x v="223"/>
    <x v="1"/>
    <x v="1"/>
    <x v="0"/>
    <x v="0"/>
    <n v="6.3"/>
    <n v="3"/>
    <x v="1864"/>
    <x v="2"/>
    <n v="9.6999999999999993"/>
  </r>
  <r>
    <x v="223"/>
    <x v="2"/>
    <x v="1"/>
    <x v="1"/>
    <x v="0"/>
    <n v="7.27"/>
    <n v="2"/>
    <x v="1865"/>
    <x v="1"/>
    <n v="6.7"/>
  </r>
  <r>
    <x v="223"/>
    <x v="2"/>
    <x v="1"/>
    <x v="1"/>
    <x v="1"/>
    <n v="91.82"/>
    <n v="2"/>
    <x v="1866"/>
    <x v="0"/>
    <n v="6.6"/>
  </r>
  <r>
    <x v="223"/>
    <x v="0"/>
    <x v="1"/>
    <x v="0"/>
    <x v="0"/>
    <n v="2.39"/>
    <n v="2"/>
    <x v="1867"/>
    <x v="0"/>
    <n v="8"/>
  </r>
  <r>
    <x v="223"/>
    <x v="0"/>
    <x v="1"/>
    <x v="0"/>
    <x v="4"/>
    <n v="72.42"/>
    <n v="4"/>
    <x v="1868"/>
    <x v="1"/>
    <n v="6.9"/>
  </r>
  <r>
    <x v="223"/>
    <x v="2"/>
    <x v="1"/>
    <x v="1"/>
    <x v="4"/>
    <n v="61.39"/>
    <n v="4"/>
    <x v="1869"/>
    <x v="0"/>
    <n v="5.8"/>
  </r>
  <r>
    <x v="223"/>
    <x v="0"/>
    <x v="1"/>
    <x v="0"/>
    <x v="1"/>
    <n v="81.42"/>
    <n v="2"/>
    <x v="1870"/>
    <x v="0"/>
    <n v="6.1"/>
  </r>
  <r>
    <x v="223"/>
    <x v="0"/>
    <x v="1"/>
    <x v="0"/>
    <x v="5"/>
    <n v="26.85"/>
    <n v="2"/>
    <x v="1871"/>
    <x v="2"/>
    <n v="6.6"/>
  </r>
  <r>
    <x v="223"/>
    <x v="1"/>
    <x v="1"/>
    <x v="0"/>
    <x v="5"/>
    <n v="27.29"/>
    <n v="2"/>
    <x v="1872"/>
    <x v="2"/>
    <n v="6.7"/>
  </r>
  <r>
    <x v="224"/>
    <x v="1"/>
    <x v="1"/>
    <x v="1"/>
    <x v="1"/>
    <n v="85.6"/>
    <n v="2"/>
    <x v="1119"/>
    <x v="2"/>
    <n v="5.5"/>
  </r>
  <r>
    <x v="224"/>
    <x v="2"/>
    <x v="0"/>
    <x v="0"/>
    <x v="0"/>
    <n v="7.82"/>
    <n v="3"/>
    <x v="1873"/>
    <x v="1"/>
    <n v="7.1"/>
  </r>
  <r>
    <x v="224"/>
    <x v="0"/>
    <x v="1"/>
    <x v="1"/>
    <x v="5"/>
    <n v="33.1"/>
    <n v="3"/>
    <x v="1874"/>
    <x v="0"/>
    <n v="5.8"/>
  </r>
  <r>
    <x v="224"/>
    <x v="2"/>
    <x v="1"/>
    <x v="1"/>
    <x v="0"/>
    <n v="3.01"/>
    <n v="2"/>
    <x v="1875"/>
    <x v="1"/>
    <n v="7.4"/>
  </r>
  <r>
    <x v="224"/>
    <x v="2"/>
    <x v="1"/>
    <x v="0"/>
    <x v="0"/>
    <n v="5.16"/>
    <n v="3"/>
    <x v="1876"/>
    <x v="0"/>
    <n v="8.8000000000000007"/>
  </r>
  <r>
    <x v="224"/>
    <x v="0"/>
    <x v="1"/>
    <x v="1"/>
    <x v="0"/>
    <n v="7.64"/>
    <n v="2"/>
    <x v="1877"/>
    <x v="0"/>
    <n v="7.6"/>
  </r>
  <r>
    <x v="224"/>
    <x v="1"/>
    <x v="0"/>
    <x v="1"/>
    <x v="0"/>
    <n v="7.36"/>
    <n v="3"/>
    <x v="1878"/>
    <x v="1"/>
    <n v="7.4"/>
  </r>
  <r>
    <x v="224"/>
    <x v="0"/>
    <x v="1"/>
    <x v="1"/>
    <x v="0"/>
    <n v="3.88"/>
    <n v="3"/>
    <x v="1703"/>
    <x v="0"/>
    <n v="8.1"/>
  </r>
  <r>
    <x v="224"/>
    <x v="0"/>
    <x v="0"/>
    <x v="0"/>
    <x v="0"/>
    <n v="5.53"/>
    <n v="3"/>
    <x v="1879"/>
    <x v="2"/>
    <n v="8.6999999999999993"/>
  </r>
  <r>
    <x v="224"/>
    <x v="0"/>
    <x v="1"/>
    <x v="0"/>
    <x v="2"/>
    <n v="72.39"/>
    <n v="1"/>
    <x v="1880"/>
    <x v="2"/>
    <n v="5.3"/>
  </r>
  <r>
    <x v="224"/>
    <x v="0"/>
    <x v="0"/>
    <x v="0"/>
    <x v="3"/>
    <n v="12.38"/>
    <n v="3"/>
    <x v="1881"/>
    <x v="2"/>
    <n v="7.2"/>
  </r>
  <r>
    <x v="224"/>
    <x v="1"/>
    <x v="1"/>
    <x v="0"/>
    <x v="0"/>
    <n v="6.27"/>
    <n v="2"/>
    <x v="578"/>
    <x v="1"/>
    <n v="7.4"/>
  </r>
  <r>
    <x v="224"/>
    <x v="1"/>
    <x v="0"/>
    <x v="0"/>
    <x v="2"/>
    <n v="67.06"/>
    <n v="1"/>
    <x v="1882"/>
    <x v="0"/>
    <n v="6.9"/>
  </r>
  <r>
    <x v="224"/>
    <x v="2"/>
    <x v="1"/>
    <x v="1"/>
    <x v="0"/>
    <n v="7.21"/>
    <n v="6"/>
    <x v="1883"/>
    <x v="2"/>
    <n v="7.9"/>
  </r>
  <r>
    <x v="225"/>
    <x v="1"/>
    <x v="1"/>
    <x v="1"/>
    <x v="3"/>
    <n v="17.47"/>
    <n v="1"/>
    <x v="1884"/>
    <x v="1"/>
    <n v="6.5"/>
  </r>
  <r>
    <x v="225"/>
    <x v="0"/>
    <x v="1"/>
    <x v="0"/>
    <x v="5"/>
    <n v="32.79"/>
    <n v="1"/>
    <x v="1885"/>
    <x v="0"/>
    <n v="5.8"/>
  </r>
  <r>
    <x v="225"/>
    <x v="1"/>
    <x v="1"/>
    <x v="1"/>
    <x v="4"/>
    <n v="52.31"/>
    <n v="2"/>
    <x v="1886"/>
    <x v="2"/>
    <n v="6.2"/>
  </r>
  <r>
    <x v="225"/>
    <x v="1"/>
    <x v="1"/>
    <x v="1"/>
    <x v="3"/>
    <n v="14.75"/>
    <n v="1"/>
    <x v="1887"/>
    <x v="2"/>
    <n v="7.1"/>
  </r>
  <r>
    <x v="225"/>
    <x v="2"/>
    <x v="1"/>
    <x v="0"/>
    <x v="0"/>
    <n v="6.81"/>
    <n v="2"/>
    <x v="1888"/>
    <x v="1"/>
    <n v="9.6999999999999993"/>
  </r>
  <r>
    <x v="225"/>
    <x v="2"/>
    <x v="0"/>
    <x v="1"/>
    <x v="5"/>
    <n v="24.85"/>
    <n v="2"/>
    <x v="1889"/>
    <x v="1"/>
    <n v="7.9"/>
  </r>
  <r>
    <x v="225"/>
    <x v="2"/>
    <x v="0"/>
    <x v="0"/>
    <x v="5"/>
    <n v="21.5"/>
    <n v="2"/>
    <x v="1890"/>
    <x v="2"/>
    <n v="9.1999999999999993"/>
  </r>
  <r>
    <x v="225"/>
    <x v="2"/>
    <x v="0"/>
    <x v="0"/>
    <x v="5"/>
    <n v="32.380000000000003"/>
    <n v="4"/>
    <x v="1891"/>
    <x v="0"/>
    <n v="7"/>
  </r>
  <r>
    <x v="225"/>
    <x v="2"/>
    <x v="1"/>
    <x v="0"/>
    <x v="3"/>
    <n v="13.13"/>
    <n v="3"/>
    <x v="1892"/>
    <x v="1"/>
    <n v="8"/>
  </r>
  <r>
    <x v="225"/>
    <x v="1"/>
    <x v="1"/>
    <x v="0"/>
    <x v="0"/>
    <n v="5.36"/>
    <n v="3"/>
    <x v="1893"/>
    <x v="0"/>
    <n v="9"/>
  </r>
  <r>
    <x v="225"/>
    <x v="1"/>
    <x v="1"/>
    <x v="0"/>
    <x v="0"/>
    <n v="4.7"/>
    <n v="3"/>
    <x v="1894"/>
    <x v="0"/>
    <n v="8.1"/>
  </r>
  <r>
    <x v="225"/>
    <x v="0"/>
    <x v="1"/>
    <x v="1"/>
    <x v="5"/>
    <n v="25.37"/>
    <n v="2"/>
    <x v="1895"/>
    <x v="1"/>
    <n v="5.6"/>
  </r>
  <r>
    <x v="225"/>
    <x v="0"/>
    <x v="0"/>
    <x v="0"/>
    <x v="0"/>
    <n v="6.2"/>
    <n v="1"/>
    <x v="1896"/>
    <x v="1"/>
    <n v="8.6999999999999993"/>
  </r>
  <r>
    <x v="225"/>
    <x v="2"/>
    <x v="0"/>
    <x v="0"/>
    <x v="4"/>
    <n v="73.55"/>
    <n v="5"/>
    <x v="1897"/>
    <x v="0"/>
    <n v="7.4"/>
  </r>
  <r>
    <x v="226"/>
    <x v="1"/>
    <x v="0"/>
    <x v="1"/>
    <x v="0"/>
    <n v="5.99"/>
    <n v="3"/>
    <x v="1659"/>
    <x v="1"/>
    <n v="7.3"/>
  </r>
  <r>
    <x v="226"/>
    <x v="1"/>
    <x v="1"/>
    <x v="0"/>
    <x v="0"/>
    <n v="4.32"/>
    <n v="5"/>
    <x v="1898"/>
    <x v="2"/>
    <n v="6.9"/>
  </r>
  <r>
    <x v="226"/>
    <x v="2"/>
    <x v="1"/>
    <x v="0"/>
    <x v="0"/>
    <n v="7.9"/>
    <n v="1"/>
    <x v="1899"/>
    <x v="1"/>
    <n v="8.3000000000000007"/>
  </r>
  <r>
    <x v="226"/>
    <x v="2"/>
    <x v="0"/>
    <x v="0"/>
    <x v="0"/>
    <n v="7.14"/>
    <n v="3"/>
    <x v="1900"/>
    <x v="2"/>
    <n v="8.4"/>
  </r>
  <r>
    <x v="226"/>
    <x v="0"/>
    <x v="1"/>
    <x v="0"/>
    <x v="5"/>
    <n v="31.07"/>
    <n v="2"/>
    <x v="1901"/>
    <x v="1"/>
    <n v="6"/>
  </r>
  <r>
    <x v="226"/>
    <x v="0"/>
    <x v="0"/>
    <x v="0"/>
    <x v="3"/>
    <n v="13.83"/>
    <n v="3"/>
    <x v="1902"/>
    <x v="1"/>
    <n v="7.2"/>
  </r>
  <r>
    <x v="226"/>
    <x v="2"/>
    <x v="1"/>
    <x v="0"/>
    <x v="0"/>
    <n v="6.94"/>
    <n v="2"/>
    <x v="1903"/>
    <x v="1"/>
    <n v="7.3"/>
  </r>
  <r>
    <x v="226"/>
    <x v="0"/>
    <x v="1"/>
    <x v="1"/>
    <x v="5"/>
    <n v="30.64"/>
    <n v="1"/>
    <x v="1404"/>
    <x v="1"/>
    <n v="5.9"/>
  </r>
  <r>
    <x v="226"/>
    <x v="2"/>
    <x v="1"/>
    <x v="0"/>
    <x v="0"/>
    <n v="7.56"/>
    <n v="2"/>
    <x v="1904"/>
    <x v="2"/>
    <n v="7.4"/>
  </r>
  <r>
    <x v="227"/>
    <x v="2"/>
    <x v="0"/>
    <x v="1"/>
    <x v="1"/>
    <n v="94.92"/>
    <n v="1"/>
    <x v="1905"/>
    <x v="1"/>
    <n v="9.8000000000000007"/>
  </r>
  <r>
    <x v="227"/>
    <x v="0"/>
    <x v="1"/>
    <x v="1"/>
    <x v="5"/>
    <n v="30.64"/>
    <n v="3"/>
    <x v="1906"/>
    <x v="0"/>
    <n v="5.6"/>
  </r>
  <r>
    <x v="227"/>
    <x v="2"/>
    <x v="0"/>
    <x v="0"/>
    <x v="5"/>
    <n v="28.23"/>
    <n v="4"/>
    <x v="1907"/>
    <x v="2"/>
    <n v="8.1999999999999993"/>
  </r>
  <r>
    <x v="227"/>
    <x v="0"/>
    <x v="1"/>
    <x v="0"/>
    <x v="1"/>
    <n v="96.01"/>
    <n v="1"/>
    <x v="1908"/>
    <x v="0"/>
    <n v="8.3000000000000007"/>
  </r>
  <r>
    <x v="227"/>
    <x v="2"/>
    <x v="1"/>
    <x v="0"/>
    <x v="0"/>
    <n v="5.64"/>
    <n v="4"/>
    <x v="1804"/>
    <x v="0"/>
    <n v="8.5"/>
  </r>
  <r>
    <x v="227"/>
    <x v="0"/>
    <x v="0"/>
    <x v="1"/>
    <x v="0"/>
    <n v="5.45"/>
    <n v="1"/>
    <x v="1909"/>
    <x v="2"/>
    <n v="7.3"/>
  </r>
  <r>
    <x v="227"/>
    <x v="0"/>
    <x v="1"/>
    <x v="1"/>
    <x v="0"/>
    <n v="3.53"/>
    <n v="2"/>
    <x v="1910"/>
    <x v="1"/>
    <n v="7.4"/>
  </r>
  <r>
    <x v="227"/>
    <x v="1"/>
    <x v="1"/>
    <x v="1"/>
    <x v="3"/>
    <n v="5.37"/>
    <n v="2"/>
    <x v="1911"/>
    <x v="1"/>
    <n v="6.8"/>
  </r>
  <r>
    <x v="228"/>
    <x v="1"/>
    <x v="1"/>
    <x v="1"/>
    <x v="5"/>
    <n v="27.11"/>
    <n v="3"/>
    <x v="1912"/>
    <x v="1"/>
    <n v="8.1999999999999993"/>
  </r>
  <r>
    <x v="228"/>
    <x v="0"/>
    <x v="1"/>
    <x v="0"/>
    <x v="0"/>
    <n v="5.62"/>
    <n v="4"/>
    <x v="1913"/>
    <x v="2"/>
    <n v="7.4"/>
  </r>
  <r>
    <x v="228"/>
    <x v="1"/>
    <x v="1"/>
    <x v="0"/>
    <x v="0"/>
    <n v="5.68"/>
    <n v="5"/>
    <x v="1914"/>
    <x v="1"/>
    <n v="5.8"/>
  </r>
  <r>
    <x v="228"/>
    <x v="1"/>
    <x v="1"/>
    <x v="1"/>
    <x v="2"/>
    <n v="57.42"/>
    <n v="2"/>
    <x v="1915"/>
    <x v="0"/>
    <n v="6.8"/>
  </r>
  <r>
    <x v="228"/>
    <x v="0"/>
    <x v="0"/>
    <x v="0"/>
    <x v="5"/>
    <n v="33.9"/>
    <n v="1"/>
    <x v="1916"/>
    <x v="2"/>
    <n v="7.5"/>
  </r>
  <r>
    <x v="228"/>
    <x v="0"/>
    <x v="1"/>
    <x v="0"/>
    <x v="0"/>
    <n v="3.83"/>
    <n v="5"/>
    <x v="305"/>
    <x v="1"/>
    <n v="6.1"/>
  </r>
  <r>
    <x v="228"/>
    <x v="0"/>
    <x v="0"/>
    <x v="1"/>
    <x v="5"/>
    <n v="39.619999999999997"/>
    <n v="1"/>
    <x v="1917"/>
    <x v="1"/>
    <n v="6.8"/>
  </r>
  <r>
    <x v="228"/>
    <x v="0"/>
    <x v="1"/>
    <x v="1"/>
    <x v="0"/>
    <n v="5.41"/>
    <n v="2"/>
    <x v="1918"/>
    <x v="2"/>
    <n v="6.8"/>
  </r>
  <r>
    <x v="228"/>
    <x v="2"/>
    <x v="0"/>
    <x v="0"/>
    <x v="0"/>
    <n v="7.22"/>
    <n v="4"/>
    <x v="1919"/>
    <x v="1"/>
    <n v="7.4"/>
  </r>
  <r>
    <x v="229"/>
    <x v="1"/>
    <x v="1"/>
    <x v="1"/>
    <x v="0"/>
    <n v="5.01"/>
    <n v="3"/>
    <x v="1920"/>
    <x v="1"/>
    <n v="7.5"/>
  </r>
  <r>
    <x v="229"/>
    <x v="1"/>
    <x v="1"/>
    <x v="1"/>
    <x v="0"/>
    <n v="5.9"/>
    <n v="4"/>
    <x v="1422"/>
    <x v="0"/>
    <n v="7.2"/>
  </r>
  <r>
    <x v="229"/>
    <x v="2"/>
    <x v="1"/>
    <x v="1"/>
    <x v="0"/>
    <n v="6.03"/>
    <n v="5"/>
    <x v="1921"/>
    <x v="1"/>
    <n v="8.8000000000000007"/>
  </r>
  <r>
    <x v="229"/>
    <x v="2"/>
    <x v="1"/>
    <x v="1"/>
    <x v="0"/>
    <n v="6.42"/>
    <n v="1"/>
    <x v="1922"/>
    <x v="2"/>
    <n v="6.3"/>
  </r>
  <r>
    <x v="229"/>
    <x v="2"/>
    <x v="1"/>
    <x v="1"/>
    <x v="5"/>
    <n v="29.12"/>
    <n v="3"/>
    <x v="1923"/>
    <x v="1"/>
    <n v="6.7"/>
  </r>
  <r>
    <x v="229"/>
    <x v="1"/>
    <x v="1"/>
    <x v="1"/>
    <x v="0"/>
    <n v="2.34"/>
    <n v="4"/>
    <x v="1924"/>
    <x v="0"/>
    <n v="9"/>
  </r>
  <r>
    <x v="229"/>
    <x v="0"/>
    <x v="1"/>
    <x v="0"/>
    <x v="0"/>
    <n v="3.43"/>
    <n v="4"/>
    <x v="1366"/>
    <x v="2"/>
    <n v="8.3000000000000007"/>
  </r>
  <r>
    <x v="229"/>
    <x v="0"/>
    <x v="1"/>
    <x v="1"/>
    <x v="0"/>
    <n v="6.57"/>
    <n v="2"/>
    <x v="1925"/>
    <x v="2"/>
    <n v="6.9"/>
  </r>
  <r>
    <x v="229"/>
    <x v="2"/>
    <x v="0"/>
    <x v="0"/>
    <x v="2"/>
    <n v="73.400000000000006"/>
    <n v="2"/>
    <x v="1926"/>
    <x v="0"/>
    <n v="8.6999999999999993"/>
  </r>
  <r>
    <x v="229"/>
    <x v="2"/>
    <x v="1"/>
    <x v="0"/>
    <x v="3"/>
    <n v="15.82"/>
    <n v="1"/>
    <x v="1927"/>
    <x v="1"/>
    <n v="8.3000000000000007"/>
  </r>
  <r>
    <x v="229"/>
    <x v="0"/>
    <x v="0"/>
    <x v="0"/>
    <x v="2"/>
    <n v="58.14"/>
    <n v="2"/>
    <x v="1928"/>
    <x v="0"/>
    <n v="7.7"/>
  </r>
  <r>
    <x v="230"/>
    <x v="0"/>
    <x v="0"/>
    <x v="1"/>
    <x v="0"/>
    <n v="6.1"/>
    <n v="1"/>
    <x v="1929"/>
    <x v="2"/>
    <n v="7.7"/>
  </r>
  <r>
    <x v="230"/>
    <x v="0"/>
    <x v="0"/>
    <x v="0"/>
    <x v="3"/>
    <n v="6.81"/>
    <n v="2"/>
    <x v="1888"/>
    <x v="2"/>
    <n v="8.1999999999999993"/>
  </r>
  <r>
    <x v="230"/>
    <x v="2"/>
    <x v="1"/>
    <x v="1"/>
    <x v="0"/>
    <n v="7.11"/>
    <n v="3"/>
    <x v="1930"/>
    <x v="0"/>
    <n v="7.2"/>
  </r>
  <r>
    <x v="230"/>
    <x v="2"/>
    <x v="1"/>
    <x v="1"/>
    <x v="0"/>
    <n v="4.79"/>
    <n v="3"/>
    <x v="1931"/>
    <x v="2"/>
    <n v="6.3"/>
  </r>
  <r>
    <x v="230"/>
    <x v="0"/>
    <x v="0"/>
    <x v="1"/>
    <x v="5"/>
    <n v="33.200000000000003"/>
    <n v="3"/>
    <x v="1932"/>
    <x v="1"/>
    <n v="7.1"/>
  </r>
  <r>
    <x v="230"/>
    <x v="2"/>
    <x v="0"/>
    <x v="1"/>
    <x v="4"/>
    <n v="69.739999999999995"/>
    <n v="4"/>
    <x v="1933"/>
    <x v="0"/>
    <n v="6.9"/>
  </r>
  <r>
    <x v="230"/>
    <x v="0"/>
    <x v="1"/>
    <x v="0"/>
    <x v="2"/>
    <n v="61.82"/>
    <n v="2"/>
    <x v="1934"/>
    <x v="0"/>
    <n v="8.6"/>
  </r>
  <r>
    <x v="230"/>
    <x v="2"/>
    <x v="1"/>
    <x v="0"/>
    <x v="4"/>
    <n v="49.71"/>
    <n v="2"/>
    <x v="1144"/>
    <x v="2"/>
    <n v="6.9"/>
  </r>
  <r>
    <x v="230"/>
    <x v="1"/>
    <x v="1"/>
    <x v="1"/>
    <x v="0"/>
    <n v="2.98"/>
    <n v="3"/>
    <x v="1935"/>
    <x v="1"/>
    <n v="6.1"/>
  </r>
  <r>
    <x v="230"/>
    <x v="2"/>
    <x v="1"/>
    <x v="0"/>
    <x v="0"/>
    <n v="5.29"/>
    <n v="5"/>
    <x v="1936"/>
    <x v="2"/>
    <n v="6.6"/>
  </r>
  <r>
    <x v="230"/>
    <x v="0"/>
    <x v="0"/>
    <x v="0"/>
    <x v="4"/>
    <n v="68.19"/>
    <n v="2"/>
    <x v="1937"/>
    <x v="1"/>
    <n v="6.2"/>
  </r>
  <r>
    <x v="230"/>
    <x v="2"/>
    <x v="0"/>
    <x v="1"/>
    <x v="0"/>
    <n v="6.49"/>
    <n v="2"/>
    <x v="1938"/>
    <x v="0"/>
    <n v="9"/>
  </r>
  <r>
    <x v="230"/>
    <x v="2"/>
    <x v="0"/>
    <x v="0"/>
    <x v="3"/>
    <n v="14.32"/>
    <n v="3"/>
    <x v="640"/>
    <x v="1"/>
    <n v="7.4"/>
  </r>
  <r>
    <x v="230"/>
    <x v="2"/>
    <x v="0"/>
    <x v="0"/>
    <x v="3"/>
    <n v="15.19"/>
    <n v="2"/>
    <x v="1939"/>
    <x v="0"/>
    <n v="7.5"/>
  </r>
  <r>
    <x v="231"/>
    <x v="2"/>
    <x v="0"/>
    <x v="0"/>
    <x v="0"/>
    <n v="3.24"/>
    <n v="2"/>
    <x v="1940"/>
    <x v="0"/>
    <n v="8.3000000000000007"/>
  </r>
  <r>
    <x v="231"/>
    <x v="2"/>
    <x v="0"/>
    <x v="1"/>
    <x v="0"/>
    <n v="6.69"/>
    <n v="3"/>
    <x v="1941"/>
    <x v="0"/>
    <n v="7.4"/>
  </r>
  <r>
    <x v="231"/>
    <x v="2"/>
    <x v="0"/>
    <x v="1"/>
    <x v="0"/>
    <n v="6.78"/>
    <n v="3"/>
    <x v="1238"/>
    <x v="0"/>
    <n v="8.6999999999999993"/>
  </r>
  <r>
    <x v="231"/>
    <x v="0"/>
    <x v="1"/>
    <x v="1"/>
    <x v="0"/>
    <n v="2.69"/>
    <n v="1"/>
    <x v="1942"/>
    <x v="1"/>
    <n v="6.8"/>
  </r>
  <r>
    <x v="231"/>
    <x v="0"/>
    <x v="0"/>
    <x v="0"/>
    <x v="4"/>
    <n v="68.73"/>
    <n v="2"/>
    <x v="1943"/>
    <x v="0"/>
    <n v="6.6"/>
  </r>
  <r>
    <x v="231"/>
    <x v="2"/>
    <x v="1"/>
    <x v="1"/>
    <x v="0"/>
    <n v="2.68"/>
    <n v="4"/>
    <x v="1944"/>
    <x v="1"/>
    <n v="8.1"/>
  </r>
  <r>
    <x v="231"/>
    <x v="0"/>
    <x v="1"/>
    <x v="0"/>
    <x v="0"/>
    <n v="5.45"/>
    <n v="3"/>
    <x v="1945"/>
    <x v="1"/>
    <n v="8.8000000000000007"/>
  </r>
  <r>
    <x v="231"/>
    <x v="2"/>
    <x v="1"/>
    <x v="0"/>
    <x v="4"/>
    <n v="56.98"/>
    <n v="4"/>
    <x v="1946"/>
    <x v="0"/>
    <n v="8"/>
  </r>
  <r>
    <x v="231"/>
    <x v="2"/>
    <x v="1"/>
    <x v="0"/>
    <x v="5"/>
    <n v="16.87"/>
    <n v="3"/>
    <x v="1947"/>
    <x v="0"/>
    <n v="5.0999999999999996"/>
  </r>
  <r>
    <x v="232"/>
    <x v="1"/>
    <x v="0"/>
    <x v="1"/>
    <x v="0"/>
    <n v="7.4"/>
    <n v="5"/>
    <x v="731"/>
    <x v="2"/>
    <n v="8.1999999999999993"/>
  </r>
  <r>
    <x v="232"/>
    <x v="2"/>
    <x v="1"/>
    <x v="1"/>
    <x v="0"/>
    <n v="5.17"/>
    <n v="3"/>
    <x v="1948"/>
    <x v="1"/>
    <n v="7.7"/>
  </r>
  <r>
    <x v="232"/>
    <x v="2"/>
    <x v="1"/>
    <x v="1"/>
    <x v="5"/>
    <n v="27.52"/>
    <n v="2"/>
    <x v="1949"/>
    <x v="2"/>
    <n v="7.3"/>
  </r>
  <r>
    <x v="232"/>
    <x v="2"/>
    <x v="0"/>
    <x v="0"/>
    <x v="5"/>
    <n v="38.89"/>
    <n v="2"/>
    <x v="1950"/>
    <x v="2"/>
    <n v="6.9"/>
  </r>
  <r>
    <x v="232"/>
    <x v="1"/>
    <x v="1"/>
    <x v="1"/>
    <x v="0"/>
    <n v="6.68"/>
    <n v="3"/>
    <x v="1951"/>
    <x v="0"/>
    <n v="6.5"/>
  </r>
  <r>
    <x v="232"/>
    <x v="1"/>
    <x v="1"/>
    <x v="0"/>
    <x v="0"/>
    <n v="6.38"/>
    <n v="4"/>
    <x v="77"/>
    <x v="1"/>
    <n v="6.5"/>
  </r>
  <r>
    <x v="232"/>
    <x v="0"/>
    <x v="1"/>
    <x v="1"/>
    <x v="0"/>
    <n v="5.13"/>
    <n v="1"/>
    <x v="1952"/>
    <x v="0"/>
    <n v="7.8"/>
  </r>
  <r>
    <x v="232"/>
    <x v="0"/>
    <x v="0"/>
    <x v="0"/>
    <x v="5"/>
    <n v="31.79"/>
    <n v="4"/>
    <x v="1953"/>
    <x v="1"/>
    <n v="6.6"/>
  </r>
  <r>
    <x v="232"/>
    <x v="2"/>
    <x v="1"/>
    <x v="1"/>
    <x v="0"/>
    <n v="4.8099999999999996"/>
    <n v="2"/>
    <x v="1954"/>
    <x v="0"/>
    <n v="5.9"/>
  </r>
  <r>
    <x v="232"/>
    <x v="2"/>
    <x v="0"/>
    <x v="1"/>
    <x v="0"/>
    <n v="6.23"/>
    <n v="5"/>
    <x v="1955"/>
    <x v="2"/>
    <n v="8.6999999999999993"/>
  </r>
  <r>
    <x v="232"/>
    <x v="0"/>
    <x v="1"/>
    <x v="0"/>
    <x v="0"/>
    <n v="6.93"/>
    <n v="2"/>
    <x v="1556"/>
    <x v="0"/>
    <n v="7.2"/>
  </r>
  <r>
    <x v="232"/>
    <x v="1"/>
    <x v="1"/>
    <x v="1"/>
    <x v="0"/>
    <n v="4.08"/>
    <n v="3"/>
    <x v="1956"/>
    <x v="0"/>
    <n v="7"/>
  </r>
  <r>
    <x v="232"/>
    <x v="0"/>
    <x v="1"/>
    <x v="0"/>
    <x v="0"/>
    <n v="6.54"/>
    <n v="3"/>
    <x v="1957"/>
    <x v="1"/>
    <n v="8.6999999999999993"/>
  </r>
  <r>
    <x v="232"/>
    <x v="1"/>
    <x v="1"/>
    <x v="0"/>
    <x v="0"/>
    <n v="6.61"/>
    <n v="2"/>
    <x v="1958"/>
    <x v="2"/>
    <n v="7.4"/>
  </r>
  <r>
    <x v="233"/>
    <x v="2"/>
    <x v="1"/>
    <x v="1"/>
    <x v="0"/>
    <n v="5.37"/>
    <n v="2"/>
    <x v="1911"/>
    <x v="2"/>
    <n v="7.8"/>
  </r>
  <r>
    <x v="233"/>
    <x v="2"/>
    <x v="1"/>
    <x v="1"/>
    <x v="2"/>
    <n v="69.459999999999994"/>
    <n v="3"/>
    <x v="1959"/>
    <x v="1"/>
    <n v="6.7"/>
  </r>
  <r>
    <x v="233"/>
    <x v="2"/>
    <x v="1"/>
    <x v="1"/>
    <x v="0"/>
    <n v="5.98"/>
    <n v="3"/>
    <x v="1960"/>
    <x v="1"/>
    <n v="7.5"/>
  </r>
  <r>
    <x v="233"/>
    <x v="0"/>
    <x v="1"/>
    <x v="0"/>
    <x v="3"/>
    <n v="15.16"/>
    <n v="3"/>
    <x v="1961"/>
    <x v="2"/>
    <n v="7.1"/>
  </r>
  <r>
    <x v="233"/>
    <x v="2"/>
    <x v="1"/>
    <x v="0"/>
    <x v="5"/>
    <n v="28.58"/>
    <n v="4"/>
    <x v="1962"/>
    <x v="0"/>
    <n v="6.4"/>
  </r>
  <r>
    <x v="233"/>
    <x v="2"/>
    <x v="1"/>
    <x v="1"/>
    <x v="0"/>
    <n v="6.18"/>
    <n v="1"/>
    <x v="1963"/>
    <x v="1"/>
    <n v="6.8"/>
  </r>
  <r>
    <x v="233"/>
    <x v="1"/>
    <x v="0"/>
    <x v="1"/>
    <x v="0"/>
    <n v="7.14"/>
    <n v="6"/>
    <x v="1964"/>
    <x v="0"/>
    <n v="6.8"/>
  </r>
  <r>
    <x v="233"/>
    <x v="0"/>
    <x v="1"/>
    <x v="1"/>
    <x v="5"/>
    <n v="23.92"/>
    <n v="3"/>
    <x v="1965"/>
    <x v="1"/>
    <n v="8.8000000000000007"/>
  </r>
  <r>
    <x v="234"/>
    <x v="2"/>
    <x v="1"/>
    <x v="1"/>
    <x v="0"/>
    <n v="5.53"/>
    <n v="3"/>
    <x v="1879"/>
    <x v="1"/>
    <n v="5.5"/>
  </r>
  <r>
    <x v="234"/>
    <x v="1"/>
    <x v="1"/>
    <x v="0"/>
    <x v="0"/>
    <n v="3.55"/>
    <n v="1"/>
    <x v="1966"/>
    <x v="0"/>
    <n v="7.3"/>
  </r>
  <r>
    <x v="234"/>
    <x v="2"/>
    <x v="1"/>
    <x v="1"/>
    <x v="0"/>
    <n v="6.1"/>
    <n v="1"/>
    <x v="1929"/>
    <x v="1"/>
    <n v="7.2"/>
  </r>
  <r>
    <x v="234"/>
    <x v="0"/>
    <x v="1"/>
    <x v="1"/>
    <x v="5"/>
    <n v="24.15"/>
    <n v="2"/>
    <x v="1967"/>
    <x v="0"/>
    <n v="8.1"/>
  </r>
  <r>
    <x v="234"/>
    <x v="0"/>
    <x v="1"/>
    <x v="0"/>
    <x v="3"/>
    <n v="12.93"/>
    <n v="1"/>
    <x v="1968"/>
    <x v="2"/>
    <n v="8.3000000000000007"/>
  </r>
  <r>
    <x v="234"/>
    <x v="2"/>
    <x v="1"/>
    <x v="0"/>
    <x v="0"/>
    <n v="2.5"/>
    <n v="3"/>
    <x v="1969"/>
    <x v="1"/>
    <n v="6.6"/>
  </r>
  <r>
    <x v="234"/>
    <x v="2"/>
    <x v="1"/>
    <x v="1"/>
    <x v="5"/>
    <n v="32.65"/>
    <n v="3"/>
    <x v="1970"/>
    <x v="1"/>
    <n v="4.8"/>
  </r>
  <r>
    <x v="234"/>
    <x v="0"/>
    <x v="1"/>
    <x v="1"/>
    <x v="0"/>
    <n v="5.1100000000000003"/>
    <n v="2"/>
    <x v="1971"/>
    <x v="1"/>
    <n v="8.6"/>
  </r>
  <r>
    <x v="234"/>
    <x v="2"/>
    <x v="1"/>
    <x v="0"/>
    <x v="2"/>
    <n v="71.900000000000006"/>
    <n v="1"/>
    <x v="1972"/>
    <x v="2"/>
    <n v="7.4"/>
  </r>
  <r>
    <x v="234"/>
    <x v="1"/>
    <x v="1"/>
    <x v="1"/>
    <x v="0"/>
    <n v="6.2"/>
    <n v="3"/>
    <x v="1973"/>
    <x v="1"/>
    <n v="7.6"/>
  </r>
  <r>
    <x v="234"/>
    <x v="2"/>
    <x v="1"/>
    <x v="0"/>
    <x v="5"/>
    <n v="31.26"/>
    <n v="4"/>
    <x v="1974"/>
    <x v="0"/>
    <n v="7.6"/>
  </r>
  <r>
    <x v="234"/>
    <x v="1"/>
    <x v="1"/>
    <x v="0"/>
    <x v="0"/>
    <n v="6.08"/>
    <n v="3"/>
    <x v="1544"/>
    <x v="0"/>
    <n v="8.6"/>
  </r>
  <r>
    <x v="234"/>
    <x v="2"/>
    <x v="1"/>
    <x v="0"/>
    <x v="5"/>
    <n v="25.68"/>
    <n v="2"/>
    <x v="161"/>
    <x v="1"/>
    <n v="6.7"/>
  </r>
  <r>
    <x v="234"/>
    <x v="2"/>
    <x v="1"/>
    <x v="1"/>
    <x v="5"/>
    <n v="27.81"/>
    <n v="4"/>
    <x v="1975"/>
    <x v="0"/>
    <n v="7.8"/>
  </r>
  <r>
    <x v="234"/>
    <x v="0"/>
    <x v="0"/>
    <x v="1"/>
    <x v="5"/>
    <n v="20.39"/>
    <n v="3"/>
    <x v="1976"/>
    <x v="2"/>
    <n v="7.1"/>
  </r>
  <r>
    <x v="234"/>
    <x v="2"/>
    <x v="1"/>
    <x v="0"/>
    <x v="5"/>
    <n v="35.090000000000003"/>
    <n v="3"/>
    <x v="1977"/>
    <x v="0"/>
    <n v="8.6"/>
  </r>
  <r>
    <x v="234"/>
    <x v="0"/>
    <x v="0"/>
    <x v="0"/>
    <x v="3"/>
    <n v="7.16"/>
    <n v="2"/>
    <x v="1978"/>
    <x v="1"/>
    <n v="4.5999999999999996"/>
  </r>
  <r>
    <x v="235"/>
    <x v="0"/>
    <x v="1"/>
    <x v="0"/>
    <x v="0"/>
    <n v="6.69"/>
    <n v="5"/>
    <x v="1979"/>
    <x v="1"/>
    <n v="7"/>
  </r>
  <r>
    <x v="235"/>
    <x v="0"/>
    <x v="0"/>
    <x v="0"/>
    <x v="0"/>
    <n v="7.18"/>
    <n v="2"/>
    <x v="1044"/>
    <x v="2"/>
    <n v="7.6"/>
  </r>
  <r>
    <x v="235"/>
    <x v="1"/>
    <x v="1"/>
    <x v="1"/>
    <x v="0"/>
    <n v="7.26"/>
    <n v="2"/>
    <x v="1980"/>
    <x v="2"/>
    <n v="5.9"/>
  </r>
  <r>
    <x v="235"/>
    <x v="0"/>
    <x v="1"/>
    <x v="0"/>
    <x v="0"/>
    <n v="2.66"/>
    <n v="4"/>
    <x v="1981"/>
    <x v="1"/>
    <n v="9.6"/>
  </r>
  <r>
    <x v="235"/>
    <x v="1"/>
    <x v="1"/>
    <x v="0"/>
    <x v="0"/>
    <n v="6.54"/>
    <n v="5"/>
    <x v="1982"/>
    <x v="1"/>
    <n v="8.4"/>
  </r>
  <r>
    <x v="235"/>
    <x v="2"/>
    <x v="1"/>
    <x v="1"/>
    <x v="0"/>
    <n v="6.36"/>
    <n v="4"/>
    <x v="1983"/>
    <x v="0"/>
    <n v="6.9"/>
  </r>
  <r>
    <x v="235"/>
    <x v="2"/>
    <x v="1"/>
    <x v="0"/>
    <x v="0"/>
    <n v="7.35"/>
    <n v="4"/>
    <x v="1984"/>
    <x v="1"/>
    <n v="7"/>
  </r>
  <r>
    <x v="235"/>
    <x v="2"/>
    <x v="0"/>
    <x v="0"/>
    <x v="4"/>
    <n v="50.65"/>
    <n v="5"/>
    <x v="1985"/>
    <x v="0"/>
    <n v="6.3"/>
  </r>
  <r>
    <x v="236"/>
    <x v="1"/>
    <x v="0"/>
    <x v="0"/>
    <x v="0"/>
    <n v="5.54"/>
    <n v="6"/>
    <x v="1986"/>
    <x v="2"/>
    <n v="7.4"/>
  </r>
  <r>
    <x v="236"/>
    <x v="2"/>
    <x v="0"/>
    <x v="1"/>
    <x v="1"/>
    <n v="87.26"/>
    <n v="1"/>
    <x v="1987"/>
    <x v="1"/>
    <n v="5.6"/>
  </r>
  <r>
    <x v="236"/>
    <x v="2"/>
    <x v="1"/>
    <x v="0"/>
    <x v="0"/>
    <n v="7.17"/>
    <n v="4"/>
    <x v="1988"/>
    <x v="0"/>
    <n v="7.8"/>
  </r>
  <r>
    <x v="236"/>
    <x v="0"/>
    <x v="1"/>
    <x v="0"/>
    <x v="0"/>
    <n v="7.03"/>
    <n v="3"/>
    <x v="1989"/>
    <x v="2"/>
    <n v="8.1999999999999993"/>
  </r>
  <r>
    <x v="236"/>
    <x v="2"/>
    <x v="1"/>
    <x v="0"/>
    <x v="5"/>
    <n v="35.270000000000003"/>
    <n v="1"/>
    <x v="1990"/>
    <x v="2"/>
    <n v="6.6"/>
  </r>
  <r>
    <x v="236"/>
    <x v="1"/>
    <x v="0"/>
    <x v="1"/>
    <x v="0"/>
    <n v="5.12"/>
    <n v="6"/>
    <x v="1991"/>
    <x v="1"/>
    <n v="7.1"/>
  </r>
  <r>
    <x v="236"/>
    <x v="0"/>
    <x v="1"/>
    <x v="1"/>
    <x v="3"/>
    <n v="17.43"/>
    <n v="2"/>
    <x v="1992"/>
    <x v="0"/>
    <n v="7.8"/>
  </r>
  <r>
    <x v="236"/>
    <x v="2"/>
    <x v="1"/>
    <x v="1"/>
    <x v="0"/>
    <n v="6.13"/>
    <n v="4"/>
    <x v="1993"/>
    <x v="1"/>
    <n v="8.3000000000000007"/>
  </r>
  <r>
    <x v="236"/>
    <x v="1"/>
    <x v="1"/>
    <x v="0"/>
    <x v="5"/>
    <n v="36.61"/>
    <n v="2"/>
    <x v="1994"/>
    <x v="0"/>
    <n v="8.6"/>
  </r>
  <r>
    <x v="236"/>
    <x v="0"/>
    <x v="1"/>
    <x v="0"/>
    <x v="5"/>
    <n v="32.28"/>
    <n v="3"/>
    <x v="1995"/>
    <x v="1"/>
    <n v="6.6"/>
  </r>
  <r>
    <x v="236"/>
    <x v="2"/>
    <x v="1"/>
    <x v="0"/>
    <x v="0"/>
    <n v="5.76"/>
    <n v="2"/>
    <x v="1996"/>
    <x v="2"/>
    <n v="7.3"/>
  </r>
  <r>
    <x v="236"/>
    <x v="2"/>
    <x v="0"/>
    <x v="1"/>
    <x v="5"/>
    <n v="31.41"/>
    <n v="4"/>
    <x v="169"/>
    <x v="1"/>
    <n v="7.4"/>
  </r>
  <r>
    <x v="236"/>
    <x v="2"/>
    <x v="0"/>
    <x v="1"/>
    <x v="3"/>
    <n v="10.58"/>
    <n v="1"/>
    <x v="1997"/>
    <x v="2"/>
    <n v="7.3"/>
  </r>
  <r>
    <x v="236"/>
    <x v="1"/>
    <x v="0"/>
    <x v="0"/>
    <x v="0"/>
    <n v="6.26"/>
    <n v="2"/>
    <x v="1998"/>
    <x v="2"/>
    <n v="6"/>
  </r>
  <r>
    <x v="236"/>
    <x v="2"/>
    <x v="0"/>
    <x v="1"/>
    <x v="0"/>
    <n v="6.12"/>
    <n v="1"/>
    <x v="1718"/>
    <x v="2"/>
    <n v="8.8000000000000007"/>
  </r>
  <r>
    <x v="236"/>
    <x v="0"/>
    <x v="1"/>
    <x v="1"/>
    <x v="5"/>
    <n v="37.14"/>
    <n v="2"/>
    <x v="1999"/>
    <x v="0"/>
    <n v="7.2"/>
  </r>
  <r>
    <x v="237"/>
    <x v="1"/>
    <x v="1"/>
    <x v="1"/>
    <x v="0"/>
    <n v="2.92"/>
    <n v="3"/>
    <x v="2000"/>
    <x v="2"/>
    <n v="7.9"/>
  </r>
  <r>
    <x v="237"/>
    <x v="0"/>
    <x v="1"/>
    <x v="0"/>
    <x v="0"/>
    <n v="6.44"/>
    <n v="1"/>
    <x v="2001"/>
    <x v="1"/>
    <n v="7.7"/>
  </r>
  <r>
    <x v="237"/>
    <x v="2"/>
    <x v="1"/>
    <x v="0"/>
    <x v="0"/>
    <n v="6.7"/>
    <n v="5"/>
    <x v="2002"/>
    <x v="1"/>
    <n v="8.1"/>
  </r>
  <r>
    <x v="237"/>
    <x v="0"/>
    <x v="1"/>
    <x v="1"/>
    <x v="0"/>
    <n v="5.6"/>
    <n v="4"/>
    <x v="2003"/>
    <x v="2"/>
    <n v="8"/>
  </r>
  <r>
    <x v="237"/>
    <x v="2"/>
    <x v="1"/>
    <x v="0"/>
    <x v="0"/>
    <n v="4.42"/>
    <n v="2"/>
    <x v="2004"/>
    <x v="0"/>
    <n v="6.8"/>
  </r>
  <r>
    <x v="237"/>
    <x v="0"/>
    <x v="1"/>
    <x v="1"/>
    <x v="0"/>
    <n v="5.37"/>
    <n v="1"/>
    <x v="2005"/>
    <x v="2"/>
    <n v="6.2"/>
  </r>
  <r>
    <x v="237"/>
    <x v="0"/>
    <x v="0"/>
    <x v="0"/>
    <x v="0"/>
    <n v="7.62"/>
    <n v="5"/>
    <x v="2006"/>
    <x v="1"/>
    <n v="5.9"/>
  </r>
  <r>
    <x v="237"/>
    <x v="0"/>
    <x v="1"/>
    <x v="0"/>
    <x v="4"/>
    <n v="60.48"/>
    <n v="1"/>
    <x v="2007"/>
    <x v="1"/>
    <n v="6.7"/>
  </r>
  <r>
    <x v="237"/>
    <x v="2"/>
    <x v="1"/>
    <x v="1"/>
    <x v="5"/>
    <n v="34.909999999999997"/>
    <n v="1"/>
    <x v="2008"/>
    <x v="2"/>
    <n v="7.2"/>
  </r>
  <r>
    <x v="237"/>
    <x v="0"/>
    <x v="1"/>
    <x v="1"/>
    <x v="0"/>
    <n v="6.43"/>
    <n v="2"/>
    <x v="2009"/>
    <x v="2"/>
    <n v="6.8"/>
  </r>
  <r>
    <x v="237"/>
    <x v="2"/>
    <x v="0"/>
    <x v="0"/>
    <x v="5"/>
    <n v="36.97"/>
    <n v="1"/>
    <x v="2010"/>
    <x v="1"/>
    <n v="7.2"/>
  </r>
  <r>
    <x v="237"/>
    <x v="1"/>
    <x v="1"/>
    <x v="1"/>
    <x v="0"/>
    <n v="5.4"/>
    <n v="4"/>
    <x v="1898"/>
    <x v="1"/>
    <n v="7"/>
  </r>
  <r>
    <x v="237"/>
    <x v="0"/>
    <x v="1"/>
    <x v="1"/>
    <x v="5"/>
    <n v="34.299999999999997"/>
    <n v="1"/>
    <x v="2011"/>
    <x v="1"/>
    <n v="7.4"/>
  </r>
  <r>
    <x v="237"/>
    <x v="1"/>
    <x v="0"/>
    <x v="1"/>
    <x v="0"/>
    <n v="5.21"/>
    <n v="2"/>
    <x v="2012"/>
    <x v="1"/>
    <n v="7.2"/>
  </r>
  <r>
    <x v="237"/>
    <x v="0"/>
    <x v="0"/>
    <x v="1"/>
    <x v="3"/>
    <n v="13.73"/>
    <n v="3"/>
    <x v="2013"/>
    <x v="0"/>
    <n v="7.1"/>
  </r>
  <r>
    <x v="237"/>
    <x v="0"/>
    <x v="1"/>
    <x v="1"/>
    <x v="5"/>
    <n v="22.33"/>
    <n v="3"/>
    <x v="2014"/>
    <x v="0"/>
    <n v="6.4"/>
  </r>
  <r>
    <x v="238"/>
    <x v="0"/>
    <x v="0"/>
    <x v="1"/>
    <x v="5"/>
    <n v="25.22"/>
    <n v="1"/>
    <x v="2015"/>
    <x v="0"/>
    <n v="6.8"/>
  </r>
  <r>
    <x v="238"/>
    <x v="2"/>
    <x v="1"/>
    <x v="0"/>
    <x v="0"/>
    <n v="3.85"/>
    <n v="4"/>
    <x v="2016"/>
    <x v="2"/>
    <n v="7.2"/>
  </r>
  <r>
    <x v="238"/>
    <x v="0"/>
    <x v="1"/>
    <x v="0"/>
    <x v="0"/>
    <n v="7.1"/>
    <n v="2"/>
    <x v="2017"/>
    <x v="2"/>
    <n v="7.7"/>
  </r>
  <r>
    <x v="238"/>
    <x v="2"/>
    <x v="0"/>
    <x v="1"/>
    <x v="5"/>
    <n v="27.63"/>
    <n v="4"/>
    <x v="2018"/>
    <x v="1"/>
    <n v="7.2"/>
  </r>
  <r>
    <x v="238"/>
    <x v="1"/>
    <x v="0"/>
    <x v="0"/>
    <x v="5"/>
    <n v="34.46"/>
    <n v="2"/>
    <x v="2019"/>
    <x v="2"/>
    <n v="6.3"/>
  </r>
  <r>
    <x v="238"/>
    <x v="2"/>
    <x v="0"/>
    <x v="0"/>
    <x v="0"/>
    <n v="6.5"/>
    <n v="2"/>
    <x v="2020"/>
    <x v="1"/>
    <n v="7.3"/>
  </r>
  <r>
    <x v="238"/>
    <x v="0"/>
    <x v="1"/>
    <x v="0"/>
    <x v="5"/>
    <n v="22.75"/>
    <n v="4"/>
    <x v="2021"/>
    <x v="0"/>
    <n v="8.1"/>
  </r>
  <r>
    <x v="238"/>
    <x v="1"/>
    <x v="1"/>
    <x v="0"/>
    <x v="0"/>
    <n v="5.86"/>
    <n v="4"/>
    <x v="2022"/>
    <x v="0"/>
    <n v="6.1"/>
  </r>
  <r>
    <x v="238"/>
    <x v="2"/>
    <x v="1"/>
    <x v="1"/>
    <x v="0"/>
    <n v="3.18"/>
    <n v="4"/>
    <x v="2023"/>
    <x v="0"/>
    <n v="6"/>
  </r>
  <r>
    <x v="239"/>
    <x v="0"/>
    <x v="0"/>
    <x v="0"/>
    <x v="0"/>
    <n v="6.77"/>
    <n v="4"/>
    <x v="2024"/>
    <x v="0"/>
    <n v="6.7"/>
  </r>
  <r>
    <x v="239"/>
    <x v="0"/>
    <x v="1"/>
    <x v="0"/>
    <x v="0"/>
    <n v="5.74"/>
    <n v="4"/>
    <x v="329"/>
    <x v="2"/>
    <n v="7.9"/>
  </r>
  <r>
    <x v="239"/>
    <x v="2"/>
    <x v="0"/>
    <x v="0"/>
    <x v="0"/>
    <n v="3.67"/>
    <n v="3"/>
    <x v="2025"/>
    <x v="2"/>
    <n v="7.4"/>
  </r>
  <r>
    <x v="239"/>
    <x v="0"/>
    <x v="0"/>
    <x v="1"/>
    <x v="5"/>
    <n v="21.08"/>
    <n v="4"/>
    <x v="2026"/>
    <x v="0"/>
    <n v="7.7"/>
  </r>
  <r>
    <x v="239"/>
    <x v="0"/>
    <x v="1"/>
    <x v="0"/>
    <x v="3"/>
    <n v="12.14"/>
    <n v="1"/>
    <x v="2027"/>
    <x v="1"/>
    <n v="6.4"/>
  </r>
  <r>
    <x v="239"/>
    <x v="1"/>
    <x v="0"/>
    <x v="0"/>
    <x v="5"/>
    <n v="33.130000000000003"/>
    <n v="2"/>
    <x v="2028"/>
    <x v="1"/>
    <n v="7.5"/>
  </r>
  <r>
    <x v="239"/>
    <x v="1"/>
    <x v="1"/>
    <x v="1"/>
    <x v="3"/>
    <n v="15.15"/>
    <n v="2"/>
    <x v="2029"/>
    <x v="0"/>
    <n v="6.5"/>
  </r>
  <r>
    <x v="239"/>
    <x v="1"/>
    <x v="1"/>
    <x v="1"/>
    <x v="0"/>
    <n v="4.49"/>
    <n v="2"/>
    <x v="2030"/>
    <x v="1"/>
    <n v="8.8000000000000007"/>
  </r>
  <r>
    <x v="239"/>
    <x v="2"/>
    <x v="0"/>
    <x v="1"/>
    <x v="5"/>
    <n v="36.69"/>
    <n v="3"/>
    <x v="2031"/>
    <x v="0"/>
    <n v="6.9"/>
  </r>
  <r>
    <x v="239"/>
    <x v="1"/>
    <x v="1"/>
    <x v="1"/>
    <x v="3"/>
    <n v="13.78"/>
    <n v="2"/>
    <x v="2032"/>
    <x v="2"/>
    <n v="7"/>
  </r>
  <r>
    <x v="239"/>
    <x v="2"/>
    <x v="0"/>
    <x v="0"/>
    <x v="5"/>
    <n v="16.260000000000002"/>
    <n v="3"/>
    <x v="2033"/>
    <x v="2"/>
    <n v="7.9"/>
  </r>
  <r>
    <x v="240"/>
    <x v="0"/>
    <x v="1"/>
    <x v="1"/>
    <x v="0"/>
    <n v="6.24"/>
    <n v="2"/>
    <x v="1588"/>
    <x v="1"/>
    <n v="6.4"/>
  </r>
  <r>
    <x v="240"/>
    <x v="0"/>
    <x v="1"/>
    <x v="1"/>
    <x v="0"/>
    <n v="7.67"/>
    <n v="2"/>
    <x v="48"/>
    <x v="0"/>
    <n v="8.6999999999999993"/>
  </r>
  <r>
    <x v="240"/>
    <x v="1"/>
    <x v="1"/>
    <x v="1"/>
    <x v="0"/>
    <n v="6.7"/>
    <n v="3"/>
    <x v="2034"/>
    <x v="1"/>
    <n v="7.2"/>
  </r>
  <r>
    <x v="240"/>
    <x v="2"/>
    <x v="1"/>
    <x v="1"/>
    <x v="0"/>
    <n v="5.35"/>
    <n v="4"/>
    <x v="2035"/>
    <x v="2"/>
    <n v="7.7"/>
  </r>
  <r>
    <x v="240"/>
    <x v="2"/>
    <x v="1"/>
    <x v="1"/>
    <x v="0"/>
    <n v="6.09"/>
    <n v="3"/>
    <x v="2036"/>
    <x v="2"/>
    <n v="6.4"/>
  </r>
  <r>
    <x v="240"/>
    <x v="0"/>
    <x v="1"/>
    <x v="0"/>
    <x v="5"/>
    <n v="16.03"/>
    <n v="4"/>
    <x v="2037"/>
    <x v="2"/>
    <n v="5.7"/>
  </r>
  <r>
    <x v="240"/>
    <x v="0"/>
    <x v="1"/>
    <x v="0"/>
    <x v="0"/>
    <n v="3.42"/>
    <n v="2"/>
    <x v="2038"/>
    <x v="2"/>
    <n v="7.5"/>
  </r>
  <r>
    <x v="240"/>
    <x v="0"/>
    <x v="1"/>
    <x v="0"/>
    <x v="0"/>
    <n v="6.33"/>
    <n v="2"/>
    <x v="2039"/>
    <x v="1"/>
    <n v="7.6"/>
  </r>
  <r>
    <x v="240"/>
    <x v="1"/>
    <x v="0"/>
    <x v="0"/>
    <x v="0"/>
    <n v="6.91"/>
    <n v="3"/>
    <x v="1447"/>
    <x v="1"/>
    <n v="8.8000000000000007"/>
  </r>
  <r>
    <x v="240"/>
    <x v="1"/>
    <x v="1"/>
    <x v="1"/>
    <x v="0"/>
    <n v="7.1"/>
    <n v="1"/>
    <x v="2040"/>
    <x v="2"/>
    <n v="7.2"/>
  </r>
  <r>
    <x v="240"/>
    <x v="0"/>
    <x v="1"/>
    <x v="0"/>
    <x v="5"/>
    <n v="25.95"/>
    <n v="3"/>
    <x v="2041"/>
    <x v="1"/>
    <n v="8.1999999999999993"/>
  </r>
  <r>
    <x v="241"/>
    <x v="0"/>
    <x v="1"/>
    <x v="1"/>
    <x v="0"/>
    <n v="4.91"/>
    <n v="1"/>
    <x v="2042"/>
    <x v="0"/>
    <n v="9.3000000000000007"/>
  </r>
  <r>
    <x v="241"/>
    <x v="2"/>
    <x v="1"/>
    <x v="1"/>
    <x v="0"/>
    <n v="5.94"/>
    <n v="2"/>
    <x v="2043"/>
    <x v="0"/>
    <n v="8.1999999999999993"/>
  </r>
  <r>
    <x v="241"/>
    <x v="0"/>
    <x v="0"/>
    <x v="0"/>
    <x v="0"/>
    <n v="3.95"/>
    <n v="2"/>
    <x v="1899"/>
    <x v="1"/>
    <n v="6.6"/>
  </r>
  <r>
    <x v="241"/>
    <x v="0"/>
    <x v="1"/>
    <x v="1"/>
    <x v="0"/>
    <n v="6.83"/>
    <n v="4"/>
    <x v="1814"/>
    <x v="2"/>
    <n v="7.7"/>
  </r>
  <r>
    <x v="241"/>
    <x v="1"/>
    <x v="0"/>
    <x v="1"/>
    <x v="0"/>
    <n v="7.58"/>
    <n v="3"/>
    <x v="2044"/>
    <x v="1"/>
    <n v="8.5"/>
  </r>
  <r>
    <x v="241"/>
    <x v="1"/>
    <x v="0"/>
    <x v="0"/>
    <x v="3"/>
    <n v="11.54"/>
    <n v="1"/>
    <x v="2045"/>
    <x v="0"/>
    <n v="7.3"/>
  </r>
  <r>
    <x v="241"/>
    <x v="0"/>
    <x v="1"/>
    <x v="0"/>
    <x v="5"/>
    <n v="24.78"/>
    <n v="2"/>
    <x v="2046"/>
    <x v="0"/>
    <n v="6"/>
  </r>
  <r>
    <x v="241"/>
    <x v="1"/>
    <x v="1"/>
    <x v="1"/>
    <x v="1"/>
    <n v="94.77"/>
    <n v="1"/>
    <x v="2047"/>
    <x v="2"/>
    <n v="7.6"/>
  </r>
  <r>
    <x v="242"/>
    <x v="1"/>
    <x v="1"/>
    <x v="0"/>
    <x v="4"/>
    <n v="69.239999999999995"/>
    <n v="2"/>
    <x v="252"/>
    <x v="2"/>
    <n v="7.7"/>
  </r>
  <r>
    <x v="243"/>
    <x v="0"/>
    <x v="0"/>
    <x v="0"/>
    <x v="4"/>
    <n v="44.19"/>
    <n v="2"/>
    <x v="2076"/>
    <x v="2"/>
    <n v="5.5"/>
  </r>
  <r>
    <x v="243"/>
    <x v="0"/>
    <x v="0"/>
    <x v="0"/>
    <x v="2"/>
    <n v="52.81"/>
    <n v="4"/>
    <x v="2077"/>
    <x v="0"/>
    <n v="9.5"/>
  </r>
  <r>
    <x v="243"/>
    <x v="0"/>
    <x v="0"/>
    <x v="0"/>
    <x v="0"/>
    <n v="9.66"/>
    <n v="1"/>
    <x v="1394"/>
    <x v="2"/>
    <n v="8"/>
  </r>
  <r>
    <x v="243"/>
    <x v="2"/>
    <x v="0"/>
    <x v="0"/>
    <x v="0"/>
    <n v="14.44"/>
    <n v="6"/>
    <x v="2078"/>
    <x v="1"/>
    <n v="7.1"/>
  </r>
  <r>
    <x v="243"/>
    <x v="2"/>
    <x v="1"/>
    <x v="0"/>
    <x v="5"/>
    <n v="35.18"/>
    <n v="8"/>
    <x v="2079"/>
    <x v="0"/>
    <n v="4.0999999999999996"/>
  </r>
  <r>
    <x v="243"/>
    <x v="2"/>
    <x v="1"/>
    <x v="0"/>
    <x v="1"/>
    <n v="91.72"/>
    <n v="6"/>
    <x v="2080"/>
    <x v="0"/>
    <n v="4.0999999999999996"/>
  </r>
  <r>
    <x v="243"/>
    <x v="0"/>
    <x v="1"/>
    <x v="1"/>
    <x v="3"/>
    <n v="24.7"/>
    <n v="4"/>
    <x v="2081"/>
    <x v="2"/>
    <n v="3.4"/>
  </r>
  <r>
    <x v="243"/>
    <x v="2"/>
    <x v="0"/>
    <x v="0"/>
    <x v="5"/>
    <n v="23.88"/>
    <n v="5"/>
    <x v="2082"/>
    <x v="2"/>
    <n v="8.9"/>
  </r>
  <r>
    <x v="243"/>
    <x v="0"/>
    <x v="1"/>
    <x v="1"/>
    <x v="4"/>
    <n v="47.34"/>
    <n v="8"/>
    <x v="2083"/>
    <x v="0"/>
    <n v="7.1"/>
  </r>
  <r>
    <x v="243"/>
    <x v="2"/>
    <x v="1"/>
    <x v="1"/>
    <x v="1"/>
    <n v="95.97"/>
    <n v="1"/>
    <x v="2084"/>
    <x v="1"/>
    <n v="7.8"/>
  </r>
  <r>
    <x v="243"/>
    <x v="0"/>
    <x v="0"/>
    <x v="0"/>
    <x v="0"/>
    <n v="13.87"/>
    <n v="10"/>
    <x v="2085"/>
    <x v="2"/>
    <n v="3.1"/>
  </r>
  <r>
    <x v="243"/>
    <x v="2"/>
    <x v="1"/>
    <x v="0"/>
    <x v="0"/>
    <n v="10.36"/>
    <n v="3"/>
    <x v="2086"/>
    <x v="1"/>
    <n v="9.6"/>
  </r>
  <r>
    <x v="243"/>
    <x v="2"/>
    <x v="1"/>
    <x v="0"/>
    <x v="0"/>
    <n v="7.57"/>
    <n v="10"/>
    <x v="2087"/>
    <x v="0"/>
    <n v="8.6999999999999993"/>
  </r>
  <r>
    <x v="243"/>
    <x v="1"/>
    <x v="0"/>
    <x v="0"/>
    <x v="0"/>
    <n v="2.61"/>
    <n v="2"/>
    <x v="2088"/>
    <x v="1"/>
    <n v="4.4000000000000004"/>
  </r>
  <r>
    <x v="243"/>
    <x v="1"/>
    <x v="0"/>
    <x v="1"/>
    <x v="0"/>
    <n v="9.75"/>
    <n v="8"/>
    <x v="2089"/>
    <x v="0"/>
    <n v="4.2"/>
  </r>
  <r>
    <x v="243"/>
    <x v="1"/>
    <x v="1"/>
    <x v="1"/>
    <x v="1"/>
    <n v="82.17"/>
    <n v="9"/>
    <x v="2090"/>
    <x v="2"/>
    <n v="4.2"/>
  </r>
  <r>
    <x v="243"/>
    <x v="2"/>
    <x v="1"/>
    <x v="0"/>
    <x v="3"/>
    <n v="14.07"/>
    <n v="5"/>
    <x v="2091"/>
    <x v="2"/>
    <n v="5.0999999999999996"/>
  </r>
  <r>
    <x v="243"/>
    <x v="2"/>
    <x v="1"/>
    <x v="1"/>
    <x v="3"/>
    <n v="10.97"/>
    <n v="9"/>
    <x v="2092"/>
    <x v="0"/>
    <n v="6.6"/>
  </r>
  <r>
    <x v="243"/>
    <x v="1"/>
    <x v="1"/>
    <x v="1"/>
    <x v="0"/>
    <n v="8.35"/>
    <n v="2"/>
    <x v="2093"/>
    <x v="2"/>
    <n v="5.9"/>
  </r>
  <r>
    <x v="243"/>
    <x v="1"/>
    <x v="0"/>
    <x v="0"/>
    <x v="2"/>
    <n v="57.23"/>
    <n v="10"/>
    <x v="2094"/>
    <x v="2"/>
    <n v="5"/>
  </r>
  <r>
    <x v="243"/>
    <x v="2"/>
    <x v="1"/>
    <x v="1"/>
    <x v="0"/>
    <n v="8.93"/>
    <n v="3"/>
    <x v="2095"/>
    <x v="1"/>
    <n v="7.2"/>
  </r>
  <r>
    <x v="243"/>
    <x v="2"/>
    <x v="1"/>
    <x v="0"/>
    <x v="5"/>
    <n v="30.16"/>
    <n v="4"/>
    <x v="2096"/>
    <x v="2"/>
    <n v="3.9"/>
  </r>
  <r>
    <x v="243"/>
    <x v="1"/>
    <x v="0"/>
    <x v="0"/>
    <x v="3"/>
    <n v="18.43"/>
    <n v="6"/>
    <x v="2097"/>
    <x v="0"/>
    <n v="5"/>
  </r>
  <r>
    <x v="244"/>
    <x v="0"/>
    <x v="0"/>
    <x v="1"/>
    <x v="5"/>
    <n v="15.53"/>
    <n v="9"/>
    <x v="2098"/>
    <x v="1"/>
    <n v="5.5"/>
  </r>
  <r>
    <x v="244"/>
    <x v="0"/>
    <x v="0"/>
    <x v="1"/>
    <x v="0"/>
    <n v="13.77"/>
    <n v="6"/>
    <x v="2099"/>
    <x v="1"/>
    <n v="6.1"/>
  </r>
  <r>
    <x v="244"/>
    <x v="1"/>
    <x v="1"/>
    <x v="1"/>
    <x v="0"/>
    <n v="11.4"/>
    <n v="10"/>
    <x v="2100"/>
    <x v="0"/>
    <n v="8.3000000000000007"/>
  </r>
  <r>
    <x v="244"/>
    <x v="2"/>
    <x v="0"/>
    <x v="0"/>
    <x v="0"/>
    <n v="3.26"/>
    <n v="7"/>
    <x v="2101"/>
    <x v="0"/>
    <n v="4.4000000000000004"/>
  </r>
  <r>
    <x v="244"/>
    <x v="1"/>
    <x v="1"/>
    <x v="1"/>
    <x v="5"/>
    <n v="39.6"/>
    <n v="2"/>
    <x v="2102"/>
    <x v="1"/>
    <n v="6.5"/>
  </r>
  <r>
    <x v="244"/>
    <x v="1"/>
    <x v="0"/>
    <x v="1"/>
    <x v="3"/>
    <n v="8.8000000000000007"/>
    <n v="8"/>
    <x v="2103"/>
    <x v="1"/>
    <n v="7"/>
  </r>
  <r>
    <x v="244"/>
    <x v="2"/>
    <x v="1"/>
    <x v="1"/>
    <x v="0"/>
    <n v="13.2"/>
    <n v="9"/>
    <x v="2104"/>
    <x v="1"/>
    <n v="3.3"/>
  </r>
  <r>
    <x v="244"/>
    <x v="2"/>
    <x v="1"/>
    <x v="1"/>
    <x v="4"/>
    <n v="67.790000000000006"/>
    <n v="4"/>
    <x v="2105"/>
    <x v="1"/>
    <n v="7.1"/>
  </r>
  <r>
    <x v="244"/>
    <x v="0"/>
    <x v="1"/>
    <x v="0"/>
    <x v="5"/>
    <n v="19.12"/>
    <n v="1"/>
    <x v="2106"/>
    <x v="2"/>
    <n v="4.2"/>
  </r>
  <r>
    <x v="244"/>
    <x v="1"/>
    <x v="0"/>
    <x v="0"/>
    <x v="0"/>
    <n v="11.06"/>
    <n v="9"/>
    <x v="2107"/>
    <x v="2"/>
    <n v="3.4"/>
  </r>
  <r>
    <x v="244"/>
    <x v="0"/>
    <x v="1"/>
    <x v="1"/>
    <x v="5"/>
    <n v="29.48"/>
    <n v="9"/>
    <x v="2108"/>
    <x v="1"/>
    <n v="9.5"/>
  </r>
  <r>
    <x v="244"/>
    <x v="0"/>
    <x v="1"/>
    <x v="0"/>
    <x v="0"/>
    <n v="13.09"/>
    <n v="3"/>
    <x v="2109"/>
    <x v="1"/>
    <n v="9.6"/>
  </r>
  <r>
    <x v="244"/>
    <x v="1"/>
    <x v="1"/>
    <x v="1"/>
    <x v="5"/>
    <n v="31.88"/>
    <n v="4"/>
    <x v="2110"/>
    <x v="0"/>
    <n v="8.5"/>
  </r>
  <r>
    <x v="244"/>
    <x v="2"/>
    <x v="1"/>
    <x v="1"/>
    <x v="1"/>
    <n v="87.94"/>
    <n v="10"/>
    <x v="2111"/>
    <x v="0"/>
    <n v="5.0999999999999996"/>
  </r>
  <r>
    <x v="244"/>
    <x v="0"/>
    <x v="0"/>
    <x v="0"/>
    <x v="0"/>
    <n v="7.15"/>
    <n v="5"/>
    <x v="2112"/>
    <x v="0"/>
    <n v="3.7"/>
  </r>
  <r>
    <x v="244"/>
    <x v="1"/>
    <x v="1"/>
    <x v="1"/>
    <x v="1"/>
    <n v="98.92"/>
    <n v="2"/>
    <x v="2113"/>
    <x v="1"/>
    <n v="7.7"/>
  </r>
  <r>
    <x v="244"/>
    <x v="0"/>
    <x v="1"/>
    <x v="0"/>
    <x v="0"/>
    <n v="13.43"/>
    <n v="6"/>
    <x v="2114"/>
    <x v="1"/>
    <n v="6"/>
  </r>
  <r>
    <x v="244"/>
    <x v="2"/>
    <x v="1"/>
    <x v="0"/>
    <x v="5"/>
    <n v="39.68"/>
    <n v="9"/>
    <x v="2115"/>
    <x v="1"/>
    <n v="3.8"/>
  </r>
  <r>
    <x v="245"/>
    <x v="0"/>
    <x v="1"/>
    <x v="1"/>
    <x v="2"/>
    <n v="54.03"/>
    <n v="2"/>
    <x v="2116"/>
    <x v="2"/>
    <n v="6.4"/>
  </r>
  <r>
    <x v="245"/>
    <x v="0"/>
    <x v="1"/>
    <x v="0"/>
    <x v="3"/>
    <n v="19.350000000000001"/>
    <n v="4"/>
    <x v="2117"/>
    <x v="2"/>
    <n v="3.2"/>
  </r>
  <r>
    <x v="245"/>
    <x v="2"/>
    <x v="1"/>
    <x v="0"/>
    <x v="2"/>
    <n v="75.38"/>
    <n v="2"/>
    <x v="2118"/>
    <x v="0"/>
    <n v="9.1999999999999993"/>
  </r>
  <r>
    <x v="245"/>
    <x v="0"/>
    <x v="1"/>
    <x v="0"/>
    <x v="2"/>
    <n v="69.11"/>
    <n v="5"/>
    <x v="2119"/>
    <x v="1"/>
    <n v="4.8"/>
  </r>
  <r>
    <x v="245"/>
    <x v="1"/>
    <x v="0"/>
    <x v="1"/>
    <x v="5"/>
    <n v="38.630000000000003"/>
    <n v="3"/>
    <x v="2120"/>
    <x v="0"/>
    <n v="7.5"/>
  </r>
  <r>
    <x v="245"/>
    <x v="2"/>
    <x v="1"/>
    <x v="1"/>
    <x v="2"/>
    <n v="51.25"/>
    <n v="6"/>
    <x v="2121"/>
    <x v="2"/>
    <n v="5.0999999999999996"/>
  </r>
  <r>
    <x v="245"/>
    <x v="1"/>
    <x v="0"/>
    <x v="0"/>
    <x v="3"/>
    <n v="9.99"/>
    <n v="2"/>
    <x v="2122"/>
    <x v="0"/>
    <n v="6.5"/>
  </r>
  <r>
    <x v="245"/>
    <x v="1"/>
    <x v="1"/>
    <x v="1"/>
    <x v="4"/>
    <n v="47.1"/>
    <n v="3"/>
    <x v="2123"/>
    <x v="2"/>
    <n v="6.7"/>
  </r>
  <r>
    <x v="245"/>
    <x v="1"/>
    <x v="0"/>
    <x v="1"/>
    <x v="2"/>
    <n v="77.73"/>
    <n v="7"/>
    <x v="2124"/>
    <x v="2"/>
    <n v="4.3"/>
  </r>
  <r>
    <x v="245"/>
    <x v="1"/>
    <x v="0"/>
    <x v="0"/>
    <x v="2"/>
    <n v="71.040000000000006"/>
    <n v="7"/>
    <x v="2125"/>
    <x v="2"/>
    <n v="9.6"/>
  </r>
  <r>
    <x v="245"/>
    <x v="0"/>
    <x v="0"/>
    <x v="0"/>
    <x v="2"/>
    <n v="74.62"/>
    <n v="4"/>
    <x v="2126"/>
    <x v="1"/>
    <n v="8.3000000000000007"/>
  </r>
  <r>
    <x v="245"/>
    <x v="2"/>
    <x v="1"/>
    <x v="0"/>
    <x v="4"/>
    <n v="69.010000000000005"/>
    <n v="5"/>
    <x v="2127"/>
    <x v="0"/>
    <n v="9.4"/>
  </r>
  <r>
    <x v="245"/>
    <x v="1"/>
    <x v="1"/>
    <x v="0"/>
    <x v="5"/>
    <n v="17.88"/>
    <n v="5"/>
    <x v="2128"/>
    <x v="1"/>
    <n v="9.1"/>
  </r>
  <r>
    <x v="245"/>
    <x v="0"/>
    <x v="1"/>
    <x v="1"/>
    <x v="1"/>
    <n v="86.55"/>
    <n v="6"/>
    <x v="2129"/>
    <x v="0"/>
    <n v="7.1"/>
  </r>
  <r>
    <x v="245"/>
    <x v="0"/>
    <x v="0"/>
    <x v="1"/>
    <x v="1"/>
    <n v="93.43"/>
    <n v="1"/>
    <x v="2130"/>
    <x v="0"/>
    <n v="9.3000000000000007"/>
  </r>
  <r>
    <x v="245"/>
    <x v="1"/>
    <x v="0"/>
    <x v="1"/>
    <x v="2"/>
    <n v="52.1"/>
    <n v="6"/>
    <x v="2131"/>
    <x v="0"/>
    <n v="3.6"/>
  </r>
  <r>
    <x v="245"/>
    <x v="0"/>
    <x v="1"/>
    <x v="0"/>
    <x v="4"/>
    <n v="60.01"/>
    <n v="6"/>
    <x v="2132"/>
    <x v="0"/>
    <n v="4.3"/>
  </r>
  <r>
    <x v="245"/>
    <x v="0"/>
    <x v="1"/>
    <x v="0"/>
    <x v="0"/>
    <n v="6.93"/>
    <n v="3"/>
    <x v="2133"/>
    <x v="0"/>
    <n v="3.3"/>
  </r>
  <r>
    <x v="246"/>
    <x v="2"/>
    <x v="0"/>
    <x v="1"/>
    <x v="0"/>
    <n v="4.7300000000000004"/>
    <n v="10"/>
    <x v="2134"/>
    <x v="0"/>
    <n v="5.2"/>
  </r>
  <r>
    <x v="246"/>
    <x v="2"/>
    <x v="1"/>
    <x v="1"/>
    <x v="0"/>
    <n v="12.32"/>
    <n v="3"/>
    <x v="2135"/>
    <x v="2"/>
    <n v="5.6"/>
  </r>
  <r>
    <x v="246"/>
    <x v="1"/>
    <x v="0"/>
    <x v="0"/>
    <x v="0"/>
    <n v="14.38"/>
    <n v="4"/>
    <x v="2136"/>
    <x v="2"/>
    <n v="4.8"/>
  </r>
  <r>
    <x v="246"/>
    <x v="0"/>
    <x v="0"/>
    <x v="1"/>
    <x v="0"/>
    <n v="14.79"/>
    <n v="10"/>
    <x v="2137"/>
    <x v="2"/>
    <n v="8.6"/>
  </r>
  <r>
    <x v="246"/>
    <x v="2"/>
    <x v="1"/>
    <x v="1"/>
    <x v="0"/>
    <n v="6.99"/>
    <n v="7"/>
    <x v="2138"/>
    <x v="1"/>
    <n v="5.4"/>
  </r>
  <r>
    <x v="246"/>
    <x v="0"/>
    <x v="1"/>
    <x v="1"/>
    <x v="4"/>
    <n v="46.57"/>
    <n v="9"/>
    <x v="2139"/>
    <x v="0"/>
    <n v="4.9000000000000004"/>
  </r>
  <r>
    <x v="246"/>
    <x v="1"/>
    <x v="1"/>
    <x v="1"/>
    <x v="4"/>
    <n v="64.040000000000006"/>
    <n v="9"/>
    <x v="2140"/>
    <x v="2"/>
    <n v="6.7"/>
  </r>
  <r>
    <x v="246"/>
    <x v="1"/>
    <x v="1"/>
    <x v="0"/>
    <x v="4"/>
    <n v="61.58"/>
    <n v="9"/>
    <x v="2141"/>
    <x v="0"/>
    <n v="4"/>
  </r>
  <r>
    <x v="246"/>
    <x v="2"/>
    <x v="1"/>
    <x v="1"/>
    <x v="1"/>
    <n v="89"/>
    <n v="5"/>
    <x v="2142"/>
    <x v="2"/>
    <n v="8.5"/>
  </r>
  <r>
    <x v="246"/>
    <x v="0"/>
    <x v="1"/>
    <x v="0"/>
    <x v="2"/>
    <n v="58.24"/>
    <n v="2"/>
    <x v="2143"/>
    <x v="2"/>
    <n v="3.5"/>
  </r>
  <r>
    <x v="246"/>
    <x v="2"/>
    <x v="0"/>
    <x v="1"/>
    <x v="0"/>
    <n v="5.01"/>
    <n v="3"/>
    <x v="1920"/>
    <x v="2"/>
    <n v="9.6999999999999993"/>
  </r>
  <r>
    <x v="246"/>
    <x v="2"/>
    <x v="1"/>
    <x v="0"/>
    <x v="0"/>
    <n v="4.6900000000000004"/>
    <n v="7"/>
    <x v="2144"/>
    <x v="0"/>
    <n v="8.3000000000000007"/>
  </r>
  <r>
    <x v="246"/>
    <x v="1"/>
    <x v="1"/>
    <x v="1"/>
    <x v="3"/>
    <n v="20.309999999999999"/>
    <n v="7"/>
    <x v="2145"/>
    <x v="0"/>
    <n v="4.4000000000000004"/>
  </r>
  <r>
    <x v="246"/>
    <x v="0"/>
    <x v="1"/>
    <x v="0"/>
    <x v="1"/>
    <n v="98.07"/>
    <n v="7"/>
    <x v="2146"/>
    <x v="0"/>
    <n v="3"/>
  </r>
  <r>
    <x v="246"/>
    <x v="1"/>
    <x v="1"/>
    <x v="1"/>
    <x v="3"/>
    <n v="10.46"/>
    <n v="8"/>
    <x v="2147"/>
    <x v="1"/>
    <n v="8.5"/>
  </r>
  <r>
    <x v="246"/>
    <x v="1"/>
    <x v="1"/>
    <x v="0"/>
    <x v="0"/>
    <n v="12.93"/>
    <n v="3"/>
    <x v="2148"/>
    <x v="2"/>
    <n v="7.8"/>
  </r>
  <r>
    <x v="246"/>
    <x v="1"/>
    <x v="0"/>
    <x v="1"/>
    <x v="5"/>
    <n v="25.72"/>
    <n v="8"/>
    <x v="2149"/>
    <x v="1"/>
    <n v="8"/>
  </r>
  <r>
    <x v="246"/>
    <x v="0"/>
    <x v="0"/>
    <x v="0"/>
    <x v="0"/>
    <n v="11.9"/>
    <n v="7"/>
    <x v="2150"/>
    <x v="1"/>
    <n v="8.1999999999999993"/>
  </r>
  <r>
    <x v="246"/>
    <x v="2"/>
    <x v="1"/>
    <x v="1"/>
    <x v="1"/>
    <n v="94.19"/>
    <n v="1"/>
    <x v="2151"/>
    <x v="2"/>
    <n v="3.5"/>
  </r>
  <r>
    <x v="246"/>
    <x v="2"/>
    <x v="1"/>
    <x v="1"/>
    <x v="0"/>
    <n v="14.34"/>
    <n v="4"/>
    <x v="2152"/>
    <x v="2"/>
    <n v="5.4"/>
  </r>
  <r>
    <x v="246"/>
    <x v="0"/>
    <x v="1"/>
    <x v="0"/>
    <x v="4"/>
    <n v="56.92"/>
    <n v="4"/>
    <x v="2153"/>
    <x v="0"/>
    <n v="3.8"/>
  </r>
  <r>
    <x v="246"/>
    <x v="2"/>
    <x v="1"/>
    <x v="1"/>
    <x v="0"/>
    <n v="4.13"/>
    <n v="5"/>
    <x v="2154"/>
    <x v="1"/>
    <n v="8.9"/>
  </r>
  <r>
    <x v="246"/>
    <x v="0"/>
    <x v="0"/>
    <x v="0"/>
    <x v="0"/>
    <n v="11.3"/>
    <n v="2"/>
    <x v="2155"/>
    <x v="0"/>
    <n v="7.2"/>
  </r>
  <r>
    <x v="247"/>
    <x v="0"/>
    <x v="1"/>
    <x v="0"/>
    <x v="2"/>
    <n v="68.010000000000005"/>
    <n v="2"/>
    <x v="2156"/>
    <x v="2"/>
    <n v="5.3"/>
  </r>
  <r>
    <x v="247"/>
    <x v="0"/>
    <x v="1"/>
    <x v="0"/>
    <x v="4"/>
    <n v="42.07"/>
    <n v="6"/>
    <x v="2157"/>
    <x v="1"/>
    <n v="3.4"/>
  </r>
  <r>
    <x v="247"/>
    <x v="2"/>
    <x v="1"/>
    <x v="0"/>
    <x v="5"/>
    <n v="30.89"/>
    <n v="8"/>
    <x v="2158"/>
    <x v="2"/>
    <n v="5.0999999999999996"/>
  </r>
  <r>
    <x v="247"/>
    <x v="1"/>
    <x v="1"/>
    <x v="0"/>
    <x v="5"/>
    <n v="37.99"/>
    <n v="8"/>
    <x v="2159"/>
    <x v="0"/>
    <n v="5.2"/>
  </r>
  <r>
    <x v="247"/>
    <x v="2"/>
    <x v="1"/>
    <x v="0"/>
    <x v="2"/>
    <n v="74.92"/>
    <n v="2"/>
    <x v="1700"/>
    <x v="1"/>
    <n v="8"/>
  </r>
  <r>
    <x v="247"/>
    <x v="1"/>
    <x v="0"/>
    <x v="0"/>
    <x v="5"/>
    <n v="27.36"/>
    <n v="6"/>
    <x v="2160"/>
    <x v="1"/>
    <n v="7.3"/>
  </r>
  <r>
    <x v="247"/>
    <x v="1"/>
    <x v="0"/>
    <x v="0"/>
    <x v="0"/>
    <n v="9.75"/>
    <n v="5"/>
    <x v="2161"/>
    <x v="0"/>
    <n v="9"/>
  </r>
  <r>
    <x v="247"/>
    <x v="0"/>
    <x v="1"/>
    <x v="1"/>
    <x v="5"/>
    <n v="27.21"/>
    <n v="4"/>
    <x v="2162"/>
    <x v="2"/>
    <n v="6.2"/>
  </r>
  <r>
    <x v="247"/>
    <x v="2"/>
    <x v="0"/>
    <x v="1"/>
    <x v="4"/>
    <n v="46.65"/>
    <n v="4"/>
    <x v="2163"/>
    <x v="0"/>
    <n v="3.8"/>
  </r>
  <r>
    <x v="247"/>
    <x v="2"/>
    <x v="1"/>
    <x v="0"/>
    <x v="4"/>
    <n v="62.38"/>
    <n v="6"/>
    <x v="2164"/>
    <x v="0"/>
    <n v="7.9"/>
  </r>
  <r>
    <x v="247"/>
    <x v="0"/>
    <x v="0"/>
    <x v="1"/>
    <x v="5"/>
    <n v="19.809999999999999"/>
    <n v="2"/>
    <x v="1917"/>
    <x v="2"/>
    <n v="8.1999999999999993"/>
  </r>
  <r>
    <x v="247"/>
    <x v="1"/>
    <x v="0"/>
    <x v="1"/>
    <x v="1"/>
    <n v="89.18"/>
    <n v="10"/>
    <x v="2165"/>
    <x v="2"/>
    <n v="6.8"/>
  </r>
  <r>
    <x v="247"/>
    <x v="0"/>
    <x v="1"/>
    <x v="1"/>
    <x v="5"/>
    <n v="22.41"/>
    <n v="6"/>
    <x v="2166"/>
    <x v="1"/>
    <n v="8.1999999999999993"/>
  </r>
  <r>
    <x v="247"/>
    <x v="2"/>
    <x v="0"/>
    <x v="0"/>
    <x v="0"/>
    <n v="2.71"/>
    <n v="5"/>
    <x v="2167"/>
    <x v="2"/>
    <n v="6.4"/>
  </r>
  <r>
    <x v="247"/>
    <x v="1"/>
    <x v="0"/>
    <x v="0"/>
    <x v="0"/>
    <n v="2.16"/>
    <n v="5"/>
    <x v="2168"/>
    <x v="0"/>
    <n v="6.6"/>
  </r>
  <r>
    <x v="247"/>
    <x v="0"/>
    <x v="0"/>
    <x v="1"/>
    <x v="5"/>
    <n v="36.54"/>
    <n v="2"/>
    <x v="2169"/>
    <x v="2"/>
    <n v="5.9"/>
  </r>
  <r>
    <x v="247"/>
    <x v="0"/>
    <x v="0"/>
    <x v="1"/>
    <x v="5"/>
    <n v="35.28"/>
    <n v="5"/>
    <x v="2170"/>
    <x v="1"/>
    <n v="3.2"/>
  </r>
  <r>
    <x v="247"/>
    <x v="2"/>
    <x v="1"/>
    <x v="0"/>
    <x v="0"/>
    <n v="12.28"/>
    <n v="4"/>
    <x v="2171"/>
    <x v="2"/>
    <n v="3.7"/>
  </r>
  <r>
    <x v="247"/>
    <x v="1"/>
    <x v="1"/>
    <x v="0"/>
    <x v="5"/>
    <n v="39.75"/>
    <n v="5"/>
    <x v="580"/>
    <x v="0"/>
    <n v="3.2"/>
  </r>
  <r>
    <x v="247"/>
    <x v="1"/>
    <x v="1"/>
    <x v="1"/>
    <x v="0"/>
    <n v="4.7"/>
    <n v="4"/>
    <x v="2172"/>
    <x v="1"/>
    <n v="7.3"/>
  </r>
  <r>
    <x v="248"/>
    <x v="0"/>
    <x v="0"/>
    <x v="1"/>
    <x v="0"/>
    <n v="7.31"/>
    <n v="10"/>
    <x v="698"/>
    <x v="0"/>
    <n v="5.0999999999999996"/>
  </r>
  <r>
    <x v="248"/>
    <x v="0"/>
    <x v="1"/>
    <x v="0"/>
    <x v="0"/>
    <n v="7.9"/>
    <n v="4"/>
    <x v="1753"/>
    <x v="2"/>
    <n v="6.5"/>
  </r>
  <r>
    <x v="248"/>
    <x v="2"/>
    <x v="1"/>
    <x v="1"/>
    <x v="3"/>
    <n v="15.89"/>
    <n v="3"/>
    <x v="2173"/>
    <x v="2"/>
    <n v="9.1999999999999993"/>
  </r>
  <r>
    <x v="248"/>
    <x v="0"/>
    <x v="1"/>
    <x v="1"/>
    <x v="2"/>
    <n v="67.849999999999994"/>
    <n v="10"/>
    <x v="2174"/>
    <x v="2"/>
    <n v="4.7"/>
  </r>
  <r>
    <x v="248"/>
    <x v="2"/>
    <x v="1"/>
    <x v="0"/>
    <x v="5"/>
    <n v="38.57"/>
    <n v="9"/>
    <x v="2175"/>
    <x v="0"/>
    <n v="5.8"/>
  </r>
  <r>
    <x v="248"/>
    <x v="2"/>
    <x v="1"/>
    <x v="0"/>
    <x v="5"/>
    <n v="30.09"/>
    <n v="1"/>
    <x v="2176"/>
    <x v="1"/>
    <n v="8.1"/>
  </r>
  <r>
    <x v="248"/>
    <x v="1"/>
    <x v="1"/>
    <x v="1"/>
    <x v="1"/>
    <n v="92.74"/>
    <n v="5"/>
    <x v="2177"/>
    <x v="0"/>
    <n v="4.5999999999999996"/>
  </r>
  <r>
    <x v="248"/>
    <x v="0"/>
    <x v="1"/>
    <x v="0"/>
    <x v="3"/>
    <n v="8.6300000000000008"/>
    <n v="10"/>
    <x v="2178"/>
    <x v="0"/>
    <n v="3.5"/>
  </r>
  <r>
    <x v="248"/>
    <x v="1"/>
    <x v="0"/>
    <x v="0"/>
    <x v="2"/>
    <n v="60"/>
    <n v="2"/>
    <x v="2179"/>
    <x v="2"/>
    <n v="5"/>
  </r>
  <r>
    <x v="248"/>
    <x v="1"/>
    <x v="1"/>
    <x v="0"/>
    <x v="0"/>
    <n v="7.21"/>
    <n v="9"/>
    <x v="2180"/>
    <x v="1"/>
    <n v="4.0999999999999996"/>
  </r>
  <r>
    <x v="248"/>
    <x v="0"/>
    <x v="1"/>
    <x v="1"/>
    <x v="0"/>
    <n v="7.25"/>
    <n v="9"/>
    <x v="2181"/>
    <x v="2"/>
    <n v="9.3000000000000007"/>
  </r>
  <r>
    <x v="248"/>
    <x v="1"/>
    <x v="1"/>
    <x v="0"/>
    <x v="0"/>
    <n v="4.4400000000000004"/>
    <n v="6"/>
    <x v="2182"/>
    <x v="0"/>
    <n v="8.5"/>
  </r>
  <r>
    <x v="248"/>
    <x v="2"/>
    <x v="0"/>
    <x v="1"/>
    <x v="5"/>
    <n v="28.73"/>
    <n v="5"/>
    <x v="2183"/>
    <x v="0"/>
    <n v="7.3"/>
  </r>
  <r>
    <x v="249"/>
    <x v="0"/>
    <x v="1"/>
    <x v="1"/>
    <x v="4"/>
    <n v="49.32"/>
    <n v="1"/>
    <x v="2184"/>
    <x v="0"/>
    <n v="8.9"/>
  </r>
  <r>
    <x v="249"/>
    <x v="1"/>
    <x v="1"/>
    <x v="1"/>
    <x v="0"/>
    <n v="3.53"/>
    <n v="3"/>
    <x v="2185"/>
    <x v="0"/>
    <n v="8.5"/>
  </r>
  <r>
    <x v="249"/>
    <x v="2"/>
    <x v="1"/>
    <x v="0"/>
    <x v="3"/>
    <n v="14.65"/>
    <n v="8"/>
    <x v="2186"/>
    <x v="1"/>
    <n v="4.3"/>
  </r>
  <r>
    <x v="249"/>
    <x v="2"/>
    <x v="1"/>
    <x v="1"/>
    <x v="4"/>
    <n v="48.29"/>
    <n v="7"/>
    <x v="2187"/>
    <x v="0"/>
    <n v="9.1"/>
  </r>
  <r>
    <x v="249"/>
    <x v="0"/>
    <x v="0"/>
    <x v="1"/>
    <x v="3"/>
    <n v="10.97"/>
    <n v="10"/>
    <x v="716"/>
    <x v="0"/>
    <n v="6.7"/>
  </r>
  <r>
    <x v="249"/>
    <x v="1"/>
    <x v="1"/>
    <x v="0"/>
    <x v="4"/>
    <n v="50.35"/>
    <n v="9"/>
    <x v="2188"/>
    <x v="2"/>
    <n v="8.5"/>
  </r>
  <r>
    <x v="249"/>
    <x v="1"/>
    <x v="1"/>
    <x v="1"/>
    <x v="5"/>
    <n v="20.97"/>
    <n v="7"/>
    <x v="951"/>
    <x v="1"/>
    <n v="9.1"/>
  </r>
  <r>
    <x v="249"/>
    <x v="0"/>
    <x v="1"/>
    <x v="0"/>
    <x v="3"/>
    <n v="21.23"/>
    <n v="7"/>
    <x v="2189"/>
    <x v="2"/>
    <n v="5.2"/>
  </r>
  <r>
    <x v="249"/>
    <x v="2"/>
    <x v="1"/>
    <x v="1"/>
    <x v="3"/>
    <n v="5.74"/>
    <n v="9"/>
    <x v="2190"/>
    <x v="2"/>
    <n v="3.7"/>
  </r>
  <r>
    <x v="249"/>
    <x v="0"/>
    <x v="0"/>
    <x v="0"/>
    <x v="0"/>
    <n v="13.84"/>
    <n v="1"/>
    <x v="2191"/>
    <x v="2"/>
    <n v="4.5"/>
  </r>
  <r>
    <x v="249"/>
    <x v="2"/>
    <x v="0"/>
    <x v="1"/>
    <x v="5"/>
    <n v="34.54"/>
    <n v="5"/>
    <x v="2192"/>
    <x v="0"/>
    <n v="5.9"/>
  </r>
  <r>
    <x v="249"/>
    <x v="2"/>
    <x v="1"/>
    <x v="0"/>
    <x v="4"/>
    <n v="65.78"/>
    <n v="7"/>
    <x v="2193"/>
    <x v="2"/>
    <n v="8.6"/>
  </r>
  <r>
    <x v="249"/>
    <x v="1"/>
    <x v="1"/>
    <x v="0"/>
    <x v="4"/>
    <n v="41.08"/>
    <n v="2"/>
    <x v="2194"/>
    <x v="1"/>
    <n v="8.9"/>
  </r>
  <r>
    <x v="250"/>
    <x v="0"/>
    <x v="1"/>
    <x v="1"/>
    <x v="4"/>
    <n v="53.02"/>
    <n v="2"/>
    <x v="2195"/>
    <x v="2"/>
    <n v="3"/>
  </r>
  <r>
    <x v="250"/>
    <x v="0"/>
    <x v="1"/>
    <x v="1"/>
    <x v="3"/>
    <n v="23.07"/>
    <n v="1"/>
    <x v="2196"/>
    <x v="0"/>
    <n v="6.5"/>
  </r>
  <r>
    <x v="250"/>
    <x v="2"/>
    <x v="0"/>
    <x v="0"/>
    <x v="0"/>
    <n v="8.91"/>
    <n v="10"/>
    <x v="2197"/>
    <x v="2"/>
    <n v="5.8"/>
  </r>
  <r>
    <x v="250"/>
    <x v="0"/>
    <x v="1"/>
    <x v="0"/>
    <x v="0"/>
    <n v="5.13"/>
    <n v="10"/>
    <x v="2198"/>
    <x v="1"/>
    <n v="4.5"/>
  </r>
  <r>
    <x v="250"/>
    <x v="0"/>
    <x v="1"/>
    <x v="0"/>
    <x v="5"/>
    <n v="37.47"/>
    <n v="8"/>
    <x v="2199"/>
    <x v="2"/>
    <n v="3.8"/>
  </r>
  <r>
    <x v="250"/>
    <x v="0"/>
    <x v="1"/>
    <x v="0"/>
    <x v="4"/>
    <n v="69.63"/>
    <n v="5"/>
    <x v="2200"/>
    <x v="0"/>
    <n v="5.3"/>
  </r>
  <r>
    <x v="250"/>
    <x v="0"/>
    <x v="0"/>
    <x v="0"/>
    <x v="5"/>
    <n v="24.62"/>
    <n v="8"/>
    <x v="555"/>
    <x v="1"/>
    <n v="9.4"/>
  </r>
  <r>
    <x v="250"/>
    <x v="2"/>
    <x v="1"/>
    <x v="0"/>
    <x v="5"/>
    <n v="22.38"/>
    <n v="7"/>
    <x v="2201"/>
    <x v="1"/>
    <n v="5.2"/>
  </r>
  <r>
    <x v="250"/>
    <x v="1"/>
    <x v="1"/>
    <x v="1"/>
    <x v="4"/>
    <n v="62.36"/>
    <n v="5"/>
    <x v="2202"/>
    <x v="2"/>
    <n v="6.5"/>
  </r>
  <r>
    <x v="250"/>
    <x v="1"/>
    <x v="1"/>
    <x v="1"/>
    <x v="0"/>
    <n v="10.07"/>
    <n v="3"/>
    <x v="2203"/>
    <x v="0"/>
    <n v="7.8"/>
  </r>
  <r>
    <x v="250"/>
    <x v="2"/>
    <x v="1"/>
    <x v="0"/>
    <x v="1"/>
    <n v="80.63"/>
    <n v="6"/>
    <x v="2204"/>
    <x v="2"/>
    <n v="5.5"/>
  </r>
  <r>
    <x v="250"/>
    <x v="0"/>
    <x v="0"/>
    <x v="0"/>
    <x v="0"/>
    <n v="3.72"/>
    <n v="9"/>
    <x v="2205"/>
    <x v="2"/>
    <n v="9.6"/>
  </r>
  <r>
    <x v="250"/>
    <x v="2"/>
    <x v="1"/>
    <x v="0"/>
    <x v="5"/>
    <n v="21.42"/>
    <n v="8"/>
    <x v="2206"/>
    <x v="2"/>
    <n v="9.5"/>
  </r>
  <r>
    <x v="251"/>
    <x v="1"/>
    <x v="1"/>
    <x v="1"/>
    <x v="0"/>
    <n v="2.98"/>
    <n v="4"/>
    <x v="2207"/>
    <x v="2"/>
    <n v="4.7"/>
  </r>
  <r>
    <x v="251"/>
    <x v="1"/>
    <x v="0"/>
    <x v="0"/>
    <x v="3"/>
    <n v="12.89"/>
    <n v="5"/>
    <x v="2208"/>
    <x v="0"/>
    <n v="6.4"/>
  </r>
  <r>
    <x v="251"/>
    <x v="1"/>
    <x v="1"/>
    <x v="0"/>
    <x v="5"/>
    <n v="35.56"/>
    <n v="6"/>
    <x v="2209"/>
    <x v="1"/>
    <n v="5"/>
  </r>
  <r>
    <x v="251"/>
    <x v="0"/>
    <x v="1"/>
    <x v="0"/>
    <x v="0"/>
    <n v="4.88"/>
    <n v="2"/>
    <x v="2210"/>
    <x v="0"/>
    <n v="4.9000000000000004"/>
  </r>
  <r>
    <x v="251"/>
    <x v="1"/>
    <x v="0"/>
    <x v="0"/>
    <x v="5"/>
    <n v="16.13"/>
    <n v="1"/>
    <x v="2211"/>
    <x v="0"/>
    <n v="3.3"/>
  </r>
  <r>
    <x v="251"/>
    <x v="0"/>
    <x v="0"/>
    <x v="1"/>
    <x v="5"/>
    <n v="24.28"/>
    <n v="9"/>
    <x v="2212"/>
    <x v="0"/>
    <n v="7.1"/>
  </r>
  <r>
    <x v="251"/>
    <x v="0"/>
    <x v="1"/>
    <x v="0"/>
    <x v="3"/>
    <n v="21.67"/>
    <n v="10"/>
    <x v="2213"/>
    <x v="0"/>
    <n v="6.4"/>
  </r>
  <r>
    <x v="251"/>
    <x v="0"/>
    <x v="0"/>
    <x v="0"/>
    <x v="1"/>
    <n v="88.43"/>
    <n v="4"/>
    <x v="2214"/>
    <x v="2"/>
    <n v="3.4"/>
  </r>
  <r>
    <x v="251"/>
    <x v="1"/>
    <x v="0"/>
    <x v="0"/>
    <x v="0"/>
    <n v="5.59"/>
    <n v="2"/>
    <x v="2215"/>
    <x v="2"/>
    <n v="4.9000000000000004"/>
  </r>
  <r>
    <x v="251"/>
    <x v="0"/>
    <x v="1"/>
    <x v="1"/>
    <x v="2"/>
    <n v="67.91"/>
    <n v="1"/>
    <x v="2216"/>
    <x v="1"/>
    <n v="9.1999999999999993"/>
  </r>
  <r>
    <x v="251"/>
    <x v="1"/>
    <x v="0"/>
    <x v="1"/>
    <x v="0"/>
    <n v="11.95"/>
    <n v="4"/>
    <x v="2217"/>
    <x v="0"/>
    <n v="4.5999999999999996"/>
  </r>
  <r>
    <x v="251"/>
    <x v="0"/>
    <x v="1"/>
    <x v="1"/>
    <x v="2"/>
    <n v="67.88"/>
    <n v="5"/>
    <x v="2218"/>
    <x v="2"/>
    <n v="4"/>
  </r>
  <r>
    <x v="251"/>
    <x v="0"/>
    <x v="1"/>
    <x v="0"/>
    <x v="0"/>
    <n v="3.43"/>
    <n v="1"/>
    <x v="2219"/>
    <x v="1"/>
    <n v="6.3"/>
  </r>
  <r>
    <x v="251"/>
    <x v="1"/>
    <x v="0"/>
    <x v="0"/>
    <x v="5"/>
    <n v="21.63"/>
    <n v="3"/>
    <x v="2180"/>
    <x v="2"/>
    <n v="9.6999999999999993"/>
  </r>
  <r>
    <x v="251"/>
    <x v="1"/>
    <x v="1"/>
    <x v="0"/>
    <x v="5"/>
    <n v="24.05"/>
    <n v="10"/>
    <x v="2220"/>
    <x v="1"/>
    <n v="4.5999999999999996"/>
  </r>
  <r>
    <x v="251"/>
    <x v="1"/>
    <x v="1"/>
    <x v="1"/>
    <x v="5"/>
    <n v="37.72"/>
    <n v="9"/>
    <x v="2221"/>
    <x v="0"/>
    <n v="7.6"/>
  </r>
  <r>
    <x v="251"/>
    <x v="0"/>
    <x v="1"/>
    <x v="0"/>
    <x v="4"/>
    <n v="52.79"/>
    <n v="2"/>
    <x v="2222"/>
    <x v="0"/>
    <n v="8.1999999999999993"/>
  </r>
  <r>
    <x v="252"/>
    <x v="0"/>
    <x v="0"/>
    <x v="1"/>
    <x v="1"/>
    <n v="82.81"/>
    <n v="3"/>
    <x v="2223"/>
    <x v="1"/>
    <n v="4.5999999999999996"/>
  </r>
  <r>
    <x v="252"/>
    <x v="2"/>
    <x v="0"/>
    <x v="0"/>
    <x v="4"/>
    <n v="57.92"/>
    <n v="5"/>
    <x v="2224"/>
    <x v="0"/>
    <n v="8"/>
  </r>
  <r>
    <x v="252"/>
    <x v="0"/>
    <x v="1"/>
    <x v="1"/>
    <x v="4"/>
    <n v="59.53"/>
    <n v="9"/>
    <x v="2225"/>
    <x v="2"/>
    <n v="5.5"/>
  </r>
  <r>
    <x v="252"/>
    <x v="2"/>
    <x v="1"/>
    <x v="1"/>
    <x v="0"/>
    <n v="12.76"/>
    <n v="7"/>
    <x v="2226"/>
    <x v="0"/>
    <n v="7.3"/>
  </r>
  <r>
    <x v="252"/>
    <x v="2"/>
    <x v="0"/>
    <x v="0"/>
    <x v="0"/>
    <n v="3.98"/>
    <n v="8"/>
    <x v="458"/>
    <x v="1"/>
    <n v="7.3"/>
  </r>
  <r>
    <x v="252"/>
    <x v="0"/>
    <x v="1"/>
    <x v="1"/>
    <x v="2"/>
    <n v="61.18"/>
    <n v="3"/>
    <x v="2227"/>
    <x v="0"/>
    <n v="6.6"/>
  </r>
  <r>
    <x v="252"/>
    <x v="2"/>
    <x v="1"/>
    <x v="0"/>
    <x v="4"/>
    <n v="52.32"/>
    <n v="7"/>
    <x v="2228"/>
    <x v="2"/>
    <n v="3.6"/>
  </r>
  <r>
    <x v="252"/>
    <x v="1"/>
    <x v="0"/>
    <x v="0"/>
    <x v="3"/>
    <n v="16.559999999999999"/>
    <n v="4"/>
    <x v="2229"/>
    <x v="1"/>
    <n v="8.6999999999999993"/>
  </r>
  <r>
    <x v="252"/>
    <x v="1"/>
    <x v="1"/>
    <x v="0"/>
    <x v="5"/>
    <n v="24.19"/>
    <n v="5"/>
    <x v="2230"/>
    <x v="0"/>
    <n v="5.2"/>
  </r>
  <r>
    <x v="252"/>
    <x v="1"/>
    <x v="1"/>
    <x v="1"/>
    <x v="2"/>
    <n v="69.73"/>
    <n v="5"/>
    <x v="2231"/>
    <x v="1"/>
    <n v="4.3"/>
  </r>
  <r>
    <x v="252"/>
    <x v="1"/>
    <x v="0"/>
    <x v="0"/>
    <x v="0"/>
    <n v="4.3600000000000003"/>
    <n v="3"/>
    <x v="2232"/>
    <x v="0"/>
    <n v="3.3"/>
  </r>
  <r>
    <x v="252"/>
    <x v="0"/>
    <x v="0"/>
    <x v="1"/>
    <x v="5"/>
    <n v="28.26"/>
    <n v="7"/>
    <x v="2233"/>
    <x v="0"/>
    <n v="7"/>
  </r>
  <r>
    <x v="253"/>
    <x v="2"/>
    <x v="1"/>
    <x v="0"/>
    <x v="0"/>
    <n v="9.3800000000000008"/>
    <n v="2"/>
    <x v="2234"/>
    <x v="2"/>
    <n v="7.6"/>
  </r>
  <r>
    <x v="253"/>
    <x v="1"/>
    <x v="1"/>
    <x v="1"/>
    <x v="0"/>
    <n v="5.54"/>
    <n v="7"/>
    <x v="2235"/>
    <x v="0"/>
    <n v="3.1"/>
  </r>
  <r>
    <x v="253"/>
    <x v="0"/>
    <x v="0"/>
    <x v="1"/>
    <x v="5"/>
    <n v="17.77"/>
    <n v="10"/>
    <x v="2236"/>
    <x v="0"/>
    <n v="6.5"/>
  </r>
  <r>
    <x v="253"/>
    <x v="0"/>
    <x v="1"/>
    <x v="0"/>
    <x v="4"/>
    <n v="41.64"/>
    <n v="4"/>
    <x v="2237"/>
    <x v="0"/>
    <n v="4.5"/>
  </r>
  <r>
    <x v="253"/>
    <x v="0"/>
    <x v="0"/>
    <x v="0"/>
    <x v="0"/>
    <n v="3.56"/>
    <n v="8"/>
    <x v="2238"/>
    <x v="2"/>
    <n v="7.4"/>
  </r>
  <r>
    <x v="253"/>
    <x v="2"/>
    <x v="1"/>
    <x v="1"/>
    <x v="0"/>
    <n v="12.83"/>
    <n v="6"/>
    <x v="2239"/>
    <x v="1"/>
    <n v="4.2"/>
  </r>
  <r>
    <x v="253"/>
    <x v="0"/>
    <x v="1"/>
    <x v="1"/>
    <x v="2"/>
    <n v="52.34"/>
    <n v="6"/>
    <x v="2240"/>
    <x v="0"/>
    <n v="7.7"/>
  </r>
  <r>
    <x v="253"/>
    <x v="1"/>
    <x v="0"/>
    <x v="0"/>
    <x v="4"/>
    <n v="52.15"/>
    <n v="6"/>
    <x v="2241"/>
    <x v="1"/>
    <n v="5.6"/>
  </r>
  <r>
    <x v="253"/>
    <x v="2"/>
    <x v="0"/>
    <x v="0"/>
    <x v="1"/>
    <n v="96"/>
    <n v="4"/>
    <x v="2242"/>
    <x v="0"/>
    <n v="9.4"/>
  </r>
  <r>
    <x v="253"/>
    <x v="0"/>
    <x v="1"/>
    <x v="0"/>
    <x v="5"/>
    <n v="20.54"/>
    <n v="3"/>
    <x v="2243"/>
    <x v="1"/>
    <n v="3.9"/>
  </r>
  <r>
    <x v="253"/>
    <x v="2"/>
    <x v="1"/>
    <x v="1"/>
    <x v="4"/>
    <n v="50.48"/>
    <n v="3"/>
    <x v="2244"/>
    <x v="1"/>
    <n v="5.3"/>
  </r>
  <r>
    <x v="253"/>
    <x v="0"/>
    <x v="1"/>
    <x v="1"/>
    <x v="0"/>
    <n v="10.52"/>
    <n v="3"/>
    <x v="2245"/>
    <x v="2"/>
    <n v="3.8"/>
  </r>
  <r>
    <x v="253"/>
    <x v="2"/>
    <x v="1"/>
    <x v="0"/>
    <x v="4"/>
    <n v="66.459999999999994"/>
    <n v="10"/>
    <x v="2246"/>
    <x v="0"/>
    <n v="9.3000000000000007"/>
  </r>
  <r>
    <x v="253"/>
    <x v="0"/>
    <x v="0"/>
    <x v="0"/>
    <x v="1"/>
    <n v="88.38"/>
    <n v="5"/>
    <x v="2247"/>
    <x v="2"/>
    <n v="9"/>
  </r>
  <r>
    <x v="253"/>
    <x v="2"/>
    <x v="0"/>
    <x v="1"/>
    <x v="4"/>
    <n v="53.56"/>
    <n v="1"/>
    <x v="2248"/>
    <x v="0"/>
    <n v="4.8"/>
  </r>
  <r>
    <x v="253"/>
    <x v="2"/>
    <x v="1"/>
    <x v="1"/>
    <x v="0"/>
    <n v="8.59"/>
    <n v="8"/>
    <x v="2249"/>
    <x v="0"/>
    <n v="7.5"/>
  </r>
  <r>
    <x v="253"/>
    <x v="1"/>
    <x v="1"/>
    <x v="1"/>
    <x v="1"/>
    <n v="95.35"/>
    <n v="4"/>
    <x v="2250"/>
    <x v="0"/>
    <n v="8.6"/>
  </r>
  <r>
    <x v="254"/>
    <x v="0"/>
    <x v="1"/>
    <x v="1"/>
    <x v="5"/>
    <n v="35.270000000000003"/>
    <n v="6"/>
    <x v="2251"/>
    <x v="2"/>
    <n v="6.8"/>
  </r>
  <r>
    <x v="254"/>
    <x v="2"/>
    <x v="0"/>
    <x v="1"/>
    <x v="0"/>
    <n v="7.69"/>
    <n v="8"/>
    <x v="2252"/>
    <x v="0"/>
    <n v="6.6"/>
  </r>
  <r>
    <x v="254"/>
    <x v="2"/>
    <x v="0"/>
    <x v="0"/>
    <x v="4"/>
    <n v="63.23"/>
    <n v="10"/>
    <x v="2253"/>
    <x v="1"/>
    <n v="4.5999999999999996"/>
  </r>
  <r>
    <x v="254"/>
    <x v="2"/>
    <x v="0"/>
    <x v="0"/>
    <x v="4"/>
    <n v="60.35"/>
    <n v="5"/>
    <x v="2254"/>
    <x v="1"/>
    <n v="3.6"/>
  </r>
  <r>
    <x v="254"/>
    <x v="1"/>
    <x v="0"/>
    <x v="1"/>
    <x v="2"/>
    <n v="67.48"/>
    <n v="3"/>
    <x v="2255"/>
    <x v="2"/>
    <n v="9.1"/>
  </r>
  <r>
    <x v="254"/>
    <x v="2"/>
    <x v="0"/>
    <x v="0"/>
    <x v="0"/>
    <n v="11.21"/>
    <n v="2"/>
    <x v="2256"/>
    <x v="0"/>
    <n v="9.1"/>
  </r>
  <r>
    <x v="254"/>
    <x v="1"/>
    <x v="1"/>
    <x v="1"/>
    <x v="5"/>
    <n v="35.72"/>
    <n v="9"/>
    <x v="2257"/>
    <x v="1"/>
    <n v="7.3"/>
  </r>
  <r>
    <x v="254"/>
    <x v="2"/>
    <x v="0"/>
    <x v="1"/>
    <x v="4"/>
    <n v="45.41"/>
    <n v="4"/>
    <x v="2258"/>
    <x v="0"/>
    <n v="5.3"/>
  </r>
  <r>
    <x v="254"/>
    <x v="0"/>
    <x v="0"/>
    <x v="1"/>
    <x v="3"/>
    <n v="10.92"/>
    <n v="2"/>
    <x v="2259"/>
    <x v="0"/>
    <n v="5.4"/>
  </r>
  <r>
    <x v="254"/>
    <x v="1"/>
    <x v="1"/>
    <x v="1"/>
    <x v="5"/>
    <n v="36.909999999999997"/>
    <n v="10"/>
    <x v="2260"/>
    <x v="1"/>
    <n v="7.9"/>
  </r>
  <r>
    <x v="254"/>
    <x v="0"/>
    <x v="1"/>
    <x v="1"/>
    <x v="5"/>
    <n v="16.09"/>
    <n v="6"/>
    <x v="2261"/>
    <x v="2"/>
    <n v="9.1"/>
  </r>
  <r>
    <x v="254"/>
    <x v="2"/>
    <x v="1"/>
    <x v="0"/>
    <x v="0"/>
    <n v="12.19"/>
    <n v="4"/>
    <x v="2262"/>
    <x v="0"/>
    <n v="9"/>
  </r>
  <r>
    <x v="254"/>
    <x v="1"/>
    <x v="1"/>
    <x v="0"/>
    <x v="0"/>
    <n v="4.5199999999999996"/>
    <n v="10"/>
    <x v="2263"/>
    <x v="2"/>
    <n v="8.3000000000000007"/>
  </r>
  <r>
    <x v="254"/>
    <x v="0"/>
    <x v="1"/>
    <x v="0"/>
    <x v="5"/>
    <n v="25.47"/>
    <n v="3"/>
    <x v="2264"/>
    <x v="2"/>
    <n v="7.4"/>
  </r>
  <r>
    <x v="254"/>
    <x v="0"/>
    <x v="0"/>
    <x v="0"/>
    <x v="2"/>
    <n v="64.42"/>
    <n v="6"/>
    <x v="2265"/>
    <x v="0"/>
    <n v="3.6"/>
  </r>
  <r>
    <x v="254"/>
    <x v="1"/>
    <x v="0"/>
    <x v="1"/>
    <x v="0"/>
    <n v="11.92"/>
    <n v="5"/>
    <x v="1525"/>
    <x v="0"/>
    <n v="4.0999999999999996"/>
  </r>
  <r>
    <x v="254"/>
    <x v="1"/>
    <x v="1"/>
    <x v="1"/>
    <x v="5"/>
    <n v="20.55"/>
    <n v="8"/>
    <x v="2266"/>
    <x v="2"/>
    <n v="9.1"/>
  </r>
  <r>
    <x v="255"/>
    <x v="2"/>
    <x v="1"/>
    <x v="0"/>
    <x v="1"/>
    <n v="84.47"/>
    <n v="2"/>
    <x v="2267"/>
    <x v="0"/>
    <n v="7.1"/>
  </r>
  <r>
    <x v="255"/>
    <x v="1"/>
    <x v="1"/>
    <x v="0"/>
    <x v="0"/>
    <n v="3.79"/>
    <n v="5"/>
    <x v="2268"/>
    <x v="2"/>
    <n v="3.1"/>
  </r>
  <r>
    <x v="255"/>
    <x v="1"/>
    <x v="1"/>
    <x v="0"/>
    <x v="5"/>
    <n v="15.13"/>
    <n v="2"/>
    <x v="2269"/>
    <x v="1"/>
    <n v="3.7"/>
  </r>
  <r>
    <x v="255"/>
    <x v="0"/>
    <x v="0"/>
    <x v="0"/>
    <x v="0"/>
    <n v="5.75"/>
    <n v="5"/>
    <x v="2270"/>
    <x v="1"/>
    <n v="7.5"/>
  </r>
  <r>
    <x v="255"/>
    <x v="2"/>
    <x v="0"/>
    <x v="0"/>
    <x v="0"/>
    <n v="12.88"/>
    <n v="8"/>
    <x v="1163"/>
    <x v="0"/>
    <n v="3"/>
  </r>
  <r>
    <x v="255"/>
    <x v="2"/>
    <x v="1"/>
    <x v="1"/>
    <x v="0"/>
    <n v="5.79"/>
    <n v="1"/>
    <x v="2271"/>
    <x v="0"/>
    <n v="4.0999999999999996"/>
  </r>
  <r>
    <x v="255"/>
    <x v="2"/>
    <x v="1"/>
    <x v="1"/>
    <x v="0"/>
    <n v="6.69"/>
    <n v="9"/>
    <x v="2272"/>
    <x v="0"/>
    <n v="6.7"/>
  </r>
  <r>
    <x v="255"/>
    <x v="2"/>
    <x v="0"/>
    <x v="1"/>
    <x v="3"/>
    <n v="14.4"/>
    <n v="7"/>
    <x v="2273"/>
    <x v="2"/>
    <n v="7.7"/>
  </r>
  <r>
    <x v="255"/>
    <x v="0"/>
    <x v="0"/>
    <x v="1"/>
    <x v="0"/>
    <n v="11.53"/>
    <n v="2"/>
    <x v="2274"/>
    <x v="2"/>
    <n v="7.4"/>
  </r>
  <r>
    <x v="255"/>
    <x v="2"/>
    <x v="0"/>
    <x v="1"/>
    <x v="3"/>
    <n v="11.77"/>
    <n v="3"/>
    <x v="2275"/>
    <x v="2"/>
    <n v="4.5"/>
  </r>
  <r>
    <x v="255"/>
    <x v="1"/>
    <x v="1"/>
    <x v="0"/>
    <x v="4"/>
    <n v="64.34"/>
    <n v="2"/>
    <x v="2276"/>
    <x v="2"/>
    <n v="7.8"/>
  </r>
  <r>
    <x v="255"/>
    <x v="0"/>
    <x v="0"/>
    <x v="1"/>
    <x v="1"/>
    <n v="83.78"/>
    <n v="1"/>
    <x v="2277"/>
    <x v="0"/>
    <n v="4.5999999999999996"/>
  </r>
  <r>
    <x v="255"/>
    <x v="2"/>
    <x v="0"/>
    <x v="0"/>
    <x v="0"/>
    <n v="11.79"/>
    <n v="4"/>
    <x v="2278"/>
    <x v="1"/>
    <n v="5.2"/>
  </r>
  <r>
    <x v="256"/>
    <x v="0"/>
    <x v="0"/>
    <x v="0"/>
    <x v="2"/>
    <n v="73.98"/>
    <n v="7"/>
    <x v="674"/>
    <x v="2"/>
    <n v="8.1"/>
  </r>
  <r>
    <x v="256"/>
    <x v="1"/>
    <x v="0"/>
    <x v="0"/>
    <x v="3"/>
    <n v="8.74"/>
    <n v="8"/>
    <x v="2279"/>
    <x v="0"/>
    <n v="7.4"/>
  </r>
  <r>
    <x v="256"/>
    <x v="0"/>
    <x v="1"/>
    <x v="1"/>
    <x v="3"/>
    <n v="6.58"/>
    <n v="10"/>
    <x v="734"/>
    <x v="2"/>
    <n v="8.8000000000000007"/>
  </r>
  <r>
    <x v="256"/>
    <x v="0"/>
    <x v="0"/>
    <x v="1"/>
    <x v="0"/>
    <n v="10.59"/>
    <n v="5"/>
    <x v="2280"/>
    <x v="0"/>
    <n v="7.5"/>
  </r>
  <r>
    <x v="256"/>
    <x v="0"/>
    <x v="0"/>
    <x v="0"/>
    <x v="3"/>
    <n v="5.85"/>
    <n v="6"/>
    <x v="2281"/>
    <x v="0"/>
    <n v="6.9"/>
  </r>
  <r>
    <x v="256"/>
    <x v="2"/>
    <x v="0"/>
    <x v="1"/>
    <x v="5"/>
    <n v="30.94"/>
    <n v="6"/>
    <x v="2282"/>
    <x v="0"/>
    <n v="3.6"/>
  </r>
  <r>
    <x v="256"/>
    <x v="0"/>
    <x v="0"/>
    <x v="1"/>
    <x v="3"/>
    <n v="17.149999999999999"/>
    <n v="8"/>
    <x v="2283"/>
    <x v="1"/>
    <n v="5.5"/>
  </r>
  <r>
    <x v="256"/>
    <x v="1"/>
    <x v="0"/>
    <x v="0"/>
    <x v="0"/>
    <n v="14.34"/>
    <n v="1"/>
    <x v="2284"/>
    <x v="0"/>
    <n v="4.8"/>
  </r>
  <r>
    <x v="256"/>
    <x v="1"/>
    <x v="1"/>
    <x v="0"/>
    <x v="4"/>
    <n v="42.31"/>
    <n v="3"/>
    <x v="2285"/>
    <x v="0"/>
    <n v="4.7"/>
  </r>
  <r>
    <x v="257"/>
    <x v="2"/>
    <x v="1"/>
    <x v="1"/>
    <x v="5"/>
    <n v="15.65"/>
    <n v="3"/>
    <x v="2286"/>
    <x v="0"/>
    <n v="9.6"/>
  </r>
  <r>
    <x v="257"/>
    <x v="2"/>
    <x v="1"/>
    <x v="0"/>
    <x v="5"/>
    <n v="32.6"/>
    <n v="4"/>
    <x v="2287"/>
    <x v="2"/>
    <n v="5.7"/>
  </r>
  <r>
    <x v="257"/>
    <x v="1"/>
    <x v="0"/>
    <x v="0"/>
    <x v="0"/>
    <n v="3.76"/>
    <n v="2"/>
    <x v="1666"/>
    <x v="0"/>
    <n v="9.1"/>
  </r>
  <r>
    <x v="257"/>
    <x v="2"/>
    <x v="1"/>
    <x v="1"/>
    <x v="2"/>
    <n v="79.03"/>
    <n v="6"/>
    <x v="2288"/>
    <x v="2"/>
    <n v="7.3"/>
  </r>
  <r>
    <x v="257"/>
    <x v="2"/>
    <x v="1"/>
    <x v="0"/>
    <x v="3"/>
    <n v="22.03"/>
    <n v="3"/>
    <x v="2289"/>
    <x v="2"/>
    <n v="8.4"/>
  </r>
  <r>
    <x v="257"/>
    <x v="0"/>
    <x v="1"/>
    <x v="1"/>
    <x v="5"/>
    <n v="20.92"/>
    <n v="8"/>
    <x v="2290"/>
    <x v="1"/>
    <n v="6.4"/>
  </r>
  <r>
    <x v="257"/>
    <x v="2"/>
    <x v="1"/>
    <x v="1"/>
    <x v="4"/>
    <n v="42.59"/>
    <n v="5"/>
    <x v="2291"/>
    <x v="0"/>
    <n v="6.9"/>
  </r>
  <r>
    <x v="257"/>
    <x v="2"/>
    <x v="1"/>
    <x v="0"/>
    <x v="3"/>
    <n v="21.47"/>
    <n v="2"/>
    <x v="2292"/>
    <x v="1"/>
    <n v="6.3"/>
  </r>
  <r>
    <x v="257"/>
    <x v="0"/>
    <x v="1"/>
    <x v="0"/>
    <x v="0"/>
    <n v="6.48"/>
    <n v="9"/>
    <x v="2293"/>
    <x v="0"/>
    <n v="4.3"/>
  </r>
  <r>
    <x v="257"/>
    <x v="1"/>
    <x v="1"/>
    <x v="0"/>
    <x v="0"/>
    <n v="13.29"/>
    <n v="2"/>
    <x v="2294"/>
    <x v="0"/>
    <n v="7.9"/>
  </r>
  <r>
    <x v="257"/>
    <x v="0"/>
    <x v="0"/>
    <x v="1"/>
    <x v="0"/>
    <n v="14.23"/>
    <n v="5"/>
    <x v="352"/>
    <x v="2"/>
    <n v="4.9000000000000004"/>
  </r>
  <r>
    <x v="257"/>
    <x v="2"/>
    <x v="0"/>
    <x v="0"/>
    <x v="0"/>
    <n v="5.94"/>
    <n v="9"/>
    <x v="2295"/>
    <x v="1"/>
    <n v="3.2"/>
  </r>
  <r>
    <x v="257"/>
    <x v="2"/>
    <x v="0"/>
    <x v="1"/>
    <x v="4"/>
    <n v="58.73"/>
    <n v="10"/>
    <x v="2296"/>
    <x v="0"/>
    <n v="7.4"/>
  </r>
  <r>
    <x v="258"/>
    <x v="0"/>
    <x v="0"/>
    <x v="1"/>
    <x v="1"/>
    <n v="97.97"/>
    <n v="10"/>
    <x v="2297"/>
    <x v="1"/>
    <n v="4.2"/>
  </r>
  <r>
    <x v="258"/>
    <x v="2"/>
    <x v="1"/>
    <x v="1"/>
    <x v="0"/>
    <n v="10.15"/>
    <n v="5"/>
    <x v="2298"/>
    <x v="0"/>
    <n v="9.4"/>
  </r>
  <r>
    <x v="258"/>
    <x v="0"/>
    <x v="0"/>
    <x v="0"/>
    <x v="0"/>
    <n v="2.95"/>
    <n v="1"/>
    <x v="2299"/>
    <x v="1"/>
    <n v="9.5"/>
  </r>
  <r>
    <x v="258"/>
    <x v="2"/>
    <x v="1"/>
    <x v="0"/>
    <x v="5"/>
    <n v="22.81"/>
    <n v="6"/>
    <x v="2300"/>
    <x v="2"/>
    <n v="9.1999999999999993"/>
  </r>
  <r>
    <x v="258"/>
    <x v="1"/>
    <x v="1"/>
    <x v="1"/>
    <x v="2"/>
    <n v="65.45"/>
    <n v="2"/>
    <x v="2301"/>
    <x v="0"/>
    <n v="5.5"/>
  </r>
  <r>
    <x v="258"/>
    <x v="0"/>
    <x v="0"/>
    <x v="1"/>
    <x v="5"/>
    <n v="16.27"/>
    <n v="7"/>
    <x v="2302"/>
    <x v="2"/>
    <n v="3.1"/>
  </r>
  <r>
    <x v="258"/>
    <x v="1"/>
    <x v="1"/>
    <x v="1"/>
    <x v="5"/>
    <n v="38.340000000000003"/>
    <n v="6"/>
    <x v="2303"/>
    <x v="1"/>
    <n v="9.3000000000000007"/>
  </r>
  <r>
    <x v="258"/>
    <x v="1"/>
    <x v="1"/>
    <x v="0"/>
    <x v="0"/>
    <n v="6.01"/>
    <n v="1"/>
    <x v="2304"/>
    <x v="1"/>
    <n v="5.9"/>
  </r>
  <r>
    <x v="258"/>
    <x v="2"/>
    <x v="0"/>
    <x v="1"/>
    <x v="5"/>
    <n v="23.82"/>
    <n v="1"/>
    <x v="2305"/>
    <x v="1"/>
    <n v="9.6"/>
  </r>
  <r>
    <x v="258"/>
    <x v="1"/>
    <x v="0"/>
    <x v="0"/>
    <x v="4"/>
    <n v="40.25"/>
    <n v="2"/>
    <x v="2306"/>
    <x v="0"/>
    <n v="9.6"/>
  </r>
  <r>
    <x v="258"/>
    <x v="1"/>
    <x v="0"/>
    <x v="0"/>
    <x v="2"/>
    <n v="62.02"/>
    <n v="10"/>
    <x v="2307"/>
    <x v="0"/>
    <n v="8.8000000000000007"/>
  </r>
  <r>
    <x v="258"/>
    <x v="0"/>
    <x v="1"/>
    <x v="0"/>
    <x v="5"/>
    <n v="34.11"/>
    <n v="5"/>
    <x v="2308"/>
    <x v="2"/>
    <n v="5"/>
  </r>
  <r>
    <x v="259"/>
    <x v="2"/>
    <x v="1"/>
    <x v="1"/>
    <x v="4"/>
    <n v="51.82"/>
    <n v="6"/>
    <x v="2309"/>
    <x v="0"/>
    <n v="5.6"/>
  </r>
  <r>
    <x v="259"/>
    <x v="0"/>
    <x v="1"/>
    <x v="0"/>
    <x v="5"/>
    <n v="16.13"/>
    <n v="3"/>
    <x v="2310"/>
    <x v="2"/>
    <n v="8.8000000000000007"/>
  </r>
  <r>
    <x v="259"/>
    <x v="2"/>
    <x v="1"/>
    <x v="1"/>
    <x v="2"/>
    <n v="65.47"/>
    <n v="6"/>
    <x v="2311"/>
    <x v="2"/>
    <n v="5.2"/>
  </r>
  <r>
    <x v="259"/>
    <x v="2"/>
    <x v="1"/>
    <x v="0"/>
    <x v="0"/>
    <n v="8.6"/>
    <n v="9"/>
    <x v="2312"/>
    <x v="0"/>
    <n v="4.2"/>
  </r>
  <r>
    <x v="259"/>
    <x v="0"/>
    <x v="0"/>
    <x v="1"/>
    <x v="3"/>
    <n v="18.48"/>
    <n v="7"/>
    <x v="2313"/>
    <x v="0"/>
    <n v="6.8"/>
  </r>
  <r>
    <x v="259"/>
    <x v="1"/>
    <x v="1"/>
    <x v="1"/>
    <x v="3"/>
    <n v="10.31"/>
    <n v="10"/>
    <x v="2314"/>
    <x v="0"/>
    <n v="9.4"/>
  </r>
  <r>
    <x v="259"/>
    <x v="2"/>
    <x v="1"/>
    <x v="1"/>
    <x v="3"/>
    <n v="19.420000000000002"/>
    <n v="7"/>
    <x v="2315"/>
    <x v="1"/>
    <n v="7.7"/>
  </r>
  <r>
    <x v="259"/>
    <x v="0"/>
    <x v="0"/>
    <x v="1"/>
    <x v="4"/>
    <n v="53.23"/>
    <n v="7"/>
    <x v="2316"/>
    <x v="1"/>
    <n v="6.9"/>
  </r>
  <r>
    <x v="259"/>
    <x v="2"/>
    <x v="1"/>
    <x v="0"/>
    <x v="4"/>
    <n v="62.08"/>
    <n v="1"/>
    <x v="2317"/>
    <x v="2"/>
    <n v="3.7"/>
  </r>
  <r>
    <x v="259"/>
    <x v="2"/>
    <x v="1"/>
    <x v="0"/>
    <x v="5"/>
    <n v="22.84"/>
    <n v="3"/>
    <x v="2318"/>
    <x v="0"/>
    <n v="7.2"/>
  </r>
  <r>
    <x v="259"/>
    <x v="2"/>
    <x v="1"/>
    <x v="0"/>
    <x v="5"/>
    <n v="19.809999999999999"/>
    <n v="4"/>
    <x v="2319"/>
    <x v="1"/>
    <n v="9.6999999999999993"/>
  </r>
  <r>
    <x v="259"/>
    <x v="1"/>
    <x v="1"/>
    <x v="0"/>
    <x v="0"/>
    <n v="11.16"/>
    <n v="8"/>
    <x v="658"/>
    <x v="0"/>
    <n v="4"/>
  </r>
  <r>
    <x v="259"/>
    <x v="1"/>
    <x v="0"/>
    <x v="0"/>
    <x v="0"/>
    <n v="9.4600000000000009"/>
    <n v="9"/>
    <x v="2320"/>
    <x v="0"/>
    <n v="6.5"/>
  </r>
  <r>
    <x v="259"/>
    <x v="1"/>
    <x v="0"/>
    <x v="1"/>
    <x v="1"/>
    <n v="85.45"/>
    <n v="2"/>
    <x v="2321"/>
    <x v="0"/>
    <n v="9"/>
  </r>
  <r>
    <x v="259"/>
    <x v="0"/>
    <x v="0"/>
    <x v="0"/>
    <x v="5"/>
    <n v="35.700000000000003"/>
    <n v="5"/>
    <x v="2322"/>
    <x v="2"/>
    <n v="8"/>
  </r>
  <r>
    <x v="260"/>
    <x v="0"/>
    <x v="0"/>
    <x v="1"/>
    <x v="4"/>
    <n v="60.1"/>
    <n v="9"/>
    <x v="2323"/>
    <x v="1"/>
    <n v="7.7"/>
  </r>
  <r>
    <x v="260"/>
    <x v="0"/>
    <x v="1"/>
    <x v="0"/>
    <x v="0"/>
    <n v="3.31"/>
    <n v="3"/>
    <x v="2324"/>
    <x v="1"/>
    <n v="7.8"/>
  </r>
  <r>
    <x v="260"/>
    <x v="1"/>
    <x v="1"/>
    <x v="0"/>
    <x v="4"/>
    <n v="66.42"/>
    <n v="8"/>
    <x v="2325"/>
    <x v="0"/>
    <n v="5.4"/>
  </r>
  <r>
    <x v="260"/>
    <x v="1"/>
    <x v="0"/>
    <x v="0"/>
    <x v="0"/>
    <n v="2.77"/>
    <n v="2"/>
    <x v="2326"/>
    <x v="2"/>
    <n v="5"/>
  </r>
  <r>
    <x v="260"/>
    <x v="1"/>
    <x v="1"/>
    <x v="1"/>
    <x v="0"/>
    <n v="4.28"/>
    <n v="3"/>
    <x v="2327"/>
    <x v="2"/>
    <n v="8.5"/>
  </r>
  <r>
    <x v="260"/>
    <x v="1"/>
    <x v="0"/>
    <x v="0"/>
    <x v="0"/>
    <n v="11.74"/>
    <n v="5"/>
    <x v="2328"/>
    <x v="2"/>
    <n v="8.5"/>
  </r>
  <r>
    <x v="260"/>
    <x v="2"/>
    <x v="1"/>
    <x v="1"/>
    <x v="0"/>
    <n v="6.36"/>
    <n v="8"/>
    <x v="1717"/>
    <x v="2"/>
    <n v="8.9"/>
  </r>
  <r>
    <x v="260"/>
    <x v="2"/>
    <x v="1"/>
    <x v="1"/>
    <x v="5"/>
    <n v="26.7"/>
    <n v="4"/>
    <x v="2329"/>
    <x v="2"/>
    <n v="9.1999999999999993"/>
  </r>
  <r>
    <x v="260"/>
    <x v="1"/>
    <x v="1"/>
    <x v="0"/>
    <x v="0"/>
    <n v="2.1800000000000002"/>
    <n v="6"/>
    <x v="2232"/>
    <x v="2"/>
    <n v="6.5"/>
  </r>
  <r>
    <x v="260"/>
    <x v="1"/>
    <x v="1"/>
    <x v="1"/>
    <x v="4"/>
    <n v="59.16"/>
    <n v="7"/>
    <x v="2330"/>
    <x v="2"/>
    <n v="6.4"/>
  </r>
  <r>
    <x v="260"/>
    <x v="0"/>
    <x v="0"/>
    <x v="1"/>
    <x v="5"/>
    <n v="18.52"/>
    <n v="6"/>
    <x v="2331"/>
    <x v="2"/>
    <n v="8.4"/>
  </r>
  <r>
    <x v="260"/>
    <x v="2"/>
    <x v="1"/>
    <x v="0"/>
    <x v="0"/>
    <n v="14.4"/>
    <n v="5"/>
    <x v="2332"/>
    <x v="0"/>
    <n v="7.4"/>
  </r>
  <r>
    <x v="261"/>
    <x v="0"/>
    <x v="1"/>
    <x v="0"/>
    <x v="4"/>
    <n v="41.86"/>
    <n v="2"/>
    <x v="2333"/>
    <x v="0"/>
    <n v="7.8"/>
  </r>
  <r>
    <x v="261"/>
    <x v="1"/>
    <x v="1"/>
    <x v="0"/>
    <x v="0"/>
    <n v="10.3"/>
    <n v="5"/>
    <x v="2334"/>
    <x v="0"/>
    <n v="8.4"/>
  </r>
  <r>
    <x v="261"/>
    <x v="1"/>
    <x v="0"/>
    <x v="0"/>
    <x v="0"/>
    <n v="11.72"/>
    <n v="10"/>
    <x v="2186"/>
    <x v="0"/>
    <n v="9.1"/>
  </r>
  <r>
    <x v="261"/>
    <x v="1"/>
    <x v="1"/>
    <x v="1"/>
    <x v="3"/>
    <n v="18.61"/>
    <n v="10"/>
    <x v="2335"/>
    <x v="2"/>
    <n v="5.3"/>
  </r>
  <r>
    <x v="261"/>
    <x v="2"/>
    <x v="0"/>
    <x v="0"/>
    <x v="0"/>
    <n v="9.33"/>
    <n v="1"/>
    <x v="2336"/>
    <x v="2"/>
    <n v="5.6"/>
  </r>
  <r>
    <x v="261"/>
    <x v="0"/>
    <x v="0"/>
    <x v="1"/>
    <x v="1"/>
    <n v="96.19"/>
    <n v="8"/>
    <x v="2337"/>
    <x v="1"/>
    <n v="3.6"/>
  </r>
  <r>
    <x v="261"/>
    <x v="2"/>
    <x v="1"/>
    <x v="1"/>
    <x v="0"/>
    <n v="7.79"/>
    <n v="1"/>
    <x v="1846"/>
    <x v="0"/>
    <n v="6.9"/>
  </r>
  <r>
    <x v="261"/>
    <x v="2"/>
    <x v="1"/>
    <x v="1"/>
    <x v="5"/>
    <n v="31.82"/>
    <n v="5"/>
    <x v="2338"/>
    <x v="2"/>
    <n v="3.2"/>
  </r>
  <r>
    <x v="261"/>
    <x v="1"/>
    <x v="1"/>
    <x v="1"/>
    <x v="5"/>
    <n v="16.13"/>
    <n v="6"/>
    <x v="2339"/>
    <x v="2"/>
    <n v="6.2"/>
  </r>
  <r>
    <x v="261"/>
    <x v="0"/>
    <x v="1"/>
    <x v="1"/>
    <x v="5"/>
    <n v="26.8"/>
    <n v="5"/>
    <x v="2340"/>
    <x v="0"/>
    <n v="6.7"/>
  </r>
  <r>
    <x v="262"/>
    <x v="1"/>
    <x v="0"/>
    <x v="0"/>
    <x v="3"/>
    <n v="22.83"/>
    <n v="8"/>
    <x v="2341"/>
    <x v="2"/>
    <n v="4.9000000000000004"/>
  </r>
  <r>
    <x v="262"/>
    <x v="2"/>
    <x v="1"/>
    <x v="1"/>
    <x v="1"/>
    <n v="86.59"/>
    <n v="3"/>
    <x v="2342"/>
    <x v="2"/>
    <n v="7"/>
  </r>
  <r>
    <x v="262"/>
    <x v="0"/>
    <x v="1"/>
    <x v="1"/>
    <x v="5"/>
    <n v="33.9"/>
    <n v="5"/>
    <x v="2343"/>
    <x v="0"/>
    <n v="3.2"/>
  </r>
  <r>
    <x v="262"/>
    <x v="2"/>
    <x v="1"/>
    <x v="0"/>
    <x v="3"/>
    <n v="9.9499999999999993"/>
    <n v="6"/>
    <x v="2344"/>
    <x v="1"/>
    <n v="3.3"/>
  </r>
  <r>
    <x v="262"/>
    <x v="1"/>
    <x v="0"/>
    <x v="1"/>
    <x v="0"/>
    <n v="10.58"/>
    <n v="10"/>
    <x v="2345"/>
    <x v="2"/>
    <n v="8.6"/>
  </r>
  <r>
    <x v="262"/>
    <x v="0"/>
    <x v="0"/>
    <x v="1"/>
    <x v="2"/>
    <n v="67.819999999999993"/>
    <n v="8"/>
    <x v="2346"/>
    <x v="0"/>
    <n v="5.4"/>
  </r>
  <r>
    <x v="262"/>
    <x v="0"/>
    <x v="1"/>
    <x v="1"/>
    <x v="3"/>
    <n v="9.69"/>
    <n v="4"/>
    <x v="2347"/>
    <x v="2"/>
    <n v="3.9"/>
  </r>
  <r>
    <x v="262"/>
    <x v="0"/>
    <x v="0"/>
    <x v="0"/>
    <x v="3"/>
    <n v="23.33"/>
    <n v="10"/>
    <x v="2348"/>
    <x v="0"/>
    <n v="6.6"/>
  </r>
  <r>
    <x v="262"/>
    <x v="1"/>
    <x v="0"/>
    <x v="0"/>
    <x v="4"/>
    <n v="66.290000000000006"/>
    <n v="9"/>
    <x v="2349"/>
    <x v="1"/>
    <n v="8.1999999999999993"/>
  </r>
  <r>
    <x v="262"/>
    <x v="0"/>
    <x v="1"/>
    <x v="1"/>
    <x v="0"/>
    <n v="7.55"/>
    <n v="8"/>
    <x v="2350"/>
    <x v="1"/>
    <n v="4.5"/>
  </r>
  <r>
    <x v="262"/>
    <x v="2"/>
    <x v="1"/>
    <x v="0"/>
    <x v="0"/>
    <n v="6.14"/>
    <n v="7"/>
    <x v="2351"/>
    <x v="0"/>
    <n v="7.2"/>
  </r>
  <r>
    <x v="263"/>
    <x v="0"/>
    <x v="0"/>
    <x v="0"/>
    <x v="0"/>
    <n v="4.93"/>
    <n v="3"/>
    <x v="2352"/>
    <x v="2"/>
    <n v="3.6"/>
  </r>
  <r>
    <x v="263"/>
    <x v="2"/>
    <x v="1"/>
    <x v="0"/>
    <x v="1"/>
    <n v="82.54"/>
    <n v="4"/>
    <x v="2353"/>
    <x v="1"/>
    <n v="3.4"/>
  </r>
  <r>
    <x v="263"/>
    <x v="0"/>
    <x v="1"/>
    <x v="0"/>
    <x v="0"/>
    <n v="3.2"/>
    <n v="4"/>
    <x v="1668"/>
    <x v="1"/>
    <n v="6.6"/>
  </r>
  <r>
    <x v="263"/>
    <x v="2"/>
    <x v="1"/>
    <x v="1"/>
    <x v="5"/>
    <n v="19.7"/>
    <n v="10"/>
    <x v="2354"/>
    <x v="2"/>
    <n v="6.7"/>
  </r>
  <r>
    <x v="263"/>
    <x v="2"/>
    <x v="0"/>
    <x v="0"/>
    <x v="4"/>
    <n v="67.27"/>
    <n v="4"/>
    <x v="2355"/>
    <x v="2"/>
    <n v="7.3"/>
  </r>
  <r>
    <x v="263"/>
    <x v="0"/>
    <x v="1"/>
    <x v="0"/>
    <x v="1"/>
    <n v="93.18"/>
    <n v="4"/>
    <x v="2356"/>
    <x v="0"/>
    <n v="7.9"/>
  </r>
  <r>
    <x v="263"/>
    <x v="0"/>
    <x v="0"/>
    <x v="0"/>
    <x v="0"/>
    <n v="8.94"/>
    <n v="6"/>
    <x v="2357"/>
    <x v="0"/>
    <n v="9.6"/>
  </r>
  <r>
    <x v="263"/>
    <x v="1"/>
    <x v="0"/>
    <x v="0"/>
    <x v="5"/>
    <n v="39.53"/>
    <n v="8"/>
    <x v="2358"/>
    <x v="2"/>
    <n v="6.5"/>
  </r>
  <r>
    <x v="263"/>
    <x v="0"/>
    <x v="1"/>
    <x v="0"/>
    <x v="0"/>
    <n v="9.31"/>
    <n v="4"/>
    <x v="2359"/>
    <x v="2"/>
    <n v="5.2"/>
  </r>
  <r>
    <x v="263"/>
    <x v="2"/>
    <x v="0"/>
    <x v="0"/>
    <x v="0"/>
    <n v="4.55"/>
    <n v="4"/>
    <x v="2360"/>
    <x v="0"/>
    <n v="8.4"/>
  </r>
  <r>
    <x v="263"/>
    <x v="2"/>
    <x v="0"/>
    <x v="0"/>
    <x v="2"/>
    <n v="74.650000000000006"/>
    <n v="8"/>
    <x v="2361"/>
    <x v="0"/>
    <n v="4.8"/>
  </r>
  <r>
    <x v="264"/>
    <x v="2"/>
    <x v="1"/>
    <x v="1"/>
    <x v="3"/>
    <n v="14.77"/>
    <n v="9"/>
    <x v="2362"/>
    <x v="2"/>
    <n v="6"/>
  </r>
  <r>
    <x v="264"/>
    <x v="2"/>
    <x v="1"/>
    <x v="1"/>
    <x v="1"/>
    <n v="92.66"/>
    <n v="1"/>
    <x v="2363"/>
    <x v="0"/>
    <n v="3.5"/>
  </r>
  <r>
    <x v="264"/>
    <x v="0"/>
    <x v="0"/>
    <x v="1"/>
    <x v="2"/>
    <n v="65.17"/>
    <n v="6"/>
    <x v="2364"/>
    <x v="1"/>
    <n v="3.2"/>
  </r>
  <r>
    <x v="264"/>
    <x v="1"/>
    <x v="1"/>
    <x v="0"/>
    <x v="4"/>
    <n v="40.47"/>
    <n v="9"/>
    <x v="2365"/>
    <x v="0"/>
    <n v="9.5"/>
  </r>
  <r>
    <x v="264"/>
    <x v="2"/>
    <x v="1"/>
    <x v="0"/>
    <x v="0"/>
    <n v="5.73"/>
    <n v="9"/>
    <x v="2366"/>
    <x v="2"/>
    <n v="8.6999999999999993"/>
  </r>
  <r>
    <x v="264"/>
    <x v="1"/>
    <x v="0"/>
    <x v="1"/>
    <x v="4"/>
    <n v="42.89"/>
    <n v="3"/>
    <x v="2367"/>
    <x v="1"/>
    <n v="7.7"/>
  </r>
  <r>
    <x v="264"/>
    <x v="0"/>
    <x v="0"/>
    <x v="0"/>
    <x v="4"/>
    <n v="51.91"/>
    <n v="6"/>
    <x v="2368"/>
    <x v="2"/>
    <n v="5.8"/>
  </r>
  <r>
    <x v="264"/>
    <x v="0"/>
    <x v="0"/>
    <x v="1"/>
    <x v="5"/>
    <n v="35.700000000000003"/>
    <n v="2"/>
    <x v="2369"/>
    <x v="2"/>
    <n v="4.2"/>
  </r>
  <r>
    <x v="264"/>
    <x v="1"/>
    <x v="1"/>
    <x v="1"/>
    <x v="2"/>
    <n v="61.32"/>
    <n v="8"/>
    <x v="2370"/>
    <x v="1"/>
    <n v="4.0999999999999996"/>
  </r>
  <r>
    <x v="264"/>
    <x v="0"/>
    <x v="1"/>
    <x v="0"/>
    <x v="0"/>
    <n v="10.38"/>
    <n v="6"/>
    <x v="2371"/>
    <x v="0"/>
    <n v="4.7"/>
  </r>
  <r>
    <x v="264"/>
    <x v="0"/>
    <x v="0"/>
    <x v="1"/>
    <x v="2"/>
    <n v="77.040000000000006"/>
    <n v="10"/>
    <x v="2372"/>
    <x v="0"/>
    <n v="6.7"/>
  </r>
  <r>
    <x v="264"/>
    <x v="0"/>
    <x v="1"/>
    <x v="0"/>
    <x v="0"/>
    <n v="9.33"/>
    <n v="1"/>
    <x v="2336"/>
    <x v="1"/>
    <n v="7.9"/>
  </r>
  <r>
    <x v="264"/>
    <x v="0"/>
    <x v="1"/>
    <x v="1"/>
    <x v="2"/>
    <n v="72.569999999999993"/>
    <n v="7"/>
    <x v="2373"/>
    <x v="2"/>
    <n v="7.5"/>
  </r>
  <r>
    <x v="264"/>
    <x v="2"/>
    <x v="1"/>
    <x v="0"/>
    <x v="0"/>
    <n v="9.0299999999999994"/>
    <n v="7"/>
    <x v="2374"/>
    <x v="2"/>
    <n v="4.9000000000000004"/>
  </r>
  <r>
    <x v="265"/>
    <x v="1"/>
    <x v="1"/>
    <x v="1"/>
    <x v="0"/>
    <n v="14.67"/>
    <n v="1"/>
    <x v="2375"/>
    <x v="1"/>
    <n v="9.5"/>
  </r>
  <r>
    <x v="265"/>
    <x v="0"/>
    <x v="1"/>
    <x v="0"/>
    <x v="0"/>
    <n v="6.24"/>
    <n v="5"/>
    <x v="2376"/>
    <x v="2"/>
    <n v="8"/>
  </r>
  <r>
    <x v="265"/>
    <x v="0"/>
    <x v="1"/>
    <x v="0"/>
    <x v="5"/>
    <n v="31.99"/>
    <n v="7"/>
    <x v="2377"/>
    <x v="1"/>
    <n v="6.8"/>
  </r>
  <r>
    <x v="265"/>
    <x v="1"/>
    <x v="0"/>
    <x v="1"/>
    <x v="4"/>
    <n v="44.63"/>
    <n v="3"/>
    <x v="2378"/>
    <x v="2"/>
    <n v="7.2"/>
  </r>
  <r>
    <x v="265"/>
    <x v="0"/>
    <x v="1"/>
    <x v="1"/>
    <x v="0"/>
    <n v="7.78"/>
    <n v="5"/>
    <x v="2379"/>
    <x v="1"/>
    <n v="5.9"/>
  </r>
  <r>
    <x v="265"/>
    <x v="2"/>
    <x v="0"/>
    <x v="0"/>
    <x v="0"/>
    <n v="3.17"/>
    <n v="9"/>
    <x v="2380"/>
    <x v="1"/>
    <n v="4.7"/>
  </r>
  <r>
    <x v="265"/>
    <x v="0"/>
    <x v="0"/>
    <x v="0"/>
    <x v="4"/>
    <n v="52.41"/>
    <n v="2"/>
    <x v="2381"/>
    <x v="2"/>
    <n v="5.4"/>
  </r>
  <r>
    <x v="265"/>
    <x v="1"/>
    <x v="1"/>
    <x v="1"/>
    <x v="4"/>
    <n v="45.09"/>
    <n v="7"/>
    <x v="2382"/>
    <x v="1"/>
    <n v="8.1999999999999993"/>
  </r>
  <r>
    <x v="265"/>
    <x v="0"/>
    <x v="0"/>
    <x v="1"/>
    <x v="0"/>
    <n v="7.65"/>
    <n v="7"/>
    <x v="2383"/>
    <x v="1"/>
    <n v="3.1"/>
  </r>
  <r>
    <x v="265"/>
    <x v="2"/>
    <x v="1"/>
    <x v="1"/>
    <x v="3"/>
    <n v="14.92"/>
    <n v="10"/>
    <x v="2384"/>
    <x v="1"/>
    <n v="3.8"/>
  </r>
  <r>
    <x v="265"/>
    <x v="0"/>
    <x v="0"/>
    <x v="0"/>
    <x v="0"/>
    <n v="10.06"/>
    <n v="6"/>
    <x v="2385"/>
    <x v="0"/>
    <n v="3.3"/>
  </r>
  <r>
    <x v="265"/>
    <x v="1"/>
    <x v="0"/>
    <x v="1"/>
    <x v="5"/>
    <n v="30.08"/>
    <n v="4"/>
    <x v="2386"/>
    <x v="0"/>
    <n v="3.3"/>
  </r>
  <r>
    <x v="265"/>
    <x v="2"/>
    <x v="0"/>
    <x v="0"/>
    <x v="0"/>
    <n v="11.03"/>
    <n v="8"/>
    <x v="2387"/>
    <x v="2"/>
    <n v="8.8000000000000007"/>
  </r>
  <r>
    <x v="265"/>
    <x v="0"/>
    <x v="1"/>
    <x v="0"/>
    <x v="3"/>
    <n v="12.86"/>
    <n v="2"/>
    <x v="2388"/>
    <x v="2"/>
    <n v="7.8"/>
  </r>
  <r>
    <x v="266"/>
    <x v="1"/>
    <x v="1"/>
    <x v="1"/>
    <x v="0"/>
    <n v="9.15"/>
    <n v="8"/>
    <x v="2389"/>
    <x v="2"/>
    <n v="6.2"/>
  </r>
  <r>
    <x v="266"/>
    <x v="1"/>
    <x v="1"/>
    <x v="1"/>
    <x v="0"/>
    <n v="12.34"/>
    <n v="7"/>
    <x v="700"/>
    <x v="2"/>
    <n v="3.7"/>
  </r>
  <r>
    <x v="266"/>
    <x v="0"/>
    <x v="1"/>
    <x v="0"/>
    <x v="0"/>
    <n v="11.3"/>
    <n v="7"/>
    <x v="2390"/>
    <x v="1"/>
    <n v="6.3"/>
  </r>
  <r>
    <x v="266"/>
    <x v="2"/>
    <x v="1"/>
    <x v="0"/>
    <x v="1"/>
    <n v="97.5"/>
    <n v="7"/>
    <x v="2391"/>
    <x v="0"/>
    <n v="6.2"/>
  </r>
  <r>
    <x v="266"/>
    <x v="2"/>
    <x v="0"/>
    <x v="1"/>
    <x v="3"/>
    <n v="9.9600000000000009"/>
    <n v="6"/>
    <x v="2392"/>
    <x v="1"/>
    <n v="4.2"/>
  </r>
  <r>
    <x v="266"/>
    <x v="2"/>
    <x v="1"/>
    <x v="0"/>
    <x v="4"/>
    <n v="49.95"/>
    <n v="7"/>
    <x v="2393"/>
    <x v="1"/>
    <n v="6"/>
  </r>
  <r>
    <x v="266"/>
    <x v="0"/>
    <x v="1"/>
    <x v="1"/>
    <x v="0"/>
    <n v="7.08"/>
    <n v="10"/>
    <x v="2394"/>
    <x v="2"/>
    <n v="5.7"/>
  </r>
  <r>
    <x v="266"/>
    <x v="1"/>
    <x v="0"/>
    <x v="0"/>
    <x v="0"/>
    <n v="7.41"/>
    <n v="2"/>
    <x v="2395"/>
    <x v="1"/>
    <n v="7.2"/>
  </r>
  <r>
    <x v="266"/>
    <x v="0"/>
    <x v="0"/>
    <x v="0"/>
    <x v="1"/>
    <n v="94.86"/>
    <n v="9"/>
    <x v="2396"/>
    <x v="0"/>
    <n v="7.3"/>
  </r>
  <r>
    <x v="266"/>
    <x v="2"/>
    <x v="0"/>
    <x v="0"/>
    <x v="5"/>
    <n v="22.51"/>
    <n v="2"/>
    <x v="2397"/>
    <x v="1"/>
    <n v="3.3"/>
  </r>
  <r>
    <x v="267"/>
    <x v="0"/>
    <x v="1"/>
    <x v="1"/>
    <x v="0"/>
    <n v="11.63"/>
    <n v="9"/>
    <x v="2398"/>
    <x v="1"/>
    <n v="5.5"/>
  </r>
  <r>
    <x v="267"/>
    <x v="2"/>
    <x v="0"/>
    <x v="0"/>
    <x v="0"/>
    <n v="7.27"/>
    <n v="3"/>
    <x v="1643"/>
    <x v="1"/>
    <n v="7.3"/>
  </r>
  <r>
    <x v="267"/>
    <x v="2"/>
    <x v="1"/>
    <x v="1"/>
    <x v="4"/>
    <n v="52.89"/>
    <n v="1"/>
    <x v="2399"/>
    <x v="2"/>
    <n v="6.4"/>
  </r>
  <r>
    <x v="267"/>
    <x v="1"/>
    <x v="1"/>
    <x v="1"/>
    <x v="0"/>
    <n v="12.39"/>
    <n v="9"/>
    <x v="2400"/>
    <x v="1"/>
    <n v="8.8000000000000007"/>
  </r>
  <r>
    <x v="267"/>
    <x v="2"/>
    <x v="1"/>
    <x v="0"/>
    <x v="0"/>
    <n v="8.36"/>
    <n v="6"/>
    <x v="2401"/>
    <x v="0"/>
    <n v="7.5"/>
  </r>
  <r>
    <x v="267"/>
    <x v="2"/>
    <x v="0"/>
    <x v="0"/>
    <x v="4"/>
    <n v="53.74"/>
    <n v="3"/>
    <x v="2402"/>
    <x v="2"/>
    <n v="4.0999999999999996"/>
  </r>
  <r>
    <x v="267"/>
    <x v="0"/>
    <x v="1"/>
    <x v="1"/>
    <x v="3"/>
    <n v="11.26"/>
    <n v="4"/>
    <x v="2403"/>
    <x v="0"/>
    <n v="3.5"/>
  </r>
  <r>
    <x v="267"/>
    <x v="1"/>
    <x v="1"/>
    <x v="0"/>
    <x v="0"/>
    <n v="3.79"/>
    <n v="7"/>
    <x v="2404"/>
    <x v="0"/>
    <n v="7.4"/>
  </r>
  <r>
    <x v="267"/>
    <x v="2"/>
    <x v="1"/>
    <x v="1"/>
    <x v="5"/>
    <n v="27.24"/>
    <n v="3"/>
    <x v="2405"/>
    <x v="1"/>
    <n v="3.2"/>
  </r>
  <r>
    <x v="267"/>
    <x v="2"/>
    <x v="1"/>
    <x v="0"/>
    <x v="2"/>
    <n v="64.540000000000006"/>
    <n v="4"/>
    <x v="2406"/>
    <x v="2"/>
    <n v="7"/>
  </r>
  <r>
    <x v="267"/>
    <x v="2"/>
    <x v="1"/>
    <x v="0"/>
    <x v="1"/>
    <n v="89.32"/>
    <n v="8"/>
    <x v="2407"/>
    <x v="0"/>
    <n v="9.4"/>
  </r>
  <r>
    <x v="267"/>
    <x v="0"/>
    <x v="0"/>
    <x v="1"/>
    <x v="0"/>
    <n v="5.57"/>
    <n v="9"/>
    <x v="2408"/>
    <x v="1"/>
    <n v="6.9"/>
  </r>
  <r>
    <x v="267"/>
    <x v="2"/>
    <x v="1"/>
    <x v="0"/>
    <x v="3"/>
    <n v="7.26"/>
    <n v="2"/>
    <x v="1980"/>
    <x v="1"/>
    <n v="5.6"/>
  </r>
  <r>
    <x v="267"/>
    <x v="1"/>
    <x v="1"/>
    <x v="1"/>
    <x v="5"/>
    <n v="26.03"/>
    <n v="4"/>
    <x v="2409"/>
    <x v="2"/>
    <n v="7.4"/>
  </r>
  <r>
    <x v="268"/>
    <x v="1"/>
    <x v="0"/>
    <x v="1"/>
    <x v="0"/>
    <n v="14.99"/>
    <n v="8"/>
    <x v="2410"/>
    <x v="1"/>
    <n v="6.1"/>
  </r>
  <r>
    <x v="268"/>
    <x v="0"/>
    <x v="1"/>
    <x v="1"/>
    <x v="2"/>
    <n v="57.11"/>
    <n v="10"/>
    <x v="2411"/>
    <x v="2"/>
    <n v="6.7"/>
  </r>
  <r>
    <x v="268"/>
    <x v="2"/>
    <x v="0"/>
    <x v="0"/>
    <x v="2"/>
    <n v="54.18"/>
    <n v="4"/>
    <x v="2412"/>
    <x v="2"/>
    <n v="9.4"/>
  </r>
  <r>
    <x v="268"/>
    <x v="2"/>
    <x v="1"/>
    <x v="0"/>
    <x v="2"/>
    <n v="55.05"/>
    <n v="5"/>
    <x v="2413"/>
    <x v="1"/>
    <n v="5.6"/>
  </r>
  <r>
    <x v="268"/>
    <x v="1"/>
    <x v="0"/>
    <x v="1"/>
    <x v="0"/>
    <n v="11.75"/>
    <n v="7"/>
    <x v="2414"/>
    <x v="2"/>
    <n v="9.5"/>
  </r>
  <r>
    <x v="268"/>
    <x v="1"/>
    <x v="1"/>
    <x v="1"/>
    <x v="1"/>
    <n v="82.51"/>
    <n v="3"/>
    <x v="2415"/>
    <x v="2"/>
    <n v="9.1999999999999993"/>
  </r>
  <r>
    <x v="268"/>
    <x v="1"/>
    <x v="1"/>
    <x v="0"/>
    <x v="2"/>
    <n v="67.319999999999993"/>
    <n v="5"/>
    <x v="2416"/>
    <x v="0"/>
    <n v="4.3"/>
  </r>
  <r>
    <x v="268"/>
    <x v="0"/>
    <x v="1"/>
    <x v="1"/>
    <x v="5"/>
    <n v="33.75"/>
    <n v="6"/>
    <x v="2417"/>
    <x v="0"/>
    <n v="3.5"/>
  </r>
  <r>
    <x v="268"/>
    <x v="2"/>
    <x v="1"/>
    <x v="1"/>
    <x v="5"/>
    <n v="26.46"/>
    <n v="6"/>
    <x v="2418"/>
    <x v="2"/>
    <n v="3.7"/>
  </r>
  <r>
    <x v="268"/>
    <x v="2"/>
    <x v="1"/>
    <x v="0"/>
    <x v="3"/>
    <n v="14.89"/>
    <n v="6"/>
    <x v="2419"/>
    <x v="2"/>
    <n v="3.1"/>
  </r>
  <r>
    <x v="268"/>
    <x v="2"/>
    <x v="1"/>
    <x v="0"/>
    <x v="0"/>
    <n v="13.62"/>
    <n v="1"/>
    <x v="1888"/>
    <x v="1"/>
    <n v="3.6"/>
  </r>
  <r>
    <x v="268"/>
    <x v="1"/>
    <x v="0"/>
    <x v="1"/>
    <x v="4"/>
    <n v="65.73"/>
    <n v="8"/>
    <x v="2420"/>
    <x v="0"/>
    <n v="7.6"/>
  </r>
  <r>
    <x v="268"/>
    <x v="2"/>
    <x v="1"/>
    <x v="1"/>
    <x v="1"/>
    <n v="85.72"/>
    <n v="5"/>
    <x v="2421"/>
    <x v="1"/>
    <n v="3.5"/>
  </r>
  <r>
    <x v="268"/>
    <x v="0"/>
    <x v="0"/>
    <x v="1"/>
    <x v="5"/>
    <n v="30.64"/>
    <n v="4"/>
    <x v="2422"/>
    <x v="0"/>
    <n v="5.2"/>
  </r>
  <r>
    <x v="268"/>
    <x v="0"/>
    <x v="1"/>
    <x v="1"/>
    <x v="0"/>
    <n v="3.73"/>
    <n v="4"/>
    <x v="2423"/>
    <x v="0"/>
    <n v="8.6999999999999993"/>
  </r>
  <r>
    <x v="269"/>
    <x v="0"/>
    <x v="1"/>
    <x v="0"/>
    <x v="5"/>
    <n v="39.700000000000003"/>
    <n v="7"/>
    <x v="2424"/>
    <x v="2"/>
    <n v="3.2"/>
  </r>
  <r>
    <x v="269"/>
    <x v="0"/>
    <x v="1"/>
    <x v="1"/>
    <x v="5"/>
    <n v="17.559999999999999"/>
    <n v="6"/>
    <x v="2425"/>
    <x v="0"/>
    <n v="8.5"/>
  </r>
  <r>
    <x v="269"/>
    <x v="2"/>
    <x v="1"/>
    <x v="1"/>
    <x v="0"/>
    <n v="10.8"/>
    <n v="2"/>
    <x v="1898"/>
    <x v="0"/>
    <n v="4.9000000000000004"/>
  </r>
  <r>
    <x v="269"/>
    <x v="2"/>
    <x v="0"/>
    <x v="0"/>
    <x v="0"/>
    <n v="4.7699999999999996"/>
    <n v="3"/>
    <x v="2426"/>
    <x v="2"/>
    <n v="3.8"/>
  </r>
  <r>
    <x v="269"/>
    <x v="2"/>
    <x v="0"/>
    <x v="1"/>
    <x v="4"/>
    <n v="43.01"/>
    <n v="2"/>
    <x v="2427"/>
    <x v="0"/>
    <n v="7.7"/>
  </r>
  <r>
    <x v="269"/>
    <x v="1"/>
    <x v="1"/>
    <x v="0"/>
    <x v="5"/>
    <n v="21.19"/>
    <n v="2"/>
    <x v="2428"/>
    <x v="1"/>
    <n v="7.3"/>
  </r>
  <r>
    <x v="269"/>
    <x v="1"/>
    <x v="1"/>
    <x v="0"/>
    <x v="4"/>
    <n v="60.71"/>
    <n v="5"/>
    <x v="2429"/>
    <x v="1"/>
    <n v="9"/>
  </r>
  <r>
    <x v="269"/>
    <x v="0"/>
    <x v="0"/>
    <x v="0"/>
    <x v="4"/>
    <n v="41.64"/>
    <n v="4"/>
    <x v="2237"/>
    <x v="0"/>
    <n v="8"/>
  </r>
  <r>
    <x v="269"/>
    <x v="2"/>
    <x v="1"/>
    <x v="1"/>
    <x v="0"/>
    <n v="14.71"/>
    <n v="6"/>
    <x v="2430"/>
    <x v="2"/>
    <n v="8.5"/>
  </r>
  <r>
    <x v="269"/>
    <x v="1"/>
    <x v="0"/>
    <x v="0"/>
    <x v="0"/>
    <n v="10.88"/>
    <n v="8"/>
    <x v="2431"/>
    <x v="2"/>
    <n v="4.9000000000000004"/>
  </r>
  <r>
    <x v="269"/>
    <x v="0"/>
    <x v="0"/>
    <x v="1"/>
    <x v="3"/>
    <n v="9.31"/>
    <n v="1"/>
    <x v="2432"/>
    <x v="2"/>
    <n v="4.2"/>
  </r>
  <r>
    <x v="269"/>
    <x v="0"/>
    <x v="1"/>
    <x v="0"/>
    <x v="5"/>
    <n v="25.06"/>
    <n v="9"/>
    <x v="2433"/>
    <x v="0"/>
    <n v="8.1"/>
  </r>
  <r>
    <x v="269"/>
    <x v="0"/>
    <x v="1"/>
    <x v="1"/>
    <x v="0"/>
    <n v="4.6399999999999997"/>
    <n v="3"/>
    <x v="2434"/>
    <x v="0"/>
    <n v="8.5"/>
  </r>
  <r>
    <x v="269"/>
    <x v="2"/>
    <x v="0"/>
    <x v="1"/>
    <x v="5"/>
    <n v="25.94"/>
    <n v="4"/>
    <x v="2435"/>
    <x v="1"/>
    <n v="9.6999999999999993"/>
  </r>
  <r>
    <x v="269"/>
    <x v="2"/>
    <x v="1"/>
    <x v="0"/>
    <x v="0"/>
    <n v="2.72"/>
    <n v="3"/>
    <x v="2436"/>
    <x v="1"/>
    <n v="5.8"/>
  </r>
  <r>
    <x v="269"/>
    <x v="1"/>
    <x v="1"/>
    <x v="1"/>
    <x v="3"/>
    <n v="11.93"/>
    <n v="9"/>
    <x v="2437"/>
    <x v="2"/>
    <n v="5.5"/>
  </r>
  <r>
    <x v="269"/>
    <x v="0"/>
    <x v="1"/>
    <x v="1"/>
    <x v="3"/>
    <n v="22.47"/>
    <n v="2"/>
    <x v="2438"/>
    <x v="2"/>
    <n v="8.3000000000000007"/>
  </r>
  <r>
    <x v="269"/>
    <x v="1"/>
    <x v="1"/>
    <x v="0"/>
    <x v="0"/>
    <n v="5.42"/>
    <n v="10"/>
    <x v="2439"/>
    <x v="0"/>
    <n v="5.3"/>
  </r>
  <r>
    <x v="269"/>
    <x v="2"/>
    <x v="1"/>
    <x v="1"/>
    <x v="5"/>
    <n v="29.17"/>
    <n v="6"/>
    <x v="2440"/>
    <x v="1"/>
    <n v="9.3000000000000007"/>
  </r>
  <r>
    <x v="270"/>
    <x v="1"/>
    <x v="0"/>
    <x v="1"/>
    <x v="3"/>
    <n v="15.18"/>
    <n v="1"/>
    <x v="2441"/>
    <x v="2"/>
    <n v="8.8000000000000007"/>
  </r>
  <r>
    <x v="270"/>
    <x v="0"/>
    <x v="0"/>
    <x v="0"/>
    <x v="0"/>
    <n v="3.95"/>
    <n v="1"/>
    <x v="2442"/>
    <x v="0"/>
    <n v="5.9"/>
  </r>
  <r>
    <x v="270"/>
    <x v="1"/>
    <x v="0"/>
    <x v="0"/>
    <x v="1"/>
    <n v="84.7"/>
    <n v="6"/>
    <x v="2443"/>
    <x v="1"/>
    <n v="8.1"/>
  </r>
  <r>
    <x v="270"/>
    <x v="2"/>
    <x v="0"/>
    <x v="1"/>
    <x v="0"/>
    <n v="12.46"/>
    <n v="1"/>
    <x v="2444"/>
    <x v="2"/>
    <n v="8.1"/>
  </r>
  <r>
    <x v="270"/>
    <x v="2"/>
    <x v="1"/>
    <x v="0"/>
    <x v="0"/>
    <n v="6.04"/>
    <n v="2"/>
    <x v="2445"/>
    <x v="0"/>
    <n v="3.7"/>
  </r>
  <r>
    <x v="270"/>
    <x v="0"/>
    <x v="1"/>
    <x v="0"/>
    <x v="0"/>
    <n v="5.15"/>
    <n v="6"/>
    <x v="2446"/>
    <x v="0"/>
    <n v="9.1"/>
  </r>
  <r>
    <x v="270"/>
    <x v="1"/>
    <x v="1"/>
    <x v="1"/>
    <x v="5"/>
    <n v="28.66"/>
    <n v="4"/>
    <x v="2447"/>
    <x v="1"/>
    <n v="6.4"/>
  </r>
  <r>
    <x v="270"/>
    <x v="0"/>
    <x v="1"/>
    <x v="0"/>
    <x v="1"/>
    <n v="93.14"/>
    <n v="1"/>
    <x v="2448"/>
    <x v="2"/>
    <n v="8.6"/>
  </r>
  <r>
    <x v="270"/>
    <x v="2"/>
    <x v="0"/>
    <x v="0"/>
    <x v="0"/>
    <n v="8.89"/>
    <n v="4"/>
    <x v="2449"/>
    <x v="0"/>
    <n v="5.2"/>
  </r>
  <r>
    <x v="270"/>
    <x v="1"/>
    <x v="1"/>
    <x v="1"/>
    <x v="1"/>
    <n v="81.760000000000005"/>
    <n v="4"/>
    <x v="2450"/>
    <x v="2"/>
    <n v="9.1"/>
  </r>
  <r>
    <x v="270"/>
    <x v="1"/>
    <x v="1"/>
    <x v="0"/>
    <x v="5"/>
    <n v="33.700000000000003"/>
    <n v="10"/>
    <x v="2451"/>
    <x v="1"/>
    <n v="5.6"/>
  </r>
  <r>
    <x v="270"/>
    <x v="1"/>
    <x v="1"/>
    <x v="1"/>
    <x v="0"/>
    <n v="2.81"/>
    <n v="3"/>
    <x v="2452"/>
    <x v="1"/>
    <n v="3.1"/>
  </r>
  <r>
    <x v="270"/>
    <x v="0"/>
    <x v="1"/>
    <x v="0"/>
    <x v="0"/>
    <n v="11.56"/>
    <n v="6"/>
    <x v="2453"/>
    <x v="0"/>
    <n v="9.1999999999999993"/>
  </r>
  <r>
    <x v="270"/>
    <x v="1"/>
    <x v="1"/>
    <x v="1"/>
    <x v="0"/>
    <n v="9.6"/>
    <n v="3"/>
    <x v="2454"/>
    <x v="1"/>
    <n v="3.6"/>
  </r>
  <r>
    <x v="270"/>
    <x v="0"/>
    <x v="1"/>
    <x v="1"/>
    <x v="5"/>
    <n v="39.119999999999997"/>
    <n v="4"/>
    <x v="2455"/>
    <x v="0"/>
    <n v="5.2"/>
  </r>
  <r>
    <x v="270"/>
    <x v="1"/>
    <x v="0"/>
    <x v="1"/>
    <x v="5"/>
    <n v="32.15"/>
    <n v="10"/>
    <x v="2456"/>
    <x v="1"/>
    <n v="9.5"/>
  </r>
  <r>
    <x v="270"/>
    <x v="0"/>
    <x v="1"/>
    <x v="1"/>
    <x v="2"/>
    <n v="79.05"/>
    <n v="7"/>
    <x v="2457"/>
    <x v="0"/>
    <n v="9.5"/>
  </r>
  <r>
    <x v="270"/>
    <x v="0"/>
    <x v="0"/>
    <x v="1"/>
    <x v="4"/>
    <n v="52.13"/>
    <n v="8"/>
    <x v="2458"/>
    <x v="0"/>
    <n v="6.9"/>
  </r>
  <r>
    <x v="270"/>
    <x v="0"/>
    <x v="1"/>
    <x v="1"/>
    <x v="4"/>
    <n v="44.19"/>
    <n v="1"/>
    <x v="2459"/>
    <x v="1"/>
    <n v="7.3"/>
  </r>
  <r>
    <x v="271"/>
    <x v="0"/>
    <x v="1"/>
    <x v="1"/>
    <x v="3"/>
    <n v="12.44"/>
    <n v="2"/>
    <x v="2460"/>
    <x v="0"/>
    <n v="6"/>
  </r>
  <r>
    <x v="271"/>
    <x v="1"/>
    <x v="1"/>
    <x v="1"/>
    <x v="0"/>
    <n v="4.57"/>
    <n v="8"/>
    <x v="2461"/>
    <x v="2"/>
    <n v="5"/>
  </r>
  <r>
    <x v="271"/>
    <x v="1"/>
    <x v="0"/>
    <x v="0"/>
    <x v="0"/>
    <n v="14.25"/>
    <n v="1"/>
    <x v="2462"/>
    <x v="1"/>
    <n v="5.2"/>
  </r>
  <r>
    <x v="271"/>
    <x v="1"/>
    <x v="1"/>
    <x v="0"/>
    <x v="4"/>
    <n v="51.48"/>
    <n v="7"/>
    <x v="2463"/>
    <x v="1"/>
    <n v="7.6"/>
  </r>
  <r>
    <x v="271"/>
    <x v="0"/>
    <x v="1"/>
    <x v="0"/>
    <x v="0"/>
    <n v="3.93"/>
    <n v="10"/>
    <x v="2464"/>
    <x v="0"/>
    <n v="8.1"/>
  </r>
  <r>
    <x v="271"/>
    <x v="0"/>
    <x v="1"/>
    <x v="0"/>
    <x v="0"/>
    <n v="8.23"/>
    <n v="2"/>
    <x v="2465"/>
    <x v="1"/>
    <n v="8.4"/>
  </r>
  <r>
    <x v="271"/>
    <x v="0"/>
    <x v="1"/>
    <x v="1"/>
    <x v="0"/>
    <n v="12.43"/>
    <n v="1"/>
    <x v="2466"/>
    <x v="2"/>
    <n v="8.4"/>
  </r>
  <r>
    <x v="271"/>
    <x v="2"/>
    <x v="0"/>
    <x v="0"/>
    <x v="3"/>
    <n v="16.309999999999999"/>
    <n v="6"/>
    <x v="2467"/>
    <x v="0"/>
    <n v="3.6"/>
  </r>
  <r>
    <x v="271"/>
    <x v="0"/>
    <x v="0"/>
    <x v="1"/>
    <x v="0"/>
    <n v="12.54"/>
    <n v="5"/>
    <x v="2468"/>
    <x v="1"/>
    <n v="6.4"/>
  </r>
  <r>
    <x v="271"/>
    <x v="2"/>
    <x v="1"/>
    <x v="1"/>
    <x v="1"/>
    <n v="81.900000000000006"/>
    <n v="4"/>
    <x v="2469"/>
    <x v="1"/>
    <n v="3.4"/>
  </r>
  <r>
    <x v="271"/>
    <x v="1"/>
    <x v="1"/>
    <x v="1"/>
    <x v="2"/>
    <n v="78.430000000000007"/>
    <n v="10"/>
    <x v="2470"/>
    <x v="2"/>
    <n v="6.7"/>
  </r>
  <r>
    <x v="271"/>
    <x v="2"/>
    <x v="0"/>
    <x v="1"/>
    <x v="3"/>
    <n v="16.850000000000001"/>
    <n v="6"/>
    <x v="2471"/>
    <x v="2"/>
    <n v="6"/>
  </r>
  <r>
    <x v="271"/>
    <x v="1"/>
    <x v="1"/>
    <x v="1"/>
    <x v="0"/>
    <n v="4.45"/>
    <n v="8"/>
    <x v="2472"/>
    <x v="0"/>
    <n v="9"/>
  </r>
  <r>
    <x v="271"/>
    <x v="0"/>
    <x v="0"/>
    <x v="1"/>
    <x v="0"/>
    <n v="4.84"/>
    <n v="9"/>
    <x v="2473"/>
    <x v="0"/>
    <n v="5.4"/>
  </r>
  <r>
    <x v="271"/>
    <x v="2"/>
    <x v="0"/>
    <x v="1"/>
    <x v="0"/>
    <n v="4.3099999999999996"/>
    <n v="6"/>
    <x v="2474"/>
    <x v="1"/>
    <n v="3.8"/>
  </r>
  <r>
    <x v="271"/>
    <x v="1"/>
    <x v="1"/>
    <x v="1"/>
    <x v="0"/>
    <n v="13"/>
    <n v="6"/>
    <x v="2089"/>
    <x v="2"/>
    <n v="4"/>
  </r>
  <r>
    <x v="271"/>
    <x v="1"/>
    <x v="1"/>
    <x v="0"/>
    <x v="5"/>
    <n v="23.41"/>
    <n v="6"/>
    <x v="2475"/>
    <x v="1"/>
    <n v="8.1999999999999993"/>
  </r>
  <r>
    <x v="271"/>
    <x v="1"/>
    <x v="1"/>
    <x v="0"/>
    <x v="0"/>
    <n v="4.26"/>
    <n v="9"/>
    <x v="2476"/>
    <x v="2"/>
    <n v="7.2"/>
  </r>
  <r>
    <x v="271"/>
    <x v="1"/>
    <x v="1"/>
    <x v="1"/>
    <x v="1"/>
    <n v="95.43"/>
    <n v="7"/>
    <x v="2477"/>
    <x v="0"/>
    <n v="3.7"/>
  </r>
  <r>
    <x v="272"/>
    <x v="0"/>
    <x v="1"/>
    <x v="1"/>
    <x v="4"/>
    <n v="68.459999999999994"/>
    <n v="7"/>
    <x v="2478"/>
    <x v="2"/>
    <n v="3.6"/>
  </r>
  <r>
    <x v="272"/>
    <x v="2"/>
    <x v="1"/>
    <x v="1"/>
    <x v="3"/>
    <n v="23.42"/>
    <n v="10"/>
    <x v="2479"/>
    <x v="1"/>
    <n v="7.8"/>
  </r>
  <r>
    <x v="272"/>
    <x v="1"/>
    <x v="0"/>
    <x v="1"/>
    <x v="4"/>
    <n v="42.33"/>
    <n v="6"/>
    <x v="2480"/>
    <x v="2"/>
    <n v="3.5"/>
  </r>
  <r>
    <x v="272"/>
    <x v="1"/>
    <x v="1"/>
    <x v="1"/>
    <x v="0"/>
    <n v="10.71"/>
    <n v="6"/>
    <x v="2481"/>
    <x v="0"/>
    <n v="8.6"/>
  </r>
  <r>
    <x v="272"/>
    <x v="0"/>
    <x v="0"/>
    <x v="1"/>
    <x v="0"/>
    <n v="12.23"/>
    <n v="1"/>
    <x v="2482"/>
    <x v="1"/>
    <n v="7.8"/>
  </r>
  <r>
    <x v="272"/>
    <x v="2"/>
    <x v="1"/>
    <x v="1"/>
    <x v="5"/>
    <n v="27.33"/>
    <n v="7"/>
    <x v="2483"/>
    <x v="0"/>
    <n v="3.6"/>
  </r>
  <r>
    <x v="272"/>
    <x v="1"/>
    <x v="0"/>
    <x v="1"/>
    <x v="5"/>
    <n v="16.84"/>
    <n v="1"/>
    <x v="2484"/>
    <x v="1"/>
    <n v="3.6"/>
  </r>
  <r>
    <x v="272"/>
    <x v="1"/>
    <x v="0"/>
    <x v="1"/>
    <x v="0"/>
    <n v="13.54"/>
    <n v="3"/>
    <x v="2485"/>
    <x v="2"/>
    <n v="9.6999999999999993"/>
  </r>
  <r>
    <x v="272"/>
    <x v="1"/>
    <x v="0"/>
    <x v="1"/>
    <x v="5"/>
    <n v="39.630000000000003"/>
    <n v="8"/>
    <x v="2486"/>
    <x v="2"/>
    <n v="5.5"/>
  </r>
  <r>
    <x v="272"/>
    <x v="2"/>
    <x v="0"/>
    <x v="0"/>
    <x v="5"/>
    <n v="17.53"/>
    <n v="4"/>
    <x v="2487"/>
    <x v="2"/>
    <n v="5.5"/>
  </r>
  <r>
    <x v="272"/>
    <x v="2"/>
    <x v="1"/>
    <x v="0"/>
    <x v="5"/>
    <n v="22.44"/>
    <n v="2"/>
    <x v="2488"/>
    <x v="1"/>
    <n v="8.5"/>
  </r>
  <r>
    <x v="272"/>
    <x v="1"/>
    <x v="0"/>
    <x v="1"/>
    <x v="4"/>
    <n v="40.11"/>
    <n v="2"/>
    <x v="2489"/>
    <x v="1"/>
    <n v="9.4"/>
  </r>
  <r>
    <x v="272"/>
    <x v="2"/>
    <x v="0"/>
    <x v="1"/>
    <x v="4"/>
    <n v="46.21"/>
    <n v="5"/>
    <x v="2490"/>
    <x v="2"/>
    <n v="9.6999999999999993"/>
  </r>
  <r>
    <x v="272"/>
    <x v="0"/>
    <x v="1"/>
    <x v="0"/>
    <x v="5"/>
    <n v="37.369999999999997"/>
    <n v="5"/>
    <x v="2491"/>
    <x v="1"/>
    <n v="8.1"/>
  </r>
  <r>
    <x v="272"/>
    <x v="0"/>
    <x v="0"/>
    <x v="0"/>
    <x v="5"/>
    <n v="26.14"/>
    <n v="5"/>
    <x v="2492"/>
    <x v="0"/>
    <n v="5.6"/>
  </r>
  <r>
    <x v="272"/>
    <x v="1"/>
    <x v="0"/>
    <x v="1"/>
    <x v="0"/>
    <n v="11.05"/>
    <n v="2"/>
    <x v="2493"/>
    <x v="1"/>
    <n v="3.6"/>
  </r>
  <r>
    <x v="272"/>
    <x v="2"/>
    <x v="1"/>
    <x v="1"/>
    <x v="0"/>
    <n v="12.93"/>
    <n v="9"/>
    <x v="2494"/>
    <x v="0"/>
    <n v="8.3000000000000007"/>
  </r>
  <r>
    <x v="272"/>
    <x v="1"/>
    <x v="1"/>
    <x v="0"/>
    <x v="5"/>
    <n v="20.89"/>
    <n v="5"/>
    <x v="2495"/>
    <x v="1"/>
    <n v="6.8"/>
  </r>
  <r>
    <x v="273"/>
    <x v="2"/>
    <x v="1"/>
    <x v="0"/>
    <x v="0"/>
    <n v="7.6"/>
    <n v="5"/>
    <x v="2496"/>
    <x v="0"/>
    <n v="7.7"/>
  </r>
  <r>
    <x v="273"/>
    <x v="2"/>
    <x v="0"/>
    <x v="0"/>
    <x v="2"/>
    <n v="56.21"/>
    <n v="9"/>
    <x v="2497"/>
    <x v="0"/>
    <n v="4.9000000000000004"/>
  </r>
  <r>
    <x v="273"/>
    <x v="2"/>
    <x v="1"/>
    <x v="0"/>
    <x v="4"/>
    <n v="63.89"/>
    <n v="7"/>
    <x v="2498"/>
    <x v="0"/>
    <n v="4.5"/>
  </r>
  <r>
    <x v="273"/>
    <x v="0"/>
    <x v="1"/>
    <x v="1"/>
    <x v="0"/>
    <n v="11.8"/>
    <n v="5"/>
    <x v="2499"/>
    <x v="1"/>
    <n v="6.7"/>
  </r>
  <r>
    <x v="273"/>
    <x v="0"/>
    <x v="0"/>
    <x v="0"/>
    <x v="5"/>
    <n v="24.78"/>
    <n v="6"/>
    <x v="2500"/>
    <x v="1"/>
    <n v="7.9"/>
  </r>
  <r>
    <x v="273"/>
    <x v="2"/>
    <x v="1"/>
    <x v="0"/>
    <x v="4"/>
    <n v="64.95"/>
    <n v="7"/>
    <x v="2501"/>
    <x v="0"/>
    <n v="5.9"/>
  </r>
  <r>
    <x v="273"/>
    <x v="2"/>
    <x v="1"/>
    <x v="0"/>
    <x v="3"/>
    <n v="23.18"/>
    <n v="4"/>
    <x v="2502"/>
    <x v="0"/>
    <n v="9.6999999999999993"/>
  </r>
  <r>
    <x v="273"/>
    <x v="2"/>
    <x v="1"/>
    <x v="0"/>
    <x v="1"/>
    <n v="82.91"/>
    <n v="1"/>
    <x v="2503"/>
    <x v="1"/>
    <n v="7.7"/>
  </r>
  <r>
    <x v="273"/>
    <x v="1"/>
    <x v="1"/>
    <x v="0"/>
    <x v="5"/>
    <n v="15.53"/>
    <n v="7"/>
    <x v="2504"/>
    <x v="1"/>
    <n v="6.3"/>
  </r>
  <r>
    <x v="274"/>
    <x v="1"/>
    <x v="1"/>
    <x v="1"/>
    <x v="4"/>
    <n v="55.31"/>
    <n v="1"/>
    <x v="2505"/>
    <x v="2"/>
    <n v="5.7"/>
  </r>
  <r>
    <x v="274"/>
    <x v="2"/>
    <x v="1"/>
    <x v="1"/>
    <x v="5"/>
    <n v="28.66"/>
    <n v="5"/>
    <x v="2506"/>
    <x v="2"/>
    <n v="5.3"/>
  </r>
  <r>
    <x v="274"/>
    <x v="2"/>
    <x v="1"/>
    <x v="1"/>
    <x v="0"/>
    <n v="9.3000000000000007"/>
    <n v="3"/>
    <x v="2507"/>
    <x v="2"/>
    <n v="8"/>
  </r>
  <r>
    <x v="274"/>
    <x v="1"/>
    <x v="1"/>
    <x v="0"/>
    <x v="5"/>
    <n v="32.94"/>
    <n v="2"/>
    <x v="2508"/>
    <x v="2"/>
    <n v="6"/>
  </r>
  <r>
    <x v="274"/>
    <x v="2"/>
    <x v="0"/>
    <x v="0"/>
    <x v="4"/>
    <n v="62.74"/>
    <n v="5"/>
    <x v="2509"/>
    <x v="2"/>
    <n v="3.4"/>
  </r>
  <r>
    <x v="274"/>
    <x v="1"/>
    <x v="1"/>
    <x v="1"/>
    <x v="5"/>
    <n v="18.16"/>
    <n v="10"/>
    <x v="2510"/>
    <x v="0"/>
    <n v="5.7"/>
  </r>
  <r>
    <x v="274"/>
    <x v="1"/>
    <x v="1"/>
    <x v="0"/>
    <x v="0"/>
    <n v="3.77"/>
    <n v="8"/>
    <x v="2511"/>
    <x v="0"/>
    <n v="8"/>
  </r>
  <r>
    <x v="274"/>
    <x v="2"/>
    <x v="0"/>
    <x v="1"/>
    <x v="3"/>
    <n v="5.57"/>
    <n v="2"/>
    <x v="2512"/>
    <x v="0"/>
    <n v="4.2"/>
  </r>
  <r>
    <x v="274"/>
    <x v="2"/>
    <x v="1"/>
    <x v="0"/>
    <x v="5"/>
    <n v="37.340000000000003"/>
    <n v="4"/>
    <x v="2513"/>
    <x v="1"/>
    <n v="4.2"/>
  </r>
  <r>
    <x v="274"/>
    <x v="1"/>
    <x v="1"/>
    <x v="1"/>
    <x v="0"/>
    <n v="7.18"/>
    <n v="9"/>
    <x v="2514"/>
    <x v="1"/>
    <n v="6.6"/>
  </r>
  <r>
    <x v="274"/>
    <x v="0"/>
    <x v="0"/>
    <x v="1"/>
    <x v="1"/>
    <n v="96.88"/>
    <n v="6"/>
    <x v="2515"/>
    <x v="1"/>
    <n v="6.6"/>
  </r>
  <r>
    <x v="274"/>
    <x v="1"/>
    <x v="1"/>
    <x v="1"/>
    <x v="4"/>
    <n v="44"/>
    <n v="8"/>
    <x v="2516"/>
    <x v="0"/>
    <n v="7.3"/>
  </r>
  <r>
    <x v="274"/>
    <x v="1"/>
    <x v="0"/>
    <x v="0"/>
    <x v="5"/>
    <n v="15.71"/>
    <n v="4"/>
    <x v="2517"/>
    <x v="2"/>
    <n v="8.8000000000000007"/>
  </r>
  <r>
    <x v="274"/>
    <x v="0"/>
    <x v="0"/>
    <x v="0"/>
    <x v="1"/>
    <n v="91.55"/>
    <n v="10"/>
    <x v="2518"/>
    <x v="1"/>
    <n v="7.9"/>
  </r>
  <r>
    <x v="274"/>
    <x v="2"/>
    <x v="0"/>
    <x v="0"/>
    <x v="0"/>
    <n v="13.2"/>
    <n v="4"/>
    <x v="2519"/>
    <x v="2"/>
    <n v="7.2"/>
  </r>
  <r>
    <x v="274"/>
    <x v="1"/>
    <x v="0"/>
    <x v="1"/>
    <x v="5"/>
    <n v="33.840000000000003"/>
    <n v="1"/>
    <x v="2520"/>
    <x v="2"/>
    <n v="7.9"/>
  </r>
  <r>
    <x v="275"/>
    <x v="1"/>
    <x v="0"/>
    <x v="0"/>
    <x v="5"/>
    <n v="21.64"/>
    <n v="5"/>
    <x v="1501"/>
    <x v="1"/>
    <n v="5.2"/>
  </r>
  <r>
    <x v="275"/>
    <x v="0"/>
    <x v="0"/>
    <x v="0"/>
    <x v="0"/>
    <n v="12.66"/>
    <n v="7"/>
    <x v="2521"/>
    <x v="1"/>
    <n v="5.5"/>
  </r>
  <r>
    <x v="275"/>
    <x v="1"/>
    <x v="1"/>
    <x v="1"/>
    <x v="5"/>
    <n v="34.14"/>
    <n v="5"/>
    <x v="2522"/>
    <x v="2"/>
    <n v="4.5999999999999996"/>
  </r>
  <r>
    <x v="275"/>
    <x v="1"/>
    <x v="1"/>
    <x v="0"/>
    <x v="4"/>
    <n v="50.32"/>
    <n v="5"/>
    <x v="2523"/>
    <x v="0"/>
    <n v="5"/>
  </r>
  <r>
    <x v="275"/>
    <x v="2"/>
    <x v="1"/>
    <x v="0"/>
    <x v="0"/>
    <n v="3.6"/>
    <n v="8"/>
    <x v="2524"/>
    <x v="0"/>
    <n v="7.3"/>
  </r>
  <r>
    <x v="275"/>
    <x v="0"/>
    <x v="1"/>
    <x v="0"/>
    <x v="5"/>
    <n v="28.55"/>
    <n v="4"/>
    <x v="2525"/>
    <x v="0"/>
    <n v="3.6"/>
  </r>
  <r>
    <x v="275"/>
    <x v="1"/>
    <x v="1"/>
    <x v="0"/>
    <x v="0"/>
    <n v="8.5500000000000007"/>
    <n v="1"/>
    <x v="2526"/>
    <x v="0"/>
    <n v="5.9"/>
  </r>
  <r>
    <x v="275"/>
    <x v="0"/>
    <x v="0"/>
    <x v="0"/>
    <x v="5"/>
    <n v="32.200000000000003"/>
    <n v="7"/>
    <x v="2527"/>
    <x v="0"/>
    <n v="5.9"/>
  </r>
  <r>
    <x v="275"/>
    <x v="1"/>
    <x v="0"/>
    <x v="1"/>
    <x v="0"/>
    <n v="2.17"/>
    <n v="9"/>
    <x v="2528"/>
    <x v="1"/>
    <n v="6.4"/>
  </r>
  <r>
    <x v="275"/>
    <x v="0"/>
    <x v="1"/>
    <x v="0"/>
    <x v="3"/>
    <n v="15.62"/>
    <n v="8"/>
    <x v="205"/>
    <x v="1"/>
    <n v="5.9"/>
  </r>
  <r>
    <x v="276"/>
    <x v="2"/>
    <x v="1"/>
    <x v="0"/>
    <x v="4"/>
    <n v="43.1"/>
    <n v="9"/>
    <x v="2529"/>
    <x v="2"/>
    <n v="5.0999999999999996"/>
  </r>
  <r>
    <x v="276"/>
    <x v="2"/>
    <x v="0"/>
    <x v="0"/>
    <x v="0"/>
    <n v="14.21"/>
    <n v="10"/>
    <x v="2530"/>
    <x v="0"/>
    <n v="5.9"/>
  </r>
  <r>
    <x v="276"/>
    <x v="0"/>
    <x v="0"/>
    <x v="1"/>
    <x v="4"/>
    <n v="55.52"/>
    <n v="4"/>
    <x v="2531"/>
    <x v="2"/>
    <n v="9.1"/>
  </r>
  <r>
    <x v="276"/>
    <x v="0"/>
    <x v="1"/>
    <x v="0"/>
    <x v="1"/>
    <n v="84.63"/>
    <n v="1"/>
    <x v="2532"/>
    <x v="0"/>
    <n v="9.4"/>
  </r>
  <r>
    <x v="276"/>
    <x v="1"/>
    <x v="1"/>
    <x v="1"/>
    <x v="0"/>
    <n v="2.39"/>
    <n v="7"/>
    <x v="2533"/>
    <x v="2"/>
    <n v="6.4"/>
  </r>
  <r>
    <x v="276"/>
    <x v="0"/>
    <x v="0"/>
    <x v="0"/>
    <x v="1"/>
    <n v="85.76"/>
    <n v="1"/>
    <x v="2534"/>
    <x v="2"/>
    <n v="7.2"/>
  </r>
  <r>
    <x v="276"/>
    <x v="2"/>
    <x v="0"/>
    <x v="0"/>
    <x v="3"/>
    <n v="14.32"/>
    <n v="4"/>
    <x v="2535"/>
    <x v="0"/>
    <n v="3.8"/>
  </r>
  <r>
    <x v="276"/>
    <x v="0"/>
    <x v="1"/>
    <x v="1"/>
    <x v="1"/>
    <n v="89.42"/>
    <n v="2"/>
    <x v="2536"/>
    <x v="1"/>
    <n v="5.2"/>
  </r>
  <r>
    <x v="276"/>
    <x v="2"/>
    <x v="1"/>
    <x v="1"/>
    <x v="5"/>
    <n v="36.549999999999997"/>
    <n v="6"/>
    <x v="2537"/>
    <x v="1"/>
    <n v="5.8"/>
  </r>
  <r>
    <x v="276"/>
    <x v="0"/>
    <x v="1"/>
    <x v="1"/>
    <x v="0"/>
    <n v="14.18"/>
    <n v="6"/>
    <x v="2538"/>
    <x v="2"/>
    <n v="8.9"/>
  </r>
  <r>
    <x v="276"/>
    <x v="2"/>
    <x v="0"/>
    <x v="0"/>
    <x v="3"/>
    <n v="9.1199999999999992"/>
    <n v="8"/>
    <x v="2539"/>
    <x v="1"/>
    <n v="4.7"/>
  </r>
  <r>
    <x v="276"/>
    <x v="1"/>
    <x v="0"/>
    <x v="0"/>
    <x v="2"/>
    <n v="54.88"/>
    <n v="3"/>
    <x v="2540"/>
    <x v="1"/>
    <n v="6.3"/>
  </r>
  <r>
    <x v="276"/>
    <x v="2"/>
    <x v="0"/>
    <x v="1"/>
    <x v="5"/>
    <n v="20.02"/>
    <n v="8"/>
    <x v="2541"/>
    <x v="2"/>
    <n v="9.6999999999999993"/>
  </r>
  <r>
    <x v="276"/>
    <x v="2"/>
    <x v="1"/>
    <x v="1"/>
    <x v="0"/>
    <n v="2.54"/>
    <n v="4"/>
    <x v="2542"/>
    <x v="2"/>
    <n v="6.5"/>
  </r>
  <r>
    <x v="276"/>
    <x v="1"/>
    <x v="0"/>
    <x v="0"/>
    <x v="5"/>
    <n v="18.579999999999998"/>
    <n v="7"/>
    <x v="2543"/>
    <x v="0"/>
    <n v="7.2"/>
  </r>
  <r>
    <x v="276"/>
    <x v="2"/>
    <x v="1"/>
    <x v="1"/>
    <x v="0"/>
    <n v="2.79"/>
    <n v="5"/>
    <x v="2544"/>
    <x v="1"/>
    <n v="3.8"/>
  </r>
  <r>
    <x v="276"/>
    <x v="1"/>
    <x v="1"/>
    <x v="0"/>
    <x v="4"/>
    <n v="40.020000000000003"/>
    <n v="9"/>
    <x v="2545"/>
    <x v="0"/>
    <n v="8.6"/>
  </r>
  <r>
    <x v="276"/>
    <x v="1"/>
    <x v="0"/>
    <x v="0"/>
    <x v="4"/>
    <n v="65.400000000000006"/>
    <n v="1"/>
    <x v="2546"/>
    <x v="2"/>
    <n v="7.1"/>
  </r>
  <r>
    <x v="276"/>
    <x v="0"/>
    <x v="1"/>
    <x v="0"/>
    <x v="5"/>
    <n v="15.07"/>
    <n v="10"/>
    <x v="2547"/>
    <x v="0"/>
    <n v="6.7"/>
  </r>
  <r>
    <x v="276"/>
    <x v="1"/>
    <x v="0"/>
    <x v="1"/>
    <x v="2"/>
    <n v="72"/>
    <n v="2"/>
    <x v="2548"/>
    <x v="1"/>
    <n v="5.3"/>
  </r>
  <r>
    <x v="276"/>
    <x v="2"/>
    <x v="0"/>
    <x v="1"/>
    <x v="3"/>
    <n v="13.55"/>
    <n v="5"/>
    <x v="2549"/>
    <x v="2"/>
    <n v="5.0999999999999996"/>
  </r>
  <r>
    <x v="277"/>
    <x v="1"/>
    <x v="0"/>
    <x v="1"/>
    <x v="3"/>
    <n v="23.02"/>
    <n v="2"/>
    <x v="2550"/>
    <x v="1"/>
    <n v="5.8"/>
  </r>
  <r>
    <x v="277"/>
    <x v="0"/>
    <x v="0"/>
    <x v="1"/>
    <x v="3"/>
    <n v="7.03"/>
    <n v="5"/>
    <x v="2551"/>
    <x v="0"/>
    <n v="7.6"/>
  </r>
  <r>
    <x v="277"/>
    <x v="0"/>
    <x v="1"/>
    <x v="1"/>
    <x v="0"/>
    <n v="3.21"/>
    <n v="2"/>
    <x v="1922"/>
    <x v="2"/>
    <n v="9"/>
  </r>
  <r>
    <x v="277"/>
    <x v="2"/>
    <x v="1"/>
    <x v="0"/>
    <x v="5"/>
    <n v="34.979999999999997"/>
    <n v="4"/>
    <x v="2552"/>
    <x v="1"/>
    <n v="6.5"/>
  </r>
  <r>
    <x v="277"/>
    <x v="1"/>
    <x v="1"/>
    <x v="0"/>
    <x v="2"/>
    <n v="68.58"/>
    <n v="6"/>
    <x v="2553"/>
    <x v="2"/>
    <n v="7.6"/>
  </r>
  <r>
    <x v="277"/>
    <x v="2"/>
    <x v="0"/>
    <x v="0"/>
    <x v="0"/>
    <n v="13.76"/>
    <n v="1"/>
    <x v="2554"/>
    <x v="2"/>
    <n v="7"/>
  </r>
  <r>
    <x v="277"/>
    <x v="0"/>
    <x v="1"/>
    <x v="0"/>
    <x v="0"/>
    <n v="13.01"/>
    <n v="7"/>
    <x v="2555"/>
    <x v="2"/>
    <n v="7.2"/>
  </r>
  <r>
    <x v="277"/>
    <x v="1"/>
    <x v="0"/>
    <x v="0"/>
    <x v="0"/>
    <n v="2.31"/>
    <n v="1"/>
    <x v="2556"/>
    <x v="0"/>
    <n v="7.6"/>
  </r>
  <r>
    <x v="277"/>
    <x v="0"/>
    <x v="1"/>
    <x v="0"/>
    <x v="4"/>
    <n v="45.64"/>
    <n v="3"/>
    <x v="2557"/>
    <x v="0"/>
    <n v="8.6999999999999993"/>
  </r>
  <r>
    <x v="277"/>
    <x v="0"/>
    <x v="1"/>
    <x v="1"/>
    <x v="2"/>
    <n v="56"/>
    <n v="3"/>
    <x v="646"/>
    <x v="1"/>
    <n v="3.6"/>
  </r>
  <r>
    <x v="277"/>
    <x v="1"/>
    <x v="1"/>
    <x v="0"/>
    <x v="0"/>
    <n v="4.8899999999999997"/>
    <n v="4"/>
    <x v="1610"/>
    <x v="0"/>
    <n v="8.1999999999999993"/>
  </r>
  <r>
    <x v="277"/>
    <x v="1"/>
    <x v="0"/>
    <x v="0"/>
    <x v="3"/>
    <n v="22.24"/>
    <n v="4"/>
    <x v="2558"/>
    <x v="1"/>
    <n v="4.7"/>
  </r>
  <r>
    <x v="277"/>
    <x v="0"/>
    <x v="0"/>
    <x v="1"/>
    <x v="0"/>
    <n v="8.9499999999999993"/>
    <n v="1"/>
    <x v="2559"/>
    <x v="1"/>
    <n v="4.3"/>
  </r>
  <r>
    <x v="277"/>
    <x v="1"/>
    <x v="1"/>
    <x v="0"/>
    <x v="4"/>
    <n v="42.96"/>
    <n v="8"/>
    <x v="2560"/>
    <x v="0"/>
    <n v="6.9"/>
  </r>
  <r>
    <x v="277"/>
    <x v="2"/>
    <x v="1"/>
    <x v="0"/>
    <x v="5"/>
    <n v="19.559999999999999"/>
    <n v="2"/>
    <x v="947"/>
    <x v="1"/>
    <n v="3.7"/>
  </r>
  <r>
    <x v="277"/>
    <x v="2"/>
    <x v="0"/>
    <x v="0"/>
    <x v="0"/>
    <n v="10.53"/>
    <n v="7"/>
    <x v="2561"/>
    <x v="2"/>
    <n v="9"/>
  </r>
  <r>
    <x v="278"/>
    <x v="2"/>
    <x v="1"/>
    <x v="1"/>
    <x v="0"/>
    <n v="12.98"/>
    <n v="1"/>
    <x v="1938"/>
    <x v="2"/>
    <n v="7.3"/>
  </r>
  <r>
    <x v="278"/>
    <x v="1"/>
    <x v="1"/>
    <x v="1"/>
    <x v="4"/>
    <n v="44.32"/>
    <n v="4"/>
    <x v="2562"/>
    <x v="0"/>
    <n v="7.9"/>
  </r>
  <r>
    <x v="278"/>
    <x v="2"/>
    <x v="0"/>
    <x v="0"/>
    <x v="2"/>
    <n v="64.38"/>
    <n v="5"/>
    <x v="2563"/>
    <x v="2"/>
    <n v="3.1"/>
  </r>
  <r>
    <x v="278"/>
    <x v="2"/>
    <x v="0"/>
    <x v="0"/>
    <x v="3"/>
    <n v="24.95"/>
    <n v="1"/>
    <x v="2564"/>
    <x v="0"/>
    <n v="7"/>
  </r>
  <r>
    <x v="278"/>
    <x v="2"/>
    <x v="1"/>
    <x v="0"/>
    <x v="4"/>
    <n v="54.72"/>
    <n v="2"/>
    <x v="2565"/>
    <x v="2"/>
    <n v="6.8"/>
  </r>
  <r>
    <x v="278"/>
    <x v="2"/>
    <x v="1"/>
    <x v="1"/>
    <x v="4"/>
    <n v="46.95"/>
    <n v="2"/>
    <x v="2566"/>
    <x v="2"/>
    <n v="4.0999999999999996"/>
  </r>
  <r>
    <x v="278"/>
    <x v="0"/>
    <x v="0"/>
    <x v="0"/>
    <x v="5"/>
    <n v="28.14"/>
    <n v="10"/>
    <x v="2567"/>
    <x v="0"/>
    <n v="4"/>
  </r>
  <r>
    <x v="278"/>
    <x v="1"/>
    <x v="0"/>
    <x v="0"/>
    <x v="5"/>
    <n v="37.57"/>
    <n v="8"/>
    <x v="2568"/>
    <x v="1"/>
    <n v="7.7"/>
  </r>
  <r>
    <x v="278"/>
    <x v="0"/>
    <x v="0"/>
    <x v="1"/>
    <x v="0"/>
    <n v="11.27"/>
    <n v="1"/>
    <x v="2569"/>
    <x v="1"/>
    <n v="5.2"/>
  </r>
  <r>
    <x v="278"/>
    <x v="1"/>
    <x v="1"/>
    <x v="1"/>
    <x v="2"/>
    <n v="55.02"/>
    <n v="4"/>
    <x v="2570"/>
    <x v="0"/>
    <n v="7.7"/>
  </r>
  <r>
    <x v="278"/>
    <x v="2"/>
    <x v="1"/>
    <x v="1"/>
    <x v="4"/>
    <n v="63.16"/>
    <n v="5"/>
    <x v="2571"/>
    <x v="0"/>
    <n v="6.8"/>
  </r>
  <r>
    <x v="279"/>
    <x v="0"/>
    <x v="1"/>
    <x v="0"/>
    <x v="3"/>
    <n v="17.77"/>
    <n v="8"/>
    <x v="1414"/>
    <x v="0"/>
    <n v="5.6"/>
  </r>
  <r>
    <x v="279"/>
    <x v="2"/>
    <x v="1"/>
    <x v="1"/>
    <x v="0"/>
    <n v="7.58"/>
    <n v="8"/>
    <x v="2572"/>
    <x v="0"/>
    <n v="9.3000000000000007"/>
  </r>
  <r>
    <x v="279"/>
    <x v="2"/>
    <x v="1"/>
    <x v="0"/>
    <x v="0"/>
    <n v="11.28"/>
    <n v="9"/>
    <x v="850"/>
    <x v="2"/>
    <n v="8.6999999999999993"/>
  </r>
  <r>
    <x v="279"/>
    <x v="1"/>
    <x v="1"/>
    <x v="0"/>
    <x v="1"/>
    <n v="89.02"/>
    <n v="1"/>
    <x v="2573"/>
    <x v="1"/>
    <n v="5.4"/>
  </r>
  <r>
    <x v="279"/>
    <x v="1"/>
    <x v="1"/>
    <x v="0"/>
    <x v="4"/>
    <n v="46.07"/>
    <n v="1"/>
    <x v="2574"/>
    <x v="0"/>
    <n v="3.3"/>
  </r>
  <r>
    <x v="279"/>
    <x v="1"/>
    <x v="1"/>
    <x v="0"/>
    <x v="4"/>
    <n v="43.75"/>
    <n v="2"/>
    <x v="2575"/>
    <x v="0"/>
    <n v="5.0999999999999996"/>
  </r>
  <r>
    <x v="279"/>
    <x v="0"/>
    <x v="1"/>
    <x v="1"/>
    <x v="3"/>
    <n v="7.36"/>
    <n v="9"/>
    <x v="2576"/>
    <x v="0"/>
    <n v="5.7"/>
  </r>
  <r>
    <x v="279"/>
    <x v="0"/>
    <x v="0"/>
    <x v="0"/>
    <x v="3"/>
    <n v="6.28"/>
    <n v="7"/>
    <x v="2577"/>
    <x v="2"/>
    <n v="7.8"/>
  </r>
  <r>
    <x v="279"/>
    <x v="2"/>
    <x v="0"/>
    <x v="0"/>
    <x v="0"/>
    <n v="2.95"/>
    <n v="5"/>
    <x v="1887"/>
    <x v="1"/>
    <n v="9.8000000000000007"/>
  </r>
  <r>
    <x v="280"/>
    <x v="0"/>
    <x v="1"/>
    <x v="1"/>
    <x v="0"/>
    <n v="4.2699999999999996"/>
    <n v="8"/>
    <x v="2578"/>
    <x v="2"/>
    <n v="5.4"/>
  </r>
  <r>
    <x v="280"/>
    <x v="0"/>
    <x v="0"/>
    <x v="1"/>
    <x v="5"/>
    <n v="26.18"/>
    <n v="5"/>
    <x v="2301"/>
    <x v="2"/>
    <n v="8.1999999999999993"/>
  </r>
  <r>
    <x v="280"/>
    <x v="1"/>
    <x v="0"/>
    <x v="0"/>
    <x v="5"/>
    <n v="35.83"/>
    <n v="6"/>
    <x v="2579"/>
    <x v="0"/>
    <n v="7"/>
  </r>
  <r>
    <x v="280"/>
    <x v="2"/>
    <x v="1"/>
    <x v="1"/>
    <x v="0"/>
    <n v="7.78"/>
    <n v="5"/>
    <x v="2379"/>
    <x v="0"/>
    <n v="7.7"/>
  </r>
  <r>
    <x v="280"/>
    <x v="2"/>
    <x v="1"/>
    <x v="1"/>
    <x v="0"/>
    <n v="6.16"/>
    <n v="1"/>
    <x v="2580"/>
    <x v="0"/>
    <n v="4"/>
  </r>
  <r>
    <x v="280"/>
    <x v="0"/>
    <x v="1"/>
    <x v="0"/>
    <x v="2"/>
    <n v="56.24"/>
    <n v="5"/>
    <x v="2581"/>
    <x v="2"/>
    <n v="5.7"/>
  </r>
  <r>
    <x v="280"/>
    <x v="1"/>
    <x v="1"/>
    <x v="0"/>
    <x v="0"/>
    <n v="8.0299999999999994"/>
    <n v="8"/>
    <x v="2582"/>
    <x v="2"/>
    <n v="4.5999999999999996"/>
  </r>
  <r>
    <x v="280"/>
    <x v="0"/>
    <x v="1"/>
    <x v="0"/>
    <x v="0"/>
    <n v="11.36"/>
    <n v="2"/>
    <x v="2583"/>
    <x v="2"/>
    <n v="5.3"/>
  </r>
  <r>
    <x v="280"/>
    <x v="2"/>
    <x v="0"/>
    <x v="1"/>
    <x v="4"/>
    <n v="49.66"/>
    <n v="1"/>
    <x v="2584"/>
    <x v="1"/>
    <n v="6.5"/>
  </r>
  <r>
    <x v="280"/>
    <x v="1"/>
    <x v="1"/>
    <x v="0"/>
    <x v="5"/>
    <n v="27.73"/>
    <n v="5"/>
    <x v="941"/>
    <x v="1"/>
    <n v="7.5"/>
  </r>
  <r>
    <x v="280"/>
    <x v="2"/>
    <x v="1"/>
    <x v="1"/>
    <x v="4"/>
    <n v="67.239999999999995"/>
    <n v="9"/>
    <x v="2585"/>
    <x v="1"/>
    <n v="3.7"/>
  </r>
  <r>
    <x v="280"/>
    <x v="0"/>
    <x v="0"/>
    <x v="1"/>
    <x v="5"/>
    <n v="30.82"/>
    <n v="10"/>
    <x v="2586"/>
    <x v="1"/>
    <n v="3.9"/>
  </r>
  <r>
    <x v="280"/>
    <x v="2"/>
    <x v="1"/>
    <x v="1"/>
    <x v="1"/>
    <n v="95.13"/>
    <n v="10"/>
    <x v="2587"/>
    <x v="1"/>
    <n v="5.2"/>
  </r>
  <r>
    <x v="280"/>
    <x v="2"/>
    <x v="1"/>
    <x v="1"/>
    <x v="2"/>
    <n v="58.9"/>
    <n v="5"/>
    <x v="2588"/>
    <x v="2"/>
    <n v="7.5"/>
  </r>
  <r>
    <x v="280"/>
    <x v="0"/>
    <x v="1"/>
    <x v="1"/>
    <x v="3"/>
    <n v="17.22"/>
    <n v="10"/>
    <x v="2063"/>
    <x v="2"/>
    <n v="8.8000000000000007"/>
  </r>
  <r>
    <x v="280"/>
    <x v="0"/>
    <x v="0"/>
    <x v="0"/>
    <x v="0"/>
    <n v="2.5099999999999998"/>
    <n v="3"/>
    <x v="2589"/>
    <x v="2"/>
    <n v="6.8"/>
  </r>
  <r>
    <x v="280"/>
    <x v="2"/>
    <x v="1"/>
    <x v="1"/>
    <x v="5"/>
    <n v="17.36"/>
    <n v="4"/>
    <x v="2590"/>
    <x v="2"/>
    <n v="8.8000000000000007"/>
  </r>
  <r>
    <x v="280"/>
    <x v="1"/>
    <x v="1"/>
    <x v="1"/>
    <x v="5"/>
    <n v="18.89"/>
    <n v="3"/>
    <x v="2591"/>
    <x v="0"/>
    <n v="5.6"/>
  </r>
  <r>
    <x v="280"/>
    <x v="2"/>
    <x v="1"/>
    <x v="0"/>
    <x v="3"/>
    <n v="24.14"/>
    <n v="10"/>
    <x v="2592"/>
    <x v="1"/>
    <n v="5.2"/>
  </r>
  <r>
    <x v="280"/>
    <x v="0"/>
    <x v="1"/>
    <x v="0"/>
    <x v="4"/>
    <n v="45.77"/>
    <n v="10"/>
    <x v="2593"/>
    <x v="2"/>
    <n v="5.4"/>
  </r>
  <r>
    <x v="281"/>
    <x v="0"/>
    <x v="1"/>
    <x v="0"/>
    <x v="3"/>
    <n v="8.18"/>
    <n v="2"/>
    <x v="2594"/>
    <x v="1"/>
    <n v="4.2"/>
  </r>
  <r>
    <x v="281"/>
    <x v="2"/>
    <x v="0"/>
    <x v="0"/>
    <x v="4"/>
    <n v="61.02"/>
    <n v="4"/>
    <x v="2595"/>
    <x v="2"/>
    <n v="8.6"/>
  </r>
  <r>
    <x v="281"/>
    <x v="1"/>
    <x v="0"/>
    <x v="0"/>
    <x v="5"/>
    <n v="32.950000000000003"/>
    <n v="5"/>
    <x v="2596"/>
    <x v="1"/>
    <n v="5.3"/>
  </r>
  <r>
    <x v="281"/>
    <x v="1"/>
    <x v="1"/>
    <x v="1"/>
    <x v="1"/>
    <n v="91.7"/>
    <n v="2"/>
    <x v="2597"/>
    <x v="0"/>
    <n v="6.8"/>
  </r>
  <r>
    <x v="281"/>
    <x v="0"/>
    <x v="1"/>
    <x v="0"/>
    <x v="0"/>
    <n v="8.35"/>
    <n v="7"/>
    <x v="2598"/>
    <x v="0"/>
    <n v="6.9"/>
  </r>
  <r>
    <x v="281"/>
    <x v="0"/>
    <x v="0"/>
    <x v="0"/>
    <x v="0"/>
    <n v="7.86"/>
    <n v="8"/>
    <x v="2599"/>
    <x v="2"/>
    <n v="6.5"/>
  </r>
  <r>
    <x v="281"/>
    <x v="0"/>
    <x v="1"/>
    <x v="0"/>
    <x v="3"/>
    <n v="22.01"/>
    <n v="6"/>
    <x v="18"/>
    <x v="0"/>
    <n v="3"/>
  </r>
  <r>
    <x v="281"/>
    <x v="1"/>
    <x v="0"/>
    <x v="0"/>
    <x v="0"/>
    <n v="14.67"/>
    <n v="9"/>
    <x v="1162"/>
    <x v="1"/>
    <n v="9.6999999999999993"/>
  </r>
  <r>
    <x v="281"/>
    <x v="2"/>
    <x v="1"/>
    <x v="0"/>
    <x v="0"/>
    <n v="11.28"/>
    <n v="3"/>
    <x v="2600"/>
    <x v="1"/>
    <n v="9.1999999999999993"/>
  </r>
  <r>
    <x v="281"/>
    <x v="0"/>
    <x v="1"/>
    <x v="0"/>
    <x v="0"/>
    <n v="10.78"/>
    <n v="9"/>
    <x v="2601"/>
    <x v="1"/>
    <n v="4.4000000000000004"/>
  </r>
  <r>
    <x v="281"/>
    <x v="0"/>
    <x v="1"/>
    <x v="0"/>
    <x v="3"/>
    <n v="12.44"/>
    <n v="7"/>
    <x v="2602"/>
    <x v="0"/>
    <n v="5"/>
  </r>
  <r>
    <x v="281"/>
    <x v="1"/>
    <x v="1"/>
    <x v="1"/>
    <x v="5"/>
    <n v="31.31"/>
    <n v="4"/>
    <x v="2603"/>
    <x v="2"/>
    <n v="6.5"/>
  </r>
  <r>
    <x v="281"/>
    <x v="2"/>
    <x v="1"/>
    <x v="0"/>
    <x v="0"/>
    <n v="14.52"/>
    <n v="1"/>
    <x v="1980"/>
    <x v="2"/>
    <n v="9.1"/>
  </r>
  <r>
    <x v="281"/>
    <x v="0"/>
    <x v="0"/>
    <x v="1"/>
    <x v="5"/>
    <n v="39.56"/>
    <n v="5"/>
    <x v="2604"/>
    <x v="1"/>
    <n v="9.6999999999999993"/>
  </r>
  <r>
    <x v="281"/>
    <x v="1"/>
    <x v="1"/>
    <x v="1"/>
    <x v="0"/>
    <n v="12.01"/>
    <n v="3"/>
    <x v="2605"/>
    <x v="0"/>
    <n v="4.8"/>
  </r>
  <r>
    <x v="281"/>
    <x v="0"/>
    <x v="0"/>
    <x v="0"/>
    <x v="3"/>
    <n v="15.94"/>
    <n v="6"/>
    <x v="2606"/>
    <x v="2"/>
    <n v="6.8"/>
  </r>
  <r>
    <x v="281"/>
    <x v="2"/>
    <x v="1"/>
    <x v="0"/>
    <x v="0"/>
    <n v="11.63"/>
    <n v="6"/>
    <x v="2607"/>
    <x v="1"/>
    <n v="8.5"/>
  </r>
  <r>
    <x v="281"/>
    <x v="2"/>
    <x v="1"/>
    <x v="0"/>
    <x v="5"/>
    <n v="38.520000000000003"/>
    <n v="1"/>
    <x v="2608"/>
    <x v="1"/>
    <n v="5.7"/>
  </r>
  <r>
    <x v="282"/>
    <x v="0"/>
    <x v="0"/>
    <x v="0"/>
    <x v="5"/>
    <n v="25.7"/>
    <n v="10"/>
    <x v="2609"/>
    <x v="2"/>
    <n v="8"/>
  </r>
  <r>
    <x v="282"/>
    <x v="1"/>
    <x v="0"/>
    <x v="1"/>
    <x v="1"/>
    <n v="87.08"/>
    <n v="2"/>
    <x v="2610"/>
    <x v="1"/>
    <n v="4.0999999999999996"/>
  </r>
  <r>
    <x v="282"/>
    <x v="2"/>
    <x v="1"/>
    <x v="0"/>
    <x v="4"/>
    <n v="54.41"/>
    <n v="4"/>
    <x v="2611"/>
    <x v="0"/>
    <n v="7.1"/>
  </r>
  <r>
    <x v="282"/>
    <x v="0"/>
    <x v="1"/>
    <x v="1"/>
    <x v="5"/>
    <n v="30.69"/>
    <n v="1"/>
    <x v="1565"/>
    <x v="2"/>
    <n v="8.9"/>
  </r>
  <r>
    <x v="282"/>
    <x v="1"/>
    <x v="1"/>
    <x v="0"/>
    <x v="4"/>
    <n v="45.82"/>
    <n v="5"/>
    <x v="2612"/>
    <x v="1"/>
    <n v="9.6999999999999993"/>
  </r>
  <r>
    <x v="282"/>
    <x v="0"/>
    <x v="1"/>
    <x v="1"/>
    <x v="2"/>
    <n v="59.62"/>
    <n v="4"/>
    <x v="2613"/>
    <x v="2"/>
    <n v="3.5"/>
  </r>
  <r>
    <x v="282"/>
    <x v="0"/>
    <x v="0"/>
    <x v="1"/>
    <x v="0"/>
    <n v="7.69"/>
    <n v="10"/>
    <x v="1017"/>
    <x v="1"/>
    <n v="5.9"/>
  </r>
  <r>
    <x v="282"/>
    <x v="1"/>
    <x v="1"/>
    <x v="0"/>
    <x v="4"/>
    <n v="68.66"/>
    <n v="3"/>
    <x v="2614"/>
    <x v="0"/>
    <n v="4.4000000000000004"/>
  </r>
  <r>
    <x v="282"/>
    <x v="1"/>
    <x v="0"/>
    <x v="0"/>
    <x v="2"/>
    <n v="79.02"/>
    <n v="10"/>
    <x v="842"/>
    <x v="0"/>
    <n v="6.1"/>
  </r>
  <r>
    <x v="282"/>
    <x v="1"/>
    <x v="1"/>
    <x v="0"/>
    <x v="0"/>
    <n v="6.3"/>
    <n v="8"/>
    <x v="2615"/>
    <x v="0"/>
    <n v="6.7"/>
  </r>
  <r>
    <x v="282"/>
    <x v="2"/>
    <x v="1"/>
    <x v="1"/>
    <x v="4"/>
    <n v="44.75"/>
    <n v="3"/>
    <x v="2616"/>
    <x v="0"/>
    <n v="3.6"/>
  </r>
  <r>
    <x v="282"/>
    <x v="2"/>
    <x v="1"/>
    <x v="0"/>
    <x v="3"/>
    <n v="18.329999999999998"/>
    <n v="4"/>
    <x v="2617"/>
    <x v="0"/>
    <n v="5"/>
  </r>
  <r>
    <x v="282"/>
    <x v="1"/>
    <x v="0"/>
    <x v="1"/>
    <x v="0"/>
    <n v="4.97"/>
    <n v="7"/>
    <x v="2618"/>
    <x v="1"/>
    <n v="9.3000000000000007"/>
  </r>
  <r>
    <x v="282"/>
    <x v="1"/>
    <x v="0"/>
    <x v="1"/>
    <x v="4"/>
    <n v="51.47"/>
    <n v="10"/>
    <x v="2619"/>
    <x v="2"/>
    <n v="6.9"/>
  </r>
  <r>
    <x v="282"/>
    <x v="1"/>
    <x v="0"/>
    <x v="1"/>
    <x v="4"/>
    <n v="46.81"/>
    <n v="8"/>
    <x v="2620"/>
    <x v="0"/>
    <n v="6.1"/>
  </r>
  <r>
    <x v="282"/>
    <x v="2"/>
    <x v="1"/>
    <x v="1"/>
    <x v="0"/>
    <n v="7.09"/>
    <n v="5"/>
    <x v="2621"/>
    <x v="0"/>
    <n v="8.1"/>
  </r>
  <r>
    <x v="282"/>
    <x v="0"/>
    <x v="0"/>
    <x v="0"/>
    <x v="5"/>
    <n v="38.82"/>
    <n v="4"/>
    <x v="2622"/>
    <x v="0"/>
    <n v="8"/>
  </r>
  <r>
    <x v="282"/>
    <x v="0"/>
    <x v="1"/>
    <x v="0"/>
    <x v="3"/>
    <n v="16.66"/>
    <n v="8"/>
    <x v="1755"/>
    <x v="2"/>
    <n v="3.3"/>
  </r>
  <r>
    <x v="283"/>
    <x v="0"/>
    <x v="1"/>
    <x v="1"/>
    <x v="3"/>
    <n v="5.37"/>
    <n v="3"/>
    <x v="1521"/>
    <x v="2"/>
    <n v="7.8"/>
  </r>
  <r>
    <x v="283"/>
    <x v="0"/>
    <x v="0"/>
    <x v="0"/>
    <x v="0"/>
    <n v="6.37"/>
    <n v="4"/>
    <x v="2623"/>
    <x v="0"/>
    <n v="8.6999999999999993"/>
  </r>
  <r>
    <x v="283"/>
    <x v="2"/>
    <x v="1"/>
    <x v="1"/>
    <x v="0"/>
    <n v="8.59"/>
    <n v="8"/>
    <x v="2249"/>
    <x v="2"/>
    <n v="4.0999999999999996"/>
  </r>
  <r>
    <x v="283"/>
    <x v="0"/>
    <x v="0"/>
    <x v="0"/>
    <x v="4"/>
    <n v="60.11"/>
    <n v="2"/>
    <x v="2624"/>
    <x v="2"/>
    <n v="8.3000000000000007"/>
  </r>
  <r>
    <x v="283"/>
    <x v="1"/>
    <x v="1"/>
    <x v="1"/>
    <x v="5"/>
    <n v="36.75"/>
    <n v="10"/>
    <x v="2625"/>
    <x v="0"/>
    <n v="4.9000000000000004"/>
  </r>
  <r>
    <x v="283"/>
    <x v="0"/>
    <x v="0"/>
    <x v="1"/>
    <x v="2"/>
    <n v="54.2"/>
    <n v="5"/>
    <x v="2626"/>
    <x v="2"/>
    <n v="5.0999999999999996"/>
  </r>
  <r>
    <x v="283"/>
    <x v="0"/>
    <x v="0"/>
    <x v="0"/>
    <x v="0"/>
    <n v="5.15"/>
    <n v="6"/>
    <x v="2446"/>
    <x v="2"/>
    <n v="7.5"/>
  </r>
  <r>
    <x v="283"/>
    <x v="0"/>
    <x v="1"/>
    <x v="1"/>
    <x v="0"/>
    <n v="8.68"/>
    <n v="5"/>
    <x v="2627"/>
    <x v="1"/>
    <n v="3.8"/>
  </r>
  <r>
    <x v="283"/>
    <x v="1"/>
    <x v="0"/>
    <x v="0"/>
    <x v="3"/>
    <n v="15.4"/>
    <n v="6"/>
    <x v="2628"/>
    <x v="2"/>
    <n v="7.5"/>
  </r>
  <r>
    <x v="284"/>
    <x v="2"/>
    <x v="0"/>
    <x v="1"/>
    <x v="2"/>
    <n v="56.28"/>
    <n v="1"/>
    <x v="2629"/>
    <x v="2"/>
    <n v="9"/>
  </r>
  <r>
    <x v="284"/>
    <x v="0"/>
    <x v="1"/>
    <x v="1"/>
    <x v="0"/>
    <n v="8.16"/>
    <n v="4"/>
    <x v="2630"/>
    <x v="2"/>
    <n v="7.7"/>
  </r>
  <r>
    <x v="284"/>
    <x v="1"/>
    <x v="1"/>
    <x v="1"/>
    <x v="3"/>
    <n v="8.0500000000000007"/>
    <n v="10"/>
    <x v="2306"/>
    <x v="0"/>
    <n v="6"/>
  </r>
  <r>
    <x v="284"/>
    <x v="1"/>
    <x v="0"/>
    <x v="0"/>
    <x v="0"/>
    <n v="5.38"/>
    <n v="2"/>
    <x v="2631"/>
    <x v="1"/>
    <n v="6"/>
  </r>
  <r>
    <x v="284"/>
    <x v="1"/>
    <x v="0"/>
    <x v="0"/>
    <x v="5"/>
    <n v="21.55"/>
    <n v="3"/>
    <x v="2632"/>
    <x v="0"/>
    <n v="8.1999999999999993"/>
  </r>
  <r>
    <x v="284"/>
    <x v="2"/>
    <x v="1"/>
    <x v="0"/>
    <x v="0"/>
    <n v="14.87"/>
    <n v="9"/>
    <x v="2633"/>
    <x v="2"/>
    <n v="6.8"/>
  </r>
  <r>
    <x v="284"/>
    <x v="1"/>
    <x v="0"/>
    <x v="0"/>
    <x v="2"/>
    <n v="68.98"/>
    <n v="4"/>
    <x v="2634"/>
    <x v="2"/>
    <n v="3.6"/>
  </r>
  <r>
    <x v="284"/>
    <x v="2"/>
    <x v="1"/>
    <x v="1"/>
    <x v="5"/>
    <n v="16.8"/>
    <n v="4"/>
    <x v="1557"/>
    <x v="2"/>
    <n v="7"/>
  </r>
  <r>
    <x v="284"/>
    <x v="1"/>
    <x v="1"/>
    <x v="0"/>
    <x v="0"/>
    <n v="8.9700000000000006"/>
    <n v="9"/>
    <x v="2635"/>
    <x v="0"/>
    <n v="8.5"/>
  </r>
  <r>
    <x v="284"/>
    <x v="0"/>
    <x v="0"/>
    <x v="1"/>
    <x v="3"/>
    <n v="19.510000000000002"/>
    <n v="7"/>
    <x v="2636"/>
    <x v="1"/>
    <n v="5.3"/>
  </r>
  <r>
    <x v="284"/>
    <x v="1"/>
    <x v="0"/>
    <x v="0"/>
    <x v="3"/>
    <n v="14.22"/>
    <n v="4"/>
    <x v="2637"/>
    <x v="1"/>
    <n v="9.3000000000000007"/>
  </r>
  <r>
    <x v="284"/>
    <x v="1"/>
    <x v="0"/>
    <x v="0"/>
    <x v="4"/>
    <n v="65.16"/>
    <n v="7"/>
    <x v="2638"/>
    <x v="1"/>
    <n v="8.1"/>
  </r>
  <r>
    <x v="284"/>
    <x v="2"/>
    <x v="1"/>
    <x v="1"/>
    <x v="0"/>
    <n v="14.72"/>
    <n v="7"/>
    <x v="1163"/>
    <x v="0"/>
    <n v="6.9"/>
  </r>
  <r>
    <x v="285"/>
    <x v="0"/>
    <x v="0"/>
    <x v="1"/>
    <x v="3"/>
    <n v="17.62"/>
    <n v="9"/>
    <x v="2639"/>
    <x v="1"/>
    <n v="8.1"/>
  </r>
  <r>
    <x v="285"/>
    <x v="1"/>
    <x v="0"/>
    <x v="0"/>
    <x v="0"/>
    <n v="4.83"/>
    <n v="3"/>
    <x v="2640"/>
    <x v="1"/>
    <n v="3.5"/>
  </r>
  <r>
    <x v="285"/>
    <x v="2"/>
    <x v="1"/>
    <x v="0"/>
    <x v="5"/>
    <n v="35.549999999999997"/>
    <n v="1"/>
    <x v="2641"/>
    <x v="1"/>
    <n v="8.8000000000000007"/>
  </r>
  <r>
    <x v="285"/>
    <x v="0"/>
    <x v="0"/>
    <x v="0"/>
    <x v="4"/>
    <n v="65.760000000000005"/>
    <n v="5"/>
    <x v="2642"/>
    <x v="0"/>
    <n v="8.6"/>
  </r>
  <r>
    <x v="285"/>
    <x v="1"/>
    <x v="1"/>
    <x v="1"/>
    <x v="3"/>
    <n v="20.61"/>
    <n v="8"/>
    <x v="2643"/>
    <x v="1"/>
    <n v="9.1999999999999993"/>
  </r>
  <r>
    <x v="285"/>
    <x v="1"/>
    <x v="1"/>
    <x v="1"/>
    <x v="2"/>
    <n v="60.93"/>
    <n v="7"/>
    <x v="2644"/>
    <x v="2"/>
    <n v="3.9"/>
  </r>
  <r>
    <x v="285"/>
    <x v="2"/>
    <x v="1"/>
    <x v="1"/>
    <x v="3"/>
    <n v="21.61"/>
    <n v="3"/>
    <x v="2645"/>
    <x v="1"/>
    <n v="3.6"/>
  </r>
  <r>
    <x v="285"/>
    <x v="0"/>
    <x v="0"/>
    <x v="1"/>
    <x v="4"/>
    <n v="43.69"/>
    <n v="2"/>
    <x v="2646"/>
    <x v="1"/>
    <n v="3.9"/>
  </r>
  <r>
    <x v="285"/>
    <x v="1"/>
    <x v="0"/>
    <x v="0"/>
    <x v="1"/>
    <n v="92.67"/>
    <n v="7"/>
    <x v="2647"/>
    <x v="2"/>
    <n v="5.7"/>
  </r>
  <r>
    <x v="285"/>
    <x v="1"/>
    <x v="0"/>
    <x v="0"/>
    <x v="0"/>
    <n v="12.99"/>
    <n v="7"/>
    <x v="2648"/>
    <x v="0"/>
    <n v="5.9"/>
  </r>
  <r>
    <x v="285"/>
    <x v="0"/>
    <x v="0"/>
    <x v="1"/>
    <x v="5"/>
    <n v="27.6"/>
    <n v="5"/>
    <x v="2649"/>
    <x v="2"/>
    <n v="6.8"/>
  </r>
  <r>
    <x v="285"/>
    <x v="0"/>
    <x v="1"/>
    <x v="0"/>
    <x v="5"/>
    <n v="25.06"/>
    <n v="9"/>
    <x v="2433"/>
    <x v="0"/>
    <n v="3.8"/>
  </r>
  <r>
    <x v="286"/>
    <x v="0"/>
    <x v="1"/>
    <x v="1"/>
    <x v="0"/>
    <n v="3.84"/>
    <n v="8"/>
    <x v="1991"/>
    <x v="2"/>
    <n v="4.4000000000000004"/>
  </r>
  <r>
    <x v="286"/>
    <x v="2"/>
    <x v="0"/>
    <x v="1"/>
    <x v="2"/>
    <n v="76.69"/>
    <n v="8"/>
    <x v="2650"/>
    <x v="2"/>
    <n v="8.5"/>
  </r>
  <r>
    <x v="286"/>
    <x v="1"/>
    <x v="1"/>
    <x v="0"/>
    <x v="3"/>
    <n v="5.71"/>
    <n v="4"/>
    <x v="1359"/>
    <x v="2"/>
    <n v="6.2"/>
  </r>
  <r>
    <x v="286"/>
    <x v="2"/>
    <x v="1"/>
    <x v="1"/>
    <x v="0"/>
    <n v="9.17"/>
    <n v="4"/>
    <x v="2651"/>
    <x v="1"/>
    <n v="8.5"/>
  </r>
  <r>
    <x v="286"/>
    <x v="1"/>
    <x v="0"/>
    <x v="1"/>
    <x v="4"/>
    <n v="64.88"/>
    <n v="7"/>
    <x v="2652"/>
    <x v="1"/>
    <n v="3.1"/>
  </r>
  <r>
    <x v="286"/>
    <x v="2"/>
    <x v="0"/>
    <x v="1"/>
    <x v="3"/>
    <n v="18.52"/>
    <n v="5"/>
    <x v="2653"/>
    <x v="0"/>
    <n v="6.8"/>
  </r>
  <r>
    <x v="286"/>
    <x v="2"/>
    <x v="1"/>
    <x v="0"/>
    <x v="0"/>
    <n v="6.24"/>
    <n v="8"/>
    <x v="2654"/>
    <x v="2"/>
    <n v="9.3000000000000007"/>
  </r>
  <r>
    <x v="286"/>
    <x v="1"/>
    <x v="1"/>
    <x v="1"/>
    <x v="1"/>
    <n v="87.35"/>
    <n v="7"/>
    <x v="2655"/>
    <x v="2"/>
    <n v="7"/>
  </r>
  <r>
    <x v="286"/>
    <x v="0"/>
    <x v="1"/>
    <x v="1"/>
    <x v="5"/>
    <n v="37.53"/>
    <n v="3"/>
    <x v="2656"/>
    <x v="0"/>
    <n v="4.4000000000000004"/>
  </r>
  <r>
    <x v="286"/>
    <x v="0"/>
    <x v="1"/>
    <x v="0"/>
    <x v="1"/>
    <n v="81.91"/>
    <n v="5"/>
    <x v="2657"/>
    <x v="0"/>
    <n v="7.9"/>
  </r>
  <r>
    <x v="286"/>
    <x v="2"/>
    <x v="0"/>
    <x v="1"/>
    <x v="0"/>
    <n v="4.1900000000000004"/>
    <n v="5"/>
    <x v="2658"/>
    <x v="0"/>
    <n v="5.6"/>
  </r>
  <r>
    <x v="286"/>
    <x v="2"/>
    <x v="1"/>
    <x v="1"/>
    <x v="3"/>
    <n v="15.81"/>
    <n v="2"/>
    <x v="2659"/>
    <x v="0"/>
    <n v="7.5"/>
  </r>
  <r>
    <x v="286"/>
    <x v="1"/>
    <x v="1"/>
    <x v="0"/>
    <x v="0"/>
    <n v="14.55"/>
    <n v="3"/>
    <x v="2660"/>
    <x v="1"/>
    <n v="3.2"/>
  </r>
  <r>
    <x v="286"/>
    <x v="0"/>
    <x v="1"/>
    <x v="1"/>
    <x v="2"/>
    <n v="66.400000000000006"/>
    <n v="4"/>
    <x v="2661"/>
    <x v="2"/>
    <n v="7.3"/>
  </r>
  <r>
    <x v="286"/>
    <x v="0"/>
    <x v="1"/>
    <x v="0"/>
    <x v="5"/>
    <n v="25.26"/>
    <n v="8"/>
    <x v="2662"/>
    <x v="1"/>
    <n v="3.2"/>
  </r>
  <r>
    <x v="286"/>
    <x v="0"/>
    <x v="0"/>
    <x v="0"/>
    <x v="5"/>
    <n v="27.99"/>
    <n v="6"/>
    <x v="2663"/>
    <x v="2"/>
    <n v="8.1"/>
  </r>
  <r>
    <x v="286"/>
    <x v="1"/>
    <x v="0"/>
    <x v="1"/>
    <x v="5"/>
    <n v="36.619999999999997"/>
    <n v="10"/>
    <x v="2664"/>
    <x v="1"/>
    <n v="6.2"/>
  </r>
  <r>
    <x v="286"/>
    <x v="2"/>
    <x v="1"/>
    <x v="0"/>
    <x v="1"/>
    <n v="84.82"/>
    <n v="4"/>
    <x v="2665"/>
    <x v="0"/>
    <n v="3.8"/>
  </r>
  <r>
    <x v="287"/>
    <x v="2"/>
    <x v="1"/>
    <x v="1"/>
    <x v="3"/>
    <n v="20"/>
    <n v="6"/>
    <x v="2179"/>
    <x v="2"/>
    <n v="6.7"/>
  </r>
  <r>
    <x v="287"/>
    <x v="1"/>
    <x v="1"/>
    <x v="0"/>
    <x v="3"/>
    <n v="11.96"/>
    <n v="8"/>
    <x v="2666"/>
    <x v="2"/>
    <n v="3.5"/>
  </r>
  <r>
    <x v="287"/>
    <x v="1"/>
    <x v="1"/>
    <x v="1"/>
    <x v="4"/>
    <n v="59.34"/>
    <n v="5"/>
    <x v="2667"/>
    <x v="2"/>
    <n v="7.4"/>
  </r>
  <r>
    <x v="287"/>
    <x v="0"/>
    <x v="0"/>
    <x v="1"/>
    <x v="1"/>
    <n v="81.3"/>
    <n v="8"/>
    <x v="2668"/>
    <x v="0"/>
    <n v="9.8000000000000007"/>
  </r>
  <r>
    <x v="287"/>
    <x v="1"/>
    <x v="0"/>
    <x v="1"/>
    <x v="1"/>
    <n v="91.9"/>
    <n v="7"/>
    <x v="2669"/>
    <x v="1"/>
    <n v="8.1999999999999993"/>
  </r>
  <r>
    <x v="287"/>
    <x v="0"/>
    <x v="1"/>
    <x v="0"/>
    <x v="1"/>
    <n v="92.39"/>
    <n v="3"/>
    <x v="2670"/>
    <x v="0"/>
    <n v="6.9"/>
  </r>
  <r>
    <x v="287"/>
    <x v="0"/>
    <x v="0"/>
    <x v="1"/>
    <x v="2"/>
    <n v="51.8"/>
    <n v="1"/>
    <x v="2671"/>
    <x v="2"/>
    <n v="3.7"/>
  </r>
  <r>
    <x v="287"/>
    <x v="0"/>
    <x v="0"/>
    <x v="0"/>
    <x v="4"/>
    <n v="44.73"/>
    <n v="4"/>
    <x v="359"/>
    <x v="0"/>
    <n v="7.8"/>
  </r>
  <r>
    <x v="287"/>
    <x v="0"/>
    <x v="1"/>
    <x v="0"/>
    <x v="5"/>
    <n v="19.600000000000001"/>
    <n v="9"/>
    <x v="2170"/>
    <x v="1"/>
    <n v="7.5"/>
  </r>
  <r>
    <x v="287"/>
    <x v="1"/>
    <x v="0"/>
    <x v="1"/>
    <x v="0"/>
    <n v="13.28"/>
    <n v="10"/>
    <x v="2672"/>
    <x v="1"/>
    <n v="3.3"/>
  </r>
  <r>
    <x v="287"/>
    <x v="1"/>
    <x v="1"/>
    <x v="0"/>
    <x v="0"/>
    <n v="13.47"/>
    <n v="1"/>
    <x v="2673"/>
    <x v="1"/>
    <n v="8.4"/>
  </r>
  <r>
    <x v="287"/>
    <x v="2"/>
    <x v="0"/>
    <x v="1"/>
    <x v="4"/>
    <n v="40.54"/>
    <n v="2"/>
    <x v="2674"/>
    <x v="2"/>
    <n v="6.5"/>
  </r>
  <r>
    <x v="287"/>
    <x v="1"/>
    <x v="1"/>
    <x v="0"/>
    <x v="4"/>
    <n v="52.02"/>
    <n v="2"/>
    <x v="2675"/>
    <x v="1"/>
    <n v="5.9"/>
  </r>
  <r>
    <x v="287"/>
    <x v="0"/>
    <x v="0"/>
    <x v="0"/>
    <x v="5"/>
    <n v="39.04"/>
    <n v="4"/>
    <x v="2676"/>
    <x v="0"/>
    <n v="8.4"/>
  </r>
  <r>
    <x v="287"/>
    <x v="2"/>
    <x v="1"/>
    <x v="0"/>
    <x v="5"/>
    <n v="23.85"/>
    <n v="8"/>
    <x v="2677"/>
    <x v="0"/>
    <n v="5.8"/>
  </r>
  <r>
    <x v="287"/>
    <x v="2"/>
    <x v="1"/>
    <x v="1"/>
    <x v="4"/>
    <n v="49.51"/>
    <n v="1"/>
    <x v="2678"/>
    <x v="1"/>
    <n v="6.3"/>
  </r>
  <r>
    <x v="287"/>
    <x v="1"/>
    <x v="0"/>
    <x v="0"/>
    <x v="5"/>
    <n v="33.04"/>
    <n v="6"/>
    <x v="2679"/>
    <x v="2"/>
    <n v="4.2"/>
  </r>
  <r>
    <x v="287"/>
    <x v="2"/>
    <x v="1"/>
    <x v="0"/>
    <x v="4"/>
    <n v="66.69"/>
    <n v="2"/>
    <x v="2680"/>
    <x v="1"/>
    <n v="5.2"/>
  </r>
  <r>
    <x v="288"/>
    <x v="1"/>
    <x v="1"/>
    <x v="0"/>
    <x v="0"/>
    <n v="12"/>
    <n v="7"/>
    <x v="2681"/>
    <x v="2"/>
    <n v="8.6999999999999993"/>
  </r>
  <r>
    <x v="288"/>
    <x v="1"/>
    <x v="0"/>
    <x v="1"/>
    <x v="5"/>
    <n v="19.61"/>
    <n v="1"/>
    <x v="2682"/>
    <x v="0"/>
    <n v="4.3"/>
  </r>
  <r>
    <x v="288"/>
    <x v="0"/>
    <x v="1"/>
    <x v="0"/>
    <x v="5"/>
    <n v="18.399999999999999"/>
    <n v="3"/>
    <x v="2683"/>
    <x v="2"/>
    <n v="5.8"/>
  </r>
  <r>
    <x v="288"/>
    <x v="1"/>
    <x v="0"/>
    <x v="1"/>
    <x v="0"/>
    <n v="13.63"/>
    <n v="6"/>
    <x v="2684"/>
    <x v="0"/>
    <n v="9.6999999999999993"/>
  </r>
  <r>
    <x v="288"/>
    <x v="1"/>
    <x v="0"/>
    <x v="0"/>
    <x v="0"/>
    <n v="9.99"/>
    <n v="4"/>
    <x v="2685"/>
    <x v="0"/>
    <n v="4.5999999999999996"/>
  </r>
  <r>
    <x v="288"/>
    <x v="1"/>
    <x v="0"/>
    <x v="0"/>
    <x v="0"/>
    <n v="5.38"/>
    <n v="1"/>
    <x v="2686"/>
    <x v="1"/>
    <n v="9.1999999999999993"/>
  </r>
  <r>
    <x v="288"/>
    <x v="1"/>
    <x v="0"/>
    <x v="1"/>
    <x v="0"/>
    <n v="8.0299999999999994"/>
    <n v="10"/>
    <x v="2687"/>
    <x v="1"/>
    <n v="9.1999999999999993"/>
  </r>
  <r>
    <x v="288"/>
    <x v="0"/>
    <x v="1"/>
    <x v="1"/>
    <x v="3"/>
    <n v="13.56"/>
    <n v="9"/>
    <x v="1701"/>
    <x v="1"/>
    <n v="3.6"/>
  </r>
  <r>
    <x v="288"/>
    <x v="0"/>
    <x v="0"/>
    <x v="0"/>
    <x v="5"/>
    <n v="38.01"/>
    <n v="6"/>
    <x v="2688"/>
    <x v="0"/>
    <n v="6.2"/>
  </r>
  <r>
    <x v="288"/>
    <x v="0"/>
    <x v="0"/>
    <x v="0"/>
    <x v="5"/>
    <n v="27.95"/>
    <n v="4"/>
    <x v="2689"/>
    <x v="2"/>
    <n v="6.4"/>
  </r>
  <r>
    <x v="288"/>
    <x v="2"/>
    <x v="1"/>
    <x v="1"/>
    <x v="0"/>
    <n v="4.07"/>
    <n v="3"/>
    <x v="1460"/>
    <x v="0"/>
    <n v="5.0999999999999996"/>
  </r>
  <r>
    <x v="288"/>
    <x v="2"/>
    <x v="1"/>
    <x v="0"/>
    <x v="0"/>
    <n v="14.76"/>
    <n v="9"/>
    <x v="2690"/>
    <x v="0"/>
    <n v="3.3"/>
  </r>
  <r>
    <x v="288"/>
    <x v="0"/>
    <x v="1"/>
    <x v="0"/>
    <x v="4"/>
    <n v="67.47"/>
    <n v="9"/>
    <x v="2691"/>
    <x v="1"/>
    <n v="4.5999999999999996"/>
  </r>
  <r>
    <x v="288"/>
    <x v="1"/>
    <x v="1"/>
    <x v="1"/>
    <x v="3"/>
    <n v="24.24"/>
    <n v="8"/>
    <x v="2692"/>
    <x v="1"/>
    <n v="3.6"/>
  </r>
  <r>
    <x v="288"/>
    <x v="0"/>
    <x v="1"/>
    <x v="1"/>
    <x v="4"/>
    <n v="42.02"/>
    <n v="3"/>
    <x v="2693"/>
    <x v="1"/>
    <n v="4.5999999999999996"/>
  </r>
  <r>
    <x v="289"/>
    <x v="1"/>
    <x v="0"/>
    <x v="1"/>
    <x v="1"/>
    <n v="84.4"/>
    <n v="9"/>
    <x v="2694"/>
    <x v="2"/>
    <n v="8.5"/>
  </r>
  <r>
    <x v="289"/>
    <x v="1"/>
    <x v="1"/>
    <x v="1"/>
    <x v="0"/>
    <n v="3.45"/>
    <n v="8"/>
    <x v="2695"/>
    <x v="1"/>
    <n v="9.1"/>
  </r>
  <r>
    <x v="289"/>
    <x v="2"/>
    <x v="1"/>
    <x v="1"/>
    <x v="0"/>
    <n v="2.96"/>
    <n v="2"/>
    <x v="1349"/>
    <x v="2"/>
    <n v="3.3"/>
  </r>
  <r>
    <x v="289"/>
    <x v="2"/>
    <x v="0"/>
    <x v="1"/>
    <x v="3"/>
    <n v="21.58"/>
    <n v="1"/>
    <x v="455"/>
    <x v="0"/>
    <n v="5.0999999999999996"/>
  </r>
  <r>
    <x v="289"/>
    <x v="2"/>
    <x v="0"/>
    <x v="0"/>
    <x v="4"/>
    <n v="48.35"/>
    <n v="8"/>
    <x v="2696"/>
    <x v="2"/>
    <n v="9.6999999999999993"/>
  </r>
  <r>
    <x v="289"/>
    <x v="2"/>
    <x v="0"/>
    <x v="1"/>
    <x v="3"/>
    <n v="11.55"/>
    <n v="4"/>
    <x v="874"/>
    <x v="0"/>
    <n v="6.7"/>
  </r>
  <r>
    <x v="289"/>
    <x v="0"/>
    <x v="1"/>
    <x v="1"/>
    <x v="4"/>
    <n v="65.319999999999993"/>
    <n v="8"/>
    <x v="2697"/>
    <x v="1"/>
    <n v="7.3"/>
  </r>
  <r>
    <x v="289"/>
    <x v="2"/>
    <x v="1"/>
    <x v="1"/>
    <x v="3"/>
    <n v="14.12"/>
    <n v="7"/>
    <x v="2698"/>
    <x v="0"/>
    <n v="3"/>
  </r>
  <r>
    <x v="289"/>
    <x v="1"/>
    <x v="1"/>
    <x v="0"/>
    <x v="3"/>
    <n v="19.149999999999999"/>
    <n v="6"/>
    <x v="325"/>
    <x v="2"/>
    <n v="6.3"/>
  </r>
  <r>
    <x v="289"/>
    <x v="1"/>
    <x v="1"/>
    <x v="0"/>
    <x v="5"/>
    <n v="30.33"/>
    <n v="9"/>
    <x v="2699"/>
    <x v="1"/>
    <n v="9.6999999999999993"/>
  </r>
  <r>
    <x v="289"/>
    <x v="0"/>
    <x v="1"/>
    <x v="1"/>
    <x v="3"/>
    <n v="12.63"/>
    <n v="1"/>
    <x v="2700"/>
    <x v="2"/>
    <n v="5.6"/>
  </r>
  <r>
    <x v="289"/>
    <x v="0"/>
    <x v="1"/>
    <x v="1"/>
    <x v="0"/>
    <n v="10.85"/>
    <n v="8"/>
    <x v="2701"/>
    <x v="2"/>
    <n v="3.7"/>
  </r>
  <r>
    <x v="289"/>
    <x v="0"/>
    <x v="0"/>
    <x v="1"/>
    <x v="1"/>
    <n v="98.58"/>
    <n v="3"/>
    <x v="2702"/>
    <x v="2"/>
    <n v="6.1"/>
  </r>
  <r>
    <x v="290"/>
    <x v="2"/>
    <x v="1"/>
    <x v="1"/>
    <x v="0"/>
    <n v="6.66"/>
    <n v="6"/>
    <x v="2685"/>
    <x v="1"/>
    <n v="9.5"/>
  </r>
  <r>
    <x v="290"/>
    <x v="0"/>
    <x v="1"/>
    <x v="0"/>
    <x v="5"/>
    <n v="16.399999999999999"/>
    <n v="9"/>
    <x v="2703"/>
    <x v="0"/>
    <n v="5.3"/>
  </r>
  <r>
    <x v="290"/>
    <x v="0"/>
    <x v="1"/>
    <x v="1"/>
    <x v="1"/>
    <n v="83.08"/>
    <n v="8"/>
    <x v="2704"/>
    <x v="1"/>
    <n v="8.4"/>
  </r>
  <r>
    <x v="290"/>
    <x v="0"/>
    <x v="1"/>
    <x v="0"/>
    <x v="5"/>
    <n v="15.44"/>
    <n v="2"/>
    <x v="2705"/>
    <x v="0"/>
    <n v="8.4"/>
  </r>
  <r>
    <x v="290"/>
    <x v="1"/>
    <x v="0"/>
    <x v="0"/>
    <x v="4"/>
    <n v="59.34"/>
    <n v="5"/>
    <x v="2667"/>
    <x v="0"/>
    <n v="4.4000000000000004"/>
  </r>
  <r>
    <x v="290"/>
    <x v="0"/>
    <x v="0"/>
    <x v="1"/>
    <x v="5"/>
    <n v="39.32"/>
    <n v="9"/>
    <x v="2706"/>
    <x v="2"/>
    <n v="6"/>
  </r>
  <r>
    <x v="290"/>
    <x v="1"/>
    <x v="0"/>
    <x v="1"/>
    <x v="0"/>
    <n v="11.05"/>
    <n v="3"/>
    <x v="2707"/>
    <x v="0"/>
    <n v="7.9"/>
  </r>
  <r>
    <x v="290"/>
    <x v="1"/>
    <x v="0"/>
    <x v="0"/>
    <x v="0"/>
    <n v="5.91"/>
    <n v="2"/>
    <x v="2708"/>
    <x v="0"/>
    <n v="5.8"/>
  </r>
  <r>
    <x v="291"/>
    <x v="2"/>
    <x v="0"/>
    <x v="1"/>
    <x v="3"/>
    <n v="9.94"/>
    <n v="10"/>
    <x v="2709"/>
    <x v="1"/>
    <n v="4.3"/>
  </r>
  <r>
    <x v="291"/>
    <x v="2"/>
    <x v="1"/>
    <x v="0"/>
    <x v="5"/>
    <n v="28.7"/>
    <n v="10"/>
    <x v="2710"/>
    <x v="2"/>
    <n v="9.6"/>
  </r>
  <r>
    <x v="291"/>
    <x v="2"/>
    <x v="1"/>
    <x v="0"/>
    <x v="3"/>
    <n v="24.7"/>
    <n v="2"/>
    <x v="2711"/>
    <x v="2"/>
    <n v="7.4"/>
  </r>
  <r>
    <x v="291"/>
    <x v="1"/>
    <x v="1"/>
    <x v="0"/>
    <x v="5"/>
    <n v="20.49"/>
    <n v="5"/>
    <x v="2712"/>
    <x v="2"/>
    <n v="8.9"/>
  </r>
  <r>
    <x v="291"/>
    <x v="0"/>
    <x v="0"/>
    <x v="1"/>
    <x v="5"/>
    <n v="30.19"/>
    <n v="2"/>
    <x v="1041"/>
    <x v="2"/>
    <n v="3.2"/>
  </r>
  <r>
    <x v="291"/>
    <x v="1"/>
    <x v="0"/>
    <x v="1"/>
    <x v="0"/>
    <n v="2.66"/>
    <n v="4"/>
    <x v="1981"/>
    <x v="0"/>
    <n v="4.8"/>
  </r>
  <r>
    <x v="291"/>
    <x v="2"/>
    <x v="1"/>
    <x v="1"/>
    <x v="0"/>
    <n v="9.91"/>
    <n v="2"/>
    <x v="2713"/>
    <x v="0"/>
    <n v="6.4"/>
  </r>
  <r>
    <x v="291"/>
    <x v="1"/>
    <x v="1"/>
    <x v="0"/>
    <x v="2"/>
    <n v="74.540000000000006"/>
    <n v="2"/>
    <x v="2714"/>
    <x v="1"/>
    <n v="3.5"/>
  </r>
  <r>
    <x v="291"/>
    <x v="2"/>
    <x v="1"/>
    <x v="1"/>
    <x v="2"/>
    <n v="51.04"/>
    <n v="5"/>
    <x v="2715"/>
    <x v="2"/>
    <n v="9.8000000000000007"/>
  </r>
  <r>
    <x v="291"/>
    <x v="0"/>
    <x v="0"/>
    <x v="1"/>
    <x v="0"/>
    <n v="6.08"/>
    <n v="10"/>
    <x v="2716"/>
    <x v="0"/>
    <n v="4.5999999999999996"/>
  </r>
  <r>
    <x v="291"/>
    <x v="2"/>
    <x v="1"/>
    <x v="1"/>
    <x v="3"/>
    <n v="14.26"/>
    <n v="5"/>
    <x v="2717"/>
    <x v="1"/>
    <n v="5.5"/>
  </r>
  <r>
    <x v="291"/>
    <x v="0"/>
    <x v="1"/>
    <x v="1"/>
    <x v="0"/>
    <n v="4.95"/>
    <n v="7"/>
    <x v="2718"/>
    <x v="2"/>
    <n v="4.5"/>
  </r>
  <r>
    <x v="291"/>
    <x v="2"/>
    <x v="1"/>
    <x v="0"/>
    <x v="2"/>
    <n v="63.05"/>
    <n v="8"/>
    <x v="2719"/>
    <x v="1"/>
    <n v="3.7"/>
  </r>
  <r>
    <x v="291"/>
    <x v="0"/>
    <x v="0"/>
    <x v="0"/>
    <x v="3"/>
    <n v="12.73"/>
    <n v="6"/>
    <x v="1670"/>
    <x v="2"/>
    <n v="4.5999999999999996"/>
  </r>
  <r>
    <x v="291"/>
    <x v="2"/>
    <x v="0"/>
    <x v="1"/>
    <x v="4"/>
    <n v="69.95"/>
    <n v="7"/>
    <x v="2720"/>
    <x v="2"/>
    <n v="5"/>
  </r>
  <r>
    <x v="291"/>
    <x v="2"/>
    <x v="1"/>
    <x v="1"/>
    <x v="0"/>
    <n v="5.23"/>
    <n v="5"/>
    <x v="2721"/>
    <x v="0"/>
    <n v="7.3"/>
  </r>
  <r>
    <x v="291"/>
    <x v="1"/>
    <x v="1"/>
    <x v="0"/>
    <x v="0"/>
    <n v="12.06"/>
    <n v="10"/>
    <x v="2722"/>
    <x v="2"/>
    <n v="4.9000000000000004"/>
  </r>
  <r>
    <x v="291"/>
    <x v="1"/>
    <x v="1"/>
    <x v="1"/>
    <x v="3"/>
    <n v="10.33"/>
    <n v="4"/>
    <x v="2723"/>
    <x v="0"/>
    <n v="5.5"/>
  </r>
  <r>
    <x v="291"/>
    <x v="0"/>
    <x v="0"/>
    <x v="1"/>
    <x v="0"/>
    <n v="9.5399999999999991"/>
    <n v="7"/>
    <x v="2724"/>
    <x v="1"/>
    <n v="3"/>
  </r>
  <r>
    <x v="291"/>
    <x v="2"/>
    <x v="1"/>
    <x v="0"/>
    <x v="2"/>
    <n v="64.430000000000007"/>
    <n v="6"/>
    <x v="2725"/>
    <x v="2"/>
    <n v="5.5"/>
  </r>
  <r>
    <x v="291"/>
    <x v="1"/>
    <x v="0"/>
    <x v="0"/>
    <x v="3"/>
    <n v="10.130000000000001"/>
    <n v="6"/>
    <x v="2726"/>
    <x v="2"/>
    <n v="6.6"/>
  </r>
  <r>
    <x v="292"/>
    <x v="2"/>
    <x v="0"/>
    <x v="0"/>
    <x v="5"/>
    <n v="30.77"/>
    <n v="5"/>
    <x v="2727"/>
    <x v="2"/>
    <n v="4.0999999999999996"/>
  </r>
  <r>
    <x v="292"/>
    <x v="0"/>
    <x v="1"/>
    <x v="0"/>
    <x v="3"/>
    <n v="7.85"/>
    <n v="9"/>
    <x v="2728"/>
    <x v="0"/>
    <n v="7.1"/>
  </r>
  <r>
    <x v="292"/>
    <x v="0"/>
    <x v="1"/>
    <x v="1"/>
    <x v="3"/>
    <n v="8.3000000000000007"/>
    <n v="8"/>
    <x v="830"/>
    <x v="0"/>
    <n v="5"/>
  </r>
  <r>
    <x v="292"/>
    <x v="0"/>
    <x v="1"/>
    <x v="1"/>
    <x v="3"/>
    <n v="16.57"/>
    <n v="7"/>
    <x v="2729"/>
    <x v="0"/>
    <n v="7.3"/>
  </r>
  <r>
    <x v="292"/>
    <x v="2"/>
    <x v="1"/>
    <x v="1"/>
    <x v="0"/>
    <n v="7.75"/>
    <n v="9"/>
    <x v="1474"/>
    <x v="2"/>
    <n v="3.2"/>
  </r>
  <r>
    <x v="292"/>
    <x v="2"/>
    <x v="1"/>
    <x v="1"/>
    <x v="5"/>
    <n v="34.51"/>
    <n v="4"/>
    <x v="2730"/>
    <x v="1"/>
    <n v="9"/>
  </r>
  <r>
    <x v="292"/>
    <x v="1"/>
    <x v="1"/>
    <x v="0"/>
    <x v="1"/>
    <n v="97.37"/>
    <n v="2"/>
    <x v="2731"/>
    <x v="1"/>
    <n v="3.1"/>
  </r>
  <r>
    <x v="292"/>
    <x v="0"/>
    <x v="1"/>
    <x v="1"/>
    <x v="5"/>
    <n v="21.33"/>
    <n v="3"/>
    <x v="2732"/>
    <x v="2"/>
    <n v="3.9"/>
  </r>
  <r>
    <x v="292"/>
    <x v="1"/>
    <x v="1"/>
    <x v="0"/>
    <x v="5"/>
    <n v="19.03"/>
    <n v="9"/>
    <x v="2733"/>
    <x v="0"/>
    <n v="8.3000000000000007"/>
  </r>
  <r>
    <x v="292"/>
    <x v="1"/>
    <x v="0"/>
    <x v="1"/>
    <x v="5"/>
    <n v="28.47"/>
    <n v="1"/>
    <x v="2734"/>
    <x v="2"/>
    <n v="3.3"/>
  </r>
  <r>
    <x v="293"/>
    <x v="1"/>
    <x v="0"/>
    <x v="1"/>
    <x v="3"/>
    <n v="22.25"/>
    <n v="7"/>
    <x v="2735"/>
    <x v="0"/>
    <n v="7.8"/>
  </r>
  <r>
    <x v="293"/>
    <x v="1"/>
    <x v="1"/>
    <x v="0"/>
    <x v="4"/>
    <n v="63.94"/>
    <n v="9"/>
    <x v="2736"/>
    <x v="2"/>
    <n v="9.6"/>
  </r>
  <r>
    <x v="293"/>
    <x v="2"/>
    <x v="1"/>
    <x v="1"/>
    <x v="0"/>
    <n v="9.3699999999999992"/>
    <n v="8"/>
    <x v="2737"/>
    <x v="2"/>
    <n v="8.9"/>
  </r>
  <r>
    <x v="293"/>
    <x v="1"/>
    <x v="0"/>
    <x v="1"/>
    <x v="0"/>
    <n v="13.83"/>
    <n v="5"/>
    <x v="2738"/>
    <x v="0"/>
    <n v="7.8"/>
  </r>
  <r>
    <x v="293"/>
    <x v="2"/>
    <x v="1"/>
    <x v="0"/>
    <x v="3"/>
    <n v="8.64"/>
    <n v="3"/>
    <x v="2739"/>
    <x v="2"/>
    <n v="9.5"/>
  </r>
  <r>
    <x v="293"/>
    <x v="0"/>
    <x v="0"/>
    <x v="0"/>
    <x v="0"/>
    <n v="14.77"/>
    <n v="4"/>
    <x v="2740"/>
    <x v="0"/>
    <n v="5.9"/>
  </r>
  <r>
    <x v="293"/>
    <x v="1"/>
    <x v="1"/>
    <x v="0"/>
    <x v="0"/>
    <n v="14.34"/>
    <n v="7"/>
    <x v="2741"/>
    <x v="1"/>
    <n v="8.9"/>
  </r>
  <r>
    <x v="293"/>
    <x v="1"/>
    <x v="1"/>
    <x v="0"/>
    <x v="4"/>
    <n v="59.16"/>
    <n v="3"/>
    <x v="2742"/>
    <x v="1"/>
    <n v="5.4"/>
  </r>
  <r>
    <x v="293"/>
    <x v="0"/>
    <x v="1"/>
    <x v="1"/>
    <x v="2"/>
    <n v="71.099999999999994"/>
    <n v="4"/>
    <x v="2743"/>
    <x v="1"/>
    <n v="9.3000000000000007"/>
  </r>
  <r>
    <x v="293"/>
    <x v="1"/>
    <x v="0"/>
    <x v="0"/>
    <x v="2"/>
    <n v="52.28"/>
    <n v="4"/>
    <x v="2744"/>
    <x v="2"/>
    <n v="4"/>
  </r>
  <r>
    <x v="293"/>
    <x v="0"/>
    <x v="1"/>
    <x v="0"/>
    <x v="3"/>
    <n v="19.48"/>
    <n v="3"/>
    <x v="2745"/>
    <x v="1"/>
    <n v="9.4"/>
  </r>
  <r>
    <x v="293"/>
    <x v="2"/>
    <x v="0"/>
    <x v="0"/>
    <x v="0"/>
    <n v="4.92"/>
    <n v="2"/>
    <x v="2746"/>
    <x v="1"/>
    <n v="8.6999999999999993"/>
  </r>
  <r>
    <x v="293"/>
    <x v="2"/>
    <x v="0"/>
    <x v="1"/>
    <x v="3"/>
    <n v="20.55"/>
    <n v="9"/>
    <x v="2747"/>
    <x v="2"/>
    <n v="8.8000000000000007"/>
  </r>
  <r>
    <x v="293"/>
    <x v="0"/>
    <x v="1"/>
    <x v="0"/>
    <x v="4"/>
    <n v="65.790000000000006"/>
    <n v="4"/>
    <x v="2748"/>
    <x v="1"/>
    <n v="3.8"/>
  </r>
  <r>
    <x v="293"/>
    <x v="1"/>
    <x v="1"/>
    <x v="0"/>
    <x v="0"/>
    <n v="8.5399999999999991"/>
    <n v="5"/>
    <x v="2749"/>
    <x v="0"/>
    <n v="7.1"/>
  </r>
  <r>
    <x v="293"/>
    <x v="0"/>
    <x v="0"/>
    <x v="0"/>
    <x v="0"/>
    <n v="6.37"/>
    <n v="3"/>
    <x v="2750"/>
    <x v="1"/>
    <n v="3.1"/>
  </r>
  <r>
    <x v="293"/>
    <x v="1"/>
    <x v="1"/>
    <x v="0"/>
    <x v="1"/>
    <n v="95.05"/>
    <n v="4"/>
    <x v="2751"/>
    <x v="0"/>
    <n v="7.9"/>
  </r>
  <r>
    <x v="293"/>
    <x v="1"/>
    <x v="1"/>
    <x v="0"/>
    <x v="0"/>
    <n v="7.76"/>
    <n v="2"/>
    <x v="2752"/>
    <x v="2"/>
    <n v="3.1"/>
  </r>
  <r>
    <x v="293"/>
    <x v="0"/>
    <x v="0"/>
    <x v="0"/>
    <x v="0"/>
    <n v="2.77"/>
    <n v="5"/>
    <x v="2753"/>
    <x v="1"/>
    <n v="3.6"/>
  </r>
  <r>
    <x v="293"/>
    <x v="2"/>
    <x v="0"/>
    <x v="0"/>
    <x v="4"/>
    <n v="44.48"/>
    <n v="9"/>
    <x v="2754"/>
    <x v="0"/>
    <n v="4.5"/>
  </r>
  <r>
    <x v="294"/>
    <x v="0"/>
    <x v="1"/>
    <x v="1"/>
    <x v="5"/>
    <n v="18.329999999999998"/>
    <n v="5"/>
    <x v="2755"/>
    <x v="0"/>
    <n v="9"/>
  </r>
  <r>
    <x v="294"/>
    <x v="0"/>
    <x v="0"/>
    <x v="1"/>
    <x v="3"/>
    <n v="5.37"/>
    <n v="2"/>
    <x v="1911"/>
    <x v="1"/>
    <n v="5.5"/>
  </r>
  <r>
    <x v="294"/>
    <x v="0"/>
    <x v="1"/>
    <x v="1"/>
    <x v="4"/>
    <n v="44.98"/>
    <n v="4"/>
    <x v="2756"/>
    <x v="2"/>
    <n v="6.7"/>
  </r>
  <r>
    <x v="294"/>
    <x v="1"/>
    <x v="0"/>
    <x v="1"/>
    <x v="5"/>
    <n v="39.86"/>
    <n v="6"/>
    <x v="2757"/>
    <x v="2"/>
    <n v="6.9"/>
  </r>
  <r>
    <x v="294"/>
    <x v="0"/>
    <x v="0"/>
    <x v="1"/>
    <x v="2"/>
    <n v="64.94"/>
    <n v="9"/>
    <x v="2758"/>
    <x v="0"/>
    <n v="4.5"/>
  </r>
  <r>
    <x v="294"/>
    <x v="2"/>
    <x v="1"/>
    <x v="0"/>
    <x v="1"/>
    <n v="82.92"/>
    <n v="6"/>
    <x v="2759"/>
    <x v="2"/>
    <n v="6.9"/>
  </r>
  <r>
    <x v="294"/>
    <x v="2"/>
    <x v="0"/>
    <x v="1"/>
    <x v="2"/>
    <n v="52.97"/>
    <n v="5"/>
    <x v="2760"/>
    <x v="1"/>
    <n v="7.5"/>
  </r>
  <r>
    <x v="294"/>
    <x v="0"/>
    <x v="0"/>
    <x v="1"/>
    <x v="5"/>
    <n v="36.01"/>
    <n v="5"/>
    <x v="2761"/>
    <x v="0"/>
    <n v="5"/>
  </r>
  <r>
    <x v="294"/>
    <x v="0"/>
    <x v="0"/>
    <x v="1"/>
    <x v="3"/>
    <n v="15.95"/>
    <n v="1"/>
    <x v="2762"/>
    <x v="2"/>
    <n v="5.8"/>
  </r>
  <r>
    <x v="294"/>
    <x v="1"/>
    <x v="1"/>
    <x v="1"/>
    <x v="0"/>
    <n v="6.95"/>
    <n v="3"/>
    <x v="2763"/>
    <x v="0"/>
    <n v="6.1"/>
  </r>
  <r>
    <x v="295"/>
    <x v="0"/>
    <x v="1"/>
    <x v="1"/>
    <x v="0"/>
    <n v="13.85"/>
    <n v="4"/>
    <x v="2764"/>
    <x v="0"/>
    <n v="9.3000000000000007"/>
  </r>
  <r>
    <x v="295"/>
    <x v="1"/>
    <x v="1"/>
    <x v="0"/>
    <x v="2"/>
    <n v="63.15"/>
    <n v="2"/>
    <x v="2765"/>
    <x v="2"/>
    <n v="7"/>
  </r>
  <r>
    <x v="295"/>
    <x v="1"/>
    <x v="0"/>
    <x v="0"/>
    <x v="5"/>
    <n v="30.54"/>
    <n v="9"/>
    <x v="2766"/>
    <x v="2"/>
    <n v="9.4"/>
  </r>
  <r>
    <x v="295"/>
    <x v="0"/>
    <x v="1"/>
    <x v="1"/>
    <x v="2"/>
    <n v="76.290000000000006"/>
    <n v="5"/>
    <x v="2767"/>
    <x v="2"/>
    <n v="6.8"/>
  </r>
  <r>
    <x v="295"/>
    <x v="2"/>
    <x v="0"/>
    <x v="1"/>
    <x v="5"/>
    <n v="19.62"/>
    <n v="7"/>
    <x v="1713"/>
    <x v="2"/>
    <n v="6.4"/>
  </r>
  <r>
    <x v="295"/>
    <x v="0"/>
    <x v="0"/>
    <x v="0"/>
    <x v="4"/>
    <n v="67.91"/>
    <n v="7"/>
    <x v="2768"/>
    <x v="1"/>
    <n v="3"/>
  </r>
  <r>
    <x v="295"/>
    <x v="0"/>
    <x v="1"/>
    <x v="1"/>
    <x v="0"/>
    <n v="10.28"/>
    <n v="6"/>
    <x v="1612"/>
    <x v="1"/>
    <n v="6.3"/>
  </r>
  <r>
    <x v="295"/>
    <x v="2"/>
    <x v="0"/>
    <x v="0"/>
    <x v="1"/>
    <n v="87.6"/>
    <n v="9"/>
    <x v="2769"/>
    <x v="0"/>
    <n v="9.3000000000000007"/>
  </r>
  <r>
    <x v="296"/>
    <x v="0"/>
    <x v="0"/>
    <x v="1"/>
    <x v="0"/>
    <n v="5.05"/>
    <n v="8"/>
    <x v="2050"/>
    <x v="0"/>
    <n v="4.3"/>
  </r>
  <r>
    <x v="296"/>
    <x v="1"/>
    <x v="1"/>
    <x v="0"/>
    <x v="2"/>
    <n v="50.97"/>
    <n v="5"/>
    <x v="2770"/>
    <x v="1"/>
    <n v="3.4"/>
  </r>
  <r>
    <x v="296"/>
    <x v="2"/>
    <x v="1"/>
    <x v="0"/>
    <x v="3"/>
    <n v="23.84"/>
    <n v="9"/>
    <x v="2771"/>
    <x v="2"/>
    <n v="5.8"/>
  </r>
  <r>
    <x v="296"/>
    <x v="2"/>
    <x v="0"/>
    <x v="1"/>
    <x v="5"/>
    <n v="25.38"/>
    <n v="6"/>
    <x v="1637"/>
    <x v="2"/>
    <n v="5.5"/>
  </r>
  <r>
    <x v="296"/>
    <x v="1"/>
    <x v="0"/>
    <x v="1"/>
    <x v="1"/>
    <n v="80.900000000000006"/>
    <n v="7"/>
    <x v="2772"/>
    <x v="1"/>
    <n v="8.8000000000000007"/>
  </r>
  <r>
    <x v="296"/>
    <x v="2"/>
    <x v="1"/>
    <x v="1"/>
    <x v="1"/>
    <n v="96.66"/>
    <n v="5"/>
    <x v="2773"/>
    <x v="2"/>
    <n v="3.2"/>
  </r>
  <r>
    <x v="296"/>
    <x v="2"/>
    <x v="1"/>
    <x v="1"/>
    <x v="0"/>
    <n v="7.98"/>
    <n v="9"/>
    <x v="2774"/>
    <x v="2"/>
    <n v="9.3000000000000007"/>
  </r>
  <r>
    <x v="296"/>
    <x v="0"/>
    <x v="0"/>
    <x v="1"/>
    <x v="0"/>
    <n v="10.220000000000001"/>
    <n v="5"/>
    <x v="2775"/>
    <x v="0"/>
    <n v="7.6"/>
  </r>
  <r>
    <x v="296"/>
    <x v="0"/>
    <x v="0"/>
    <x v="0"/>
    <x v="0"/>
    <n v="7.17"/>
    <n v="4"/>
    <x v="1988"/>
    <x v="0"/>
    <n v="9.1"/>
  </r>
  <r>
    <x v="296"/>
    <x v="2"/>
    <x v="1"/>
    <x v="1"/>
    <x v="3"/>
    <n v="8.2799999999999994"/>
    <n v="7"/>
    <x v="2776"/>
    <x v="1"/>
    <n v="7.1"/>
  </r>
  <r>
    <x v="296"/>
    <x v="1"/>
    <x v="1"/>
    <x v="1"/>
    <x v="2"/>
    <n v="70.89"/>
    <n v="5"/>
    <x v="2777"/>
    <x v="2"/>
    <n v="8.5"/>
  </r>
  <r>
    <x v="296"/>
    <x v="1"/>
    <x v="0"/>
    <x v="1"/>
    <x v="0"/>
    <n v="3.64"/>
    <n v="5"/>
    <x v="2360"/>
    <x v="0"/>
    <n v="5.3"/>
  </r>
  <r>
    <x v="296"/>
    <x v="0"/>
    <x v="1"/>
    <x v="1"/>
    <x v="4"/>
    <n v="67.19"/>
    <n v="9"/>
    <x v="2778"/>
    <x v="0"/>
    <n v="5.4"/>
  </r>
  <r>
    <x v="296"/>
    <x v="2"/>
    <x v="1"/>
    <x v="0"/>
    <x v="5"/>
    <n v="36.82"/>
    <n v="8"/>
    <x v="2779"/>
    <x v="0"/>
    <n v="5.7"/>
  </r>
  <r>
    <x v="296"/>
    <x v="1"/>
    <x v="0"/>
    <x v="0"/>
    <x v="3"/>
    <n v="6.32"/>
    <n v="7"/>
    <x v="2780"/>
    <x v="2"/>
    <n v="8.1"/>
  </r>
  <r>
    <x v="296"/>
    <x v="0"/>
    <x v="1"/>
    <x v="1"/>
    <x v="0"/>
    <n v="3.53"/>
    <n v="7"/>
    <x v="2781"/>
    <x v="2"/>
    <n v="5.5"/>
  </r>
  <r>
    <x v="296"/>
    <x v="1"/>
    <x v="0"/>
    <x v="0"/>
    <x v="4"/>
    <n v="66.709999999999994"/>
    <n v="5"/>
    <x v="2782"/>
    <x v="1"/>
    <n v="4.5999999999999996"/>
  </r>
  <r>
    <x v="296"/>
    <x v="2"/>
    <x v="1"/>
    <x v="0"/>
    <x v="5"/>
    <n v="35.49"/>
    <n v="1"/>
    <x v="2783"/>
    <x v="0"/>
    <n v="9.4"/>
  </r>
  <r>
    <x v="297"/>
    <x v="1"/>
    <x v="1"/>
    <x v="0"/>
    <x v="2"/>
    <n v="71.239999999999995"/>
    <n v="9"/>
    <x v="2784"/>
    <x v="0"/>
    <n v="9.1999999999999993"/>
  </r>
  <r>
    <x v="297"/>
    <x v="0"/>
    <x v="0"/>
    <x v="1"/>
    <x v="3"/>
    <n v="11.49"/>
    <n v="6"/>
    <x v="2785"/>
    <x v="2"/>
    <n v="5.4"/>
  </r>
  <r>
    <x v="297"/>
    <x v="1"/>
    <x v="1"/>
    <x v="1"/>
    <x v="0"/>
    <n v="2.21"/>
    <n v="2"/>
    <x v="2786"/>
    <x v="0"/>
    <n v="7.3"/>
  </r>
  <r>
    <x v="297"/>
    <x v="1"/>
    <x v="1"/>
    <x v="1"/>
    <x v="5"/>
    <n v="19.13"/>
    <n v="4"/>
    <x v="2787"/>
    <x v="2"/>
    <n v="4.9000000000000004"/>
  </r>
  <r>
    <x v="297"/>
    <x v="0"/>
    <x v="0"/>
    <x v="1"/>
    <x v="0"/>
    <n v="3.5"/>
    <n v="5"/>
    <x v="2788"/>
    <x v="0"/>
    <n v="4.4000000000000004"/>
  </r>
  <r>
    <x v="297"/>
    <x v="2"/>
    <x v="1"/>
    <x v="1"/>
    <x v="5"/>
    <n v="38.08"/>
    <n v="7"/>
    <x v="2789"/>
    <x v="0"/>
    <n v="5.3"/>
  </r>
  <r>
    <x v="297"/>
    <x v="2"/>
    <x v="0"/>
    <x v="0"/>
    <x v="5"/>
    <n v="30.01"/>
    <n v="7"/>
    <x v="2790"/>
    <x v="1"/>
    <n v="5.2"/>
  </r>
  <r>
    <x v="297"/>
    <x v="0"/>
    <x v="1"/>
    <x v="0"/>
    <x v="0"/>
    <n v="7.9"/>
    <n v="10"/>
    <x v="2791"/>
    <x v="0"/>
    <n v="9"/>
  </r>
  <r>
    <x v="297"/>
    <x v="1"/>
    <x v="1"/>
    <x v="1"/>
    <x v="2"/>
    <n v="79.59"/>
    <n v="2"/>
    <x v="1193"/>
    <x v="2"/>
    <n v="8.6"/>
  </r>
  <r>
    <x v="297"/>
    <x v="2"/>
    <x v="1"/>
    <x v="1"/>
    <x v="5"/>
    <n v="19.75"/>
    <n v="4"/>
    <x v="2791"/>
    <x v="0"/>
    <n v="7.8"/>
  </r>
  <r>
    <x v="297"/>
    <x v="1"/>
    <x v="0"/>
    <x v="0"/>
    <x v="1"/>
    <n v="90.71"/>
    <n v="3"/>
    <x v="2792"/>
    <x v="1"/>
    <n v="9.5"/>
  </r>
  <r>
    <x v="297"/>
    <x v="1"/>
    <x v="1"/>
    <x v="1"/>
    <x v="0"/>
    <n v="14.08"/>
    <n v="7"/>
    <x v="2793"/>
    <x v="0"/>
    <n v="5.9"/>
  </r>
  <r>
    <x v="297"/>
    <x v="0"/>
    <x v="1"/>
    <x v="0"/>
    <x v="3"/>
    <n v="18.41"/>
    <n v="8"/>
    <x v="2794"/>
    <x v="1"/>
    <n v="4.7"/>
  </r>
  <r>
    <x v="297"/>
    <x v="0"/>
    <x v="1"/>
    <x v="0"/>
    <x v="4"/>
    <n v="62.84"/>
    <n v="3"/>
    <x v="2795"/>
    <x v="1"/>
    <n v="3.8"/>
  </r>
  <r>
    <x v="297"/>
    <x v="2"/>
    <x v="0"/>
    <x v="0"/>
    <x v="0"/>
    <n v="13.46"/>
    <n v="8"/>
    <x v="2796"/>
    <x v="1"/>
    <n v="5"/>
  </r>
  <r>
    <x v="297"/>
    <x v="2"/>
    <x v="1"/>
    <x v="1"/>
    <x v="1"/>
    <n v="80.69"/>
    <n v="5"/>
    <x v="2797"/>
    <x v="2"/>
    <n v="4"/>
  </r>
  <r>
    <x v="297"/>
    <x v="1"/>
    <x v="1"/>
    <x v="1"/>
    <x v="3"/>
    <n v="12.19"/>
    <n v="6"/>
    <x v="2798"/>
    <x v="2"/>
    <n v="3.6"/>
  </r>
  <r>
    <x v="297"/>
    <x v="1"/>
    <x v="1"/>
    <x v="1"/>
    <x v="5"/>
    <n v="23.99"/>
    <n v="6"/>
    <x v="2799"/>
    <x v="2"/>
    <n v="7.1"/>
  </r>
  <r>
    <x v="297"/>
    <x v="0"/>
    <x v="0"/>
    <x v="1"/>
    <x v="5"/>
    <n v="26.63"/>
    <n v="5"/>
    <x v="2800"/>
    <x v="2"/>
    <n v="5.5"/>
  </r>
  <r>
    <x v="297"/>
    <x v="2"/>
    <x v="0"/>
    <x v="0"/>
    <x v="0"/>
    <n v="12.31"/>
    <n v="3"/>
    <x v="2801"/>
    <x v="2"/>
    <n v="6.8"/>
  </r>
  <r>
    <x v="297"/>
    <x v="0"/>
    <x v="1"/>
    <x v="1"/>
    <x v="0"/>
    <n v="7.31"/>
    <n v="6"/>
    <x v="2802"/>
    <x v="1"/>
    <n v="4.3"/>
  </r>
  <r>
    <x v="297"/>
    <x v="0"/>
    <x v="0"/>
    <x v="1"/>
    <x v="0"/>
    <n v="3.05"/>
    <n v="8"/>
    <x v="2803"/>
    <x v="2"/>
    <n v="7.6"/>
  </r>
  <r>
    <x v="298"/>
    <x v="0"/>
    <x v="1"/>
    <x v="0"/>
    <x v="2"/>
    <n v="71.39"/>
    <n v="1"/>
    <x v="1196"/>
    <x v="2"/>
    <n v="4.5"/>
  </r>
  <r>
    <x v="298"/>
    <x v="2"/>
    <x v="1"/>
    <x v="0"/>
    <x v="3"/>
    <n v="5.9"/>
    <n v="5"/>
    <x v="2804"/>
    <x v="2"/>
    <n v="4.9000000000000004"/>
  </r>
  <r>
    <x v="298"/>
    <x v="2"/>
    <x v="0"/>
    <x v="0"/>
    <x v="2"/>
    <n v="74.52"/>
    <n v="3"/>
    <x v="2805"/>
    <x v="2"/>
    <n v="8"/>
  </r>
  <r>
    <x v="298"/>
    <x v="2"/>
    <x v="1"/>
    <x v="1"/>
    <x v="5"/>
    <n v="30"/>
    <n v="6"/>
    <x v="2806"/>
    <x v="0"/>
    <n v="6.8"/>
  </r>
  <r>
    <x v="298"/>
    <x v="2"/>
    <x v="0"/>
    <x v="0"/>
    <x v="3"/>
    <n v="12.38"/>
    <n v="5"/>
    <x v="2807"/>
    <x v="1"/>
    <n v="5.3"/>
  </r>
  <r>
    <x v="298"/>
    <x v="0"/>
    <x v="0"/>
    <x v="1"/>
    <x v="3"/>
    <n v="11.68"/>
    <n v="4"/>
    <x v="2808"/>
    <x v="2"/>
    <n v="6.7"/>
  </r>
  <r>
    <x v="298"/>
    <x v="2"/>
    <x v="0"/>
    <x v="1"/>
    <x v="4"/>
    <n v="63.21"/>
    <n v="4"/>
    <x v="2809"/>
    <x v="1"/>
    <n v="7.7"/>
  </r>
  <r>
    <x v="298"/>
    <x v="1"/>
    <x v="1"/>
    <x v="1"/>
    <x v="2"/>
    <n v="53.55"/>
    <n v="2"/>
    <x v="2810"/>
    <x v="2"/>
    <n v="9.1999999999999993"/>
  </r>
  <r>
    <x v="298"/>
    <x v="0"/>
    <x v="0"/>
    <x v="1"/>
    <x v="5"/>
    <n v="29.89"/>
    <n v="2"/>
    <x v="2811"/>
    <x v="0"/>
    <n v="6.9"/>
  </r>
  <r>
    <x v="298"/>
    <x v="0"/>
    <x v="0"/>
    <x v="0"/>
    <x v="1"/>
    <n v="95.34"/>
    <n v="8"/>
    <x v="2812"/>
    <x v="1"/>
    <n v="4.5999999999999996"/>
  </r>
  <r>
    <x v="298"/>
    <x v="0"/>
    <x v="0"/>
    <x v="1"/>
    <x v="2"/>
    <n v="50.08"/>
    <n v="1"/>
    <x v="2813"/>
    <x v="2"/>
    <n v="8.1"/>
  </r>
  <r>
    <x v="299"/>
    <x v="0"/>
    <x v="1"/>
    <x v="0"/>
    <x v="4"/>
    <n v="45.16"/>
    <n v="9"/>
    <x v="2814"/>
    <x v="0"/>
    <n v="8.3000000000000007"/>
  </r>
  <r>
    <x v="299"/>
    <x v="2"/>
    <x v="1"/>
    <x v="0"/>
    <x v="4"/>
    <n v="41.14"/>
    <n v="8"/>
    <x v="2815"/>
    <x v="0"/>
    <n v="4.4000000000000004"/>
  </r>
  <r>
    <x v="299"/>
    <x v="0"/>
    <x v="1"/>
    <x v="0"/>
    <x v="4"/>
    <n v="61.48"/>
    <n v="2"/>
    <x v="2816"/>
    <x v="0"/>
    <n v="8.6"/>
  </r>
  <r>
    <x v="299"/>
    <x v="0"/>
    <x v="0"/>
    <x v="1"/>
    <x v="5"/>
    <n v="27.26"/>
    <n v="8"/>
    <x v="2817"/>
    <x v="1"/>
    <n v="6.2"/>
  </r>
  <r>
    <x v="299"/>
    <x v="2"/>
    <x v="0"/>
    <x v="0"/>
    <x v="5"/>
    <n v="24.31"/>
    <n v="10"/>
    <x v="2818"/>
    <x v="2"/>
    <n v="8.3000000000000007"/>
  </r>
  <r>
    <x v="299"/>
    <x v="1"/>
    <x v="1"/>
    <x v="1"/>
    <x v="3"/>
    <n v="12.6"/>
    <n v="3"/>
    <x v="2819"/>
    <x v="0"/>
    <n v="4.5999999999999996"/>
  </r>
  <r>
    <x v="299"/>
    <x v="1"/>
    <x v="1"/>
    <x v="0"/>
    <x v="5"/>
    <n v="24.72"/>
    <n v="10"/>
    <x v="2820"/>
    <x v="0"/>
    <n v="5.3"/>
  </r>
  <r>
    <x v="299"/>
    <x v="0"/>
    <x v="1"/>
    <x v="0"/>
    <x v="0"/>
    <n v="4.3099999999999996"/>
    <n v="3"/>
    <x v="1968"/>
    <x v="0"/>
    <n v="9.5"/>
  </r>
  <r>
    <x v="299"/>
    <x v="1"/>
    <x v="1"/>
    <x v="0"/>
    <x v="3"/>
    <n v="23.76"/>
    <n v="10"/>
    <x v="2821"/>
    <x v="2"/>
    <n v="7.5"/>
  </r>
  <r>
    <x v="300"/>
    <x v="0"/>
    <x v="0"/>
    <x v="1"/>
    <x v="0"/>
    <n v="8.4499999999999993"/>
    <n v="2"/>
    <x v="2822"/>
    <x v="1"/>
    <n v="8.3000000000000007"/>
  </r>
  <r>
    <x v="300"/>
    <x v="0"/>
    <x v="1"/>
    <x v="0"/>
    <x v="5"/>
    <n v="16.25"/>
    <n v="2"/>
    <x v="2823"/>
    <x v="0"/>
    <n v="7.7"/>
  </r>
  <r>
    <x v="300"/>
    <x v="0"/>
    <x v="1"/>
    <x v="0"/>
    <x v="4"/>
    <n v="56.99"/>
    <n v="7"/>
    <x v="2824"/>
    <x v="1"/>
    <n v="4.4000000000000004"/>
  </r>
  <r>
    <x v="300"/>
    <x v="1"/>
    <x v="1"/>
    <x v="1"/>
    <x v="4"/>
    <n v="59.57"/>
    <n v="3"/>
    <x v="2825"/>
    <x v="0"/>
    <n v="6.2"/>
  </r>
  <r>
    <x v="300"/>
    <x v="0"/>
    <x v="1"/>
    <x v="1"/>
    <x v="0"/>
    <n v="4.18"/>
    <n v="4"/>
    <x v="2826"/>
    <x v="1"/>
    <n v="8.5"/>
  </r>
  <r>
    <x v="300"/>
    <x v="2"/>
    <x v="1"/>
    <x v="1"/>
    <x v="5"/>
    <n v="34.58"/>
    <n v="9"/>
    <x v="2827"/>
    <x v="1"/>
    <n v="7.6"/>
  </r>
  <r>
    <x v="300"/>
    <x v="1"/>
    <x v="0"/>
    <x v="0"/>
    <x v="5"/>
    <n v="16.62"/>
    <n v="8"/>
    <x v="2828"/>
    <x v="2"/>
    <n v="3"/>
  </r>
  <r>
    <x v="300"/>
    <x v="0"/>
    <x v="0"/>
    <x v="1"/>
    <x v="4"/>
    <n v="48.11"/>
    <n v="9"/>
    <x v="2829"/>
    <x v="1"/>
    <n v="3.6"/>
  </r>
  <r>
    <x v="300"/>
    <x v="1"/>
    <x v="0"/>
    <x v="1"/>
    <x v="2"/>
    <n v="55.77"/>
    <n v="5"/>
    <x v="2830"/>
    <x v="1"/>
    <n v="5.4"/>
  </r>
  <r>
    <x v="300"/>
    <x v="0"/>
    <x v="1"/>
    <x v="0"/>
    <x v="0"/>
    <n v="8.99"/>
    <n v="10"/>
    <x v="2831"/>
    <x v="2"/>
    <n v="9.4"/>
  </r>
  <r>
    <x v="301"/>
    <x v="1"/>
    <x v="0"/>
    <x v="1"/>
    <x v="0"/>
    <n v="8.57"/>
    <n v="9"/>
    <x v="2832"/>
    <x v="2"/>
    <n v="6.3"/>
  </r>
  <r>
    <x v="301"/>
    <x v="1"/>
    <x v="0"/>
    <x v="1"/>
    <x v="1"/>
    <n v="87.14"/>
    <n v="8"/>
    <x v="2833"/>
    <x v="0"/>
    <n v="4.8"/>
  </r>
  <r>
    <x v="301"/>
    <x v="2"/>
    <x v="0"/>
    <x v="1"/>
    <x v="4"/>
    <n v="43.83"/>
    <n v="6"/>
    <x v="2834"/>
    <x v="1"/>
    <n v="5.5"/>
  </r>
  <r>
    <x v="301"/>
    <x v="2"/>
    <x v="1"/>
    <x v="0"/>
    <x v="4"/>
    <n v="68.41"/>
    <n v="2"/>
    <x v="2835"/>
    <x v="0"/>
    <n v="4.4000000000000004"/>
  </r>
  <r>
    <x v="301"/>
    <x v="0"/>
    <x v="0"/>
    <x v="0"/>
    <x v="3"/>
    <n v="17.21"/>
    <n v="8"/>
    <x v="2836"/>
    <x v="0"/>
    <n v="5.9"/>
  </r>
  <r>
    <x v="301"/>
    <x v="0"/>
    <x v="1"/>
    <x v="0"/>
    <x v="2"/>
    <n v="76.8"/>
    <n v="3"/>
    <x v="2837"/>
    <x v="0"/>
    <n v="4.5"/>
  </r>
  <r>
    <x v="301"/>
    <x v="0"/>
    <x v="0"/>
    <x v="0"/>
    <x v="0"/>
    <n v="5.09"/>
    <n v="5"/>
    <x v="769"/>
    <x v="1"/>
    <n v="8.8000000000000007"/>
  </r>
  <r>
    <x v="301"/>
    <x v="2"/>
    <x v="1"/>
    <x v="1"/>
    <x v="0"/>
    <n v="14.95"/>
    <n v="10"/>
    <x v="2838"/>
    <x v="0"/>
    <n v="6.1"/>
  </r>
  <r>
    <x v="301"/>
    <x v="1"/>
    <x v="1"/>
    <x v="0"/>
    <x v="3"/>
    <n v="11.12"/>
    <n v="5"/>
    <x v="2839"/>
    <x v="2"/>
    <n v="4.9000000000000004"/>
  </r>
  <r>
    <x v="301"/>
    <x v="2"/>
    <x v="0"/>
    <x v="0"/>
    <x v="3"/>
    <n v="7.91"/>
    <n v="9"/>
    <x v="2840"/>
    <x v="0"/>
    <n v="9.3000000000000007"/>
  </r>
  <r>
    <x v="301"/>
    <x v="1"/>
    <x v="1"/>
    <x v="1"/>
    <x v="0"/>
    <n v="11.71"/>
    <n v="5"/>
    <x v="2841"/>
    <x v="1"/>
    <n v="5.0999999999999996"/>
  </r>
  <r>
    <x v="301"/>
    <x v="1"/>
    <x v="0"/>
    <x v="1"/>
    <x v="3"/>
    <n v="14"/>
    <n v="2"/>
    <x v="2842"/>
    <x v="1"/>
    <n v="9.1999999999999993"/>
  </r>
  <r>
    <x v="302"/>
    <x v="1"/>
    <x v="1"/>
    <x v="1"/>
    <x v="4"/>
    <n v="44.42"/>
    <n v="6"/>
    <x v="2843"/>
    <x v="2"/>
    <n v="3.3"/>
  </r>
  <r>
    <x v="302"/>
    <x v="1"/>
    <x v="0"/>
    <x v="0"/>
    <x v="4"/>
    <n v="53.82"/>
    <n v="1"/>
    <x v="2844"/>
    <x v="2"/>
    <n v="7.8"/>
  </r>
  <r>
    <x v="302"/>
    <x v="2"/>
    <x v="1"/>
    <x v="0"/>
    <x v="2"/>
    <n v="72.510000000000005"/>
    <n v="8"/>
    <x v="2845"/>
    <x v="1"/>
    <n v="6.3"/>
  </r>
  <r>
    <x v="302"/>
    <x v="0"/>
    <x v="1"/>
    <x v="1"/>
    <x v="3"/>
    <n v="9.93"/>
    <n v="8"/>
    <x v="894"/>
    <x v="0"/>
    <n v="6"/>
  </r>
  <r>
    <x v="302"/>
    <x v="1"/>
    <x v="0"/>
    <x v="0"/>
    <x v="4"/>
    <n v="61.52"/>
    <n v="6"/>
    <x v="2846"/>
    <x v="0"/>
    <n v="3.2"/>
  </r>
  <r>
    <x v="302"/>
    <x v="2"/>
    <x v="1"/>
    <x v="1"/>
    <x v="2"/>
    <n v="74.08"/>
    <n v="2"/>
    <x v="2847"/>
    <x v="0"/>
    <n v="3.3"/>
  </r>
  <r>
    <x v="302"/>
    <x v="1"/>
    <x v="1"/>
    <x v="0"/>
    <x v="4"/>
    <n v="48.09"/>
    <n v="7"/>
    <x v="2848"/>
    <x v="2"/>
    <n v="5.3"/>
  </r>
  <r>
    <x v="302"/>
    <x v="2"/>
    <x v="0"/>
    <x v="0"/>
    <x v="1"/>
    <n v="89"/>
    <n v="8"/>
    <x v="2849"/>
    <x v="0"/>
    <n v="9.4"/>
  </r>
  <r>
    <x v="302"/>
    <x v="0"/>
    <x v="0"/>
    <x v="1"/>
    <x v="4"/>
    <n v="69.38"/>
    <n v="9"/>
    <x v="2850"/>
    <x v="0"/>
    <n v="7.2"/>
  </r>
  <r>
    <x v="302"/>
    <x v="2"/>
    <x v="0"/>
    <x v="1"/>
    <x v="5"/>
    <n v="24.56"/>
    <n v="3"/>
    <x v="2851"/>
    <x v="2"/>
    <n v="5.5"/>
  </r>
  <r>
    <x v="302"/>
    <x v="2"/>
    <x v="1"/>
    <x v="0"/>
    <x v="1"/>
    <n v="87.38"/>
    <n v="9"/>
    <x v="2852"/>
    <x v="2"/>
    <n v="7.2"/>
  </r>
  <r>
    <x v="302"/>
    <x v="2"/>
    <x v="0"/>
    <x v="1"/>
    <x v="0"/>
    <n v="5.83"/>
    <n v="4"/>
    <x v="2853"/>
    <x v="0"/>
    <n v="4.4000000000000004"/>
  </r>
  <r>
    <x v="303"/>
    <x v="0"/>
    <x v="1"/>
    <x v="0"/>
    <x v="4"/>
    <n v="47.64"/>
    <n v="6"/>
    <x v="2854"/>
    <x v="2"/>
    <n v="4.0999999999999996"/>
  </r>
  <r>
    <x v="303"/>
    <x v="2"/>
    <x v="1"/>
    <x v="0"/>
    <x v="5"/>
    <n v="15.96"/>
    <n v="4"/>
    <x v="2855"/>
    <x v="0"/>
    <n v="5.5"/>
  </r>
  <r>
    <x v="303"/>
    <x v="1"/>
    <x v="1"/>
    <x v="0"/>
    <x v="5"/>
    <n v="16.47"/>
    <n v="10"/>
    <x v="2856"/>
    <x v="2"/>
    <n v="8.9"/>
  </r>
  <r>
    <x v="303"/>
    <x v="1"/>
    <x v="0"/>
    <x v="1"/>
    <x v="0"/>
    <n v="12.67"/>
    <n v="1"/>
    <x v="2857"/>
    <x v="1"/>
    <n v="6.5"/>
  </r>
  <r>
    <x v="303"/>
    <x v="0"/>
    <x v="0"/>
    <x v="0"/>
    <x v="5"/>
    <n v="33.01"/>
    <n v="3"/>
    <x v="2858"/>
    <x v="1"/>
    <n v="5"/>
  </r>
  <r>
    <x v="303"/>
    <x v="2"/>
    <x v="0"/>
    <x v="1"/>
    <x v="0"/>
    <n v="13.28"/>
    <n v="3"/>
    <x v="2859"/>
    <x v="1"/>
    <n v="9.5"/>
  </r>
  <r>
    <x v="303"/>
    <x v="1"/>
    <x v="1"/>
    <x v="1"/>
    <x v="4"/>
    <n v="57.56"/>
    <n v="7"/>
    <x v="2860"/>
    <x v="0"/>
    <n v="8.5"/>
  </r>
  <r>
    <x v="303"/>
    <x v="0"/>
    <x v="1"/>
    <x v="1"/>
    <x v="2"/>
    <n v="68.930000000000007"/>
    <n v="4"/>
    <x v="2861"/>
    <x v="2"/>
    <n v="5.2"/>
  </r>
  <r>
    <x v="304"/>
    <x v="1"/>
    <x v="1"/>
    <x v="1"/>
    <x v="3"/>
    <n v="23.62"/>
    <n v="9"/>
    <x v="2862"/>
    <x v="0"/>
    <n v="9"/>
  </r>
  <r>
    <x v="304"/>
    <x v="1"/>
    <x v="1"/>
    <x v="1"/>
    <x v="4"/>
    <n v="67.94"/>
    <n v="9"/>
    <x v="2863"/>
    <x v="0"/>
    <n v="3.5"/>
  </r>
  <r>
    <x v="304"/>
    <x v="1"/>
    <x v="1"/>
    <x v="0"/>
    <x v="5"/>
    <n v="32.39"/>
    <n v="5"/>
    <x v="2864"/>
    <x v="1"/>
    <n v="9.6999999999999993"/>
  </r>
  <r>
    <x v="304"/>
    <x v="2"/>
    <x v="0"/>
    <x v="1"/>
    <x v="0"/>
    <n v="8.3699999999999992"/>
    <n v="5"/>
    <x v="2865"/>
    <x v="1"/>
    <n v="4.7"/>
  </r>
  <r>
    <x v="304"/>
    <x v="0"/>
    <x v="1"/>
    <x v="0"/>
    <x v="3"/>
    <n v="5.62"/>
    <n v="8"/>
    <x v="2866"/>
    <x v="2"/>
    <n v="8.1"/>
  </r>
  <r>
    <x v="304"/>
    <x v="1"/>
    <x v="1"/>
    <x v="0"/>
    <x v="1"/>
    <n v="93.56"/>
    <n v="6"/>
    <x v="2867"/>
    <x v="2"/>
    <n v="6.6"/>
  </r>
  <r>
    <x v="304"/>
    <x v="2"/>
    <x v="1"/>
    <x v="1"/>
    <x v="5"/>
    <n v="21.07"/>
    <n v="3"/>
    <x v="2868"/>
    <x v="0"/>
    <n v="9.1999999999999993"/>
  </r>
  <r>
    <x v="304"/>
    <x v="1"/>
    <x v="1"/>
    <x v="1"/>
    <x v="0"/>
    <n v="4.97"/>
    <n v="9"/>
    <x v="2869"/>
    <x v="0"/>
    <n v="9"/>
  </r>
  <r>
    <x v="304"/>
    <x v="0"/>
    <x v="1"/>
    <x v="0"/>
    <x v="5"/>
    <n v="39.64"/>
    <n v="4"/>
    <x v="2870"/>
    <x v="2"/>
    <n v="3.6"/>
  </r>
  <r>
    <x v="304"/>
    <x v="1"/>
    <x v="1"/>
    <x v="0"/>
    <x v="0"/>
    <n v="9.1999999999999993"/>
    <n v="6"/>
    <x v="2683"/>
    <x v="1"/>
    <n v="6.5"/>
  </r>
  <r>
    <x v="304"/>
    <x v="1"/>
    <x v="1"/>
    <x v="0"/>
    <x v="2"/>
    <n v="62.68"/>
    <n v="8"/>
    <x v="2871"/>
    <x v="1"/>
    <n v="5.3"/>
  </r>
  <r>
    <x v="304"/>
    <x v="1"/>
    <x v="1"/>
    <x v="1"/>
    <x v="4"/>
    <n v="60.56"/>
    <n v="2"/>
    <x v="2872"/>
    <x v="0"/>
    <n v="4.4000000000000004"/>
  </r>
  <r>
    <x v="304"/>
    <x v="2"/>
    <x v="1"/>
    <x v="0"/>
    <x v="3"/>
    <n v="19.12"/>
    <n v="7"/>
    <x v="2873"/>
    <x v="1"/>
    <n v="5.5"/>
  </r>
  <r>
    <x v="304"/>
    <x v="0"/>
    <x v="0"/>
    <x v="1"/>
    <x v="3"/>
    <n v="9.5500000000000007"/>
    <n v="3"/>
    <x v="2874"/>
    <x v="2"/>
    <n v="4.8"/>
  </r>
  <r>
    <x v="304"/>
    <x v="0"/>
    <x v="1"/>
    <x v="1"/>
    <x v="0"/>
    <n v="3.32"/>
    <n v="4"/>
    <x v="2875"/>
    <x v="1"/>
    <n v="8.1999999999999993"/>
  </r>
  <r>
    <x v="304"/>
    <x v="2"/>
    <x v="1"/>
    <x v="0"/>
    <x v="0"/>
    <n v="5.18"/>
    <n v="5"/>
    <x v="2876"/>
    <x v="2"/>
    <n v="6.3"/>
  </r>
  <r>
    <x v="304"/>
    <x v="0"/>
    <x v="0"/>
    <x v="0"/>
    <x v="0"/>
    <n v="7.31"/>
    <n v="9"/>
    <x v="2877"/>
    <x v="1"/>
    <n v="3.7"/>
  </r>
  <r>
    <x v="305"/>
    <x v="0"/>
    <x v="0"/>
    <x v="1"/>
    <x v="0"/>
    <n v="11.36"/>
    <n v="8"/>
    <x v="2878"/>
    <x v="2"/>
    <n v="4.9000000000000004"/>
  </r>
  <r>
    <x v="305"/>
    <x v="2"/>
    <x v="1"/>
    <x v="1"/>
    <x v="0"/>
    <n v="14.22"/>
    <n v="4"/>
    <x v="2637"/>
    <x v="1"/>
    <n v="8.4"/>
  </r>
  <r>
    <x v="305"/>
    <x v="2"/>
    <x v="0"/>
    <x v="0"/>
    <x v="1"/>
    <n v="96.17"/>
    <n v="6"/>
    <x v="2879"/>
    <x v="0"/>
    <n v="6.5"/>
  </r>
  <r>
    <x v="305"/>
    <x v="1"/>
    <x v="0"/>
    <x v="0"/>
    <x v="1"/>
    <n v="89.43"/>
    <n v="1"/>
    <x v="2880"/>
    <x v="0"/>
    <n v="6.1"/>
  </r>
  <r>
    <x v="305"/>
    <x v="2"/>
    <x v="0"/>
    <x v="0"/>
    <x v="3"/>
    <n v="8.18"/>
    <n v="4"/>
    <x v="2881"/>
    <x v="0"/>
    <n v="4.7"/>
  </r>
  <r>
    <x v="305"/>
    <x v="2"/>
    <x v="0"/>
    <x v="1"/>
    <x v="1"/>
    <n v="81.7"/>
    <n v="8"/>
    <x v="2882"/>
    <x v="2"/>
    <n v="3.8"/>
  </r>
  <r>
    <x v="305"/>
    <x v="0"/>
    <x v="0"/>
    <x v="0"/>
    <x v="1"/>
    <n v="90.89"/>
    <n v="5"/>
    <x v="2883"/>
    <x v="0"/>
    <n v="8.6"/>
  </r>
  <r>
    <x v="305"/>
    <x v="0"/>
    <x v="1"/>
    <x v="1"/>
    <x v="5"/>
    <n v="16.09"/>
    <n v="9"/>
    <x v="2884"/>
    <x v="2"/>
    <n v="5.2"/>
  </r>
  <r>
    <x v="305"/>
    <x v="1"/>
    <x v="0"/>
    <x v="1"/>
    <x v="0"/>
    <n v="4.57"/>
    <n v="3"/>
    <x v="2885"/>
    <x v="2"/>
    <n v="4"/>
  </r>
  <r>
    <x v="305"/>
    <x v="2"/>
    <x v="0"/>
    <x v="0"/>
    <x v="0"/>
    <n v="14.97"/>
    <n v="2"/>
    <x v="2886"/>
    <x v="0"/>
    <n v="4.5"/>
  </r>
  <r>
    <x v="305"/>
    <x v="0"/>
    <x v="1"/>
    <x v="0"/>
    <x v="1"/>
    <n v="83.75"/>
    <n v="2"/>
    <x v="2887"/>
    <x v="1"/>
    <n v="9.1999999999999993"/>
  </r>
  <r>
    <x v="305"/>
    <x v="2"/>
    <x v="1"/>
    <x v="0"/>
    <x v="2"/>
    <n v="57.14"/>
    <n v="3"/>
    <x v="2888"/>
    <x v="1"/>
    <n v="3.3"/>
  </r>
  <r>
    <x v="305"/>
    <x v="0"/>
    <x v="0"/>
    <x v="1"/>
    <x v="0"/>
    <n v="5.75"/>
    <n v="2"/>
    <x v="2889"/>
    <x v="2"/>
    <n v="5.6"/>
  </r>
  <r>
    <x v="305"/>
    <x v="1"/>
    <x v="1"/>
    <x v="0"/>
    <x v="2"/>
    <n v="54.36"/>
    <n v="4"/>
    <x v="2890"/>
    <x v="2"/>
    <n v="5.2"/>
  </r>
  <r>
    <x v="305"/>
    <x v="1"/>
    <x v="0"/>
    <x v="1"/>
    <x v="2"/>
    <n v="66.319999999999993"/>
    <n v="10"/>
    <x v="2891"/>
    <x v="2"/>
    <n v="5.4"/>
  </r>
  <r>
    <x v="305"/>
    <x v="2"/>
    <x v="1"/>
    <x v="0"/>
    <x v="0"/>
    <n v="7.48"/>
    <n v="3"/>
    <x v="2892"/>
    <x v="2"/>
    <n v="9.3000000000000007"/>
  </r>
  <r>
    <x v="305"/>
    <x v="1"/>
    <x v="1"/>
    <x v="0"/>
    <x v="2"/>
    <n v="79.849999999999994"/>
    <n v="10"/>
    <x v="2893"/>
    <x v="2"/>
    <n v="5.6"/>
  </r>
  <r>
    <x v="305"/>
    <x v="1"/>
    <x v="0"/>
    <x v="1"/>
    <x v="0"/>
    <n v="4.8499999999999996"/>
    <n v="9"/>
    <x v="2894"/>
    <x v="0"/>
    <n v="9.1"/>
  </r>
  <r>
    <x v="305"/>
    <x v="1"/>
    <x v="1"/>
    <x v="0"/>
    <x v="5"/>
    <n v="29.87"/>
    <n v="4"/>
    <x v="2895"/>
    <x v="1"/>
    <n v="4"/>
  </r>
  <r>
    <x v="305"/>
    <x v="0"/>
    <x v="0"/>
    <x v="0"/>
    <x v="4"/>
    <n v="55.04"/>
    <n v="1"/>
    <x v="1949"/>
    <x v="2"/>
    <n v="6.3"/>
  </r>
  <r>
    <x v="305"/>
    <x v="1"/>
    <x v="0"/>
    <x v="0"/>
    <x v="3"/>
    <n v="20.91"/>
    <n v="4"/>
    <x v="2896"/>
    <x v="2"/>
    <n v="9.3000000000000007"/>
  </r>
  <r>
    <x v="306"/>
    <x v="0"/>
    <x v="1"/>
    <x v="1"/>
    <x v="0"/>
    <n v="13.91"/>
    <n v="10"/>
    <x v="2897"/>
    <x v="0"/>
    <n v="8.4"/>
  </r>
  <r>
    <x v="306"/>
    <x v="0"/>
    <x v="1"/>
    <x v="1"/>
    <x v="5"/>
    <n v="19.37"/>
    <n v="2"/>
    <x v="1838"/>
    <x v="2"/>
    <n v="8.8000000000000007"/>
  </r>
  <r>
    <x v="306"/>
    <x v="2"/>
    <x v="1"/>
    <x v="0"/>
    <x v="1"/>
    <n v="96.84"/>
    <n v="7"/>
    <x v="2898"/>
    <x v="1"/>
    <n v="7.5"/>
  </r>
  <r>
    <x v="306"/>
    <x v="0"/>
    <x v="1"/>
    <x v="1"/>
    <x v="2"/>
    <n v="55.86"/>
    <n v="8"/>
    <x v="2899"/>
    <x v="1"/>
    <n v="4"/>
  </r>
  <r>
    <x v="306"/>
    <x v="2"/>
    <x v="1"/>
    <x v="1"/>
    <x v="4"/>
    <n v="55.91"/>
    <n v="10"/>
    <x v="2900"/>
    <x v="0"/>
    <n v="3.8"/>
  </r>
  <r>
    <x v="306"/>
    <x v="0"/>
    <x v="1"/>
    <x v="1"/>
    <x v="0"/>
    <n v="9.19"/>
    <n v="4"/>
    <x v="2901"/>
    <x v="2"/>
    <n v="3.5"/>
  </r>
  <r>
    <x v="306"/>
    <x v="1"/>
    <x v="1"/>
    <x v="1"/>
    <x v="2"/>
    <n v="73.290000000000006"/>
    <n v="8"/>
    <x v="2902"/>
    <x v="0"/>
    <n v="5.6"/>
  </r>
  <r>
    <x v="306"/>
    <x v="1"/>
    <x v="1"/>
    <x v="0"/>
    <x v="3"/>
    <n v="11.92"/>
    <n v="5"/>
    <x v="1525"/>
    <x v="2"/>
    <n v="4"/>
  </r>
  <r>
    <x v="306"/>
    <x v="2"/>
    <x v="1"/>
    <x v="0"/>
    <x v="0"/>
    <n v="3.53"/>
    <n v="3"/>
    <x v="2185"/>
    <x v="2"/>
    <n v="6"/>
  </r>
  <r>
    <x v="306"/>
    <x v="1"/>
    <x v="0"/>
    <x v="0"/>
    <x v="1"/>
    <n v="96.68"/>
    <n v="9"/>
    <x v="2903"/>
    <x v="1"/>
    <n v="5.4"/>
  </r>
  <r>
    <x v="306"/>
    <x v="1"/>
    <x v="1"/>
    <x v="0"/>
    <x v="5"/>
    <n v="16.07"/>
    <n v="4"/>
    <x v="2904"/>
    <x v="0"/>
    <n v="5.9"/>
  </r>
  <r>
    <x v="306"/>
    <x v="0"/>
    <x v="1"/>
    <x v="1"/>
    <x v="5"/>
    <n v="29.73"/>
    <n v="6"/>
    <x v="2905"/>
    <x v="1"/>
    <n v="8.4"/>
  </r>
  <r>
    <x v="306"/>
    <x v="2"/>
    <x v="1"/>
    <x v="0"/>
    <x v="3"/>
    <n v="21.88"/>
    <n v="3"/>
    <x v="2906"/>
    <x v="0"/>
    <n v="5.4"/>
  </r>
  <r>
    <x v="307"/>
    <x v="1"/>
    <x v="1"/>
    <x v="0"/>
    <x v="3"/>
    <n v="5.9"/>
    <n v="8"/>
    <x v="2907"/>
    <x v="2"/>
    <n v="3.3"/>
  </r>
  <r>
    <x v="307"/>
    <x v="0"/>
    <x v="1"/>
    <x v="0"/>
    <x v="3"/>
    <n v="10.66"/>
    <n v="10"/>
    <x v="2908"/>
    <x v="2"/>
    <n v="8.8000000000000007"/>
  </r>
  <r>
    <x v="307"/>
    <x v="0"/>
    <x v="1"/>
    <x v="0"/>
    <x v="4"/>
    <n v="63.26"/>
    <n v="1"/>
    <x v="2909"/>
    <x v="1"/>
    <n v="7.2"/>
  </r>
  <r>
    <x v="307"/>
    <x v="0"/>
    <x v="1"/>
    <x v="0"/>
    <x v="3"/>
    <n v="13.64"/>
    <n v="10"/>
    <x v="371"/>
    <x v="0"/>
    <n v="4"/>
  </r>
  <r>
    <x v="307"/>
    <x v="0"/>
    <x v="0"/>
    <x v="1"/>
    <x v="2"/>
    <n v="52.39"/>
    <n v="9"/>
    <x v="2910"/>
    <x v="1"/>
    <n v="9.8000000000000007"/>
  </r>
  <r>
    <x v="307"/>
    <x v="2"/>
    <x v="1"/>
    <x v="1"/>
    <x v="2"/>
    <n v="53.93"/>
    <n v="6"/>
    <x v="2911"/>
    <x v="1"/>
    <n v="5.9"/>
  </r>
  <r>
    <x v="307"/>
    <x v="1"/>
    <x v="1"/>
    <x v="0"/>
    <x v="0"/>
    <n v="13.8"/>
    <n v="10"/>
    <x v="2649"/>
    <x v="1"/>
    <n v="9.3000000000000007"/>
  </r>
  <r>
    <x v="307"/>
    <x v="1"/>
    <x v="1"/>
    <x v="0"/>
    <x v="3"/>
    <n v="12.29"/>
    <n v="5"/>
    <x v="2912"/>
    <x v="1"/>
    <n v="4.5999999999999996"/>
  </r>
  <r>
    <x v="307"/>
    <x v="2"/>
    <x v="0"/>
    <x v="0"/>
    <x v="2"/>
    <n v="55.53"/>
    <n v="3"/>
    <x v="2913"/>
    <x v="0"/>
    <n v="6.5"/>
  </r>
  <r>
    <x v="307"/>
    <x v="2"/>
    <x v="0"/>
    <x v="1"/>
    <x v="1"/>
    <n v="89.68"/>
    <n v="1"/>
    <x v="2914"/>
    <x v="2"/>
    <n v="8"/>
  </r>
  <r>
    <x v="307"/>
    <x v="2"/>
    <x v="0"/>
    <x v="0"/>
    <x v="0"/>
    <n v="8.74"/>
    <n v="8"/>
    <x v="2279"/>
    <x v="2"/>
    <n v="3.6"/>
  </r>
  <r>
    <x v="307"/>
    <x v="2"/>
    <x v="1"/>
    <x v="1"/>
    <x v="0"/>
    <n v="8.32"/>
    <n v="3"/>
    <x v="2915"/>
    <x v="0"/>
    <n v="4.4000000000000004"/>
  </r>
  <r>
    <x v="307"/>
    <x v="1"/>
    <x v="1"/>
    <x v="1"/>
    <x v="4"/>
    <n v="45.66"/>
    <n v="1"/>
    <x v="2916"/>
    <x v="1"/>
    <n v="6.8"/>
  </r>
  <r>
    <x v="307"/>
    <x v="2"/>
    <x v="0"/>
    <x v="1"/>
    <x v="0"/>
    <n v="10.83"/>
    <n v="5"/>
    <x v="2917"/>
    <x v="2"/>
    <n v="3"/>
  </r>
  <r>
    <x v="307"/>
    <x v="1"/>
    <x v="1"/>
    <x v="0"/>
    <x v="1"/>
    <n v="86.24"/>
    <n v="9"/>
    <x v="2918"/>
    <x v="0"/>
    <n v="5.4"/>
  </r>
  <r>
    <x v="307"/>
    <x v="2"/>
    <x v="1"/>
    <x v="0"/>
    <x v="0"/>
    <n v="14.13"/>
    <n v="5"/>
    <x v="2919"/>
    <x v="2"/>
    <n v="8.8000000000000007"/>
  </r>
  <r>
    <x v="307"/>
    <x v="1"/>
    <x v="1"/>
    <x v="0"/>
    <x v="3"/>
    <n v="9.1999999999999993"/>
    <n v="8"/>
    <x v="2920"/>
    <x v="1"/>
    <n v="3.6"/>
  </r>
  <r>
    <x v="307"/>
    <x v="2"/>
    <x v="1"/>
    <x v="1"/>
    <x v="0"/>
    <n v="3.59"/>
    <n v="10"/>
    <x v="2921"/>
    <x v="0"/>
    <n v="3.9"/>
  </r>
  <r>
    <x v="307"/>
    <x v="1"/>
    <x v="0"/>
    <x v="0"/>
    <x v="0"/>
    <n v="6.64"/>
    <n v="1"/>
    <x v="2922"/>
    <x v="2"/>
    <n v="8.6"/>
  </r>
  <r>
    <x v="307"/>
    <x v="1"/>
    <x v="1"/>
    <x v="0"/>
    <x v="5"/>
    <n v="19.53"/>
    <n v="2"/>
    <x v="2923"/>
    <x v="1"/>
    <n v="7.8"/>
  </r>
  <r>
    <x v="308"/>
    <x v="2"/>
    <x v="0"/>
    <x v="0"/>
    <x v="5"/>
    <n v="32.75"/>
    <n v="4"/>
    <x v="2924"/>
    <x v="0"/>
    <n v="6.5"/>
  </r>
  <r>
    <x v="308"/>
    <x v="0"/>
    <x v="1"/>
    <x v="0"/>
    <x v="0"/>
    <n v="9.24"/>
    <n v="1"/>
    <x v="2925"/>
    <x v="1"/>
    <n v="5.2"/>
  </r>
  <r>
    <x v="308"/>
    <x v="1"/>
    <x v="1"/>
    <x v="1"/>
    <x v="0"/>
    <n v="5.76"/>
    <n v="2"/>
    <x v="1996"/>
    <x v="0"/>
    <n v="7.2"/>
  </r>
  <r>
    <x v="308"/>
    <x v="1"/>
    <x v="1"/>
    <x v="0"/>
    <x v="5"/>
    <n v="26.96"/>
    <n v="9"/>
    <x v="2926"/>
    <x v="1"/>
    <n v="8.6"/>
  </r>
  <r>
    <x v="308"/>
    <x v="2"/>
    <x v="1"/>
    <x v="0"/>
    <x v="3"/>
    <n v="5.0999999999999996"/>
    <n v="7"/>
    <x v="1835"/>
    <x v="0"/>
    <n v="6.5"/>
  </r>
  <r>
    <x v="308"/>
    <x v="2"/>
    <x v="1"/>
    <x v="1"/>
    <x v="2"/>
    <n v="62.61"/>
    <n v="5"/>
    <x v="2927"/>
    <x v="0"/>
    <n v="7.4"/>
  </r>
  <r>
    <x v="308"/>
    <x v="2"/>
    <x v="1"/>
    <x v="1"/>
    <x v="4"/>
    <n v="65.87"/>
    <n v="6"/>
    <x v="2928"/>
    <x v="0"/>
    <n v="8.8000000000000007"/>
  </r>
  <r>
    <x v="308"/>
    <x v="1"/>
    <x v="0"/>
    <x v="0"/>
    <x v="4"/>
    <n v="64.599999999999994"/>
    <n v="3"/>
    <x v="2929"/>
    <x v="1"/>
    <n v="6.3"/>
  </r>
  <r>
    <x v="308"/>
    <x v="0"/>
    <x v="0"/>
    <x v="0"/>
    <x v="5"/>
    <n v="23.79"/>
    <n v="4"/>
    <x v="2930"/>
    <x v="0"/>
    <n v="7.9"/>
  </r>
  <r>
    <x v="308"/>
    <x v="2"/>
    <x v="0"/>
    <x v="0"/>
    <x v="5"/>
    <n v="26.14"/>
    <n v="3"/>
    <x v="2931"/>
    <x v="0"/>
    <n v="7.8"/>
  </r>
  <r>
    <x v="308"/>
    <x v="0"/>
    <x v="1"/>
    <x v="0"/>
    <x v="4"/>
    <n v="59.52"/>
    <n v="6"/>
    <x v="2115"/>
    <x v="1"/>
    <n v="8.3000000000000007"/>
  </r>
  <r>
    <x v="308"/>
    <x v="0"/>
    <x v="1"/>
    <x v="1"/>
    <x v="0"/>
    <n v="2.6"/>
    <n v="6"/>
    <x v="2932"/>
    <x v="2"/>
    <n v="4.0999999999999996"/>
  </r>
  <r>
    <x v="308"/>
    <x v="2"/>
    <x v="0"/>
    <x v="1"/>
    <x v="2"/>
    <n v="59.23"/>
    <n v="6"/>
    <x v="2933"/>
    <x v="0"/>
    <n v="3.7"/>
  </r>
  <r>
    <x v="308"/>
    <x v="0"/>
    <x v="0"/>
    <x v="1"/>
    <x v="0"/>
    <n v="5.85"/>
    <n v="9"/>
    <x v="335"/>
    <x v="0"/>
    <n v="7.4"/>
  </r>
  <r>
    <x v="308"/>
    <x v="2"/>
    <x v="1"/>
    <x v="1"/>
    <x v="0"/>
    <n v="2.16"/>
    <n v="10"/>
    <x v="1898"/>
    <x v="0"/>
    <n v="3.8"/>
  </r>
  <r>
    <x v="308"/>
    <x v="1"/>
    <x v="0"/>
    <x v="0"/>
    <x v="5"/>
    <n v="35.729999999999997"/>
    <n v="7"/>
    <x v="2934"/>
    <x v="0"/>
    <n v="6.7"/>
  </r>
  <r>
    <x v="308"/>
    <x v="2"/>
    <x v="0"/>
    <x v="1"/>
    <x v="0"/>
    <n v="6.33"/>
    <n v="4"/>
    <x v="2935"/>
    <x v="2"/>
    <n v="5.9"/>
  </r>
  <r>
    <x v="308"/>
    <x v="2"/>
    <x v="1"/>
    <x v="1"/>
    <x v="1"/>
    <n v="83.14"/>
    <n v="10"/>
    <x v="2936"/>
    <x v="2"/>
    <n v="8.1"/>
  </r>
  <r>
    <x v="308"/>
    <x v="0"/>
    <x v="1"/>
    <x v="1"/>
    <x v="3"/>
    <n v="8"/>
    <n v="6"/>
    <x v="2937"/>
    <x v="1"/>
    <n v="3.1"/>
  </r>
  <r>
    <x v="308"/>
    <x v="2"/>
    <x v="1"/>
    <x v="0"/>
    <x v="5"/>
    <n v="26.45"/>
    <n v="4"/>
    <x v="2345"/>
    <x v="0"/>
    <n v="8.8000000000000007"/>
  </r>
  <r>
    <x v="308"/>
    <x v="1"/>
    <x v="1"/>
    <x v="0"/>
    <x v="0"/>
    <n v="6.87"/>
    <n v="1"/>
    <x v="2938"/>
    <x v="1"/>
    <n v="8.3000000000000007"/>
  </r>
  <r>
    <x v="308"/>
    <x v="1"/>
    <x v="0"/>
    <x v="0"/>
    <x v="5"/>
    <n v="16.47"/>
    <n v="10"/>
    <x v="2856"/>
    <x v="1"/>
    <n v="4.5999999999999996"/>
  </r>
  <r>
    <x v="308"/>
    <x v="1"/>
    <x v="1"/>
    <x v="1"/>
    <x v="0"/>
    <n v="14.18"/>
    <n v="4"/>
    <x v="2939"/>
    <x v="1"/>
    <n v="8.9"/>
  </r>
  <r>
    <x v="309"/>
    <x v="1"/>
    <x v="1"/>
    <x v="1"/>
    <x v="5"/>
    <n v="38.75"/>
    <n v="7"/>
    <x v="2940"/>
    <x v="0"/>
    <n v="6"/>
  </r>
  <r>
    <x v="309"/>
    <x v="0"/>
    <x v="0"/>
    <x v="1"/>
    <x v="0"/>
    <n v="2.21"/>
    <n v="10"/>
    <x v="2493"/>
    <x v="2"/>
    <n v="4.3"/>
  </r>
  <r>
    <x v="309"/>
    <x v="1"/>
    <x v="0"/>
    <x v="1"/>
    <x v="0"/>
    <n v="9.17"/>
    <n v="6"/>
    <x v="1799"/>
    <x v="2"/>
    <n v="9.3000000000000007"/>
  </r>
  <r>
    <x v="309"/>
    <x v="2"/>
    <x v="0"/>
    <x v="0"/>
    <x v="0"/>
    <n v="13.66"/>
    <n v="9"/>
    <x v="2941"/>
    <x v="1"/>
    <n v="4"/>
  </r>
  <r>
    <x v="309"/>
    <x v="0"/>
    <x v="0"/>
    <x v="1"/>
    <x v="3"/>
    <n v="24.72"/>
    <n v="3"/>
    <x v="2942"/>
    <x v="0"/>
    <n v="6.8"/>
  </r>
  <r>
    <x v="309"/>
    <x v="0"/>
    <x v="1"/>
    <x v="0"/>
    <x v="5"/>
    <n v="16.68"/>
    <n v="6"/>
    <x v="1397"/>
    <x v="1"/>
    <n v="9.4"/>
  </r>
  <r>
    <x v="309"/>
    <x v="0"/>
    <x v="1"/>
    <x v="0"/>
    <x v="0"/>
    <n v="3.99"/>
    <n v="2"/>
    <x v="2943"/>
    <x v="2"/>
    <n v="4.9000000000000004"/>
  </r>
  <r>
    <x v="309"/>
    <x v="2"/>
    <x v="0"/>
    <x v="0"/>
    <x v="1"/>
    <n v="80.64"/>
    <n v="6"/>
    <x v="2944"/>
    <x v="1"/>
    <n v="7.6"/>
  </r>
  <r>
    <x v="309"/>
    <x v="0"/>
    <x v="1"/>
    <x v="1"/>
    <x v="0"/>
    <n v="7.45"/>
    <n v="1"/>
    <x v="2945"/>
    <x v="2"/>
    <n v="5"/>
  </r>
  <r>
    <x v="309"/>
    <x v="1"/>
    <x v="0"/>
    <x v="1"/>
    <x v="2"/>
    <n v="57.73"/>
    <n v="8"/>
    <x v="2946"/>
    <x v="0"/>
    <n v="9.4"/>
  </r>
  <r>
    <x v="309"/>
    <x v="0"/>
    <x v="1"/>
    <x v="0"/>
    <x v="3"/>
    <n v="13.43"/>
    <n v="5"/>
    <x v="2947"/>
    <x v="1"/>
    <n v="7.7"/>
  </r>
  <r>
    <x v="309"/>
    <x v="0"/>
    <x v="0"/>
    <x v="0"/>
    <x v="2"/>
    <n v="53.82"/>
    <n v="2"/>
    <x v="2948"/>
    <x v="0"/>
    <n v="8"/>
  </r>
  <r>
    <x v="309"/>
    <x v="1"/>
    <x v="1"/>
    <x v="0"/>
    <x v="4"/>
    <n v="59.37"/>
    <n v="5"/>
    <x v="2949"/>
    <x v="0"/>
    <n v="9.1999999999999993"/>
  </r>
  <r>
    <x v="309"/>
    <x v="1"/>
    <x v="1"/>
    <x v="1"/>
    <x v="3"/>
    <n v="14.29"/>
    <n v="1"/>
    <x v="2950"/>
    <x v="1"/>
    <n v="3.7"/>
  </r>
  <r>
    <x v="309"/>
    <x v="0"/>
    <x v="0"/>
    <x v="0"/>
    <x v="4"/>
    <n v="53.9"/>
    <n v="3"/>
    <x v="2951"/>
    <x v="2"/>
    <n v="6.2"/>
  </r>
  <r>
    <x v="309"/>
    <x v="2"/>
    <x v="1"/>
    <x v="0"/>
    <x v="4"/>
    <n v="54.97"/>
    <n v="6"/>
    <x v="2952"/>
    <x v="2"/>
    <n v="3.1"/>
  </r>
  <r>
    <x v="309"/>
    <x v="2"/>
    <x v="0"/>
    <x v="1"/>
    <x v="4"/>
    <n v="50.83"/>
    <n v="4"/>
    <x v="2953"/>
    <x v="0"/>
    <n v="4.9000000000000004"/>
  </r>
  <r>
    <x v="309"/>
    <x v="2"/>
    <x v="0"/>
    <x v="1"/>
    <x v="3"/>
    <n v="17.72"/>
    <n v="7"/>
    <x v="2954"/>
    <x v="1"/>
    <n v="8.3000000000000007"/>
  </r>
  <r>
    <x v="309"/>
    <x v="2"/>
    <x v="1"/>
    <x v="1"/>
    <x v="0"/>
    <n v="4.7"/>
    <n v="9"/>
    <x v="2955"/>
    <x v="0"/>
    <n v="4.7"/>
  </r>
  <r>
    <x v="310"/>
    <x v="0"/>
    <x v="1"/>
    <x v="1"/>
    <x v="5"/>
    <n v="38.81"/>
    <n v="5"/>
    <x v="2956"/>
    <x v="2"/>
    <n v="5.0999999999999996"/>
  </r>
  <r>
    <x v="310"/>
    <x v="1"/>
    <x v="1"/>
    <x v="0"/>
    <x v="3"/>
    <n v="7.88"/>
    <n v="3"/>
    <x v="2957"/>
    <x v="2"/>
    <n v="3.2"/>
  </r>
  <r>
    <x v="310"/>
    <x v="2"/>
    <x v="0"/>
    <x v="0"/>
    <x v="0"/>
    <n v="7.92"/>
    <n v="1"/>
    <x v="1729"/>
    <x v="2"/>
    <n v="6.7"/>
  </r>
  <r>
    <x v="310"/>
    <x v="1"/>
    <x v="0"/>
    <x v="0"/>
    <x v="1"/>
    <n v="92.68"/>
    <n v="8"/>
    <x v="2958"/>
    <x v="1"/>
    <n v="4.8"/>
  </r>
  <r>
    <x v="310"/>
    <x v="0"/>
    <x v="0"/>
    <x v="1"/>
    <x v="5"/>
    <n v="29.59"/>
    <n v="2"/>
    <x v="2959"/>
    <x v="0"/>
    <n v="4.2"/>
  </r>
  <r>
    <x v="310"/>
    <x v="1"/>
    <x v="1"/>
    <x v="0"/>
    <x v="0"/>
    <n v="11.35"/>
    <n v="8"/>
    <x v="2960"/>
    <x v="2"/>
    <n v="8.9"/>
  </r>
  <r>
    <x v="310"/>
    <x v="2"/>
    <x v="1"/>
    <x v="1"/>
    <x v="4"/>
    <n v="68.34"/>
    <n v="7"/>
    <x v="2961"/>
    <x v="1"/>
    <n v="4.0999999999999996"/>
  </r>
  <r>
    <x v="310"/>
    <x v="2"/>
    <x v="0"/>
    <x v="0"/>
    <x v="0"/>
    <n v="11.18"/>
    <n v="7"/>
    <x v="2962"/>
    <x v="2"/>
    <n v="4.7"/>
  </r>
  <r>
    <x v="310"/>
    <x v="0"/>
    <x v="0"/>
    <x v="0"/>
    <x v="3"/>
    <n v="10.51"/>
    <n v="2"/>
    <x v="2963"/>
    <x v="0"/>
    <n v="7.5"/>
  </r>
  <r>
    <x v="310"/>
    <x v="1"/>
    <x v="1"/>
    <x v="0"/>
    <x v="1"/>
    <n v="90.33"/>
    <n v="3"/>
    <x v="2964"/>
    <x v="1"/>
    <n v="3.2"/>
  </r>
  <r>
    <x v="310"/>
    <x v="0"/>
    <x v="0"/>
    <x v="1"/>
    <x v="5"/>
    <n v="33.450000000000003"/>
    <n v="1"/>
    <x v="1979"/>
    <x v="0"/>
    <n v="9.5"/>
  </r>
  <r>
    <x v="310"/>
    <x v="1"/>
    <x v="1"/>
    <x v="0"/>
    <x v="0"/>
    <n v="2.12"/>
    <n v="10"/>
    <x v="2965"/>
    <x v="0"/>
    <n v="9.1"/>
  </r>
  <r>
    <x v="310"/>
    <x v="1"/>
    <x v="1"/>
    <x v="1"/>
    <x v="3"/>
    <n v="20.86"/>
    <n v="8"/>
    <x v="2966"/>
    <x v="1"/>
    <n v="3.8"/>
  </r>
  <r>
    <x v="310"/>
    <x v="2"/>
    <x v="1"/>
    <x v="1"/>
    <x v="5"/>
    <n v="24.16"/>
    <n v="6"/>
    <x v="2967"/>
    <x v="0"/>
    <n v="7.9"/>
  </r>
  <r>
    <x v="310"/>
    <x v="0"/>
    <x v="0"/>
    <x v="0"/>
    <x v="2"/>
    <n v="59.02"/>
    <n v="8"/>
    <x v="2968"/>
    <x v="1"/>
    <n v="9.5"/>
  </r>
  <r>
    <x v="310"/>
    <x v="2"/>
    <x v="0"/>
    <x v="1"/>
    <x v="0"/>
    <n v="4.13"/>
    <n v="5"/>
    <x v="2154"/>
    <x v="1"/>
    <n v="6.4"/>
  </r>
  <r>
    <x v="311"/>
    <x v="2"/>
    <x v="1"/>
    <x v="1"/>
    <x v="2"/>
    <n v="72.81"/>
    <n v="5"/>
    <x v="2969"/>
    <x v="1"/>
    <n v="9.4"/>
  </r>
  <r>
    <x v="311"/>
    <x v="1"/>
    <x v="0"/>
    <x v="0"/>
    <x v="5"/>
    <n v="21.29"/>
    <n v="2"/>
    <x v="2970"/>
    <x v="2"/>
    <n v="6.4"/>
  </r>
  <r>
    <x v="311"/>
    <x v="1"/>
    <x v="0"/>
    <x v="1"/>
    <x v="0"/>
    <n v="7.1"/>
    <n v="2"/>
    <x v="2017"/>
    <x v="1"/>
    <n v="6.8"/>
  </r>
  <r>
    <x v="311"/>
    <x v="2"/>
    <x v="1"/>
    <x v="1"/>
    <x v="1"/>
    <n v="93.36"/>
    <n v="1"/>
    <x v="388"/>
    <x v="0"/>
    <n v="6.4"/>
  </r>
  <r>
    <x v="311"/>
    <x v="2"/>
    <x v="0"/>
    <x v="0"/>
    <x v="3"/>
    <n v="6.49"/>
    <n v="3"/>
    <x v="2971"/>
    <x v="0"/>
    <n v="8.6999999999999993"/>
  </r>
  <r>
    <x v="311"/>
    <x v="2"/>
    <x v="0"/>
    <x v="1"/>
    <x v="1"/>
    <n v="92.18"/>
    <n v="7"/>
    <x v="2972"/>
    <x v="1"/>
    <n v="3.8"/>
  </r>
  <r>
    <x v="311"/>
    <x v="1"/>
    <x v="1"/>
    <x v="1"/>
    <x v="0"/>
    <n v="6.25"/>
    <n v="2"/>
    <x v="1388"/>
    <x v="2"/>
    <n v="3.5"/>
  </r>
  <r>
    <x v="311"/>
    <x v="0"/>
    <x v="1"/>
    <x v="1"/>
    <x v="0"/>
    <n v="7.14"/>
    <n v="5"/>
    <x v="1835"/>
    <x v="2"/>
    <n v="6"/>
  </r>
  <r>
    <x v="311"/>
    <x v="2"/>
    <x v="0"/>
    <x v="0"/>
    <x v="2"/>
    <n v="74.83"/>
    <n v="3"/>
    <x v="2973"/>
    <x v="1"/>
    <n v="5"/>
  </r>
  <r>
    <x v="311"/>
    <x v="0"/>
    <x v="0"/>
    <x v="0"/>
    <x v="0"/>
    <n v="12.62"/>
    <n v="6"/>
    <x v="2974"/>
    <x v="2"/>
    <n v="8.6999999999999993"/>
  </r>
  <r>
    <x v="311"/>
    <x v="1"/>
    <x v="0"/>
    <x v="0"/>
    <x v="4"/>
    <n v="68.58"/>
    <n v="2"/>
    <x v="2975"/>
    <x v="2"/>
    <n v="7.6"/>
  </r>
  <r>
    <x v="311"/>
    <x v="0"/>
    <x v="0"/>
    <x v="0"/>
    <x v="0"/>
    <n v="11.7"/>
    <n v="8"/>
    <x v="2976"/>
    <x v="2"/>
    <n v="8.4"/>
  </r>
  <r>
    <x v="311"/>
    <x v="1"/>
    <x v="1"/>
    <x v="0"/>
    <x v="1"/>
    <n v="86.56"/>
    <n v="7"/>
    <x v="2977"/>
    <x v="0"/>
    <n v="3.5"/>
  </r>
  <r>
    <x v="311"/>
    <x v="2"/>
    <x v="1"/>
    <x v="0"/>
    <x v="0"/>
    <n v="7.31"/>
    <n v="8"/>
    <x v="1145"/>
    <x v="0"/>
    <n v="7.5"/>
  </r>
  <r>
    <x v="311"/>
    <x v="0"/>
    <x v="1"/>
    <x v="0"/>
    <x v="0"/>
    <n v="7.89"/>
    <n v="6"/>
    <x v="2978"/>
    <x v="2"/>
    <n v="4.5"/>
  </r>
  <r>
    <x v="311"/>
    <x v="1"/>
    <x v="0"/>
    <x v="0"/>
    <x v="3"/>
    <n v="21.72"/>
    <n v="8"/>
    <x v="2979"/>
    <x v="1"/>
    <n v="5.4"/>
  </r>
  <r>
    <x v="311"/>
    <x v="2"/>
    <x v="1"/>
    <x v="0"/>
    <x v="0"/>
    <n v="10.220000000000001"/>
    <n v="10"/>
    <x v="277"/>
    <x v="2"/>
    <n v="7"/>
  </r>
  <r>
    <x v="311"/>
    <x v="1"/>
    <x v="1"/>
    <x v="0"/>
    <x v="0"/>
    <n v="8.25"/>
    <n v="7"/>
    <x v="1085"/>
    <x v="0"/>
    <n v="6.4"/>
  </r>
  <r>
    <x v="311"/>
    <x v="2"/>
    <x v="1"/>
    <x v="1"/>
    <x v="1"/>
    <n v="82.85"/>
    <n v="1"/>
    <x v="2980"/>
    <x v="0"/>
    <n v="8.4"/>
  </r>
  <r>
    <x v="311"/>
    <x v="2"/>
    <x v="0"/>
    <x v="1"/>
    <x v="0"/>
    <n v="14.98"/>
    <n v="7"/>
    <x v="2981"/>
    <x v="0"/>
    <n v="6.2"/>
  </r>
  <r>
    <x v="311"/>
    <x v="2"/>
    <x v="1"/>
    <x v="0"/>
    <x v="3"/>
    <n v="24.29"/>
    <n v="7"/>
    <x v="2982"/>
    <x v="0"/>
    <n v="5"/>
  </r>
  <r>
    <x v="311"/>
    <x v="2"/>
    <x v="1"/>
    <x v="1"/>
    <x v="5"/>
    <n v="36.9"/>
    <n v="5"/>
    <x v="2983"/>
    <x v="1"/>
    <n v="6.2"/>
  </r>
  <r>
    <x v="311"/>
    <x v="0"/>
    <x v="1"/>
    <x v="0"/>
    <x v="4"/>
    <n v="44.31"/>
    <n v="8"/>
    <x v="2984"/>
    <x v="0"/>
    <n v="8.1999999999999993"/>
  </r>
  <r>
    <x v="312"/>
    <x v="0"/>
    <x v="1"/>
    <x v="0"/>
    <x v="3"/>
    <n v="18.940000000000001"/>
    <n v="10"/>
    <x v="2985"/>
    <x v="1"/>
    <n v="8.3000000000000007"/>
  </r>
  <r>
    <x v="312"/>
    <x v="2"/>
    <x v="1"/>
    <x v="0"/>
    <x v="5"/>
    <n v="18.309999999999999"/>
    <n v="2"/>
    <x v="2986"/>
    <x v="1"/>
    <n v="4.5"/>
  </r>
  <r>
    <x v="312"/>
    <x v="0"/>
    <x v="0"/>
    <x v="1"/>
    <x v="4"/>
    <n v="51.86"/>
    <n v="9"/>
    <x v="2987"/>
    <x v="1"/>
    <n v="5.2"/>
  </r>
  <r>
    <x v="312"/>
    <x v="2"/>
    <x v="1"/>
    <x v="0"/>
    <x v="0"/>
    <n v="6.39"/>
    <n v="8"/>
    <x v="1255"/>
    <x v="2"/>
    <n v="6.2"/>
  </r>
  <r>
    <x v="312"/>
    <x v="2"/>
    <x v="1"/>
    <x v="0"/>
    <x v="0"/>
    <n v="6.58"/>
    <n v="6"/>
    <x v="2988"/>
    <x v="1"/>
    <n v="3.1"/>
  </r>
  <r>
    <x v="312"/>
    <x v="2"/>
    <x v="1"/>
    <x v="0"/>
    <x v="4"/>
    <n v="57.41"/>
    <n v="4"/>
    <x v="2989"/>
    <x v="0"/>
    <n v="7.7"/>
  </r>
  <r>
    <x v="312"/>
    <x v="0"/>
    <x v="1"/>
    <x v="0"/>
    <x v="5"/>
    <n v="24.57"/>
    <n v="3"/>
    <x v="2990"/>
    <x v="1"/>
    <n v="9.8000000000000007"/>
  </r>
  <r>
    <x v="312"/>
    <x v="2"/>
    <x v="1"/>
    <x v="1"/>
    <x v="0"/>
    <n v="12.89"/>
    <n v="8"/>
    <x v="2991"/>
    <x v="1"/>
    <n v="8.9"/>
  </r>
  <r>
    <x v="312"/>
    <x v="2"/>
    <x v="0"/>
    <x v="1"/>
    <x v="3"/>
    <n v="14.57"/>
    <n v="8"/>
    <x v="2992"/>
    <x v="2"/>
    <n v="4.5999999999999996"/>
  </r>
  <r>
    <x v="312"/>
    <x v="0"/>
    <x v="1"/>
    <x v="1"/>
    <x v="0"/>
    <n v="12.14"/>
    <n v="8"/>
    <x v="2993"/>
    <x v="0"/>
    <n v="9.4"/>
  </r>
  <r>
    <x v="312"/>
    <x v="2"/>
    <x v="1"/>
    <x v="1"/>
    <x v="1"/>
    <n v="80.91"/>
    <n v="10"/>
    <x v="2994"/>
    <x v="0"/>
    <n v="6.9"/>
  </r>
  <r>
    <x v="312"/>
    <x v="0"/>
    <x v="0"/>
    <x v="0"/>
    <x v="0"/>
    <n v="11.26"/>
    <n v="6"/>
    <x v="2995"/>
    <x v="1"/>
    <n v="8.9"/>
  </r>
  <r>
    <x v="312"/>
    <x v="0"/>
    <x v="1"/>
    <x v="1"/>
    <x v="0"/>
    <n v="4.26"/>
    <n v="9"/>
    <x v="2476"/>
    <x v="2"/>
    <n v="6"/>
  </r>
  <r>
    <x v="312"/>
    <x v="1"/>
    <x v="1"/>
    <x v="0"/>
    <x v="4"/>
    <n v="46.82"/>
    <n v="4"/>
    <x v="2996"/>
    <x v="1"/>
    <n v="8.4"/>
  </r>
  <r>
    <x v="312"/>
    <x v="0"/>
    <x v="1"/>
    <x v="0"/>
    <x v="0"/>
    <n v="13.85"/>
    <n v="6"/>
    <x v="1605"/>
    <x v="0"/>
    <n v="5.2"/>
  </r>
  <r>
    <x v="312"/>
    <x v="1"/>
    <x v="0"/>
    <x v="0"/>
    <x v="4"/>
    <n v="49.03"/>
    <n v="9"/>
    <x v="2997"/>
    <x v="1"/>
    <n v="5.5"/>
  </r>
  <r>
    <x v="312"/>
    <x v="0"/>
    <x v="0"/>
    <x v="0"/>
    <x v="2"/>
    <n v="61.62"/>
    <n v="1"/>
    <x v="2243"/>
    <x v="2"/>
    <n v="4.5999999999999996"/>
  </r>
  <r>
    <x v="312"/>
    <x v="2"/>
    <x v="1"/>
    <x v="1"/>
    <x v="0"/>
    <n v="3.81"/>
    <n v="5"/>
    <x v="2998"/>
    <x v="0"/>
    <n v="9.4"/>
  </r>
  <r>
    <x v="312"/>
    <x v="0"/>
    <x v="1"/>
    <x v="0"/>
    <x v="0"/>
    <n v="8.69"/>
    <n v="6"/>
    <x v="2999"/>
    <x v="1"/>
    <n v="7.2"/>
  </r>
  <r>
    <x v="312"/>
    <x v="1"/>
    <x v="0"/>
    <x v="0"/>
    <x v="2"/>
    <n v="58.51"/>
    <n v="7"/>
    <x v="3000"/>
    <x v="2"/>
    <n v="5"/>
  </r>
  <r>
    <x v="312"/>
    <x v="2"/>
    <x v="1"/>
    <x v="1"/>
    <x v="0"/>
    <n v="2.56"/>
    <n v="9"/>
    <x v="3001"/>
    <x v="1"/>
    <n v="8"/>
  </r>
  <r>
    <x v="312"/>
    <x v="1"/>
    <x v="0"/>
    <x v="0"/>
    <x v="0"/>
    <n v="2.4"/>
    <n v="7"/>
    <x v="3002"/>
    <x v="0"/>
    <n v="5.0999999999999996"/>
  </r>
  <r>
    <x v="313"/>
    <x v="1"/>
    <x v="1"/>
    <x v="0"/>
    <x v="1"/>
    <n v="80.790000000000006"/>
    <n v="1"/>
    <x v="3003"/>
    <x v="0"/>
    <n v="3.3"/>
  </r>
  <r>
    <x v="313"/>
    <x v="1"/>
    <x v="1"/>
    <x v="0"/>
    <x v="0"/>
    <n v="2.42"/>
    <n v="8"/>
    <x v="1818"/>
    <x v="1"/>
    <n v="7.6"/>
  </r>
  <r>
    <x v="313"/>
    <x v="1"/>
    <x v="1"/>
    <x v="0"/>
    <x v="0"/>
    <n v="7.83"/>
    <n v="6"/>
    <x v="3004"/>
    <x v="2"/>
    <n v="3.9"/>
  </r>
  <r>
    <x v="313"/>
    <x v="2"/>
    <x v="0"/>
    <x v="1"/>
    <x v="2"/>
    <n v="51.78"/>
    <n v="8"/>
    <x v="3005"/>
    <x v="0"/>
    <n v="3.3"/>
  </r>
  <r>
    <x v="313"/>
    <x v="2"/>
    <x v="0"/>
    <x v="1"/>
    <x v="5"/>
    <n v="27.19"/>
    <n v="2"/>
    <x v="3006"/>
    <x v="0"/>
    <n v="8.4"/>
  </r>
  <r>
    <x v="313"/>
    <x v="0"/>
    <x v="0"/>
    <x v="0"/>
    <x v="0"/>
    <n v="8.2899999999999991"/>
    <n v="6"/>
    <x v="3007"/>
    <x v="2"/>
    <n v="3.2"/>
  </r>
  <r>
    <x v="313"/>
    <x v="1"/>
    <x v="1"/>
    <x v="1"/>
    <x v="5"/>
    <n v="17.850000000000001"/>
    <n v="1"/>
    <x v="3008"/>
    <x v="1"/>
    <n v="5.4"/>
  </r>
  <r>
    <x v="313"/>
    <x v="1"/>
    <x v="0"/>
    <x v="0"/>
    <x v="0"/>
    <n v="10.98"/>
    <n v="7"/>
    <x v="3009"/>
    <x v="0"/>
    <n v="9.4"/>
  </r>
  <r>
    <x v="313"/>
    <x v="0"/>
    <x v="0"/>
    <x v="0"/>
    <x v="4"/>
    <n v="66.12"/>
    <n v="9"/>
    <x v="3010"/>
    <x v="2"/>
    <n v="4.2"/>
  </r>
  <r>
    <x v="313"/>
    <x v="0"/>
    <x v="1"/>
    <x v="1"/>
    <x v="0"/>
    <n v="12.12"/>
    <n v="4"/>
    <x v="3011"/>
    <x v="2"/>
    <n v="8.4"/>
  </r>
  <r>
    <x v="313"/>
    <x v="0"/>
    <x v="1"/>
    <x v="1"/>
    <x v="4"/>
    <n v="62.21"/>
    <n v="3"/>
    <x v="3012"/>
    <x v="1"/>
    <n v="3.5"/>
  </r>
  <r>
    <x v="313"/>
    <x v="1"/>
    <x v="1"/>
    <x v="0"/>
    <x v="5"/>
    <n v="29.19"/>
    <n v="3"/>
    <x v="3013"/>
    <x v="0"/>
    <n v="8.3000000000000007"/>
  </r>
  <r>
    <x v="313"/>
    <x v="1"/>
    <x v="0"/>
    <x v="0"/>
    <x v="4"/>
    <n v="54.08"/>
    <n v="8"/>
    <x v="3014"/>
    <x v="2"/>
    <n v="8.6"/>
  </r>
  <r>
    <x v="313"/>
    <x v="1"/>
    <x v="0"/>
    <x v="0"/>
    <x v="4"/>
    <n v="67.540000000000006"/>
    <n v="8"/>
    <x v="3015"/>
    <x v="2"/>
    <n v="8.9"/>
  </r>
  <r>
    <x v="313"/>
    <x v="2"/>
    <x v="0"/>
    <x v="0"/>
    <x v="0"/>
    <n v="6.83"/>
    <n v="2"/>
    <x v="3016"/>
    <x v="1"/>
    <n v="9.8000000000000007"/>
  </r>
  <r>
    <x v="313"/>
    <x v="0"/>
    <x v="0"/>
    <x v="1"/>
    <x v="4"/>
    <n v="55.07"/>
    <n v="6"/>
    <x v="3017"/>
    <x v="0"/>
    <n v="7.6"/>
  </r>
  <r>
    <x v="313"/>
    <x v="1"/>
    <x v="1"/>
    <x v="1"/>
    <x v="0"/>
    <n v="12.72"/>
    <n v="4"/>
    <x v="1717"/>
    <x v="2"/>
    <n v="4.4000000000000004"/>
  </r>
  <r>
    <x v="313"/>
    <x v="2"/>
    <x v="1"/>
    <x v="1"/>
    <x v="0"/>
    <n v="2.1"/>
    <n v="10"/>
    <x v="3018"/>
    <x v="2"/>
    <n v="3.6"/>
  </r>
  <r>
    <x v="313"/>
    <x v="0"/>
    <x v="1"/>
    <x v="0"/>
    <x v="1"/>
    <n v="96.1"/>
    <n v="6"/>
    <x v="3019"/>
    <x v="0"/>
    <n v="7.9"/>
  </r>
  <r>
    <x v="313"/>
    <x v="0"/>
    <x v="0"/>
    <x v="1"/>
    <x v="0"/>
    <n v="2.33"/>
    <n v="2"/>
    <x v="3020"/>
    <x v="1"/>
    <n v="4.5"/>
  </r>
  <r>
    <x v="313"/>
    <x v="0"/>
    <x v="1"/>
    <x v="1"/>
    <x v="0"/>
    <n v="6.61"/>
    <n v="6"/>
    <x v="3021"/>
    <x v="0"/>
    <n v="6.9"/>
  </r>
  <r>
    <x v="313"/>
    <x v="1"/>
    <x v="0"/>
    <x v="0"/>
    <x v="5"/>
    <n v="15.31"/>
    <n v="7"/>
    <x v="3022"/>
    <x v="2"/>
    <n v="8.4"/>
  </r>
  <r>
    <x v="314"/>
    <x v="2"/>
    <x v="1"/>
    <x v="0"/>
    <x v="2"/>
    <n v="54.99"/>
    <n v="2"/>
    <x v="3023"/>
    <x v="2"/>
    <n v="5.4"/>
  </r>
  <r>
    <x v="314"/>
    <x v="1"/>
    <x v="0"/>
    <x v="1"/>
    <x v="4"/>
    <n v="68.33"/>
    <n v="7"/>
    <x v="3024"/>
    <x v="1"/>
    <n v="7.1"/>
  </r>
  <r>
    <x v="314"/>
    <x v="2"/>
    <x v="1"/>
    <x v="0"/>
    <x v="0"/>
    <n v="10.94"/>
    <n v="4"/>
    <x v="3025"/>
    <x v="1"/>
    <n v="9.6999999999999993"/>
  </r>
  <r>
    <x v="314"/>
    <x v="1"/>
    <x v="0"/>
    <x v="0"/>
    <x v="5"/>
    <n v="16.22"/>
    <n v="10"/>
    <x v="3026"/>
    <x v="2"/>
    <n v="4.2"/>
  </r>
  <r>
    <x v="314"/>
    <x v="1"/>
    <x v="1"/>
    <x v="0"/>
    <x v="3"/>
    <n v="6.3"/>
    <n v="5"/>
    <x v="3027"/>
    <x v="0"/>
    <n v="8.4"/>
  </r>
  <r>
    <x v="314"/>
    <x v="2"/>
    <x v="0"/>
    <x v="0"/>
    <x v="2"/>
    <n v="69.02"/>
    <n v="9"/>
    <x v="3028"/>
    <x v="0"/>
    <n v="8.8000000000000007"/>
  </r>
  <r>
    <x v="314"/>
    <x v="0"/>
    <x v="0"/>
    <x v="0"/>
    <x v="1"/>
    <n v="93.85"/>
    <n v="3"/>
    <x v="3029"/>
    <x v="0"/>
    <n v="5.7"/>
  </r>
  <r>
    <x v="314"/>
    <x v="2"/>
    <x v="1"/>
    <x v="0"/>
    <x v="4"/>
    <n v="67.650000000000006"/>
    <n v="9"/>
    <x v="3030"/>
    <x v="1"/>
    <n v="9.4"/>
  </r>
  <r>
    <x v="314"/>
    <x v="0"/>
    <x v="0"/>
    <x v="0"/>
    <x v="5"/>
    <n v="39.71"/>
    <n v="3"/>
    <x v="3031"/>
    <x v="1"/>
    <n v="6.9"/>
  </r>
  <r>
    <x v="314"/>
    <x v="2"/>
    <x v="1"/>
    <x v="1"/>
    <x v="4"/>
    <n v="61.14"/>
    <n v="2"/>
    <x v="3032"/>
    <x v="0"/>
    <n v="7.3"/>
  </r>
  <r>
    <x v="314"/>
    <x v="2"/>
    <x v="1"/>
    <x v="0"/>
    <x v="2"/>
    <n v="52.9"/>
    <n v="9"/>
    <x v="3033"/>
    <x v="0"/>
    <n v="5.9"/>
  </r>
  <r>
    <x v="314"/>
    <x v="2"/>
    <x v="1"/>
    <x v="0"/>
    <x v="0"/>
    <n v="2.2599999999999998"/>
    <n v="8"/>
    <x v="1080"/>
    <x v="2"/>
    <n v="5"/>
  </r>
  <r>
    <x v="314"/>
    <x v="0"/>
    <x v="1"/>
    <x v="1"/>
    <x v="3"/>
    <n v="15.86"/>
    <n v="6"/>
    <x v="2930"/>
    <x v="2"/>
    <n v="5.6"/>
  </r>
  <r>
    <x v="314"/>
    <x v="0"/>
    <x v="0"/>
    <x v="1"/>
    <x v="0"/>
    <n v="7.76"/>
    <n v="8"/>
    <x v="2317"/>
    <x v="2"/>
    <n v="7.8"/>
  </r>
  <r>
    <x v="314"/>
    <x v="2"/>
    <x v="0"/>
    <x v="0"/>
    <x v="0"/>
    <n v="3.34"/>
    <n v="1"/>
    <x v="3034"/>
    <x v="2"/>
    <n v="9.6"/>
  </r>
  <r>
    <x v="314"/>
    <x v="1"/>
    <x v="1"/>
    <x v="1"/>
    <x v="0"/>
    <n v="6.76"/>
    <n v="8"/>
    <x v="3035"/>
    <x v="0"/>
    <n v="5.3"/>
  </r>
  <r>
    <x v="314"/>
    <x v="0"/>
    <x v="0"/>
    <x v="0"/>
    <x v="3"/>
    <n v="23.3"/>
    <n v="5"/>
    <x v="3036"/>
    <x v="1"/>
    <n v="7.9"/>
  </r>
  <r>
    <x v="314"/>
    <x v="1"/>
    <x v="1"/>
    <x v="0"/>
    <x v="4"/>
    <n v="52.99"/>
    <n v="4"/>
    <x v="3037"/>
    <x v="2"/>
    <n v="8.6999999999999993"/>
  </r>
  <r>
    <x v="314"/>
    <x v="0"/>
    <x v="1"/>
    <x v="1"/>
    <x v="1"/>
    <n v="97.51"/>
    <n v="6"/>
    <x v="3038"/>
    <x v="1"/>
    <n v="9"/>
  </r>
  <r>
    <x v="314"/>
    <x v="2"/>
    <x v="1"/>
    <x v="1"/>
    <x v="0"/>
    <n v="12.1"/>
    <n v="10"/>
    <x v="3039"/>
    <x v="2"/>
    <n v="6.7"/>
  </r>
  <r>
    <x v="314"/>
    <x v="0"/>
    <x v="0"/>
    <x v="1"/>
    <x v="3"/>
    <n v="14.74"/>
    <n v="1"/>
    <x v="3040"/>
    <x v="1"/>
    <n v="9.1"/>
  </r>
  <r>
    <x v="314"/>
    <x v="0"/>
    <x v="1"/>
    <x v="1"/>
    <x v="0"/>
    <n v="6.21"/>
    <n v="3"/>
    <x v="3041"/>
    <x v="0"/>
    <n v="8.3000000000000007"/>
  </r>
  <r>
    <x v="314"/>
    <x v="2"/>
    <x v="0"/>
    <x v="1"/>
    <x v="3"/>
    <n v="5.94"/>
    <n v="1"/>
    <x v="3042"/>
    <x v="2"/>
    <n v="7.7"/>
  </r>
  <r>
    <x v="315"/>
    <x v="1"/>
    <x v="0"/>
    <x v="1"/>
    <x v="0"/>
    <n v="4.4800000000000004"/>
    <n v="9"/>
    <x v="3043"/>
    <x v="1"/>
    <n v="5.3"/>
  </r>
  <r>
    <x v="315"/>
    <x v="2"/>
    <x v="1"/>
    <x v="1"/>
    <x v="0"/>
    <n v="11.67"/>
    <n v="1"/>
    <x v="3044"/>
    <x v="2"/>
    <n v="8.9"/>
  </r>
  <r>
    <x v="315"/>
    <x v="0"/>
    <x v="1"/>
    <x v="0"/>
    <x v="2"/>
    <n v="67.8"/>
    <n v="10"/>
    <x v="3045"/>
    <x v="1"/>
    <n v="8.8000000000000007"/>
  </r>
  <r>
    <x v="315"/>
    <x v="2"/>
    <x v="1"/>
    <x v="0"/>
    <x v="5"/>
    <n v="18.8"/>
    <n v="2"/>
    <x v="3046"/>
    <x v="1"/>
    <n v="3.6"/>
  </r>
  <r>
    <x v="315"/>
    <x v="2"/>
    <x v="1"/>
    <x v="0"/>
    <x v="2"/>
    <n v="51.89"/>
    <n v="1"/>
    <x v="3047"/>
    <x v="2"/>
    <n v="9"/>
  </r>
  <r>
    <x v="315"/>
    <x v="2"/>
    <x v="0"/>
    <x v="0"/>
    <x v="3"/>
    <n v="13.55"/>
    <n v="9"/>
    <x v="3048"/>
    <x v="2"/>
    <n v="3.3"/>
  </r>
  <r>
    <x v="315"/>
    <x v="1"/>
    <x v="1"/>
    <x v="1"/>
    <x v="2"/>
    <n v="67.28"/>
    <n v="7"/>
    <x v="3049"/>
    <x v="1"/>
    <n v="5.9"/>
  </r>
  <r>
    <x v="315"/>
    <x v="0"/>
    <x v="0"/>
    <x v="0"/>
    <x v="0"/>
    <n v="9.41"/>
    <n v="6"/>
    <x v="3050"/>
    <x v="1"/>
    <n v="7.2"/>
  </r>
  <r>
    <x v="315"/>
    <x v="1"/>
    <x v="1"/>
    <x v="0"/>
    <x v="4"/>
    <n v="40.58"/>
    <n v="10"/>
    <x v="3051"/>
    <x v="0"/>
    <n v="7.2"/>
  </r>
  <r>
    <x v="315"/>
    <x v="0"/>
    <x v="1"/>
    <x v="1"/>
    <x v="0"/>
    <n v="2.41"/>
    <n v="10"/>
    <x v="3052"/>
    <x v="1"/>
    <n v="6.5"/>
  </r>
  <r>
    <x v="315"/>
    <x v="2"/>
    <x v="1"/>
    <x v="0"/>
    <x v="0"/>
    <n v="13.35"/>
    <n v="3"/>
    <x v="3053"/>
    <x v="0"/>
    <n v="6.7"/>
  </r>
  <r>
    <x v="315"/>
    <x v="0"/>
    <x v="1"/>
    <x v="1"/>
    <x v="0"/>
    <n v="6.65"/>
    <n v="7"/>
    <x v="3054"/>
    <x v="2"/>
    <n v="8.4"/>
  </r>
  <r>
    <x v="315"/>
    <x v="0"/>
    <x v="1"/>
    <x v="0"/>
    <x v="5"/>
    <n v="30.78"/>
    <n v="3"/>
    <x v="3055"/>
    <x v="2"/>
    <n v="9.6"/>
  </r>
  <r>
    <x v="315"/>
    <x v="2"/>
    <x v="0"/>
    <x v="0"/>
    <x v="0"/>
    <n v="14.43"/>
    <n v="9"/>
    <x v="3056"/>
    <x v="1"/>
    <n v="3.7"/>
  </r>
  <r>
    <x v="315"/>
    <x v="2"/>
    <x v="1"/>
    <x v="0"/>
    <x v="3"/>
    <n v="20.07"/>
    <n v="2"/>
    <x v="3057"/>
    <x v="0"/>
    <n v="4.0999999999999996"/>
  </r>
  <r>
    <x v="315"/>
    <x v="2"/>
    <x v="1"/>
    <x v="0"/>
    <x v="0"/>
    <n v="2.0499999999999998"/>
    <n v="6"/>
    <x v="3058"/>
    <x v="2"/>
    <n v="8.1"/>
  </r>
  <r>
    <x v="316"/>
    <x v="2"/>
    <x v="0"/>
    <x v="1"/>
    <x v="5"/>
    <n v="17.77"/>
    <n v="2"/>
    <x v="3059"/>
    <x v="2"/>
    <n v="9.3000000000000007"/>
  </r>
  <r>
    <x v="316"/>
    <x v="0"/>
    <x v="0"/>
    <x v="1"/>
    <x v="3"/>
    <n v="13.56"/>
    <n v="9"/>
    <x v="1701"/>
    <x v="2"/>
    <n v="3.6"/>
  </r>
  <r>
    <x v="316"/>
    <x v="0"/>
    <x v="1"/>
    <x v="1"/>
    <x v="4"/>
    <n v="48.83"/>
    <n v="9"/>
    <x v="3060"/>
    <x v="2"/>
    <n v="6.7"/>
  </r>
  <r>
    <x v="316"/>
    <x v="2"/>
    <x v="0"/>
    <x v="0"/>
    <x v="4"/>
    <n v="61.09"/>
    <n v="10"/>
    <x v="3061"/>
    <x v="1"/>
    <n v="3.5"/>
  </r>
  <r>
    <x v="316"/>
    <x v="0"/>
    <x v="0"/>
    <x v="0"/>
    <x v="3"/>
    <n v="16.95"/>
    <n v="5"/>
    <x v="3062"/>
    <x v="0"/>
    <n v="9.4"/>
  </r>
  <r>
    <x v="316"/>
    <x v="0"/>
    <x v="1"/>
    <x v="1"/>
    <x v="0"/>
    <n v="11.38"/>
    <n v="6"/>
    <x v="3063"/>
    <x v="2"/>
    <n v="9.6"/>
  </r>
  <r>
    <x v="316"/>
    <x v="1"/>
    <x v="0"/>
    <x v="1"/>
    <x v="5"/>
    <n v="25.64"/>
    <n v="8"/>
    <x v="3064"/>
    <x v="1"/>
    <n v="6.4"/>
  </r>
  <r>
    <x v="316"/>
    <x v="1"/>
    <x v="0"/>
    <x v="0"/>
    <x v="4"/>
    <n v="52.83"/>
    <n v="8"/>
    <x v="3065"/>
    <x v="1"/>
    <n v="6.6"/>
  </r>
  <r>
    <x v="316"/>
    <x v="1"/>
    <x v="1"/>
    <x v="0"/>
    <x v="5"/>
    <n v="20.52"/>
    <n v="1"/>
    <x v="3066"/>
    <x v="1"/>
    <n v="9.3000000000000007"/>
  </r>
  <r>
    <x v="317"/>
    <x v="1"/>
    <x v="1"/>
    <x v="0"/>
    <x v="3"/>
    <n v="6.95"/>
    <n v="7"/>
    <x v="3067"/>
    <x v="0"/>
    <n v="8.6999999999999993"/>
  </r>
  <r>
    <x v="317"/>
    <x v="0"/>
    <x v="1"/>
    <x v="1"/>
    <x v="5"/>
    <n v="21.75"/>
    <n v="9"/>
    <x v="3068"/>
    <x v="1"/>
    <n v="6.6"/>
  </r>
  <r>
    <x v="317"/>
    <x v="1"/>
    <x v="1"/>
    <x v="1"/>
    <x v="5"/>
    <n v="29.92"/>
    <n v="2"/>
    <x v="3069"/>
    <x v="1"/>
    <n v="3.6"/>
  </r>
  <r>
    <x v="317"/>
    <x v="2"/>
    <x v="1"/>
    <x v="1"/>
    <x v="5"/>
    <n v="27.18"/>
    <n v="5"/>
    <x v="3070"/>
    <x v="0"/>
    <n v="6.2"/>
  </r>
  <r>
    <x v="317"/>
    <x v="1"/>
    <x v="1"/>
    <x v="0"/>
    <x v="5"/>
    <n v="30.75"/>
    <n v="8"/>
    <x v="3071"/>
    <x v="1"/>
    <n v="4.0999999999999996"/>
  </r>
  <r>
    <x v="317"/>
    <x v="2"/>
    <x v="1"/>
    <x v="0"/>
    <x v="5"/>
    <n v="38.08"/>
    <n v="1"/>
    <x v="3072"/>
    <x v="2"/>
    <n v="8.4"/>
  </r>
  <r>
    <x v="317"/>
    <x v="1"/>
    <x v="0"/>
    <x v="1"/>
    <x v="4"/>
    <n v="49.26"/>
    <n v="2"/>
    <x v="3073"/>
    <x v="1"/>
    <n v="3.7"/>
  </r>
  <r>
    <x v="317"/>
    <x v="1"/>
    <x v="0"/>
    <x v="0"/>
    <x v="0"/>
    <n v="12.05"/>
    <n v="2"/>
    <x v="3052"/>
    <x v="2"/>
    <n v="9.6"/>
  </r>
  <r>
    <x v="317"/>
    <x v="0"/>
    <x v="1"/>
    <x v="0"/>
    <x v="0"/>
    <n v="13.26"/>
    <n v="8"/>
    <x v="3074"/>
    <x v="2"/>
    <n v="5.9"/>
  </r>
  <r>
    <x v="317"/>
    <x v="2"/>
    <x v="1"/>
    <x v="0"/>
    <x v="1"/>
    <n v="85.21"/>
    <n v="4"/>
    <x v="3075"/>
    <x v="1"/>
    <n v="4.3"/>
  </r>
  <r>
    <x v="317"/>
    <x v="2"/>
    <x v="1"/>
    <x v="0"/>
    <x v="5"/>
    <n v="38.74"/>
    <n v="8"/>
    <x v="3076"/>
    <x v="0"/>
    <n v="5.9"/>
  </r>
  <r>
    <x v="317"/>
    <x v="2"/>
    <x v="0"/>
    <x v="0"/>
    <x v="4"/>
    <n v="53"/>
    <n v="3"/>
    <x v="3077"/>
    <x v="2"/>
    <n v="4.8"/>
  </r>
  <r>
    <x v="317"/>
    <x v="2"/>
    <x v="0"/>
    <x v="0"/>
    <x v="0"/>
    <n v="12.82"/>
    <n v="9"/>
    <x v="3078"/>
    <x v="0"/>
    <n v="3.4"/>
  </r>
  <r>
    <x v="317"/>
    <x v="1"/>
    <x v="0"/>
    <x v="0"/>
    <x v="2"/>
    <n v="72.599999999999994"/>
    <n v="9"/>
    <x v="3079"/>
    <x v="2"/>
    <n v="5.4"/>
  </r>
  <r>
    <x v="317"/>
    <x v="2"/>
    <x v="0"/>
    <x v="0"/>
    <x v="5"/>
    <n v="34.869999999999997"/>
    <n v="9"/>
    <x v="3080"/>
    <x v="1"/>
    <n v="4.0999999999999996"/>
  </r>
  <r>
    <x v="317"/>
    <x v="1"/>
    <x v="1"/>
    <x v="1"/>
    <x v="5"/>
    <n v="25.27"/>
    <n v="2"/>
    <x v="1690"/>
    <x v="1"/>
    <n v="6.3"/>
  </r>
  <r>
    <x v="317"/>
    <x v="1"/>
    <x v="1"/>
    <x v="1"/>
    <x v="5"/>
    <n v="19.809999999999999"/>
    <n v="6"/>
    <x v="3081"/>
    <x v="2"/>
    <n v="6.1"/>
  </r>
  <r>
    <x v="317"/>
    <x v="1"/>
    <x v="0"/>
    <x v="0"/>
    <x v="4"/>
    <n v="48.11"/>
    <n v="1"/>
    <x v="3082"/>
    <x v="0"/>
    <n v="3.1"/>
  </r>
  <r>
    <x v="317"/>
    <x v="1"/>
    <x v="0"/>
    <x v="0"/>
    <x v="2"/>
    <n v="52.45"/>
    <n v="4"/>
    <x v="3083"/>
    <x v="0"/>
    <n v="8.9"/>
  </r>
  <r>
    <x v="317"/>
    <x v="0"/>
    <x v="1"/>
    <x v="1"/>
    <x v="0"/>
    <n v="8.7799999999999994"/>
    <n v="10"/>
    <x v="3084"/>
    <x v="0"/>
    <n v="7.8"/>
  </r>
  <r>
    <x v="317"/>
    <x v="1"/>
    <x v="1"/>
    <x v="1"/>
    <x v="0"/>
    <n v="7.53"/>
    <n v="4"/>
    <x v="3085"/>
    <x v="2"/>
    <n v="4.4000000000000004"/>
  </r>
  <r>
    <x v="317"/>
    <x v="0"/>
    <x v="1"/>
    <x v="1"/>
    <x v="5"/>
    <n v="28.82"/>
    <n v="7"/>
    <x v="3086"/>
    <x v="1"/>
    <n v="5.2"/>
  </r>
  <r>
    <x v="317"/>
    <x v="2"/>
    <x v="1"/>
    <x v="0"/>
    <x v="3"/>
    <n v="16.739999999999998"/>
    <n v="2"/>
    <x v="3087"/>
    <x v="2"/>
    <n v="6.5"/>
  </r>
  <r>
    <x v="317"/>
    <x v="2"/>
    <x v="0"/>
    <x v="0"/>
    <x v="0"/>
    <n v="4.29"/>
    <n v="4"/>
    <x v="1747"/>
    <x v="1"/>
    <n v="3.8"/>
  </r>
  <r>
    <x v="317"/>
    <x v="1"/>
    <x v="1"/>
    <x v="0"/>
    <x v="4"/>
    <n v="48.15"/>
    <n v="9"/>
    <x v="3088"/>
    <x v="1"/>
    <n v="8.8000000000000007"/>
  </r>
  <r>
    <x v="318"/>
    <x v="0"/>
    <x v="1"/>
    <x v="1"/>
    <x v="1"/>
    <n v="93.73"/>
    <n v="3"/>
    <x v="3089"/>
    <x v="0"/>
    <n v="8.5"/>
  </r>
  <r>
    <x v="318"/>
    <x v="1"/>
    <x v="0"/>
    <x v="0"/>
    <x v="2"/>
    <n v="57.18"/>
    <n v="2"/>
    <x v="3090"/>
    <x v="2"/>
    <n v="3.3"/>
  </r>
  <r>
    <x v="318"/>
    <x v="0"/>
    <x v="0"/>
    <x v="0"/>
    <x v="4"/>
    <n v="66.27"/>
    <n v="8"/>
    <x v="3091"/>
    <x v="1"/>
    <n v="4.9000000000000004"/>
  </r>
  <r>
    <x v="318"/>
    <x v="1"/>
    <x v="1"/>
    <x v="1"/>
    <x v="4"/>
    <n v="52.86"/>
    <n v="6"/>
    <x v="3092"/>
    <x v="0"/>
    <n v="4.9000000000000004"/>
  </r>
  <r>
    <x v="318"/>
    <x v="0"/>
    <x v="1"/>
    <x v="1"/>
    <x v="5"/>
    <n v="37.369999999999997"/>
    <n v="7"/>
    <x v="3093"/>
    <x v="0"/>
    <n v="8"/>
  </r>
  <r>
    <x v="318"/>
    <x v="1"/>
    <x v="1"/>
    <x v="1"/>
    <x v="4"/>
    <n v="63.28"/>
    <n v="2"/>
    <x v="3094"/>
    <x v="2"/>
    <n v="5"/>
  </r>
  <r>
    <x v="318"/>
    <x v="0"/>
    <x v="1"/>
    <x v="0"/>
    <x v="2"/>
    <n v="55.4"/>
    <n v="10"/>
    <x v="3095"/>
    <x v="2"/>
    <n v="9.6999999999999993"/>
  </r>
  <r>
    <x v="318"/>
    <x v="2"/>
    <x v="0"/>
    <x v="1"/>
    <x v="1"/>
    <n v="95.85"/>
    <n v="4"/>
    <x v="3096"/>
    <x v="0"/>
    <n v="5.4"/>
  </r>
  <r>
    <x v="318"/>
    <x v="1"/>
    <x v="1"/>
    <x v="0"/>
    <x v="5"/>
    <n v="16.23"/>
    <n v="9"/>
    <x v="3097"/>
    <x v="0"/>
    <n v="7.3"/>
  </r>
  <r>
    <x v="318"/>
    <x v="2"/>
    <x v="1"/>
    <x v="0"/>
    <x v="0"/>
    <n v="7.67"/>
    <n v="3"/>
    <x v="3098"/>
    <x v="1"/>
    <n v="9.1999999999999993"/>
  </r>
  <r>
    <x v="318"/>
    <x v="1"/>
    <x v="1"/>
    <x v="1"/>
    <x v="5"/>
    <n v="23.4"/>
    <n v="9"/>
    <x v="3099"/>
    <x v="0"/>
    <n v="6.8"/>
  </r>
  <r>
    <x v="318"/>
    <x v="0"/>
    <x v="1"/>
    <x v="0"/>
    <x v="0"/>
    <n v="12.61"/>
    <n v="2"/>
    <x v="2015"/>
    <x v="1"/>
    <n v="5.6"/>
  </r>
  <r>
    <x v="318"/>
    <x v="2"/>
    <x v="1"/>
    <x v="1"/>
    <x v="4"/>
    <n v="40.74"/>
    <n v="9"/>
    <x v="3100"/>
    <x v="2"/>
    <n v="8.5"/>
  </r>
  <r>
    <x v="318"/>
    <x v="0"/>
    <x v="1"/>
    <x v="1"/>
    <x v="3"/>
    <n v="22.85"/>
    <n v="3"/>
    <x v="3101"/>
    <x v="1"/>
    <n v="5.9"/>
  </r>
  <r>
    <x v="318"/>
    <x v="1"/>
    <x v="1"/>
    <x v="1"/>
    <x v="2"/>
    <n v="70.2"/>
    <n v="4"/>
    <x v="3102"/>
    <x v="2"/>
    <n v="5.3"/>
  </r>
  <r>
    <x v="318"/>
    <x v="1"/>
    <x v="0"/>
    <x v="1"/>
    <x v="2"/>
    <n v="79.64"/>
    <n v="10"/>
    <x v="3103"/>
    <x v="2"/>
    <n v="7.7"/>
  </r>
  <r>
    <x v="318"/>
    <x v="0"/>
    <x v="0"/>
    <x v="0"/>
    <x v="3"/>
    <n v="19.760000000000002"/>
    <n v="8"/>
    <x v="3104"/>
    <x v="2"/>
    <n v="3.8"/>
  </r>
  <r>
    <x v="319"/>
    <x v="2"/>
    <x v="0"/>
    <x v="0"/>
    <x v="0"/>
    <n v="14.36"/>
    <n v="8"/>
    <x v="3105"/>
    <x v="2"/>
    <n v="5.7"/>
  </r>
  <r>
    <x v="319"/>
    <x v="1"/>
    <x v="0"/>
    <x v="1"/>
    <x v="0"/>
    <n v="7.33"/>
    <n v="5"/>
    <x v="1649"/>
    <x v="2"/>
    <n v="4.0999999999999996"/>
  </r>
  <r>
    <x v="319"/>
    <x v="0"/>
    <x v="1"/>
    <x v="1"/>
    <x v="4"/>
    <n v="48.96"/>
    <n v="1"/>
    <x v="3106"/>
    <x v="0"/>
    <n v="5.0999999999999996"/>
  </r>
  <r>
    <x v="319"/>
    <x v="1"/>
    <x v="1"/>
    <x v="0"/>
    <x v="3"/>
    <n v="10.08"/>
    <n v="10"/>
    <x v="2273"/>
    <x v="0"/>
    <n v="3.3"/>
  </r>
  <r>
    <x v="319"/>
    <x v="1"/>
    <x v="0"/>
    <x v="0"/>
    <x v="4"/>
    <n v="58.57"/>
    <n v="5"/>
    <x v="3107"/>
    <x v="0"/>
    <n v="9.3000000000000007"/>
  </r>
  <r>
    <x v="319"/>
    <x v="0"/>
    <x v="0"/>
    <x v="0"/>
    <x v="2"/>
    <n v="63.19"/>
    <n v="7"/>
    <x v="3108"/>
    <x v="0"/>
    <n v="4.9000000000000004"/>
  </r>
  <r>
    <x v="319"/>
    <x v="1"/>
    <x v="0"/>
    <x v="1"/>
    <x v="0"/>
    <n v="6.62"/>
    <n v="10"/>
    <x v="3109"/>
    <x v="2"/>
    <n v="7.7"/>
  </r>
  <r>
    <x v="319"/>
    <x v="0"/>
    <x v="0"/>
    <x v="0"/>
    <x v="0"/>
    <n v="10.24"/>
    <n v="6"/>
    <x v="3110"/>
    <x v="1"/>
    <n v="5.0999999999999996"/>
  </r>
  <r>
    <x v="319"/>
    <x v="2"/>
    <x v="1"/>
    <x v="0"/>
    <x v="4"/>
    <n v="66.239999999999995"/>
    <n v="6"/>
    <x v="3111"/>
    <x v="2"/>
    <n v="7.3"/>
  </r>
  <r>
    <x v="319"/>
    <x v="1"/>
    <x v="0"/>
    <x v="1"/>
    <x v="3"/>
    <n v="14.1"/>
    <n v="5"/>
    <x v="3112"/>
    <x v="2"/>
    <n v="8.1999999999999993"/>
  </r>
  <r>
    <x v="319"/>
    <x v="0"/>
    <x v="1"/>
    <x v="0"/>
    <x v="3"/>
    <n v="22.67"/>
    <n v="1"/>
    <x v="3113"/>
    <x v="2"/>
    <n v="6"/>
  </r>
  <r>
    <x v="319"/>
    <x v="1"/>
    <x v="0"/>
    <x v="0"/>
    <x v="4"/>
    <n v="51.14"/>
    <n v="8"/>
    <x v="3114"/>
    <x v="2"/>
    <n v="4.8"/>
  </r>
  <r>
    <x v="319"/>
    <x v="0"/>
    <x v="0"/>
    <x v="1"/>
    <x v="4"/>
    <n v="63.17"/>
    <n v="3"/>
    <x v="3115"/>
    <x v="0"/>
    <n v="8.9"/>
  </r>
  <r>
    <x v="319"/>
    <x v="1"/>
    <x v="0"/>
    <x v="0"/>
    <x v="4"/>
    <n v="56.34"/>
    <n v="1"/>
    <x v="3116"/>
    <x v="2"/>
    <n v="9.5"/>
  </r>
  <r>
    <x v="319"/>
    <x v="1"/>
    <x v="1"/>
    <x v="0"/>
    <x v="0"/>
    <n v="14.48"/>
    <n v="7"/>
    <x v="3117"/>
    <x v="2"/>
    <n v="4.3"/>
  </r>
  <r>
    <x v="319"/>
    <x v="0"/>
    <x v="0"/>
    <x v="0"/>
    <x v="4"/>
    <n v="50.54"/>
    <n v="5"/>
    <x v="3118"/>
    <x v="0"/>
    <n v="7.7"/>
  </r>
  <r>
    <x v="319"/>
    <x v="0"/>
    <x v="0"/>
    <x v="1"/>
    <x v="3"/>
    <n v="13.31"/>
    <n v="6"/>
    <x v="3119"/>
    <x v="1"/>
    <n v="3.5"/>
  </r>
  <r>
    <x v="319"/>
    <x v="1"/>
    <x v="1"/>
    <x v="1"/>
    <x v="2"/>
    <n v="69.08"/>
    <n v="3"/>
    <x v="3120"/>
    <x v="2"/>
    <n v="3.8"/>
  </r>
  <r>
    <x v="319"/>
    <x v="2"/>
    <x v="1"/>
    <x v="0"/>
    <x v="0"/>
    <n v="6.33"/>
    <n v="6"/>
    <x v="3121"/>
    <x v="2"/>
    <n v="8.1"/>
  </r>
  <r>
    <x v="319"/>
    <x v="1"/>
    <x v="1"/>
    <x v="1"/>
    <x v="2"/>
    <n v="74.180000000000007"/>
    <n v="6"/>
    <x v="3122"/>
    <x v="1"/>
    <n v="7.1"/>
  </r>
  <r>
    <x v="319"/>
    <x v="1"/>
    <x v="0"/>
    <x v="1"/>
    <x v="0"/>
    <n v="13.31"/>
    <n v="4"/>
    <x v="3123"/>
    <x v="2"/>
    <n v="8.1"/>
  </r>
  <r>
    <x v="319"/>
    <x v="2"/>
    <x v="1"/>
    <x v="0"/>
    <x v="0"/>
    <n v="11.45"/>
    <n v="6"/>
    <x v="3124"/>
    <x v="1"/>
    <n v="4.5"/>
  </r>
  <r>
    <x v="320"/>
    <x v="2"/>
    <x v="0"/>
    <x v="1"/>
    <x v="0"/>
    <n v="8.2899999999999991"/>
    <n v="8"/>
    <x v="3125"/>
    <x v="1"/>
    <n v="3.5"/>
  </r>
  <r>
    <x v="320"/>
    <x v="0"/>
    <x v="1"/>
    <x v="0"/>
    <x v="0"/>
    <n v="5.6"/>
    <n v="3"/>
    <x v="3126"/>
    <x v="0"/>
    <n v="8.6999999999999993"/>
  </r>
  <r>
    <x v="320"/>
    <x v="2"/>
    <x v="1"/>
    <x v="1"/>
    <x v="4"/>
    <n v="48.68"/>
    <n v="3"/>
    <x v="3127"/>
    <x v="1"/>
    <n v="4.0999999999999996"/>
  </r>
  <r>
    <x v="320"/>
    <x v="2"/>
    <x v="0"/>
    <x v="0"/>
    <x v="4"/>
    <n v="65.95"/>
    <n v="8"/>
    <x v="3128"/>
    <x v="0"/>
    <n v="5.9"/>
  </r>
  <r>
    <x v="320"/>
    <x v="1"/>
    <x v="1"/>
    <x v="0"/>
    <x v="5"/>
    <n v="38.700000000000003"/>
    <n v="8"/>
    <x v="3129"/>
    <x v="0"/>
    <n v="5.2"/>
  </r>
  <r>
    <x v="320"/>
    <x v="0"/>
    <x v="1"/>
    <x v="0"/>
    <x v="0"/>
    <n v="10.5"/>
    <n v="1"/>
    <x v="3130"/>
    <x v="2"/>
    <n v="4.4000000000000004"/>
  </r>
  <r>
    <x v="320"/>
    <x v="2"/>
    <x v="1"/>
    <x v="1"/>
    <x v="4"/>
    <n v="48.15"/>
    <n v="5"/>
    <x v="3131"/>
    <x v="2"/>
    <n v="5.5"/>
  </r>
  <r>
    <x v="320"/>
    <x v="0"/>
    <x v="0"/>
    <x v="1"/>
    <x v="4"/>
    <n v="58.93"/>
    <n v="4"/>
    <x v="3132"/>
    <x v="0"/>
    <n v="6.5"/>
  </r>
  <r>
    <x v="320"/>
    <x v="0"/>
    <x v="1"/>
    <x v="0"/>
    <x v="0"/>
    <n v="8.59"/>
    <n v="3"/>
    <x v="3133"/>
    <x v="2"/>
    <n v="8.6999999999999993"/>
  </r>
  <r>
    <x v="320"/>
    <x v="0"/>
    <x v="1"/>
    <x v="0"/>
    <x v="3"/>
    <n v="19.95"/>
    <n v="1"/>
    <x v="3134"/>
    <x v="1"/>
    <n v="6.3"/>
  </r>
  <r>
    <x v="321"/>
    <x v="0"/>
    <x v="1"/>
    <x v="1"/>
    <x v="3"/>
    <n v="11.37"/>
    <n v="5"/>
    <x v="3135"/>
    <x v="1"/>
    <n v="3.3"/>
  </r>
  <r>
    <x v="321"/>
    <x v="1"/>
    <x v="1"/>
    <x v="0"/>
    <x v="2"/>
    <n v="72.3"/>
    <n v="9"/>
    <x v="3136"/>
    <x v="1"/>
    <n v="3.5"/>
  </r>
  <r>
    <x v="321"/>
    <x v="2"/>
    <x v="0"/>
    <x v="1"/>
    <x v="3"/>
    <n v="13.81"/>
    <n v="3"/>
    <x v="3137"/>
    <x v="0"/>
    <n v="7.3"/>
  </r>
  <r>
    <x v="321"/>
    <x v="2"/>
    <x v="0"/>
    <x v="1"/>
    <x v="0"/>
    <n v="3.39"/>
    <n v="2"/>
    <x v="3138"/>
    <x v="0"/>
    <n v="6.5"/>
  </r>
  <r>
    <x v="321"/>
    <x v="2"/>
    <x v="0"/>
    <x v="0"/>
    <x v="2"/>
    <n v="62.49"/>
    <n v="10"/>
    <x v="3139"/>
    <x v="2"/>
    <n v="3.6"/>
  </r>
  <r>
    <x v="321"/>
    <x v="2"/>
    <x v="1"/>
    <x v="0"/>
    <x v="5"/>
    <n v="34.549999999999997"/>
    <n v="2"/>
    <x v="3140"/>
    <x v="0"/>
    <n v="3.6"/>
  </r>
  <r>
    <x v="321"/>
    <x v="0"/>
    <x v="1"/>
    <x v="0"/>
    <x v="0"/>
    <n v="9.77"/>
    <n v="1"/>
    <x v="3141"/>
    <x v="1"/>
    <n v="8.4"/>
  </r>
  <r>
    <x v="321"/>
    <x v="1"/>
    <x v="1"/>
    <x v="1"/>
    <x v="5"/>
    <n v="20.29"/>
    <n v="2"/>
    <x v="3142"/>
    <x v="1"/>
    <n v="3.2"/>
  </r>
  <r>
    <x v="321"/>
    <x v="2"/>
    <x v="1"/>
    <x v="0"/>
    <x v="2"/>
    <n v="50.23"/>
    <n v="6"/>
    <x v="3143"/>
    <x v="2"/>
    <n v="7.2"/>
  </r>
  <r>
    <x v="321"/>
    <x v="1"/>
    <x v="0"/>
    <x v="0"/>
    <x v="4"/>
    <n v="51.94"/>
    <n v="1"/>
    <x v="3144"/>
    <x v="0"/>
    <n v="4.0999999999999996"/>
  </r>
  <r>
    <x v="321"/>
    <x v="1"/>
    <x v="0"/>
    <x v="1"/>
    <x v="1"/>
    <n v="91.16"/>
    <n v="2"/>
    <x v="3145"/>
    <x v="0"/>
    <n v="6.8"/>
  </r>
  <r>
    <x v="321"/>
    <x v="0"/>
    <x v="0"/>
    <x v="0"/>
    <x v="5"/>
    <n v="24.27"/>
    <n v="5"/>
    <x v="3146"/>
    <x v="0"/>
    <n v="7.5"/>
  </r>
  <r>
    <x v="321"/>
    <x v="2"/>
    <x v="1"/>
    <x v="0"/>
    <x v="0"/>
    <n v="12.54"/>
    <n v="6"/>
    <x v="3147"/>
    <x v="0"/>
    <n v="8.6999999999999993"/>
  </r>
  <r>
    <x v="321"/>
    <x v="2"/>
    <x v="0"/>
    <x v="0"/>
    <x v="4"/>
    <n v="49.17"/>
    <n v="1"/>
    <x v="3148"/>
    <x v="0"/>
    <n v="3.1"/>
  </r>
  <r>
    <x v="321"/>
    <x v="2"/>
    <x v="0"/>
    <x v="0"/>
    <x v="2"/>
    <n v="75.63"/>
    <n v="5"/>
    <x v="3149"/>
    <x v="2"/>
    <n v="4.4000000000000004"/>
  </r>
  <r>
    <x v="321"/>
    <x v="1"/>
    <x v="1"/>
    <x v="0"/>
    <x v="0"/>
    <n v="10.61"/>
    <n v="6"/>
    <x v="3150"/>
    <x v="0"/>
    <n v="8.5"/>
  </r>
  <r>
    <x v="321"/>
    <x v="1"/>
    <x v="0"/>
    <x v="1"/>
    <x v="5"/>
    <n v="24.99"/>
    <n v="8"/>
    <x v="3151"/>
    <x v="2"/>
    <n v="4"/>
  </r>
  <r>
    <x v="321"/>
    <x v="2"/>
    <x v="1"/>
    <x v="0"/>
    <x v="5"/>
    <n v="27.71"/>
    <n v="7"/>
    <x v="3152"/>
    <x v="2"/>
    <n v="4.3"/>
  </r>
  <r>
    <x v="321"/>
    <x v="2"/>
    <x v="1"/>
    <x v="1"/>
    <x v="0"/>
    <n v="14.59"/>
    <n v="8"/>
    <x v="3153"/>
    <x v="0"/>
    <n v="8.1999999999999993"/>
  </r>
  <r>
    <x v="321"/>
    <x v="2"/>
    <x v="1"/>
    <x v="1"/>
    <x v="4"/>
    <n v="62.19"/>
    <n v="3"/>
    <x v="3154"/>
    <x v="0"/>
    <n v="8"/>
  </r>
  <r>
    <x v="321"/>
    <x v="0"/>
    <x v="1"/>
    <x v="0"/>
    <x v="0"/>
    <n v="13.28"/>
    <n v="7"/>
    <x v="3155"/>
    <x v="2"/>
    <n v="6.3"/>
  </r>
  <r>
    <x v="322"/>
    <x v="2"/>
    <x v="1"/>
    <x v="1"/>
    <x v="0"/>
    <n v="7.82"/>
    <n v="9"/>
    <x v="3156"/>
    <x v="0"/>
    <n v="3.3"/>
  </r>
  <r>
    <x v="322"/>
    <x v="2"/>
    <x v="0"/>
    <x v="0"/>
    <x v="1"/>
    <n v="95.49"/>
    <n v="4"/>
    <x v="3157"/>
    <x v="0"/>
    <n v="7.4"/>
  </r>
  <r>
    <x v="322"/>
    <x v="0"/>
    <x v="0"/>
    <x v="0"/>
    <x v="4"/>
    <n v="61.33"/>
    <n v="10"/>
    <x v="3158"/>
    <x v="1"/>
    <n v="9.1"/>
  </r>
  <r>
    <x v="322"/>
    <x v="2"/>
    <x v="1"/>
    <x v="0"/>
    <x v="5"/>
    <n v="33.93"/>
    <n v="8"/>
    <x v="3159"/>
    <x v="1"/>
    <n v="4.9000000000000004"/>
  </r>
  <r>
    <x v="322"/>
    <x v="2"/>
    <x v="0"/>
    <x v="0"/>
    <x v="0"/>
    <n v="11.25"/>
    <n v="10"/>
    <x v="3160"/>
    <x v="2"/>
    <n v="7.7"/>
  </r>
  <r>
    <x v="322"/>
    <x v="1"/>
    <x v="1"/>
    <x v="1"/>
    <x v="5"/>
    <n v="32.659999999999997"/>
    <n v="4"/>
    <x v="1629"/>
    <x v="0"/>
    <n v="4.5"/>
  </r>
  <r>
    <x v="322"/>
    <x v="2"/>
    <x v="1"/>
    <x v="0"/>
    <x v="3"/>
    <n v="15.41"/>
    <n v="5"/>
    <x v="3161"/>
    <x v="0"/>
    <n v="4.8"/>
  </r>
  <r>
    <x v="322"/>
    <x v="2"/>
    <x v="1"/>
    <x v="1"/>
    <x v="1"/>
    <n v="84.38"/>
    <n v="5"/>
    <x v="3162"/>
    <x v="2"/>
    <n v="5.7"/>
  </r>
  <r>
    <x v="322"/>
    <x v="2"/>
    <x v="1"/>
    <x v="0"/>
    <x v="4"/>
    <n v="47.31"/>
    <n v="10"/>
    <x v="3163"/>
    <x v="2"/>
    <n v="6.2"/>
  </r>
  <r>
    <x v="322"/>
    <x v="2"/>
    <x v="0"/>
    <x v="0"/>
    <x v="0"/>
    <n v="12.66"/>
    <n v="1"/>
    <x v="2039"/>
    <x v="2"/>
    <n v="5.0999999999999996"/>
  </r>
  <r>
    <x v="322"/>
    <x v="0"/>
    <x v="1"/>
    <x v="0"/>
    <x v="4"/>
    <n v="69.47"/>
    <n v="5"/>
    <x v="3164"/>
    <x v="2"/>
    <n v="7"/>
  </r>
  <r>
    <x v="322"/>
    <x v="0"/>
    <x v="1"/>
    <x v="0"/>
    <x v="4"/>
    <n v="46.65"/>
    <n v="4"/>
    <x v="2163"/>
    <x v="0"/>
    <n v="8.9"/>
  </r>
  <r>
    <x v="322"/>
    <x v="2"/>
    <x v="1"/>
    <x v="1"/>
    <x v="4"/>
    <n v="56.29"/>
    <n v="5"/>
    <x v="3165"/>
    <x v="0"/>
    <n v="8.8000000000000007"/>
  </r>
  <r>
    <x v="322"/>
    <x v="1"/>
    <x v="1"/>
    <x v="0"/>
    <x v="3"/>
    <n v="5.93"/>
    <n v="6"/>
    <x v="3166"/>
    <x v="2"/>
    <n v="8.5"/>
  </r>
  <r>
    <x v="322"/>
    <x v="1"/>
    <x v="1"/>
    <x v="1"/>
    <x v="5"/>
    <n v="23.02"/>
    <n v="3"/>
    <x v="3167"/>
    <x v="1"/>
    <n v="8.3000000000000007"/>
  </r>
  <r>
    <x v="322"/>
    <x v="1"/>
    <x v="1"/>
    <x v="1"/>
    <x v="0"/>
    <n v="9.2100000000000009"/>
    <n v="4"/>
    <x v="3168"/>
    <x v="2"/>
    <n v="4.4000000000000004"/>
  </r>
  <r>
    <x v="322"/>
    <x v="2"/>
    <x v="1"/>
    <x v="0"/>
    <x v="3"/>
    <n v="11.99"/>
    <n v="3"/>
    <x v="3169"/>
    <x v="1"/>
    <n v="5.9"/>
  </r>
  <r>
    <x v="322"/>
    <x v="2"/>
    <x v="1"/>
    <x v="1"/>
    <x v="2"/>
    <n v="57.17"/>
    <n v="7"/>
    <x v="3170"/>
    <x v="1"/>
    <n v="4.7"/>
  </r>
  <r>
    <x v="322"/>
    <x v="1"/>
    <x v="1"/>
    <x v="1"/>
    <x v="4"/>
    <n v="59.61"/>
    <n v="2"/>
    <x v="3171"/>
    <x v="2"/>
    <n v="5.7"/>
  </r>
  <r>
    <x v="322"/>
    <x v="1"/>
    <x v="1"/>
    <x v="1"/>
    <x v="2"/>
    <n v="79.48"/>
    <n v="3"/>
    <x v="3172"/>
    <x v="2"/>
    <n v="3.5"/>
  </r>
  <r>
    <x v="322"/>
    <x v="2"/>
    <x v="1"/>
    <x v="1"/>
    <x v="0"/>
    <n v="11.6"/>
    <n v="6"/>
    <x v="3173"/>
    <x v="2"/>
    <n v="3.5"/>
  </r>
  <r>
    <x v="322"/>
    <x v="2"/>
    <x v="1"/>
    <x v="1"/>
    <x v="0"/>
    <n v="9.89"/>
    <n v="10"/>
    <x v="3174"/>
    <x v="0"/>
    <n v="5.0999999999999996"/>
  </r>
  <r>
    <x v="322"/>
    <x v="1"/>
    <x v="0"/>
    <x v="1"/>
    <x v="4"/>
    <n v="62.18"/>
    <n v="9"/>
    <x v="3175"/>
    <x v="0"/>
    <n v="9.1999999999999993"/>
  </r>
  <r>
    <x v="322"/>
    <x v="1"/>
    <x v="0"/>
    <x v="0"/>
    <x v="3"/>
    <n v="12.25"/>
    <n v="3"/>
    <x v="3176"/>
    <x v="0"/>
    <n v="7"/>
  </r>
  <r>
    <x v="323"/>
    <x v="2"/>
    <x v="0"/>
    <x v="0"/>
    <x v="1"/>
    <n v="97.95"/>
    <n v="1"/>
    <x v="3177"/>
    <x v="0"/>
    <n v="9.5"/>
  </r>
  <r>
    <x v="323"/>
    <x v="1"/>
    <x v="0"/>
    <x v="1"/>
    <x v="2"/>
    <n v="76.400000000000006"/>
    <n v="8"/>
    <x v="3178"/>
    <x v="0"/>
    <n v="9.1"/>
  </r>
  <r>
    <x v="323"/>
    <x v="2"/>
    <x v="1"/>
    <x v="0"/>
    <x v="0"/>
    <n v="13.41"/>
    <n v="7"/>
    <x v="3179"/>
    <x v="2"/>
    <n v="4.4000000000000004"/>
  </r>
  <r>
    <x v="323"/>
    <x v="0"/>
    <x v="1"/>
    <x v="0"/>
    <x v="0"/>
    <n v="12.65"/>
    <n v="1"/>
    <x v="3180"/>
    <x v="1"/>
    <n v="5.6"/>
  </r>
  <r>
    <x v="323"/>
    <x v="1"/>
    <x v="1"/>
    <x v="1"/>
    <x v="0"/>
    <n v="13.33"/>
    <n v="10"/>
    <x v="1052"/>
    <x v="2"/>
    <n v="7.2"/>
  </r>
  <r>
    <x v="323"/>
    <x v="0"/>
    <x v="1"/>
    <x v="0"/>
    <x v="0"/>
    <n v="14.61"/>
    <n v="9"/>
    <x v="3181"/>
    <x v="1"/>
    <n v="6.6"/>
  </r>
  <r>
    <x v="323"/>
    <x v="2"/>
    <x v="1"/>
    <x v="1"/>
    <x v="2"/>
    <n v="57.16"/>
    <n v="8"/>
    <x v="3182"/>
    <x v="1"/>
    <n v="7.5"/>
  </r>
  <r>
    <x v="323"/>
    <x v="0"/>
    <x v="1"/>
    <x v="0"/>
    <x v="0"/>
    <n v="7.41"/>
    <n v="4"/>
    <x v="3183"/>
    <x v="0"/>
    <n v="8.4"/>
  </r>
  <r>
    <x v="323"/>
    <x v="2"/>
    <x v="0"/>
    <x v="0"/>
    <x v="4"/>
    <n v="66.790000000000006"/>
    <n v="2"/>
    <x v="3184"/>
    <x v="2"/>
    <n v="7.3"/>
  </r>
  <r>
    <x v="323"/>
    <x v="2"/>
    <x v="1"/>
    <x v="0"/>
    <x v="4"/>
    <n v="66.709999999999994"/>
    <n v="5"/>
    <x v="2782"/>
    <x v="0"/>
    <n v="3.4"/>
  </r>
  <r>
    <x v="323"/>
    <x v="1"/>
    <x v="1"/>
    <x v="1"/>
    <x v="3"/>
    <n v="8.2200000000000006"/>
    <n v="9"/>
    <x v="3185"/>
    <x v="0"/>
    <n v="8.4"/>
  </r>
  <r>
    <x v="323"/>
    <x v="1"/>
    <x v="1"/>
    <x v="0"/>
    <x v="0"/>
    <n v="4.08"/>
    <n v="10"/>
    <x v="3186"/>
    <x v="1"/>
    <n v="4.8"/>
  </r>
  <r>
    <x v="323"/>
    <x v="2"/>
    <x v="0"/>
    <x v="0"/>
    <x v="4"/>
    <n v="58.38"/>
    <n v="4"/>
    <x v="3187"/>
    <x v="2"/>
    <n v="3.5"/>
  </r>
  <r>
    <x v="323"/>
    <x v="2"/>
    <x v="0"/>
    <x v="0"/>
    <x v="0"/>
    <n v="5.76"/>
    <n v="6"/>
    <x v="3188"/>
    <x v="0"/>
    <n v="6.7"/>
  </r>
  <r>
    <x v="323"/>
    <x v="1"/>
    <x v="0"/>
    <x v="0"/>
    <x v="0"/>
    <n v="14.09"/>
    <n v="2"/>
    <x v="3189"/>
    <x v="2"/>
    <n v="8.4"/>
  </r>
  <r>
    <x v="324"/>
    <x v="0"/>
    <x v="1"/>
    <x v="1"/>
    <x v="0"/>
    <n v="3.66"/>
    <n v="1"/>
    <x v="3190"/>
    <x v="0"/>
    <n v="7.3"/>
  </r>
  <r>
    <x v="324"/>
    <x v="1"/>
    <x v="1"/>
    <x v="1"/>
    <x v="5"/>
    <n v="18.809999999999999"/>
    <n v="5"/>
    <x v="3191"/>
    <x v="1"/>
    <n v="4.3"/>
  </r>
  <r>
    <x v="324"/>
    <x v="2"/>
    <x v="1"/>
    <x v="1"/>
    <x v="0"/>
    <n v="6.36"/>
    <n v="8"/>
    <x v="1717"/>
    <x v="2"/>
    <n v="4.5"/>
  </r>
  <r>
    <x v="324"/>
    <x v="2"/>
    <x v="1"/>
    <x v="0"/>
    <x v="4"/>
    <n v="53.3"/>
    <n v="7"/>
    <x v="3192"/>
    <x v="2"/>
    <n v="9.8000000000000007"/>
  </r>
  <r>
    <x v="324"/>
    <x v="0"/>
    <x v="1"/>
    <x v="1"/>
    <x v="5"/>
    <n v="25.21"/>
    <n v="8"/>
    <x v="3193"/>
    <x v="0"/>
    <n v="9.1"/>
  </r>
  <r>
    <x v="324"/>
    <x v="0"/>
    <x v="1"/>
    <x v="0"/>
    <x v="3"/>
    <n v="22.8"/>
    <n v="10"/>
    <x v="416"/>
    <x v="1"/>
    <n v="7.1"/>
  </r>
  <r>
    <x v="324"/>
    <x v="0"/>
    <x v="0"/>
    <x v="0"/>
    <x v="0"/>
    <n v="6.2"/>
    <n v="2"/>
    <x v="1465"/>
    <x v="0"/>
    <n v="6.3"/>
  </r>
  <r>
    <x v="324"/>
    <x v="0"/>
    <x v="1"/>
    <x v="1"/>
    <x v="3"/>
    <n v="10.56"/>
    <n v="6"/>
    <x v="995"/>
    <x v="2"/>
    <n v="7.3"/>
  </r>
  <r>
    <x v="324"/>
    <x v="2"/>
    <x v="1"/>
    <x v="1"/>
    <x v="5"/>
    <n v="27.04"/>
    <n v="5"/>
    <x v="3194"/>
    <x v="1"/>
    <n v="4.7"/>
  </r>
  <r>
    <x v="324"/>
    <x v="0"/>
    <x v="1"/>
    <x v="1"/>
    <x v="3"/>
    <n v="7.73"/>
    <n v="6"/>
    <x v="3195"/>
    <x v="2"/>
    <n v="6.7"/>
  </r>
  <r>
    <x v="324"/>
    <x v="0"/>
    <x v="1"/>
    <x v="0"/>
    <x v="2"/>
    <n v="66.94"/>
    <n v="4"/>
    <x v="3196"/>
    <x v="0"/>
    <n v="8.3000000000000007"/>
  </r>
  <r>
    <x v="325"/>
    <x v="0"/>
    <x v="1"/>
    <x v="0"/>
    <x v="0"/>
    <n v="6.33"/>
    <n v="1"/>
    <x v="3197"/>
    <x v="1"/>
    <n v="4.9000000000000004"/>
  </r>
  <r>
    <x v="325"/>
    <x v="0"/>
    <x v="1"/>
    <x v="1"/>
    <x v="0"/>
    <n v="7.59"/>
    <n v="10"/>
    <x v="3198"/>
    <x v="1"/>
    <n v="8.1"/>
  </r>
  <r>
    <x v="325"/>
    <x v="0"/>
    <x v="1"/>
    <x v="0"/>
    <x v="5"/>
    <n v="29.39"/>
    <n v="8"/>
    <x v="3199"/>
    <x v="0"/>
    <n v="7.3"/>
  </r>
  <r>
    <x v="325"/>
    <x v="0"/>
    <x v="1"/>
    <x v="0"/>
    <x v="5"/>
    <n v="25.34"/>
    <n v="8"/>
    <x v="3200"/>
    <x v="1"/>
    <n v="3.6"/>
  </r>
  <r>
    <x v="325"/>
    <x v="1"/>
    <x v="0"/>
    <x v="0"/>
    <x v="0"/>
    <n v="10.96"/>
    <n v="6"/>
    <x v="3201"/>
    <x v="0"/>
    <n v="7.9"/>
  </r>
  <r>
    <x v="325"/>
    <x v="1"/>
    <x v="0"/>
    <x v="1"/>
    <x v="1"/>
    <n v="90.64"/>
    <n v="2"/>
    <x v="3202"/>
    <x v="2"/>
    <n v="7.5"/>
  </r>
  <r>
    <x v="325"/>
    <x v="1"/>
    <x v="1"/>
    <x v="1"/>
    <x v="1"/>
    <n v="95.01"/>
    <n v="8"/>
    <x v="3203"/>
    <x v="2"/>
    <n v="8.9"/>
  </r>
  <r>
    <x v="325"/>
    <x v="1"/>
    <x v="1"/>
    <x v="1"/>
    <x v="1"/>
    <n v="94.39"/>
    <n v="4"/>
    <x v="3204"/>
    <x v="0"/>
    <n v="3.4"/>
  </r>
  <r>
    <x v="325"/>
    <x v="2"/>
    <x v="1"/>
    <x v="1"/>
    <x v="4"/>
    <n v="46.12"/>
    <n v="3"/>
    <x v="3205"/>
    <x v="0"/>
    <n v="6.8"/>
  </r>
  <r>
    <x v="325"/>
    <x v="0"/>
    <x v="1"/>
    <x v="0"/>
    <x v="3"/>
    <n v="17.61"/>
    <n v="3"/>
    <x v="3206"/>
    <x v="1"/>
    <n v="3.7"/>
  </r>
  <r>
    <x v="325"/>
    <x v="0"/>
    <x v="0"/>
    <x v="0"/>
    <x v="5"/>
    <n v="21.38"/>
    <n v="10"/>
    <x v="3207"/>
    <x v="0"/>
    <n v="6.4"/>
  </r>
  <r>
    <x v="325"/>
    <x v="2"/>
    <x v="0"/>
    <x v="0"/>
    <x v="2"/>
    <n v="54.96"/>
    <n v="6"/>
    <x v="3208"/>
    <x v="0"/>
    <n v="6.5"/>
  </r>
  <r>
    <x v="325"/>
    <x v="0"/>
    <x v="1"/>
    <x v="1"/>
    <x v="4"/>
    <n v="62.77"/>
    <n v="7"/>
    <x v="3209"/>
    <x v="0"/>
    <n v="5.5"/>
  </r>
  <r>
    <x v="325"/>
    <x v="2"/>
    <x v="1"/>
    <x v="0"/>
    <x v="3"/>
    <n v="9.86"/>
    <n v="3"/>
    <x v="3210"/>
    <x v="0"/>
    <n v="4.5"/>
  </r>
  <r>
    <x v="325"/>
    <x v="2"/>
    <x v="0"/>
    <x v="1"/>
    <x v="0"/>
    <n v="10.49"/>
    <n v="3"/>
    <x v="3211"/>
    <x v="1"/>
    <n v="5"/>
  </r>
  <r>
    <x v="325"/>
    <x v="1"/>
    <x v="0"/>
    <x v="0"/>
    <x v="5"/>
    <n v="28.31"/>
    <n v="7"/>
    <x v="3212"/>
    <x v="1"/>
    <n v="7.3"/>
  </r>
  <r>
    <x v="326"/>
    <x v="2"/>
    <x v="1"/>
    <x v="0"/>
    <x v="5"/>
    <n v="17.8"/>
    <n v="5"/>
    <x v="3213"/>
    <x v="0"/>
    <n v="4.8"/>
  </r>
  <r>
    <x v="326"/>
    <x v="1"/>
    <x v="1"/>
    <x v="0"/>
    <x v="5"/>
    <n v="28.75"/>
    <n v="6"/>
    <x v="3214"/>
    <x v="1"/>
    <n v="8"/>
  </r>
  <r>
    <x v="326"/>
    <x v="1"/>
    <x v="0"/>
    <x v="1"/>
    <x v="5"/>
    <n v="33.07"/>
    <n v="6"/>
    <x v="3215"/>
    <x v="0"/>
    <n v="6.5"/>
  </r>
  <r>
    <x v="326"/>
    <x v="2"/>
    <x v="1"/>
    <x v="1"/>
    <x v="4"/>
    <n v="42.82"/>
    <n v="8"/>
    <x v="3216"/>
    <x v="0"/>
    <n v="5.7"/>
  </r>
  <r>
    <x v="326"/>
    <x v="2"/>
    <x v="1"/>
    <x v="1"/>
    <x v="0"/>
    <n v="4.5999999999999996"/>
    <n v="8"/>
    <x v="3217"/>
    <x v="2"/>
    <n v="6.4"/>
  </r>
  <r>
    <x v="326"/>
    <x v="0"/>
    <x v="1"/>
    <x v="0"/>
    <x v="4"/>
    <n v="51.01"/>
    <n v="7"/>
    <x v="3218"/>
    <x v="1"/>
    <n v="8.1"/>
  </r>
  <r>
    <x v="326"/>
    <x v="2"/>
    <x v="1"/>
    <x v="0"/>
    <x v="0"/>
    <n v="5.88"/>
    <n v="8"/>
    <x v="3219"/>
    <x v="0"/>
    <n v="8.6999999999999993"/>
  </r>
  <r>
    <x v="326"/>
    <x v="2"/>
    <x v="0"/>
    <x v="0"/>
    <x v="4"/>
    <n v="55.31"/>
    <n v="4"/>
    <x v="3220"/>
    <x v="1"/>
    <n v="5.2"/>
  </r>
  <r>
    <x v="326"/>
    <x v="2"/>
    <x v="1"/>
    <x v="1"/>
    <x v="4"/>
    <n v="48.24"/>
    <n v="9"/>
    <x v="3221"/>
    <x v="1"/>
    <n v="5.2"/>
  </r>
  <r>
    <x v="326"/>
    <x v="2"/>
    <x v="1"/>
    <x v="1"/>
    <x v="5"/>
    <n v="17.649999999999999"/>
    <n v="1"/>
    <x v="3222"/>
    <x v="0"/>
    <n v="3"/>
  </r>
  <r>
    <x v="326"/>
    <x v="2"/>
    <x v="1"/>
    <x v="1"/>
    <x v="5"/>
    <n v="33.479999999999997"/>
    <n v="10"/>
    <x v="3223"/>
    <x v="2"/>
    <n v="6.6"/>
  </r>
  <r>
    <x v="326"/>
    <x v="0"/>
    <x v="0"/>
    <x v="1"/>
    <x v="0"/>
    <n v="5.6"/>
    <n v="5"/>
    <x v="2842"/>
    <x v="1"/>
    <n v="9.3000000000000007"/>
  </r>
  <r>
    <x v="326"/>
    <x v="0"/>
    <x v="1"/>
    <x v="1"/>
    <x v="0"/>
    <n v="5.78"/>
    <n v="8"/>
    <x v="3224"/>
    <x v="2"/>
    <n v="4.9000000000000004"/>
  </r>
  <r>
    <x v="326"/>
    <x v="1"/>
    <x v="0"/>
    <x v="1"/>
    <x v="5"/>
    <n v="28.06"/>
    <n v="8"/>
    <x v="3225"/>
    <x v="0"/>
    <n v="6.1"/>
  </r>
  <r>
    <x v="326"/>
    <x v="1"/>
    <x v="0"/>
    <x v="1"/>
    <x v="0"/>
    <n v="11.09"/>
    <n v="7"/>
    <x v="3226"/>
    <x v="1"/>
    <n v="6.8"/>
  </r>
  <r>
    <x v="327"/>
    <x v="1"/>
    <x v="0"/>
    <x v="1"/>
    <x v="5"/>
    <n v="35.56"/>
    <n v="4"/>
    <x v="3227"/>
    <x v="0"/>
    <n v="9.3000000000000007"/>
  </r>
  <r>
    <x v="327"/>
    <x v="1"/>
    <x v="0"/>
    <x v="1"/>
    <x v="3"/>
    <n v="19.350000000000001"/>
    <n v="8"/>
    <x v="1186"/>
    <x v="1"/>
    <n v="3.6"/>
  </r>
  <r>
    <x v="327"/>
    <x v="0"/>
    <x v="1"/>
    <x v="1"/>
    <x v="0"/>
    <n v="7.14"/>
    <n v="2"/>
    <x v="3228"/>
    <x v="0"/>
    <n v="4.2"/>
  </r>
  <r>
    <x v="327"/>
    <x v="1"/>
    <x v="1"/>
    <x v="1"/>
    <x v="5"/>
    <n v="26.87"/>
    <n v="5"/>
    <x v="3229"/>
    <x v="2"/>
    <n v="6.4"/>
  </r>
  <r>
    <x v="327"/>
    <x v="0"/>
    <x v="1"/>
    <x v="0"/>
    <x v="0"/>
    <n v="13.3"/>
    <n v="10"/>
    <x v="3230"/>
    <x v="2"/>
    <n v="7"/>
  </r>
  <r>
    <x v="327"/>
    <x v="2"/>
    <x v="0"/>
    <x v="0"/>
    <x v="4"/>
    <n v="69.849999999999994"/>
    <n v="4"/>
    <x v="3231"/>
    <x v="2"/>
    <n v="4.2"/>
  </r>
  <r>
    <x v="327"/>
    <x v="0"/>
    <x v="0"/>
    <x v="0"/>
    <x v="1"/>
    <n v="90.37"/>
    <n v="2"/>
    <x v="3232"/>
    <x v="2"/>
    <n v="8.6999999999999993"/>
  </r>
  <r>
    <x v="327"/>
    <x v="0"/>
    <x v="0"/>
    <x v="0"/>
    <x v="4"/>
    <n v="68.5"/>
    <n v="6"/>
    <x v="3233"/>
    <x v="0"/>
    <n v="9.6999999999999993"/>
  </r>
  <r>
    <x v="327"/>
    <x v="0"/>
    <x v="1"/>
    <x v="1"/>
    <x v="2"/>
    <n v="71.650000000000006"/>
    <n v="9"/>
    <x v="3234"/>
    <x v="0"/>
    <n v="6.4"/>
  </r>
  <r>
    <x v="327"/>
    <x v="0"/>
    <x v="1"/>
    <x v="0"/>
    <x v="0"/>
    <n v="9.85"/>
    <n v="1"/>
    <x v="3235"/>
    <x v="0"/>
    <n v="8.6"/>
  </r>
  <r>
    <x v="327"/>
    <x v="0"/>
    <x v="1"/>
    <x v="0"/>
    <x v="3"/>
    <n v="17.350000000000001"/>
    <n v="9"/>
    <x v="3236"/>
    <x v="2"/>
    <n v="3.8"/>
  </r>
  <r>
    <x v="327"/>
    <x v="1"/>
    <x v="1"/>
    <x v="0"/>
    <x v="4"/>
    <n v="56.25"/>
    <n v="7"/>
    <x v="3237"/>
    <x v="0"/>
    <n v="3.3"/>
  </r>
  <r>
    <x v="327"/>
    <x v="0"/>
    <x v="1"/>
    <x v="0"/>
    <x v="3"/>
    <n v="12.64"/>
    <n v="4"/>
    <x v="3238"/>
    <x v="2"/>
    <n v="3.4"/>
  </r>
  <r>
    <x v="327"/>
    <x v="0"/>
    <x v="1"/>
    <x v="0"/>
    <x v="0"/>
    <n v="6.1"/>
    <n v="3"/>
    <x v="3239"/>
    <x v="2"/>
    <n v="9.3000000000000007"/>
  </r>
  <r>
    <x v="327"/>
    <x v="2"/>
    <x v="1"/>
    <x v="1"/>
    <x v="5"/>
    <n v="36.450000000000003"/>
    <n v="2"/>
    <x v="3240"/>
    <x v="2"/>
    <n v="3.4"/>
  </r>
  <r>
    <x v="327"/>
    <x v="1"/>
    <x v="1"/>
    <x v="1"/>
    <x v="4"/>
    <n v="66.25"/>
    <n v="3"/>
    <x v="580"/>
    <x v="2"/>
    <n v="5.0999999999999996"/>
  </r>
  <r>
    <x v="327"/>
    <x v="1"/>
    <x v="1"/>
    <x v="0"/>
    <x v="2"/>
    <n v="63.49"/>
    <n v="1"/>
    <x v="3241"/>
    <x v="0"/>
    <n v="9.3000000000000007"/>
  </r>
  <r>
    <x v="327"/>
    <x v="1"/>
    <x v="1"/>
    <x v="0"/>
    <x v="0"/>
    <n v="3.88"/>
    <n v="8"/>
    <x v="3242"/>
    <x v="0"/>
    <n v="5.2"/>
  </r>
  <r>
    <x v="327"/>
    <x v="1"/>
    <x v="1"/>
    <x v="1"/>
    <x v="0"/>
    <n v="3.07"/>
    <n v="6"/>
    <x v="3243"/>
    <x v="0"/>
    <n v="6.9"/>
  </r>
  <r>
    <x v="327"/>
    <x v="2"/>
    <x v="1"/>
    <x v="1"/>
    <x v="4"/>
    <n v="42.63"/>
    <n v="3"/>
    <x v="3244"/>
    <x v="2"/>
    <n v="8"/>
  </r>
  <r>
    <x v="328"/>
    <x v="2"/>
    <x v="1"/>
    <x v="0"/>
    <x v="0"/>
    <n v="9.0500000000000007"/>
    <n v="1"/>
    <x v="3245"/>
    <x v="0"/>
    <n v="8.9"/>
  </r>
  <r>
    <x v="328"/>
    <x v="0"/>
    <x v="1"/>
    <x v="1"/>
    <x v="1"/>
    <n v="83.84"/>
    <n v="9"/>
    <x v="3246"/>
    <x v="1"/>
    <n v="8.3000000000000007"/>
  </r>
  <r>
    <x v="328"/>
    <x v="1"/>
    <x v="1"/>
    <x v="0"/>
    <x v="0"/>
    <n v="7.46"/>
    <n v="4"/>
    <x v="3247"/>
    <x v="0"/>
    <n v="3.2"/>
  </r>
  <r>
    <x v="328"/>
    <x v="0"/>
    <x v="0"/>
    <x v="0"/>
    <x v="0"/>
    <n v="8.23"/>
    <n v="4"/>
    <x v="3248"/>
    <x v="2"/>
    <n v="3.5"/>
  </r>
  <r>
    <x v="328"/>
    <x v="0"/>
    <x v="0"/>
    <x v="0"/>
    <x v="2"/>
    <n v="70.83"/>
    <n v="6"/>
    <x v="3249"/>
    <x v="0"/>
    <n v="8.5"/>
  </r>
  <r>
    <x v="328"/>
    <x v="2"/>
    <x v="1"/>
    <x v="0"/>
    <x v="3"/>
    <n v="20.91"/>
    <n v="7"/>
    <x v="3250"/>
    <x v="1"/>
    <n v="8.1"/>
  </r>
  <r>
    <x v="328"/>
    <x v="2"/>
    <x v="1"/>
    <x v="1"/>
    <x v="3"/>
    <n v="24.18"/>
    <n v="6"/>
    <x v="3251"/>
    <x v="2"/>
    <n v="5.6"/>
  </r>
  <r>
    <x v="328"/>
    <x v="2"/>
    <x v="1"/>
    <x v="0"/>
    <x v="3"/>
    <n v="17.350000000000001"/>
    <n v="7"/>
    <x v="3252"/>
    <x v="1"/>
    <n v="3.5"/>
  </r>
  <r>
    <x v="328"/>
    <x v="1"/>
    <x v="1"/>
    <x v="0"/>
    <x v="0"/>
    <n v="12.35"/>
    <n v="8"/>
    <x v="2081"/>
    <x v="1"/>
    <n v="8.5"/>
  </r>
  <r>
    <x v="328"/>
    <x v="1"/>
    <x v="1"/>
    <x v="0"/>
    <x v="0"/>
    <n v="5.46"/>
    <n v="9"/>
    <x v="3253"/>
    <x v="1"/>
    <n v="9.4"/>
  </r>
  <r>
    <x v="328"/>
    <x v="1"/>
    <x v="0"/>
    <x v="0"/>
    <x v="0"/>
    <n v="7.78"/>
    <n v="8"/>
    <x v="3254"/>
    <x v="0"/>
    <n v="8.6"/>
  </r>
  <r>
    <x v="328"/>
    <x v="2"/>
    <x v="1"/>
    <x v="0"/>
    <x v="4"/>
    <n v="64.180000000000007"/>
    <n v="9"/>
    <x v="3255"/>
    <x v="0"/>
    <n v="5.9"/>
  </r>
  <r>
    <x v="328"/>
    <x v="1"/>
    <x v="0"/>
    <x v="1"/>
    <x v="3"/>
    <n v="12.12"/>
    <n v="2"/>
    <x v="1192"/>
    <x v="1"/>
    <n v="8.9"/>
  </r>
  <r>
    <x v="328"/>
    <x v="1"/>
    <x v="0"/>
    <x v="0"/>
    <x v="0"/>
    <n v="3.36"/>
    <n v="3"/>
    <x v="1732"/>
    <x v="1"/>
    <n v="4"/>
  </r>
  <r>
    <x v="328"/>
    <x v="1"/>
    <x v="0"/>
    <x v="1"/>
    <x v="0"/>
    <n v="12.83"/>
    <n v="5"/>
    <x v="3256"/>
    <x v="0"/>
    <n v="9.6999999999999993"/>
  </r>
  <r>
    <x v="328"/>
    <x v="2"/>
    <x v="0"/>
    <x v="1"/>
    <x v="2"/>
    <n v="62.86"/>
    <n v="6"/>
    <x v="3257"/>
    <x v="0"/>
    <n v="5"/>
  </r>
  <r>
    <x v="328"/>
    <x v="0"/>
    <x v="0"/>
    <x v="0"/>
    <x v="0"/>
    <n v="8.9499999999999993"/>
    <n v="3"/>
    <x v="3258"/>
    <x v="1"/>
    <n v="5.6"/>
  </r>
  <r>
    <x v="328"/>
    <x v="1"/>
    <x v="0"/>
    <x v="0"/>
    <x v="3"/>
    <n v="14.6"/>
    <n v="3"/>
    <x v="3259"/>
    <x v="1"/>
    <n v="4.3"/>
  </r>
  <r>
    <x v="328"/>
    <x v="1"/>
    <x v="0"/>
    <x v="0"/>
    <x v="5"/>
    <n v="35.25"/>
    <n v="7"/>
    <x v="3260"/>
    <x v="1"/>
    <n v="3.9"/>
  </r>
  <r>
    <x v="328"/>
    <x v="2"/>
    <x v="1"/>
    <x v="1"/>
    <x v="0"/>
    <n v="9.07"/>
    <n v="6"/>
    <x v="1396"/>
    <x v="0"/>
    <n v="5.0999999999999996"/>
  </r>
  <r>
    <x v="328"/>
    <x v="1"/>
    <x v="0"/>
    <x v="0"/>
    <x v="0"/>
    <n v="8.98"/>
    <n v="1"/>
    <x v="2030"/>
    <x v="1"/>
    <n v="8.1"/>
  </r>
  <r>
    <x v="328"/>
    <x v="1"/>
    <x v="0"/>
    <x v="0"/>
    <x v="4"/>
    <n v="46.1"/>
    <n v="8"/>
    <x v="3261"/>
    <x v="0"/>
    <n v="3.8"/>
  </r>
  <r>
    <x v="329"/>
    <x v="2"/>
    <x v="1"/>
    <x v="0"/>
    <x v="4"/>
    <n v="40.159999999999997"/>
    <n v="2"/>
    <x v="3262"/>
    <x v="0"/>
    <n v="9.5"/>
  </r>
  <r>
    <x v="329"/>
    <x v="1"/>
    <x v="0"/>
    <x v="1"/>
    <x v="3"/>
    <n v="23.71"/>
    <n v="4"/>
    <x v="3263"/>
    <x v="2"/>
    <n v="7.1"/>
  </r>
  <r>
    <x v="329"/>
    <x v="0"/>
    <x v="1"/>
    <x v="0"/>
    <x v="4"/>
    <n v="65.95"/>
    <n v="4"/>
    <x v="3264"/>
    <x v="1"/>
    <n v="5.0999999999999996"/>
  </r>
  <r>
    <x v="329"/>
    <x v="0"/>
    <x v="1"/>
    <x v="1"/>
    <x v="1"/>
    <n v="93.98"/>
    <n v="4"/>
    <x v="3265"/>
    <x v="0"/>
    <n v="7.4"/>
  </r>
  <r>
    <x v="329"/>
    <x v="1"/>
    <x v="1"/>
    <x v="0"/>
    <x v="3"/>
    <n v="8.56"/>
    <n v="6"/>
    <x v="161"/>
    <x v="2"/>
    <n v="9.3000000000000007"/>
  </r>
  <r>
    <x v="329"/>
    <x v="0"/>
    <x v="1"/>
    <x v="1"/>
    <x v="5"/>
    <n v="34.49"/>
    <n v="9"/>
    <x v="3266"/>
    <x v="0"/>
    <n v="3.9"/>
  </r>
  <r>
    <x v="329"/>
    <x v="1"/>
    <x v="0"/>
    <x v="0"/>
    <x v="0"/>
    <n v="9.6999999999999993"/>
    <n v="8"/>
    <x v="3267"/>
    <x v="0"/>
    <n v="7.6"/>
  </r>
  <r>
    <x v="329"/>
    <x v="2"/>
    <x v="1"/>
    <x v="1"/>
    <x v="1"/>
    <n v="85.77"/>
    <n v="4"/>
    <x v="3268"/>
    <x v="2"/>
    <n v="4.5999999999999996"/>
  </r>
  <r>
    <x v="329"/>
    <x v="0"/>
    <x v="1"/>
    <x v="0"/>
    <x v="4"/>
    <n v="47.88"/>
    <n v="4"/>
    <x v="3269"/>
    <x v="1"/>
    <n v="6.5"/>
  </r>
  <r>
    <x v="329"/>
    <x v="0"/>
    <x v="0"/>
    <x v="1"/>
    <x v="1"/>
    <n v="92.05"/>
    <n v="2"/>
    <x v="3270"/>
    <x v="2"/>
    <n v="3.9"/>
  </r>
  <r>
    <x v="329"/>
    <x v="0"/>
    <x v="0"/>
    <x v="0"/>
    <x v="1"/>
    <n v="82.13"/>
    <n v="6"/>
    <x v="3271"/>
    <x v="2"/>
    <n v="8"/>
  </r>
  <r>
    <x v="329"/>
    <x v="0"/>
    <x v="0"/>
    <x v="0"/>
    <x v="3"/>
    <n v="15.55"/>
    <n v="9"/>
    <x v="736"/>
    <x v="2"/>
    <n v="7.1"/>
  </r>
  <r>
    <x v="329"/>
    <x v="0"/>
    <x v="1"/>
    <x v="0"/>
    <x v="0"/>
    <n v="14.05"/>
    <n v="5"/>
    <x v="3272"/>
    <x v="1"/>
    <n v="9.4"/>
  </r>
  <r>
    <x v="329"/>
    <x v="1"/>
    <x v="1"/>
    <x v="0"/>
    <x v="5"/>
    <n v="17.78"/>
    <n v="3"/>
    <x v="3273"/>
    <x v="1"/>
    <n v="8.1"/>
  </r>
  <r>
    <x v="329"/>
    <x v="2"/>
    <x v="0"/>
    <x v="1"/>
    <x v="5"/>
    <n v="32.6"/>
    <n v="6"/>
    <x v="3274"/>
    <x v="1"/>
    <n v="7.1"/>
  </r>
  <r>
    <x v="329"/>
    <x v="1"/>
    <x v="0"/>
    <x v="0"/>
    <x v="4"/>
    <n v="40.75"/>
    <n v="2"/>
    <x v="3275"/>
    <x v="2"/>
    <n v="3"/>
  </r>
  <r>
    <x v="329"/>
    <x v="1"/>
    <x v="0"/>
    <x v="1"/>
    <x v="4"/>
    <n v="63.98"/>
    <n v="7"/>
    <x v="3276"/>
    <x v="1"/>
    <n v="3.8"/>
  </r>
  <r>
    <x v="329"/>
    <x v="0"/>
    <x v="0"/>
    <x v="1"/>
    <x v="2"/>
    <n v="77.27"/>
    <n v="9"/>
    <x v="3277"/>
    <x v="1"/>
    <n v="9.1"/>
  </r>
  <r>
    <x v="329"/>
    <x v="1"/>
    <x v="0"/>
    <x v="0"/>
    <x v="2"/>
    <n v="56.49"/>
    <n v="4"/>
    <x v="3278"/>
    <x v="1"/>
    <n v="6.7"/>
  </r>
  <r>
    <x v="329"/>
    <x v="1"/>
    <x v="1"/>
    <x v="0"/>
    <x v="0"/>
    <n v="10.71"/>
    <n v="7"/>
    <x v="846"/>
    <x v="1"/>
    <n v="9.1999999999999993"/>
  </r>
  <r>
    <x v="329"/>
    <x v="1"/>
    <x v="1"/>
    <x v="1"/>
    <x v="3"/>
    <n v="12.13"/>
    <n v="9"/>
    <x v="3279"/>
    <x v="0"/>
    <n v="4.3"/>
  </r>
  <r>
    <x v="329"/>
    <x v="2"/>
    <x v="0"/>
    <x v="1"/>
    <x v="3"/>
    <n v="22.96"/>
    <n v="8"/>
    <x v="3280"/>
    <x v="2"/>
    <n v="5.2"/>
  </r>
  <r>
    <x v="329"/>
    <x v="1"/>
    <x v="0"/>
    <x v="0"/>
    <x v="0"/>
    <n v="10.98"/>
    <n v="7"/>
    <x v="3009"/>
    <x v="0"/>
    <n v="6"/>
  </r>
  <r>
    <x v="329"/>
    <x v="2"/>
    <x v="1"/>
    <x v="1"/>
    <x v="5"/>
    <n v="34.86"/>
    <n v="7"/>
    <x v="3281"/>
    <x v="1"/>
    <n v="8.8000000000000007"/>
  </r>
  <r>
    <x v="329"/>
    <x v="2"/>
    <x v="0"/>
    <x v="1"/>
    <x v="0"/>
    <n v="3.85"/>
    <n v="3"/>
    <x v="3282"/>
    <x v="1"/>
    <n v="4.7"/>
  </r>
  <r>
    <x v="330"/>
    <x v="0"/>
    <x v="1"/>
    <x v="1"/>
    <x v="0"/>
    <n v="8.1199999999999992"/>
    <n v="4"/>
    <x v="3283"/>
    <x v="1"/>
    <n v="3.8"/>
  </r>
  <r>
    <x v="330"/>
    <x v="1"/>
    <x v="1"/>
    <x v="0"/>
    <x v="5"/>
    <n v="17.850000000000001"/>
    <n v="4"/>
    <x v="2369"/>
    <x v="2"/>
    <n v="9.5"/>
  </r>
  <r>
    <x v="330"/>
    <x v="1"/>
    <x v="0"/>
    <x v="0"/>
    <x v="2"/>
    <n v="66.09"/>
    <n v="7"/>
    <x v="3284"/>
    <x v="1"/>
    <n v="8.6"/>
  </r>
  <r>
    <x v="330"/>
    <x v="2"/>
    <x v="0"/>
    <x v="0"/>
    <x v="0"/>
    <n v="13.46"/>
    <n v="4"/>
    <x v="3285"/>
    <x v="2"/>
    <n v="3"/>
  </r>
  <r>
    <x v="330"/>
    <x v="1"/>
    <x v="1"/>
    <x v="1"/>
    <x v="0"/>
    <n v="9.65"/>
    <n v="10"/>
    <x v="3286"/>
    <x v="2"/>
    <n v="3.6"/>
  </r>
  <r>
    <x v="330"/>
    <x v="2"/>
    <x v="1"/>
    <x v="0"/>
    <x v="0"/>
    <n v="8.82"/>
    <n v="10"/>
    <x v="3287"/>
    <x v="0"/>
    <n v="6.4"/>
  </r>
  <r>
    <x v="330"/>
    <x v="1"/>
    <x v="0"/>
    <x v="1"/>
    <x v="0"/>
    <n v="9.86"/>
    <n v="3"/>
    <x v="3210"/>
    <x v="2"/>
    <n v="3.6"/>
  </r>
  <r>
    <x v="330"/>
    <x v="0"/>
    <x v="0"/>
    <x v="0"/>
    <x v="4"/>
    <n v="56.38"/>
    <n v="4"/>
    <x v="3288"/>
    <x v="2"/>
    <n v="3.5"/>
  </r>
  <r>
    <x v="330"/>
    <x v="0"/>
    <x v="1"/>
    <x v="0"/>
    <x v="2"/>
    <n v="68.63"/>
    <n v="2"/>
    <x v="3289"/>
    <x v="1"/>
    <n v="3.3"/>
  </r>
  <r>
    <x v="330"/>
    <x v="1"/>
    <x v="0"/>
    <x v="0"/>
    <x v="4"/>
    <n v="52.94"/>
    <n v="5"/>
    <x v="3290"/>
    <x v="1"/>
    <n v="6.4"/>
  </r>
  <r>
    <x v="330"/>
    <x v="1"/>
    <x v="1"/>
    <x v="1"/>
    <x v="1"/>
    <n v="92.65"/>
    <n v="2"/>
    <x v="3291"/>
    <x v="0"/>
    <n v="6.8"/>
  </r>
  <r>
    <x v="330"/>
    <x v="1"/>
    <x v="0"/>
    <x v="0"/>
    <x v="0"/>
    <n v="2.4"/>
    <n v="5"/>
    <x v="3292"/>
    <x v="2"/>
    <n v="5"/>
  </r>
  <r>
    <x v="330"/>
    <x v="2"/>
    <x v="1"/>
    <x v="0"/>
    <x v="0"/>
    <n v="2.79"/>
    <n v="10"/>
    <x v="3293"/>
    <x v="2"/>
    <n v="3.9"/>
  </r>
  <r>
    <x v="330"/>
    <x v="0"/>
    <x v="0"/>
    <x v="1"/>
    <x v="3"/>
    <n v="9.9600000000000009"/>
    <n v="10"/>
    <x v="1932"/>
    <x v="0"/>
    <n v="5.7"/>
  </r>
  <r>
    <x v="330"/>
    <x v="0"/>
    <x v="0"/>
    <x v="0"/>
    <x v="4"/>
    <n v="49.95"/>
    <n v="6"/>
    <x v="3294"/>
    <x v="1"/>
    <n v="6.2"/>
  </r>
  <r>
    <x v="330"/>
    <x v="1"/>
    <x v="1"/>
    <x v="0"/>
    <x v="0"/>
    <n v="2.12"/>
    <n v="6"/>
    <x v="2023"/>
    <x v="0"/>
    <n v="3.3"/>
  </r>
  <r>
    <x v="330"/>
    <x v="1"/>
    <x v="0"/>
    <x v="1"/>
    <x v="1"/>
    <n v="94.87"/>
    <n v="10"/>
    <x v="3295"/>
    <x v="0"/>
    <n v="6.5"/>
  </r>
  <r>
    <x v="330"/>
    <x v="2"/>
    <x v="1"/>
    <x v="1"/>
    <x v="3"/>
    <n v="11.1"/>
    <n v="2"/>
    <x v="3296"/>
    <x v="1"/>
    <n v="8.8000000000000007"/>
  </r>
  <r>
    <x v="330"/>
    <x v="0"/>
    <x v="1"/>
    <x v="0"/>
    <x v="5"/>
    <n v="19.03"/>
    <n v="9"/>
    <x v="2733"/>
    <x v="2"/>
    <n v="5.6"/>
  </r>
  <r>
    <x v="331"/>
    <x v="0"/>
    <x v="1"/>
    <x v="0"/>
    <x v="3"/>
    <n v="13.11"/>
    <n v="5"/>
    <x v="3297"/>
    <x v="2"/>
    <n v="8.5"/>
  </r>
  <r>
    <x v="331"/>
    <x v="1"/>
    <x v="1"/>
    <x v="0"/>
    <x v="2"/>
    <n v="66.739999999999995"/>
    <n v="8"/>
    <x v="3298"/>
    <x v="2"/>
    <n v="3.6"/>
  </r>
  <r>
    <x v="331"/>
    <x v="1"/>
    <x v="0"/>
    <x v="0"/>
    <x v="3"/>
    <n v="23.79"/>
    <n v="1"/>
    <x v="3299"/>
    <x v="0"/>
    <n v="8.6999999999999993"/>
  </r>
  <r>
    <x v="331"/>
    <x v="0"/>
    <x v="0"/>
    <x v="1"/>
    <x v="4"/>
    <n v="47.51"/>
    <n v="8"/>
    <x v="3300"/>
    <x v="0"/>
    <n v="4.4000000000000004"/>
  </r>
  <r>
    <x v="331"/>
    <x v="2"/>
    <x v="1"/>
    <x v="0"/>
    <x v="2"/>
    <n v="58.42"/>
    <n v="1"/>
    <x v="3301"/>
    <x v="0"/>
    <n v="4.7"/>
  </r>
  <r>
    <x v="331"/>
    <x v="1"/>
    <x v="1"/>
    <x v="0"/>
    <x v="4"/>
    <n v="51.39"/>
    <n v="9"/>
    <x v="3302"/>
    <x v="1"/>
    <n v="9"/>
  </r>
  <r>
    <x v="331"/>
    <x v="1"/>
    <x v="0"/>
    <x v="1"/>
    <x v="5"/>
    <n v="33.82"/>
    <n v="5"/>
    <x v="3303"/>
    <x v="0"/>
    <n v="5"/>
  </r>
  <r>
    <x v="331"/>
    <x v="0"/>
    <x v="0"/>
    <x v="1"/>
    <x v="2"/>
    <n v="61"/>
    <n v="2"/>
    <x v="3304"/>
    <x v="1"/>
    <n v="5.9"/>
  </r>
  <r>
    <x v="331"/>
    <x v="0"/>
    <x v="1"/>
    <x v="1"/>
    <x v="1"/>
    <n v="87.11"/>
    <n v="9"/>
    <x v="3305"/>
    <x v="1"/>
    <n v="6.3"/>
  </r>
  <r>
    <x v="331"/>
    <x v="0"/>
    <x v="1"/>
    <x v="0"/>
    <x v="4"/>
    <n v="46.74"/>
    <n v="8"/>
    <x v="3306"/>
    <x v="2"/>
    <n v="7.1"/>
  </r>
  <r>
    <x v="331"/>
    <x v="1"/>
    <x v="1"/>
    <x v="0"/>
    <x v="0"/>
    <n v="8.3000000000000007"/>
    <n v="2"/>
    <x v="3307"/>
    <x v="2"/>
    <n v="6.3"/>
  </r>
  <r>
    <x v="332"/>
    <x v="0"/>
    <x v="1"/>
    <x v="0"/>
    <x v="5"/>
    <n v="34.5"/>
    <n v="2"/>
    <x v="3308"/>
    <x v="0"/>
    <n v="8.1"/>
  </r>
  <r>
    <x v="332"/>
    <x v="2"/>
    <x v="0"/>
    <x v="1"/>
    <x v="2"/>
    <n v="59.35"/>
    <n v="5"/>
    <x v="3309"/>
    <x v="2"/>
    <n v="4"/>
  </r>
  <r>
    <x v="332"/>
    <x v="1"/>
    <x v="1"/>
    <x v="1"/>
    <x v="5"/>
    <n v="36.46"/>
    <n v="8"/>
    <x v="3310"/>
    <x v="2"/>
    <n v="5.5"/>
  </r>
  <r>
    <x v="332"/>
    <x v="2"/>
    <x v="0"/>
    <x v="1"/>
    <x v="5"/>
    <n v="31.63"/>
    <n v="3"/>
    <x v="3311"/>
    <x v="0"/>
    <n v="6.6"/>
  </r>
  <r>
    <x v="332"/>
    <x v="2"/>
    <x v="0"/>
    <x v="1"/>
    <x v="2"/>
    <n v="78.41"/>
    <n v="2"/>
    <x v="3312"/>
    <x v="2"/>
    <n v="7.4"/>
  </r>
  <r>
    <x v="332"/>
    <x v="1"/>
    <x v="1"/>
    <x v="0"/>
    <x v="5"/>
    <n v="20.25"/>
    <n v="4"/>
    <x v="3313"/>
    <x v="2"/>
    <n v="4.9000000000000004"/>
  </r>
  <r>
    <x v="332"/>
    <x v="0"/>
    <x v="1"/>
    <x v="1"/>
    <x v="3"/>
    <n v="9.64"/>
    <n v="4"/>
    <x v="3314"/>
    <x v="1"/>
    <n v="4.5"/>
  </r>
  <r>
    <x v="332"/>
    <x v="2"/>
    <x v="0"/>
    <x v="0"/>
    <x v="5"/>
    <n v="16.72"/>
    <n v="1"/>
    <x v="2826"/>
    <x v="1"/>
    <n v="7"/>
  </r>
  <r>
    <x v="332"/>
    <x v="2"/>
    <x v="0"/>
    <x v="1"/>
    <x v="0"/>
    <n v="11.01"/>
    <n v="1"/>
    <x v="2025"/>
    <x v="2"/>
    <n v="5.7"/>
  </r>
  <r>
    <x v="332"/>
    <x v="0"/>
    <x v="1"/>
    <x v="1"/>
    <x v="1"/>
    <n v="91.86"/>
    <n v="5"/>
    <x v="3315"/>
    <x v="2"/>
    <n v="7.2"/>
  </r>
  <r>
    <x v="332"/>
    <x v="2"/>
    <x v="1"/>
    <x v="0"/>
    <x v="0"/>
    <n v="10.52"/>
    <n v="7"/>
    <x v="3316"/>
    <x v="2"/>
    <n v="4.5"/>
  </r>
  <r>
    <x v="332"/>
    <x v="2"/>
    <x v="1"/>
    <x v="1"/>
    <x v="5"/>
    <n v="39.869999999999997"/>
    <n v="9"/>
    <x v="3317"/>
    <x v="1"/>
    <n v="6.7"/>
  </r>
  <r>
    <x v="332"/>
    <x v="2"/>
    <x v="1"/>
    <x v="0"/>
    <x v="0"/>
    <n v="8.39"/>
    <n v="2"/>
    <x v="3318"/>
    <x v="0"/>
    <n v="7.2"/>
  </r>
  <r>
    <x v="332"/>
    <x v="1"/>
    <x v="0"/>
    <x v="1"/>
    <x v="4"/>
    <n v="52.85"/>
    <n v="8"/>
    <x v="3319"/>
    <x v="1"/>
    <n v="4.4000000000000004"/>
  </r>
  <r>
    <x v="332"/>
    <x v="1"/>
    <x v="0"/>
    <x v="0"/>
    <x v="4"/>
    <n v="49.43"/>
    <n v="5"/>
    <x v="3320"/>
    <x v="2"/>
    <n v="3.9"/>
  </r>
  <r>
    <x v="332"/>
    <x v="2"/>
    <x v="1"/>
    <x v="0"/>
    <x v="3"/>
    <n v="18.11"/>
    <n v="10"/>
    <x v="808"/>
    <x v="1"/>
    <n v="4.5"/>
  </r>
  <r>
    <x v="332"/>
    <x v="0"/>
    <x v="1"/>
    <x v="1"/>
    <x v="4"/>
    <n v="49.27"/>
    <n v="8"/>
    <x v="3321"/>
    <x v="2"/>
    <n v="6.2"/>
  </r>
  <r>
    <x v="333"/>
    <x v="2"/>
    <x v="0"/>
    <x v="0"/>
    <x v="5"/>
    <n v="38.729999999999997"/>
    <n v="8"/>
    <x v="3322"/>
    <x v="0"/>
    <n v="8.4"/>
  </r>
  <r>
    <x v="333"/>
    <x v="2"/>
    <x v="1"/>
    <x v="0"/>
    <x v="4"/>
    <n v="63.94"/>
    <n v="5"/>
    <x v="3323"/>
    <x v="0"/>
    <n v="8.6"/>
  </r>
  <r>
    <x v="333"/>
    <x v="0"/>
    <x v="1"/>
    <x v="0"/>
    <x v="5"/>
    <n v="28.09"/>
    <n v="2"/>
    <x v="3324"/>
    <x v="1"/>
    <n v="7.6"/>
  </r>
  <r>
    <x v="333"/>
    <x v="1"/>
    <x v="1"/>
    <x v="0"/>
    <x v="5"/>
    <n v="16.53"/>
    <n v="2"/>
    <x v="3325"/>
    <x v="2"/>
    <n v="7.1"/>
  </r>
  <r>
    <x v="333"/>
    <x v="1"/>
    <x v="1"/>
    <x v="1"/>
    <x v="3"/>
    <n v="23.93"/>
    <n v="8"/>
    <x v="3326"/>
    <x v="2"/>
    <n v="3.4"/>
  </r>
  <r>
    <x v="333"/>
    <x v="2"/>
    <x v="0"/>
    <x v="1"/>
    <x v="0"/>
    <n v="6.89"/>
    <n v="4"/>
    <x v="2032"/>
    <x v="0"/>
    <n v="9"/>
  </r>
  <r>
    <x v="333"/>
    <x v="0"/>
    <x v="0"/>
    <x v="0"/>
    <x v="2"/>
    <n v="71.47"/>
    <n v="4"/>
    <x v="3327"/>
    <x v="0"/>
    <n v="4.2"/>
  </r>
  <r>
    <x v="333"/>
    <x v="2"/>
    <x v="0"/>
    <x v="1"/>
    <x v="3"/>
    <n v="12.36"/>
    <n v="7"/>
    <x v="3328"/>
    <x v="2"/>
    <n v="7.3"/>
  </r>
  <r>
    <x v="333"/>
    <x v="2"/>
    <x v="0"/>
    <x v="0"/>
    <x v="2"/>
    <n v="60.89"/>
    <n v="2"/>
    <x v="3329"/>
    <x v="1"/>
    <n v="5.9"/>
  </r>
  <r>
    <x v="333"/>
    <x v="2"/>
    <x v="0"/>
    <x v="1"/>
    <x v="0"/>
    <n v="10.23"/>
    <n v="8"/>
    <x v="1114"/>
    <x v="2"/>
    <n v="7.6"/>
  </r>
  <r>
    <x v="333"/>
    <x v="2"/>
    <x v="0"/>
    <x v="1"/>
    <x v="5"/>
    <n v="38.020000000000003"/>
    <n v="2"/>
    <x v="3330"/>
    <x v="1"/>
    <n v="5.6"/>
  </r>
  <r>
    <x v="333"/>
    <x v="0"/>
    <x v="0"/>
    <x v="0"/>
    <x v="3"/>
    <n v="20.09"/>
    <n v="7"/>
    <x v="3331"/>
    <x v="0"/>
    <n v="6"/>
  </r>
  <r>
    <x v="333"/>
    <x v="0"/>
    <x v="1"/>
    <x v="1"/>
    <x v="0"/>
    <n v="10.220000000000001"/>
    <n v="2"/>
    <x v="3332"/>
    <x v="0"/>
    <n v="4.7"/>
  </r>
  <r>
    <x v="333"/>
    <x v="2"/>
    <x v="1"/>
    <x v="0"/>
    <x v="0"/>
    <n v="7.96"/>
    <n v="10"/>
    <x v="3333"/>
    <x v="1"/>
    <n v="5"/>
  </r>
  <r>
    <x v="333"/>
    <x v="0"/>
    <x v="0"/>
    <x v="1"/>
    <x v="5"/>
    <n v="33.979999999999997"/>
    <n v="10"/>
    <x v="3334"/>
    <x v="0"/>
    <n v="5.6"/>
  </r>
  <r>
    <x v="333"/>
    <x v="2"/>
    <x v="1"/>
    <x v="0"/>
    <x v="5"/>
    <n v="27.32"/>
    <n v="6"/>
    <x v="3335"/>
    <x v="0"/>
    <n v="3.7"/>
  </r>
  <r>
    <x v="333"/>
    <x v="1"/>
    <x v="1"/>
    <x v="1"/>
    <x v="5"/>
    <n v="28.27"/>
    <n v="6"/>
    <x v="3336"/>
    <x v="0"/>
    <n v="3.9"/>
  </r>
  <r>
    <x v="333"/>
    <x v="1"/>
    <x v="1"/>
    <x v="1"/>
    <x v="3"/>
    <n v="21.34"/>
    <n v="9"/>
    <x v="3337"/>
    <x v="0"/>
    <n v="6.9"/>
  </r>
  <r>
    <x v="333"/>
    <x v="0"/>
    <x v="1"/>
    <x v="1"/>
    <x v="3"/>
    <n v="18.809999999999999"/>
    <n v="4"/>
    <x v="3147"/>
    <x v="0"/>
    <n v="3.8"/>
  </r>
  <r>
    <x v="333"/>
    <x v="2"/>
    <x v="1"/>
    <x v="0"/>
    <x v="3"/>
    <n v="13.21"/>
    <n v="4"/>
    <x v="3338"/>
    <x v="0"/>
    <n v="9"/>
  </r>
  <r>
    <x v="333"/>
    <x v="0"/>
    <x v="0"/>
    <x v="0"/>
    <x v="2"/>
    <n v="58.15"/>
    <n v="8"/>
    <x v="3339"/>
    <x v="0"/>
    <n v="5"/>
  </r>
  <r>
    <x v="333"/>
    <x v="1"/>
    <x v="1"/>
    <x v="1"/>
    <x v="1"/>
    <n v="83.08"/>
    <n v="6"/>
    <x v="3340"/>
    <x v="0"/>
    <n v="5.0999999999999996"/>
  </r>
  <r>
    <x v="333"/>
    <x v="0"/>
    <x v="1"/>
    <x v="1"/>
    <x v="4"/>
    <n v="65.13"/>
    <n v="10"/>
    <x v="3341"/>
    <x v="2"/>
    <n v="7.1"/>
  </r>
  <r>
    <x v="334"/>
    <x v="2"/>
    <x v="0"/>
    <x v="1"/>
    <x v="0"/>
    <n v="9.66"/>
    <n v="6"/>
    <x v="3342"/>
    <x v="1"/>
    <n v="3.6"/>
  </r>
  <r>
    <x v="334"/>
    <x v="2"/>
    <x v="0"/>
    <x v="0"/>
    <x v="1"/>
    <n v="91.13"/>
    <n v="9"/>
    <x v="3343"/>
    <x v="1"/>
    <n v="9.6"/>
  </r>
  <r>
    <x v="334"/>
    <x v="1"/>
    <x v="1"/>
    <x v="0"/>
    <x v="0"/>
    <n v="6.62"/>
    <n v="2"/>
    <x v="3344"/>
    <x v="1"/>
    <n v="7.5"/>
  </r>
  <r>
    <x v="334"/>
    <x v="0"/>
    <x v="0"/>
    <x v="1"/>
    <x v="4"/>
    <n v="57.6"/>
    <n v="8"/>
    <x v="3345"/>
    <x v="2"/>
    <n v="8.6999999999999993"/>
  </r>
  <r>
    <x v="334"/>
    <x v="2"/>
    <x v="1"/>
    <x v="1"/>
    <x v="3"/>
    <n v="14.63"/>
    <n v="2"/>
    <x v="3346"/>
    <x v="2"/>
    <n v="7.3"/>
  </r>
  <r>
    <x v="334"/>
    <x v="0"/>
    <x v="1"/>
    <x v="1"/>
    <x v="0"/>
    <n v="5.04"/>
    <n v="9"/>
    <x v="3347"/>
    <x v="1"/>
    <n v="7.7"/>
  </r>
  <r>
    <x v="334"/>
    <x v="0"/>
    <x v="0"/>
    <x v="1"/>
    <x v="4"/>
    <n v="66.099999999999994"/>
    <n v="7"/>
    <x v="3348"/>
    <x v="0"/>
    <n v="3.5"/>
  </r>
  <r>
    <x v="334"/>
    <x v="1"/>
    <x v="0"/>
    <x v="0"/>
    <x v="2"/>
    <n v="69.66"/>
    <n v="7"/>
    <x v="3349"/>
    <x v="2"/>
    <n v="6.1"/>
  </r>
  <r>
    <x v="334"/>
    <x v="0"/>
    <x v="1"/>
    <x v="0"/>
    <x v="3"/>
    <n v="18.16"/>
    <n v="7"/>
    <x v="3350"/>
    <x v="0"/>
    <n v="4.5"/>
  </r>
  <r>
    <x v="334"/>
    <x v="1"/>
    <x v="0"/>
    <x v="0"/>
    <x v="2"/>
    <n v="72.67"/>
    <n v="2"/>
    <x v="3351"/>
    <x v="1"/>
    <n v="7.3"/>
  </r>
  <r>
    <x v="334"/>
    <x v="2"/>
    <x v="1"/>
    <x v="1"/>
    <x v="4"/>
    <n v="57.63"/>
    <n v="8"/>
    <x v="3352"/>
    <x v="2"/>
    <n v="4.7"/>
  </r>
  <r>
    <x v="334"/>
    <x v="0"/>
    <x v="1"/>
    <x v="1"/>
    <x v="0"/>
    <n v="8.15"/>
    <n v="6"/>
    <x v="3353"/>
    <x v="1"/>
    <n v="5"/>
  </r>
  <r>
    <x v="334"/>
    <x v="0"/>
    <x v="0"/>
    <x v="0"/>
    <x v="3"/>
    <n v="11.14"/>
    <n v="2"/>
    <x v="1363"/>
    <x v="2"/>
    <n v="5"/>
  </r>
  <r>
    <x v="334"/>
    <x v="1"/>
    <x v="0"/>
    <x v="1"/>
    <x v="5"/>
    <n v="31.22"/>
    <n v="3"/>
    <x v="3354"/>
    <x v="2"/>
    <n v="9.5"/>
  </r>
  <r>
    <x v="334"/>
    <x v="0"/>
    <x v="1"/>
    <x v="0"/>
    <x v="2"/>
    <n v="50.58"/>
    <n v="6"/>
    <x v="3355"/>
    <x v="0"/>
    <n v="4.5999999999999996"/>
  </r>
  <r>
    <x v="334"/>
    <x v="1"/>
    <x v="0"/>
    <x v="1"/>
    <x v="3"/>
    <n v="15.17"/>
    <n v="2"/>
    <x v="3356"/>
    <x v="2"/>
    <n v="8.1999999999999993"/>
  </r>
  <r>
    <x v="334"/>
    <x v="2"/>
    <x v="1"/>
    <x v="1"/>
    <x v="1"/>
    <n v="85.28"/>
    <n v="10"/>
    <x v="3357"/>
    <x v="0"/>
    <n v="9.6"/>
  </r>
  <r>
    <x v="334"/>
    <x v="1"/>
    <x v="1"/>
    <x v="1"/>
    <x v="2"/>
    <n v="61.97"/>
    <n v="6"/>
    <x v="3358"/>
    <x v="0"/>
    <n v="9.1"/>
  </r>
  <r>
    <x v="334"/>
    <x v="0"/>
    <x v="0"/>
    <x v="1"/>
    <x v="0"/>
    <n v="4.7"/>
    <n v="10"/>
    <x v="3359"/>
    <x v="2"/>
    <n v="4.5999999999999996"/>
  </r>
  <r>
    <x v="334"/>
    <x v="0"/>
    <x v="0"/>
    <x v="1"/>
    <x v="3"/>
    <n v="3.21"/>
    <n v="1"/>
    <x v="3360"/>
    <x v="0"/>
    <n v="3.5"/>
  </r>
  <r>
    <x v="334"/>
    <x v="1"/>
    <x v="0"/>
    <x v="0"/>
    <x v="3"/>
    <n v="11.71"/>
    <n v="10"/>
    <x v="3361"/>
    <x v="2"/>
    <n v="6.2"/>
  </r>
  <r>
    <x v="335"/>
    <x v="2"/>
    <x v="0"/>
    <x v="1"/>
    <x v="4"/>
    <n v="51.94"/>
    <n v="7"/>
    <x v="3362"/>
    <x v="0"/>
    <n v="5.9"/>
  </r>
  <r>
    <x v="335"/>
    <x v="1"/>
    <x v="0"/>
    <x v="1"/>
    <x v="0"/>
    <n v="2.48"/>
    <n v="6"/>
    <x v="3363"/>
    <x v="1"/>
    <n v="4.7"/>
  </r>
  <r>
    <x v="335"/>
    <x v="2"/>
    <x v="1"/>
    <x v="1"/>
    <x v="3"/>
    <n v="5.3"/>
    <n v="8"/>
    <x v="3364"/>
    <x v="1"/>
    <n v="8.9"/>
  </r>
  <r>
    <x v="335"/>
    <x v="1"/>
    <x v="0"/>
    <x v="1"/>
    <x v="1"/>
    <n v="88.88"/>
    <n v="9"/>
    <x v="3365"/>
    <x v="1"/>
    <n v="9.6"/>
  </r>
  <r>
    <x v="335"/>
    <x v="0"/>
    <x v="1"/>
    <x v="1"/>
    <x v="2"/>
    <n v="64.569999999999993"/>
    <n v="4"/>
    <x v="3366"/>
    <x v="0"/>
    <n v="9.1"/>
  </r>
  <r>
    <x v="335"/>
    <x v="0"/>
    <x v="1"/>
    <x v="0"/>
    <x v="3"/>
    <n v="18.68"/>
    <n v="8"/>
    <x v="1634"/>
    <x v="0"/>
    <n v="5.9"/>
  </r>
  <r>
    <x v="335"/>
    <x v="1"/>
    <x v="0"/>
    <x v="0"/>
    <x v="2"/>
    <n v="55.7"/>
    <n v="4"/>
    <x v="3367"/>
    <x v="1"/>
    <n v="6.9"/>
  </r>
  <r>
    <x v="335"/>
    <x v="1"/>
    <x v="0"/>
    <x v="0"/>
    <x v="0"/>
    <n v="2.4"/>
    <n v="8"/>
    <x v="3368"/>
    <x v="2"/>
    <n v="9.3000000000000007"/>
  </r>
  <r>
    <x v="335"/>
    <x v="0"/>
    <x v="0"/>
    <x v="1"/>
    <x v="0"/>
    <n v="2.5499999999999998"/>
    <n v="2"/>
    <x v="1707"/>
    <x v="2"/>
    <n v="8.9"/>
  </r>
  <r>
    <x v="335"/>
    <x v="1"/>
    <x v="0"/>
    <x v="1"/>
    <x v="0"/>
    <n v="6.96"/>
    <n v="7"/>
    <x v="3369"/>
    <x v="2"/>
    <n v="7"/>
  </r>
  <r>
    <x v="335"/>
    <x v="2"/>
    <x v="1"/>
    <x v="1"/>
    <x v="0"/>
    <n v="3.91"/>
    <n v="7"/>
    <x v="3370"/>
    <x v="1"/>
    <n v="7.6"/>
  </r>
  <r>
    <x v="335"/>
    <x v="2"/>
    <x v="0"/>
    <x v="1"/>
    <x v="0"/>
    <n v="5.67"/>
    <n v="10"/>
    <x v="3371"/>
    <x v="1"/>
    <n v="3.5"/>
  </r>
  <r>
    <x v="336"/>
    <x v="2"/>
    <x v="1"/>
    <x v="1"/>
    <x v="3"/>
    <n v="17.86"/>
    <n v="4"/>
    <x v="3372"/>
    <x v="0"/>
    <n v="4.9000000000000004"/>
  </r>
  <r>
    <x v="336"/>
    <x v="1"/>
    <x v="0"/>
    <x v="0"/>
    <x v="0"/>
    <n v="7.34"/>
    <n v="9"/>
    <x v="3373"/>
    <x v="0"/>
    <n v="9.3000000000000007"/>
  </r>
  <r>
    <x v="336"/>
    <x v="0"/>
    <x v="0"/>
    <x v="0"/>
    <x v="1"/>
    <n v="95.76"/>
    <n v="9"/>
    <x v="3374"/>
    <x v="1"/>
    <n v="4.9000000000000004"/>
  </r>
  <r>
    <x v="336"/>
    <x v="1"/>
    <x v="0"/>
    <x v="0"/>
    <x v="5"/>
    <n v="40.619999999999997"/>
    <n v="5"/>
    <x v="3375"/>
    <x v="2"/>
    <n v="6.3"/>
  </r>
  <r>
    <x v="336"/>
    <x v="0"/>
    <x v="1"/>
    <x v="1"/>
    <x v="2"/>
    <n v="74.88"/>
    <n v="1"/>
    <x v="3376"/>
    <x v="1"/>
    <n v="5.3"/>
  </r>
  <r>
    <x v="336"/>
    <x v="2"/>
    <x v="1"/>
    <x v="1"/>
    <x v="1"/>
    <n v="85.97"/>
    <n v="7"/>
    <x v="3377"/>
    <x v="2"/>
    <n v="3.1"/>
  </r>
  <r>
    <x v="336"/>
    <x v="1"/>
    <x v="0"/>
    <x v="1"/>
    <x v="1"/>
    <n v="94.16"/>
    <n v="10"/>
    <x v="3378"/>
    <x v="2"/>
    <n v="4"/>
  </r>
  <r>
    <x v="336"/>
    <x v="2"/>
    <x v="0"/>
    <x v="0"/>
    <x v="1"/>
    <n v="96.02"/>
    <n v="4"/>
    <x v="3379"/>
    <x v="2"/>
    <n v="4.7"/>
  </r>
  <r>
    <x v="336"/>
    <x v="1"/>
    <x v="0"/>
    <x v="0"/>
    <x v="1"/>
    <n v="96.8"/>
    <n v="4"/>
    <x v="3380"/>
    <x v="1"/>
    <n v="9.6"/>
  </r>
  <r>
    <x v="336"/>
    <x v="2"/>
    <x v="0"/>
    <x v="1"/>
    <x v="4"/>
    <n v="64.73"/>
    <n v="6"/>
    <x v="3381"/>
    <x v="0"/>
    <n v="8.5"/>
  </r>
  <r>
    <x v="336"/>
    <x v="0"/>
    <x v="0"/>
    <x v="0"/>
    <x v="2"/>
    <n v="73.62"/>
    <n v="2"/>
    <x v="1476"/>
    <x v="0"/>
    <n v="8.9"/>
  </r>
  <r>
    <x v="337"/>
    <x v="0"/>
    <x v="1"/>
    <x v="1"/>
    <x v="2"/>
    <n v="60.49"/>
    <n v="4"/>
    <x v="3382"/>
    <x v="1"/>
    <n v="3.2"/>
  </r>
  <r>
    <x v="337"/>
    <x v="2"/>
    <x v="0"/>
    <x v="0"/>
    <x v="3"/>
    <n v="19.399999999999999"/>
    <n v="5"/>
    <x v="3383"/>
    <x v="0"/>
    <n v="7.4"/>
  </r>
  <r>
    <x v="337"/>
    <x v="1"/>
    <x v="0"/>
    <x v="0"/>
    <x v="0"/>
    <n v="2.92"/>
    <n v="5"/>
    <x v="3384"/>
    <x v="1"/>
    <n v="6.9"/>
  </r>
  <r>
    <x v="337"/>
    <x v="0"/>
    <x v="1"/>
    <x v="1"/>
    <x v="2"/>
    <n v="60.37"/>
    <n v="6"/>
    <x v="3385"/>
    <x v="0"/>
    <n v="7.1"/>
  </r>
  <r>
    <x v="337"/>
    <x v="2"/>
    <x v="1"/>
    <x v="1"/>
    <x v="0"/>
    <n v="2.36"/>
    <n v="7"/>
    <x v="3386"/>
    <x v="1"/>
    <n v="6.5"/>
  </r>
  <r>
    <x v="337"/>
    <x v="1"/>
    <x v="1"/>
    <x v="1"/>
    <x v="4"/>
    <n v="58.63"/>
    <n v="6"/>
    <x v="3387"/>
    <x v="2"/>
    <n v="5.0999999999999996"/>
  </r>
  <r>
    <x v="337"/>
    <x v="1"/>
    <x v="1"/>
    <x v="0"/>
    <x v="4"/>
    <n v="63.34"/>
    <n v="6"/>
    <x v="3388"/>
    <x v="0"/>
    <n v="7.7"/>
  </r>
  <r>
    <x v="337"/>
    <x v="0"/>
    <x v="1"/>
    <x v="0"/>
    <x v="0"/>
    <n v="7.42"/>
    <n v="3"/>
    <x v="3389"/>
    <x v="2"/>
    <n v="6.9"/>
  </r>
  <r>
    <x v="337"/>
    <x v="0"/>
    <x v="1"/>
    <x v="0"/>
    <x v="0"/>
    <n v="3.68"/>
    <n v="10"/>
    <x v="3390"/>
    <x v="2"/>
    <n v="7.5"/>
  </r>
  <r>
    <x v="337"/>
    <x v="2"/>
    <x v="1"/>
    <x v="1"/>
    <x v="0"/>
    <n v="8.35"/>
    <n v="3"/>
    <x v="1416"/>
    <x v="2"/>
    <n v="3.6"/>
  </r>
  <r>
    <x v="337"/>
    <x v="1"/>
    <x v="0"/>
    <x v="0"/>
    <x v="0"/>
    <n v="8.5500000000000007"/>
    <n v="4"/>
    <x v="3391"/>
    <x v="2"/>
    <n v="5.0999999999999996"/>
  </r>
  <r>
    <x v="337"/>
    <x v="0"/>
    <x v="0"/>
    <x v="1"/>
    <x v="4"/>
    <n v="54.9"/>
    <n v="8"/>
    <x v="3392"/>
    <x v="2"/>
    <n v="8.8000000000000007"/>
  </r>
  <r>
    <x v="337"/>
    <x v="2"/>
    <x v="1"/>
    <x v="1"/>
    <x v="1"/>
    <n v="84.31"/>
    <n v="4"/>
    <x v="3393"/>
    <x v="1"/>
    <n v="7.5"/>
  </r>
  <r>
    <x v="337"/>
    <x v="0"/>
    <x v="0"/>
    <x v="0"/>
    <x v="1"/>
    <n v="75.09"/>
    <n v="9"/>
    <x v="3394"/>
    <x v="0"/>
    <n v="3.3"/>
  </r>
  <r>
    <x v="337"/>
    <x v="0"/>
    <x v="0"/>
    <x v="0"/>
    <x v="3"/>
    <n v="16.43"/>
    <n v="9"/>
    <x v="3395"/>
    <x v="2"/>
    <n v="7"/>
  </r>
  <r>
    <x v="337"/>
    <x v="2"/>
    <x v="1"/>
    <x v="0"/>
    <x v="2"/>
    <n v="76.92"/>
    <n v="8"/>
    <x v="3396"/>
    <x v="0"/>
    <n v="4.8"/>
  </r>
  <r>
    <x v="337"/>
    <x v="1"/>
    <x v="1"/>
    <x v="0"/>
    <x v="3"/>
    <n v="13.28"/>
    <n v="5"/>
    <x v="3397"/>
    <x v="0"/>
    <n v="3.5"/>
  </r>
  <r>
    <x v="337"/>
    <x v="2"/>
    <x v="1"/>
    <x v="0"/>
    <x v="0"/>
    <n v="9.14"/>
    <n v="2"/>
    <x v="909"/>
    <x v="1"/>
    <n v="4"/>
  </r>
  <r>
    <x v="337"/>
    <x v="0"/>
    <x v="0"/>
    <x v="1"/>
    <x v="0"/>
    <n v="5.32"/>
    <n v="6"/>
    <x v="3398"/>
    <x v="2"/>
    <n v="6.2"/>
  </r>
  <r>
    <x v="337"/>
    <x v="2"/>
    <x v="0"/>
    <x v="0"/>
    <x v="1"/>
    <n v="94.8"/>
    <n v="10"/>
    <x v="3399"/>
    <x v="0"/>
    <n v="6.2"/>
  </r>
  <r>
    <x v="337"/>
    <x v="2"/>
    <x v="1"/>
    <x v="0"/>
    <x v="2"/>
    <n v="66.150000000000006"/>
    <n v="9"/>
    <x v="3400"/>
    <x v="2"/>
    <n v="9.1"/>
  </r>
  <r>
    <x v="337"/>
    <x v="2"/>
    <x v="1"/>
    <x v="0"/>
    <x v="0"/>
    <n v="2.23"/>
    <n v="6"/>
    <x v="3401"/>
    <x v="2"/>
    <n v="7.6"/>
  </r>
  <r>
    <x v="338"/>
    <x v="0"/>
    <x v="0"/>
    <x v="0"/>
    <x v="0"/>
    <n v="9.85"/>
    <n v="9"/>
    <x v="3402"/>
    <x v="1"/>
    <n v="9.1999999999999993"/>
  </r>
  <r>
    <x v="338"/>
    <x v="1"/>
    <x v="0"/>
    <x v="1"/>
    <x v="5"/>
    <n v="39.28"/>
    <n v="3"/>
    <x v="3403"/>
    <x v="0"/>
    <n v="4.2"/>
  </r>
  <r>
    <x v="338"/>
    <x v="2"/>
    <x v="1"/>
    <x v="1"/>
    <x v="3"/>
    <n v="7.88"/>
    <n v="7"/>
    <x v="3404"/>
    <x v="0"/>
    <n v="8.1"/>
  </r>
  <r>
    <x v="338"/>
    <x v="2"/>
    <x v="1"/>
    <x v="1"/>
    <x v="4"/>
    <n v="50.39"/>
    <n v="9"/>
    <x v="3405"/>
    <x v="1"/>
    <n v="9.8000000000000007"/>
  </r>
  <r>
    <x v="338"/>
    <x v="1"/>
    <x v="0"/>
    <x v="1"/>
    <x v="0"/>
    <n v="8.0299999999999994"/>
    <n v="4"/>
    <x v="3406"/>
    <x v="1"/>
    <n v="8.6999999999999993"/>
  </r>
  <r>
    <x v="338"/>
    <x v="0"/>
    <x v="1"/>
    <x v="1"/>
    <x v="5"/>
    <n v="40.08"/>
    <n v="10"/>
    <x v="3407"/>
    <x v="1"/>
    <n v="6.2"/>
  </r>
  <r>
    <x v="338"/>
    <x v="2"/>
    <x v="0"/>
    <x v="1"/>
    <x v="3"/>
    <n v="16"/>
    <n v="3"/>
    <x v="2937"/>
    <x v="0"/>
    <n v="3.7"/>
  </r>
  <r>
    <x v="338"/>
    <x v="2"/>
    <x v="1"/>
    <x v="0"/>
    <x v="1"/>
    <n v="97.26"/>
    <n v="4"/>
    <x v="841"/>
    <x v="1"/>
    <n v="7"/>
  </r>
  <r>
    <x v="338"/>
    <x v="0"/>
    <x v="1"/>
    <x v="1"/>
    <x v="4"/>
    <n v="67.010000000000005"/>
    <n v="10"/>
    <x v="3408"/>
    <x v="1"/>
    <n v="8.4"/>
  </r>
  <r>
    <x v="338"/>
    <x v="0"/>
    <x v="1"/>
    <x v="0"/>
    <x v="0"/>
    <n v="7.29"/>
    <n v="2"/>
    <x v="3409"/>
    <x v="2"/>
    <n v="7.4"/>
  </r>
  <r>
    <x v="338"/>
    <x v="2"/>
    <x v="0"/>
    <x v="0"/>
    <x v="1"/>
    <n v="82.55"/>
    <n v="6"/>
    <x v="3410"/>
    <x v="2"/>
    <n v="9.1"/>
  </r>
  <r>
    <x v="338"/>
    <x v="0"/>
    <x v="0"/>
    <x v="0"/>
    <x v="0"/>
    <n v="7.87"/>
    <n v="5"/>
    <x v="3411"/>
    <x v="2"/>
    <n v="8.5"/>
  </r>
  <r>
    <x v="338"/>
    <x v="2"/>
    <x v="1"/>
    <x v="0"/>
    <x v="0"/>
    <n v="8.61"/>
    <n v="10"/>
    <x v="3412"/>
    <x v="0"/>
    <n v="5.2"/>
  </r>
  <r>
    <x v="338"/>
    <x v="0"/>
    <x v="1"/>
    <x v="0"/>
    <x v="3"/>
    <n v="6.39"/>
    <n v="8"/>
    <x v="1255"/>
    <x v="2"/>
    <n v="7.2"/>
  </r>
  <r>
    <x v="338"/>
    <x v="0"/>
    <x v="1"/>
    <x v="0"/>
    <x v="0"/>
    <n v="3.45"/>
    <n v="4"/>
    <x v="3413"/>
    <x v="0"/>
    <n v="8.4"/>
  </r>
  <r>
    <x v="339"/>
    <x v="1"/>
    <x v="0"/>
    <x v="0"/>
    <x v="0"/>
    <n v="6.13"/>
    <n v="4"/>
    <x v="1993"/>
    <x v="1"/>
    <n v="4.5999999999999996"/>
  </r>
  <r>
    <x v="339"/>
    <x v="1"/>
    <x v="1"/>
    <x v="1"/>
    <x v="0"/>
    <n v="7.17"/>
    <n v="8"/>
    <x v="2152"/>
    <x v="0"/>
    <n v="8.4"/>
  </r>
  <r>
    <x v="339"/>
    <x v="0"/>
    <x v="0"/>
    <x v="0"/>
    <x v="1"/>
    <n v="78.86"/>
    <n v="10"/>
    <x v="3414"/>
    <x v="0"/>
    <n v="6.2"/>
  </r>
  <r>
    <x v="339"/>
    <x v="2"/>
    <x v="1"/>
    <x v="0"/>
    <x v="0"/>
    <n v="7.62"/>
    <n v="5"/>
    <x v="2006"/>
    <x v="0"/>
    <n v="4.7"/>
  </r>
  <r>
    <x v="339"/>
    <x v="0"/>
    <x v="0"/>
    <x v="0"/>
    <x v="1"/>
    <n v="91.51"/>
    <n v="3"/>
    <x v="3415"/>
    <x v="1"/>
    <n v="4.5"/>
  </r>
  <r>
    <x v="339"/>
    <x v="1"/>
    <x v="0"/>
    <x v="0"/>
    <x v="0"/>
    <n v="8.66"/>
    <n v="5"/>
    <x v="3416"/>
    <x v="1"/>
    <n v="5.5"/>
  </r>
  <r>
    <x v="339"/>
    <x v="1"/>
    <x v="1"/>
    <x v="1"/>
    <x v="0"/>
    <n v="2.36"/>
    <n v="1"/>
    <x v="3417"/>
    <x v="2"/>
    <n v="5"/>
  </r>
  <r>
    <x v="339"/>
    <x v="1"/>
    <x v="0"/>
    <x v="0"/>
    <x v="2"/>
    <n v="76.180000000000007"/>
    <n v="10"/>
    <x v="3418"/>
    <x v="0"/>
    <n v="6.2"/>
  </r>
  <r>
    <x v="339"/>
    <x v="0"/>
    <x v="1"/>
    <x v="1"/>
    <x v="0"/>
    <n v="9.5299999999999994"/>
    <n v="8"/>
    <x v="3419"/>
    <x v="1"/>
    <n v="8.6"/>
  </r>
  <r>
    <x v="339"/>
    <x v="0"/>
    <x v="0"/>
    <x v="1"/>
    <x v="0"/>
    <n v="3.19"/>
    <n v="10"/>
    <x v="34"/>
    <x v="0"/>
    <n v="3.6"/>
  </r>
  <r>
    <x v="339"/>
    <x v="1"/>
    <x v="0"/>
    <x v="0"/>
    <x v="3"/>
    <n v="15.96"/>
    <n v="7"/>
    <x v="3420"/>
    <x v="0"/>
    <n v="9.1999999999999993"/>
  </r>
  <r>
    <x v="339"/>
    <x v="1"/>
    <x v="1"/>
    <x v="0"/>
    <x v="0"/>
    <n v="6.55"/>
    <n v="1"/>
    <x v="3421"/>
    <x v="2"/>
    <n v="9.5"/>
  </r>
  <r>
    <x v="339"/>
    <x v="0"/>
    <x v="1"/>
    <x v="1"/>
    <x v="1"/>
    <n v="89.12"/>
    <n v="3"/>
    <x v="3422"/>
    <x v="1"/>
    <n v="4.2"/>
  </r>
  <r>
    <x v="339"/>
    <x v="0"/>
    <x v="1"/>
    <x v="0"/>
    <x v="1"/>
    <n v="89.96"/>
    <n v="8"/>
    <x v="3423"/>
    <x v="0"/>
    <n v="3.2"/>
  </r>
  <r>
    <x v="340"/>
    <x v="2"/>
    <x v="0"/>
    <x v="0"/>
    <x v="0"/>
    <n v="7.5"/>
    <n v="5"/>
    <x v="1822"/>
    <x v="2"/>
    <n v="7"/>
  </r>
  <r>
    <x v="340"/>
    <x v="0"/>
    <x v="0"/>
    <x v="0"/>
    <x v="4"/>
    <n v="60.89"/>
    <n v="3"/>
    <x v="3424"/>
    <x v="0"/>
    <n v="8.6"/>
  </r>
  <r>
    <x v="340"/>
    <x v="0"/>
    <x v="1"/>
    <x v="0"/>
    <x v="1"/>
    <n v="82.71"/>
    <n v="8"/>
    <x v="3425"/>
    <x v="2"/>
    <n v="5.0999999999999996"/>
  </r>
  <r>
    <x v="340"/>
    <x v="2"/>
    <x v="1"/>
    <x v="0"/>
    <x v="0"/>
    <n v="2.64"/>
    <n v="1"/>
    <x v="3426"/>
    <x v="0"/>
    <n v="8"/>
  </r>
  <r>
    <x v="340"/>
    <x v="0"/>
    <x v="0"/>
    <x v="1"/>
    <x v="5"/>
    <n v="48.86"/>
    <n v="10"/>
    <x v="3427"/>
    <x v="2"/>
    <n v="9.5"/>
  </r>
  <r>
    <x v="340"/>
    <x v="1"/>
    <x v="0"/>
    <x v="0"/>
    <x v="2"/>
    <n v="72.89"/>
    <n v="3"/>
    <x v="3428"/>
    <x v="0"/>
    <n v="6.5"/>
  </r>
  <r>
    <x v="340"/>
    <x v="2"/>
    <x v="1"/>
    <x v="1"/>
    <x v="0"/>
    <n v="7.08"/>
    <n v="8"/>
    <x v="1272"/>
    <x v="1"/>
    <n v="6.2"/>
  </r>
  <r>
    <x v="340"/>
    <x v="2"/>
    <x v="0"/>
    <x v="1"/>
    <x v="0"/>
    <n v="4.6399999999999997"/>
    <n v="8"/>
    <x v="3429"/>
    <x v="0"/>
    <n v="7.5"/>
  </r>
  <r>
    <x v="340"/>
    <x v="1"/>
    <x v="1"/>
    <x v="1"/>
    <x v="0"/>
    <n v="2.7"/>
    <n v="5"/>
    <x v="3430"/>
    <x v="0"/>
    <n v="3.8"/>
  </r>
  <r>
    <x v="340"/>
    <x v="1"/>
    <x v="1"/>
    <x v="1"/>
    <x v="4"/>
    <n v="58.26"/>
    <n v="4"/>
    <x v="3431"/>
    <x v="2"/>
    <n v="5.5"/>
  </r>
  <r>
    <x v="340"/>
    <x v="1"/>
    <x v="0"/>
    <x v="0"/>
    <x v="4"/>
    <n v="54.07"/>
    <n v="9"/>
    <x v="290"/>
    <x v="1"/>
    <n v="9.3000000000000007"/>
  </r>
  <r>
    <x v="340"/>
    <x v="1"/>
    <x v="0"/>
    <x v="0"/>
    <x v="0"/>
    <n v="2.23"/>
    <n v="10"/>
    <x v="3432"/>
    <x v="1"/>
    <n v="7.8"/>
  </r>
  <r>
    <x v="340"/>
    <x v="0"/>
    <x v="0"/>
    <x v="0"/>
    <x v="0"/>
    <n v="3.8"/>
    <n v="2"/>
    <x v="3433"/>
    <x v="0"/>
    <n v="9.4"/>
  </r>
  <r>
    <x v="340"/>
    <x v="0"/>
    <x v="1"/>
    <x v="0"/>
    <x v="5"/>
    <n v="35.270000000000003"/>
    <n v="5"/>
    <x v="3434"/>
    <x v="0"/>
    <n v="8.6999999999999993"/>
  </r>
  <r>
    <x v="341"/>
    <x v="0"/>
    <x v="0"/>
    <x v="0"/>
    <x v="2"/>
    <n v="61.51"/>
    <n v="10"/>
    <x v="3435"/>
    <x v="2"/>
    <n v="8.1"/>
  </r>
  <r>
    <x v="341"/>
    <x v="0"/>
    <x v="1"/>
    <x v="0"/>
    <x v="1"/>
    <n v="79.84"/>
    <n v="9"/>
    <x v="3436"/>
    <x v="0"/>
    <n v="8.6"/>
  </r>
  <r>
    <x v="341"/>
    <x v="2"/>
    <x v="0"/>
    <x v="0"/>
    <x v="3"/>
    <n v="10.039999999999999"/>
    <n v="8"/>
    <x v="3262"/>
    <x v="0"/>
    <n v="5.3"/>
  </r>
  <r>
    <x v="341"/>
    <x v="2"/>
    <x v="1"/>
    <x v="0"/>
    <x v="4"/>
    <n v="67.39"/>
    <n v="4"/>
    <x v="3437"/>
    <x v="2"/>
    <n v="5.6"/>
  </r>
  <r>
    <x v="341"/>
    <x v="2"/>
    <x v="1"/>
    <x v="1"/>
    <x v="4"/>
    <n v="64.89"/>
    <n v="7"/>
    <x v="3438"/>
    <x v="0"/>
    <n v="9.6999999999999993"/>
  </r>
  <r>
    <x v="341"/>
    <x v="1"/>
    <x v="1"/>
    <x v="1"/>
    <x v="4"/>
    <n v="69.3"/>
    <n v="3"/>
    <x v="3439"/>
    <x v="2"/>
    <n v="9.6"/>
  </r>
  <r>
    <x v="341"/>
    <x v="0"/>
    <x v="0"/>
    <x v="0"/>
    <x v="0"/>
    <n v="6.21"/>
    <n v="8"/>
    <x v="3440"/>
    <x v="1"/>
    <n v="7.9"/>
  </r>
  <r>
    <x v="341"/>
    <x v="1"/>
    <x v="0"/>
    <x v="1"/>
    <x v="0"/>
    <n v="5.76"/>
    <n v="5"/>
    <x v="2454"/>
    <x v="0"/>
    <n v="7.2"/>
  </r>
  <r>
    <x v="341"/>
    <x v="0"/>
    <x v="1"/>
    <x v="0"/>
    <x v="0"/>
    <n v="9.6300000000000008"/>
    <n v="8"/>
    <x v="1037"/>
    <x v="2"/>
    <n v="3.2"/>
  </r>
  <r>
    <x v="341"/>
    <x v="1"/>
    <x v="0"/>
    <x v="0"/>
    <x v="1"/>
    <n v="91.62"/>
    <n v="7"/>
    <x v="3441"/>
    <x v="1"/>
    <n v="8.1999999999999993"/>
  </r>
  <r>
    <x v="341"/>
    <x v="0"/>
    <x v="0"/>
    <x v="0"/>
    <x v="5"/>
    <n v="40.82"/>
    <n v="1"/>
    <x v="3442"/>
    <x v="1"/>
    <n v="5.2"/>
  </r>
  <r>
    <x v="341"/>
    <x v="2"/>
    <x v="1"/>
    <x v="0"/>
    <x v="1"/>
    <n v="74.209999999999994"/>
    <n v="9"/>
    <x v="3443"/>
    <x v="0"/>
    <n v="6.8"/>
  </r>
  <r>
    <x v="341"/>
    <x v="0"/>
    <x v="0"/>
    <x v="1"/>
    <x v="4"/>
    <n v="62.19"/>
    <n v="7"/>
    <x v="3444"/>
    <x v="2"/>
    <n v="7.6"/>
  </r>
  <r>
    <x v="342"/>
    <x v="1"/>
    <x v="0"/>
    <x v="1"/>
    <x v="0"/>
    <n v="5.69"/>
    <n v="5"/>
    <x v="3445"/>
    <x v="0"/>
    <n v="4.7"/>
  </r>
  <r>
    <x v="342"/>
    <x v="2"/>
    <x v="0"/>
    <x v="0"/>
    <x v="1"/>
    <n v="72.14"/>
    <n v="6"/>
    <x v="3446"/>
    <x v="2"/>
    <n v="5"/>
  </r>
  <r>
    <x v="342"/>
    <x v="1"/>
    <x v="1"/>
    <x v="0"/>
    <x v="2"/>
    <n v="75.36"/>
    <n v="4"/>
    <x v="3447"/>
    <x v="0"/>
    <n v="8.8000000000000007"/>
  </r>
  <r>
    <x v="342"/>
    <x v="2"/>
    <x v="1"/>
    <x v="0"/>
    <x v="1"/>
    <n v="98.74"/>
    <n v="5"/>
    <x v="3448"/>
    <x v="1"/>
    <n v="9.6999999999999993"/>
  </r>
  <r>
    <x v="342"/>
    <x v="2"/>
    <x v="0"/>
    <x v="1"/>
    <x v="5"/>
    <n v="47.32"/>
    <n v="8"/>
    <x v="3449"/>
    <x v="0"/>
    <n v="8.3000000000000007"/>
  </r>
  <r>
    <x v="342"/>
    <x v="2"/>
    <x v="0"/>
    <x v="1"/>
    <x v="3"/>
    <n v="13.18"/>
    <n v="3"/>
    <x v="3450"/>
    <x v="2"/>
    <n v="3.7"/>
  </r>
  <r>
    <x v="342"/>
    <x v="0"/>
    <x v="1"/>
    <x v="0"/>
    <x v="5"/>
    <n v="21"/>
    <n v="6"/>
    <x v="3451"/>
    <x v="2"/>
    <n v="3.9"/>
  </r>
  <r>
    <x v="342"/>
    <x v="2"/>
    <x v="0"/>
    <x v="0"/>
    <x v="2"/>
    <n v="56.02"/>
    <n v="9"/>
    <x v="3452"/>
    <x v="0"/>
    <n v="6.6"/>
  </r>
  <r>
    <x v="342"/>
    <x v="0"/>
    <x v="1"/>
    <x v="0"/>
    <x v="2"/>
    <n v="79.02"/>
    <n v="5"/>
    <x v="3453"/>
    <x v="2"/>
    <n v="8.9"/>
  </r>
  <r>
    <x v="342"/>
    <x v="2"/>
    <x v="0"/>
    <x v="1"/>
    <x v="4"/>
    <n v="65.08"/>
    <n v="4"/>
    <x v="3454"/>
    <x v="2"/>
    <n v="7.9"/>
  </r>
  <r>
    <x v="342"/>
    <x v="1"/>
    <x v="0"/>
    <x v="0"/>
    <x v="2"/>
    <n v="73.72"/>
    <n v="1"/>
    <x v="3455"/>
    <x v="0"/>
    <n v="6.6"/>
  </r>
  <r>
    <x v="342"/>
    <x v="1"/>
    <x v="1"/>
    <x v="0"/>
    <x v="0"/>
    <n v="8.58"/>
    <n v="6"/>
    <x v="3456"/>
    <x v="1"/>
    <n v="7.6"/>
  </r>
  <r>
    <x v="342"/>
    <x v="1"/>
    <x v="0"/>
    <x v="0"/>
    <x v="0"/>
    <n v="7.18"/>
    <n v="8"/>
    <x v="1819"/>
    <x v="2"/>
    <n v="5.0999999999999996"/>
  </r>
  <r>
    <x v="342"/>
    <x v="0"/>
    <x v="0"/>
    <x v="1"/>
    <x v="0"/>
    <n v="4.43"/>
    <n v="8"/>
    <x v="3457"/>
    <x v="1"/>
    <n v="3.7"/>
  </r>
  <r>
    <x v="342"/>
    <x v="0"/>
    <x v="1"/>
    <x v="0"/>
    <x v="2"/>
    <n v="61.13"/>
    <n v="9"/>
    <x v="3458"/>
    <x v="0"/>
    <n v="7"/>
  </r>
  <r>
    <x v="342"/>
    <x v="2"/>
    <x v="1"/>
    <x v="1"/>
    <x v="4"/>
    <n v="62.31"/>
    <n v="5"/>
    <x v="3459"/>
    <x v="1"/>
    <n v="7.7"/>
  </r>
  <r>
    <x v="342"/>
    <x v="2"/>
    <x v="1"/>
    <x v="1"/>
    <x v="3"/>
    <n v="3.79"/>
    <n v="6"/>
    <x v="2044"/>
    <x v="2"/>
    <n v="9.1"/>
  </r>
  <r>
    <x v="342"/>
    <x v="0"/>
    <x v="1"/>
    <x v="0"/>
    <x v="5"/>
    <n v="25.69"/>
    <n v="2"/>
    <x v="3460"/>
    <x v="0"/>
    <n v="3.6"/>
  </r>
  <r>
    <x v="342"/>
    <x v="1"/>
    <x v="0"/>
    <x v="1"/>
    <x v="3"/>
    <n v="16.16"/>
    <n v="4"/>
    <x v="1055"/>
    <x v="1"/>
    <n v="8.4"/>
  </r>
  <r>
    <x v="342"/>
    <x v="1"/>
    <x v="0"/>
    <x v="1"/>
    <x v="3"/>
    <n v="16.63"/>
    <n v="4"/>
    <x v="3461"/>
    <x v="0"/>
    <n v="8.3000000000000007"/>
  </r>
  <r>
    <x v="342"/>
    <x v="1"/>
    <x v="1"/>
    <x v="1"/>
    <x v="4"/>
    <n v="67.17"/>
    <n v="3"/>
    <x v="3462"/>
    <x v="1"/>
    <n v="6.7"/>
  </r>
  <r>
    <x v="342"/>
    <x v="0"/>
    <x v="0"/>
    <x v="1"/>
    <x v="4"/>
    <n v="50.3"/>
    <n v="4"/>
    <x v="3463"/>
    <x v="2"/>
    <n v="5.2"/>
  </r>
  <r>
    <x v="343"/>
    <x v="0"/>
    <x v="1"/>
    <x v="1"/>
    <x v="3"/>
    <n v="11.47"/>
    <n v="2"/>
    <x v="3464"/>
    <x v="0"/>
    <n v="6"/>
  </r>
  <r>
    <x v="343"/>
    <x v="1"/>
    <x v="1"/>
    <x v="1"/>
    <x v="0"/>
    <n v="6.03"/>
    <n v="10"/>
    <x v="3465"/>
    <x v="1"/>
    <n v="7.9"/>
  </r>
  <r>
    <x v="343"/>
    <x v="1"/>
    <x v="1"/>
    <x v="0"/>
    <x v="2"/>
    <n v="69.3"/>
    <n v="1"/>
    <x v="3466"/>
    <x v="1"/>
    <n v="9.8000000000000007"/>
  </r>
  <r>
    <x v="343"/>
    <x v="2"/>
    <x v="1"/>
    <x v="1"/>
    <x v="4"/>
    <n v="64.25"/>
    <n v="8"/>
    <x v="3467"/>
    <x v="1"/>
    <n v="9.1"/>
  </r>
  <r>
    <x v="343"/>
    <x v="0"/>
    <x v="0"/>
    <x v="1"/>
    <x v="0"/>
    <n v="4.2"/>
    <n v="10"/>
    <x v="3468"/>
    <x v="2"/>
    <n v="7.8"/>
  </r>
  <r>
    <x v="343"/>
    <x v="1"/>
    <x v="1"/>
    <x v="0"/>
    <x v="0"/>
    <n v="6.04"/>
    <n v="7"/>
    <x v="3469"/>
    <x v="1"/>
    <n v="8.4"/>
  </r>
  <r>
    <x v="343"/>
    <x v="1"/>
    <x v="1"/>
    <x v="1"/>
    <x v="1"/>
    <n v="83.07"/>
    <n v="4"/>
    <x v="3470"/>
    <x v="0"/>
    <n v="5.3"/>
  </r>
  <r>
    <x v="343"/>
    <x v="2"/>
    <x v="1"/>
    <x v="1"/>
    <x v="0"/>
    <n v="5.41"/>
    <n v="5"/>
    <x v="3471"/>
    <x v="0"/>
    <n v="9.5"/>
  </r>
  <r>
    <x v="343"/>
    <x v="2"/>
    <x v="0"/>
    <x v="1"/>
    <x v="5"/>
    <n v="44.95"/>
    <n v="2"/>
    <x v="2831"/>
    <x v="0"/>
    <n v="3.7"/>
  </r>
  <r>
    <x v="343"/>
    <x v="0"/>
    <x v="1"/>
    <x v="1"/>
    <x v="4"/>
    <n v="63.4"/>
    <n v="7"/>
    <x v="3472"/>
    <x v="0"/>
    <n v="8.9"/>
  </r>
  <r>
    <x v="343"/>
    <x v="2"/>
    <x v="1"/>
    <x v="1"/>
    <x v="2"/>
    <n v="68.010000000000005"/>
    <n v="6"/>
    <x v="3473"/>
    <x v="1"/>
    <n v="6.9"/>
  </r>
  <r>
    <x v="343"/>
    <x v="1"/>
    <x v="0"/>
    <x v="0"/>
    <x v="3"/>
    <n v="17.25"/>
    <n v="6"/>
    <x v="3474"/>
    <x v="2"/>
    <n v="5.5"/>
  </r>
  <r>
    <x v="344"/>
    <x v="1"/>
    <x v="1"/>
    <x v="1"/>
    <x v="4"/>
    <n v="66.900000000000006"/>
    <n v="10"/>
    <x v="3475"/>
    <x v="2"/>
    <n v="7.6"/>
  </r>
  <r>
    <x v="344"/>
    <x v="1"/>
    <x v="0"/>
    <x v="0"/>
    <x v="0"/>
    <n v="3.44"/>
    <n v="5"/>
    <x v="3476"/>
    <x v="0"/>
    <n v="5.4"/>
  </r>
  <r>
    <x v="344"/>
    <x v="0"/>
    <x v="0"/>
    <x v="0"/>
    <x v="3"/>
    <n v="4.55"/>
    <n v="1"/>
    <x v="3477"/>
    <x v="1"/>
    <n v="8.1"/>
  </r>
  <r>
    <x v="344"/>
    <x v="2"/>
    <x v="1"/>
    <x v="0"/>
    <x v="3"/>
    <n v="4.83"/>
    <n v="5"/>
    <x v="3478"/>
    <x v="2"/>
    <n v="5.2"/>
  </r>
  <r>
    <x v="344"/>
    <x v="1"/>
    <x v="0"/>
    <x v="1"/>
    <x v="2"/>
    <n v="54.67"/>
    <n v="10"/>
    <x v="3479"/>
    <x v="1"/>
    <n v="7.6"/>
  </r>
  <r>
    <x v="344"/>
    <x v="1"/>
    <x v="1"/>
    <x v="0"/>
    <x v="3"/>
    <n v="12.93"/>
    <n v="7"/>
    <x v="3480"/>
    <x v="0"/>
    <n v="4.5"/>
  </r>
  <r>
    <x v="344"/>
    <x v="2"/>
    <x v="0"/>
    <x v="0"/>
    <x v="0"/>
    <n v="4.2699999999999996"/>
    <n v="10"/>
    <x v="2749"/>
    <x v="0"/>
    <n v="6.6"/>
  </r>
  <r>
    <x v="344"/>
    <x v="0"/>
    <x v="0"/>
    <x v="0"/>
    <x v="0"/>
    <n v="2.06"/>
    <n v="5"/>
    <x v="3481"/>
    <x v="1"/>
    <n v="8.1999999999999993"/>
  </r>
  <r>
    <x v="344"/>
    <x v="2"/>
    <x v="0"/>
    <x v="0"/>
    <x v="4"/>
    <n v="50.15"/>
    <n v="7"/>
    <x v="3482"/>
    <x v="1"/>
    <n v="3.9"/>
  </r>
  <r>
    <x v="344"/>
    <x v="0"/>
    <x v="0"/>
    <x v="0"/>
    <x v="0"/>
    <n v="5.18"/>
    <n v="1"/>
    <x v="3483"/>
    <x v="0"/>
    <n v="3.1"/>
  </r>
  <r>
    <x v="344"/>
    <x v="2"/>
    <x v="1"/>
    <x v="0"/>
    <x v="2"/>
    <n v="71.28"/>
    <n v="7"/>
    <x v="3484"/>
    <x v="0"/>
    <n v="3.8"/>
  </r>
  <r>
    <x v="344"/>
    <x v="2"/>
    <x v="1"/>
    <x v="1"/>
    <x v="1"/>
    <n v="94.09"/>
    <n v="6"/>
    <x v="3485"/>
    <x v="1"/>
    <n v="6"/>
  </r>
  <r>
    <x v="344"/>
    <x v="2"/>
    <x v="0"/>
    <x v="0"/>
    <x v="1"/>
    <n v="81.459999999999994"/>
    <n v="5"/>
    <x v="3486"/>
    <x v="2"/>
    <n v="5.3"/>
  </r>
  <r>
    <x v="344"/>
    <x v="0"/>
    <x v="0"/>
    <x v="1"/>
    <x v="0"/>
    <n v="6.24"/>
    <n v="4"/>
    <x v="2915"/>
    <x v="0"/>
    <n v="5.4"/>
  </r>
  <r>
    <x v="344"/>
    <x v="1"/>
    <x v="0"/>
    <x v="1"/>
    <x v="2"/>
    <n v="53.08"/>
    <n v="5"/>
    <x v="3487"/>
    <x v="1"/>
    <n v="4.2"/>
  </r>
  <r>
    <x v="344"/>
    <x v="1"/>
    <x v="0"/>
    <x v="1"/>
    <x v="3"/>
    <n v="19.12"/>
    <n v="8"/>
    <x v="3488"/>
    <x v="0"/>
    <n v="8.1"/>
  </r>
  <r>
    <x v="344"/>
    <x v="2"/>
    <x v="1"/>
    <x v="0"/>
    <x v="4"/>
    <n v="53.02"/>
    <n v="2"/>
    <x v="2195"/>
    <x v="0"/>
    <n v="6"/>
  </r>
  <r>
    <x v="344"/>
    <x v="2"/>
    <x v="1"/>
    <x v="1"/>
    <x v="0"/>
    <n v="6.06"/>
    <n v="5"/>
    <x v="3489"/>
    <x v="0"/>
    <n v="6.1"/>
  </r>
  <r>
    <x v="344"/>
    <x v="2"/>
    <x v="0"/>
    <x v="1"/>
    <x v="1"/>
    <n v="87.8"/>
    <n v="9"/>
    <x v="842"/>
    <x v="0"/>
    <n v="6.1"/>
  </r>
  <r>
    <x v="344"/>
    <x v="1"/>
    <x v="1"/>
    <x v="1"/>
    <x v="0"/>
    <n v="9.27"/>
    <n v="10"/>
    <x v="3490"/>
    <x v="2"/>
    <n v="4.3"/>
  </r>
  <r>
    <x v="344"/>
    <x v="1"/>
    <x v="0"/>
    <x v="1"/>
    <x v="5"/>
    <n v="33.520000000000003"/>
    <n v="6"/>
    <x v="3491"/>
    <x v="2"/>
    <n v="3.6"/>
  </r>
  <r>
    <x v="345"/>
    <x v="0"/>
    <x v="1"/>
    <x v="1"/>
    <x v="5"/>
    <n v="49.73"/>
    <n v="9"/>
    <x v="3492"/>
    <x v="2"/>
    <n v="7.1"/>
  </r>
  <r>
    <x v="345"/>
    <x v="2"/>
    <x v="1"/>
    <x v="0"/>
    <x v="0"/>
    <n v="8.1999999999999993"/>
    <n v="10"/>
    <x v="3493"/>
    <x v="1"/>
    <n v="8.4"/>
  </r>
  <r>
    <x v="345"/>
    <x v="0"/>
    <x v="0"/>
    <x v="0"/>
    <x v="5"/>
    <n v="36.74"/>
    <n v="7"/>
    <x v="3494"/>
    <x v="0"/>
    <n v="4.7"/>
  </r>
  <r>
    <x v="345"/>
    <x v="1"/>
    <x v="1"/>
    <x v="1"/>
    <x v="4"/>
    <n v="51.63"/>
    <n v="3"/>
    <x v="3495"/>
    <x v="0"/>
    <n v="5.0999999999999996"/>
  </r>
  <r>
    <x v="345"/>
    <x v="1"/>
    <x v="0"/>
    <x v="0"/>
    <x v="5"/>
    <n v="37.85"/>
    <n v="2"/>
    <x v="2087"/>
    <x v="0"/>
    <n v="6.8"/>
  </r>
  <r>
    <x v="345"/>
    <x v="2"/>
    <x v="0"/>
    <x v="1"/>
    <x v="5"/>
    <n v="39.380000000000003"/>
    <n v="7"/>
    <x v="3496"/>
    <x v="2"/>
    <n v="5.5"/>
  </r>
  <r>
    <x v="345"/>
    <x v="0"/>
    <x v="1"/>
    <x v="1"/>
    <x v="0"/>
    <n v="9.58"/>
    <n v="8"/>
    <x v="3497"/>
    <x v="1"/>
    <n v="4.5"/>
  </r>
  <r>
    <x v="345"/>
    <x v="0"/>
    <x v="0"/>
    <x v="0"/>
    <x v="1"/>
    <n v="84.7"/>
    <n v="9"/>
    <x v="3498"/>
    <x v="2"/>
    <n v="9"/>
  </r>
  <r>
    <x v="345"/>
    <x v="2"/>
    <x v="1"/>
    <x v="1"/>
    <x v="1"/>
    <n v="74.47"/>
    <n v="3"/>
    <x v="3499"/>
    <x v="2"/>
    <n v="8.1999999999999993"/>
  </r>
  <r>
    <x v="345"/>
    <x v="0"/>
    <x v="0"/>
    <x v="0"/>
    <x v="4"/>
    <n v="58.22"/>
    <n v="4"/>
    <x v="3500"/>
    <x v="0"/>
    <n v="7.2"/>
  </r>
  <r>
    <x v="345"/>
    <x v="2"/>
    <x v="0"/>
    <x v="1"/>
    <x v="4"/>
    <n v="56.19"/>
    <n v="8"/>
    <x v="3501"/>
    <x v="1"/>
    <n v="5.5"/>
  </r>
  <r>
    <x v="345"/>
    <x v="2"/>
    <x v="1"/>
    <x v="0"/>
    <x v="2"/>
    <n v="73.34"/>
    <n v="9"/>
    <x v="3502"/>
    <x v="2"/>
    <n v="5.8"/>
  </r>
  <r>
    <x v="345"/>
    <x v="0"/>
    <x v="1"/>
    <x v="1"/>
    <x v="3"/>
    <n v="2.94"/>
    <n v="8"/>
    <x v="3503"/>
    <x v="0"/>
    <n v="6.8"/>
  </r>
  <r>
    <x v="345"/>
    <x v="1"/>
    <x v="1"/>
    <x v="1"/>
    <x v="1"/>
    <n v="72.430000000000007"/>
    <n v="3"/>
    <x v="3504"/>
    <x v="0"/>
    <n v="6.1"/>
  </r>
  <r>
    <x v="345"/>
    <x v="2"/>
    <x v="0"/>
    <x v="1"/>
    <x v="0"/>
    <n v="8.5299999999999994"/>
    <n v="6"/>
    <x v="3505"/>
    <x v="1"/>
    <n v="5.8"/>
  </r>
  <r>
    <x v="345"/>
    <x v="2"/>
    <x v="1"/>
    <x v="1"/>
    <x v="0"/>
    <n v="9.9600000000000009"/>
    <n v="6"/>
    <x v="2392"/>
    <x v="1"/>
    <n v="3.2"/>
  </r>
  <r>
    <x v="345"/>
    <x v="1"/>
    <x v="0"/>
    <x v="0"/>
    <x v="2"/>
    <n v="54.13"/>
    <n v="5"/>
    <x v="3506"/>
    <x v="0"/>
    <n v="7.7"/>
  </r>
  <r>
    <x v="345"/>
    <x v="1"/>
    <x v="1"/>
    <x v="0"/>
    <x v="1"/>
    <n v="87.81"/>
    <n v="2"/>
    <x v="3507"/>
    <x v="1"/>
    <n v="4.7"/>
  </r>
  <r>
    <x v="345"/>
    <x v="1"/>
    <x v="0"/>
    <x v="0"/>
    <x v="4"/>
    <n v="65.52"/>
    <n v="4"/>
    <x v="3508"/>
    <x v="0"/>
    <n v="3.8"/>
  </r>
  <r>
    <x v="345"/>
    <x v="1"/>
    <x v="0"/>
    <x v="0"/>
    <x v="3"/>
    <n v="4"/>
    <n v="8"/>
    <x v="3509"/>
    <x v="2"/>
    <n v="6.6"/>
  </r>
  <r>
    <x v="345"/>
    <x v="1"/>
    <x v="0"/>
    <x v="1"/>
    <x v="5"/>
    <n v="28.74"/>
    <n v="1"/>
    <x v="3510"/>
    <x v="2"/>
    <n v="5.4"/>
  </r>
  <r>
    <x v="345"/>
    <x v="0"/>
    <x v="1"/>
    <x v="1"/>
    <x v="0"/>
    <n v="2.54"/>
    <n v="9"/>
    <x v="1680"/>
    <x v="2"/>
    <n v="6.4"/>
  </r>
  <r>
    <x v="346"/>
    <x v="1"/>
    <x v="1"/>
    <x v="1"/>
    <x v="2"/>
    <n v="76.2"/>
    <n v="1"/>
    <x v="3511"/>
    <x v="2"/>
    <n v="5.6"/>
  </r>
  <r>
    <x v="346"/>
    <x v="1"/>
    <x v="1"/>
    <x v="1"/>
    <x v="0"/>
    <n v="8.31"/>
    <n v="6"/>
    <x v="3512"/>
    <x v="1"/>
    <n v="8"/>
  </r>
  <r>
    <x v="346"/>
    <x v="1"/>
    <x v="0"/>
    <x v="0"/>
    <x v="5"/>
    <n v="21.33"/>
    <n v="9"/>
    <x v="3513"/>
    <x v="0"/>
    <n v="8.5"/>
  </r>
  <r>
    <x v="346"/>
    <x v="1"/>
    <x v="1"/>
    <x v="0"/>
    <x v="3"/>
    <n v="13.37"/>
    <n v="3"/>
    <x v="3514"/>
    <x v="1"/>
    <n v="7.9"/>
  </r>
  <r>
    <x v="346"/>
    <x v="0"/>
    <x v="0"/>
    <x v="0"/>
    <x v="2"/>
    <n v="51.31"/>
    <n v="4"/>
    <x v="3515"/>
    <x v="1"/>
    <n v="5.0999999999999996"/>
  </r>
  <r>
    <x v="346"/>
    <x v="2"/>
    <x v="1"/>
    <x v="0"/>
    <x v="0"/>
    <n v="2.29"/>
    <n v="4"/>
    <x v="3516"/>
    <x v="0"/>
    <n v="5.4"/>
  </r>
  <r>
    <x v="346"/>
    <x v="1"/>
    <x v="1"/>
    <x v="0"/>
    <x v="4"/>
    <n v="52.49"/>
    <n v="6"/>
    <x v="3517"/>
    <x v="0"/>
    <n v="9"/>
  </r>
  <r>
    <x v="346"/>
    <x v="2"/>
    <x v="0"/>
    <x v="0"/>
    <x v="4"/>
    <n v="59.92"/>
    <n v="8"/>
    <x v="3518"/>
    <x v="0"/>
    <n v="9.3000000000000007"/>
  </r>
  <r>
    <x v="346"/>
    <x v="0"/>
    <x v="0"/>
    <x v="0"/>
    <x v="0"/>
    <n v="5.44"/>
    <n v="3"/>
    <x v="1400"/>
    <x v="2"/>
    <n v="5"/>
  </r>
  <r>
    <x v="346"/>
    <x v="2"/>
    <x v="1"/>
    <x v="0"/>
    <x v="1"/>
    <n v="82.91"/>
    <n v="7"/>
    <x v="3519"/>
    <x v="1"/>
    <n v="7.7"/>
  </r>
  <r>
    <x v="346"/>
    <x v="0"/>
    <x v="1"/>
    <x v="0"/>
    <x v="0"/>
    <n v="4.2"/>
    <n v="1"/>
    <x v="3520"/>
    <x v="1"/>
    <n v="7.6"/>
  </r>
  <r>
    <x v="346"/>
    <x v="1"/>
    <x v="0"/>
    <x v="1"/>
    <x v="0"/>
    <n v="3.14"/>
    <n v="10"/>
    <x v="3521"/>
    <x v="2"/>
    <n v="8.3000000000000007"/>
  </r>
  <r>
    <x v="346"/>
    <x v="0"/>
    <x v="1"/>
    <x v="1"/>
    <x v="1"/>
    <n v="80.48"/>
    <n v="10"/>
    <x v="3522"/>
    <x v="1"/>
    <n v="7.1"/>
  </r>
  <r>
    <x v="346"/>
    <x v="2"/>
    <x v="1"/>
    <x v="0"/>
    <x v="5"/>
    <n v="42.89"/>
    <n v="10"/>
    <x v="3523"/>
    <x v="1"/>
    <n v="6.6"/>
  </r>
  <r>
    <x v="346"/>
    <x v="1"/>
    <x v="0"/>
    <x v="0"/>
    <x v="0"/>
    <n v="9.68"/>
    <n v="1"/>
    <x v="3524"/>
    <x v="2"/>
    <n v="4.3"/>
  </r>
  <r>
    <x v="346"/>
    <x v="1"/>
    <x v="1"/>
    <x v="1"/>
    <x v="0"/>
    <n v="8.1999999999999993"/>
    <n v="8"/>
    <x v="3525"/>
    <x v="1"/>
    <n v="9.8000000000000007"/>
  </r>
  <r>
    <x v="346"/>
    <x v="2"/>
    <x v="0"/>
    <x v="1"/>
    <x v="3"/>
    <n v="4.4400000000000004"/>
    <n v="2"/>
    <x v="3526"/>
    <x v="0"/>
    <n v="4.2"/>
  </r>
  <r>
    <x v="346"/>
    <x v="0"/>
    <x v="1"/>
    <x v="0"/>
    <x v="5"/>
    <n v="41.29"/>
    <n v="9"/>
    <x v="3527"/>
    <x v="2"/>
    <n v="5"/>
  </r>
  <r>
    <x v="346"/>
    <x v="0"/>
    <x v="1"/>
    <x v="1"/>
    <x v="0"/>
    <n v="6.07"/>
    <n v="2"/>
    <x v="2027"/>
    <x v="1"/>
    <n v="8.4"/>
  </r>
  <r>
    <x v="346"/>
    <x v="2"/>
    <x v="1"/>
    <x v="1"/>
    <x v="3"/>
    <n v="11.97"/>
    <n v="6"/>
    <x v="2774"/>
    <x v="0"/>
    <n v="8.5"/>
  </r>
  <r>
    <x v="346"/>
    <x v="1"/>
    <x v="0"/>
    <x v="1"/>
    <x v="0"/>
    <n v="4.47"/>
    <n v="8"/>
    <x v="3528"/>
    <x v="2"/>
    <n v="5.8"/>
  </r>
  <r>
    <x v="346"/>
    <x v="1"/>
    <x v="0"/>
    <x v="1"/>
    <x v="0"/>
    <n v="9.7799999999999994"/>
    <n v="2"/>
    <x v="1610"/>
    <x v="0"/>
    <n v="6.2"/>
  </r>
  <r>
    <x v="346"/>
    <x v="0"/>
    <x v="0"/>
    <x v="1"/>
    <x v="0"/>
    <n v="5.46"/>
    <n v="1"/>
    <x v="3529"/>
    <x v="1"/>
    <n v="6.5"/>
  </r>
  <r>
    <x v="346"/>
    <x v="0"/>
    <x v="0"/>
    <x v="0"/>
    <x v="0"/>
    <n v="4.7699999999999996"/>
    <n v="9"/>
    <x v="3530"/>
    <x v="0"/>
    <n v="8.8000000000000007"/>
  </r>
  <r>
    <x v="346"/>
    <x v="1"/>
    <x v="0"/>
    <x v="0"/>
    <x v="3"/>
    <n v="13.25"/>
    <n v="10"/>
    <x v="3531"/>
    <x v="2"/>
    <n v="3.6"/>
  </r>
  <r>
    <x v="347"/>
    <x v="1"/>
    <x v="0"/>
    <x v="1"/>
    <x v="5"/>
    <n v="39.76"/>
    <n v="10"/>
    <x v="3532"/>
    <x v="0"/>
    <n v="8.6999999999999993"/>
  </r>
  <r>
    <x v="347"/>
    <x v="0"/>
    <x v="0"/>
    <x v="1"/>
    <x v="0"/>
    <n v="9.59"/>
    <n v="10"/>
    <x v="3533"/>
    <x v="0"/>
    <n v="7.4"/>
  </r>
  <r>
    <x v="347"/>
    <x v="2"/>
    <x v="1"/>
    <x v="1"/>
    <x v="4"/>
    <n v="67.78"/>
    <n v="9"/>
    <x v="3534"/>
    <x v="0"/>
    <n v="7.4"/>
  </r>
  <r>
    <x v="347"/>
    <x v="0"/>
    <x v="1"/>
    <x v="0"/>
    <x v="0"/>
    <n v="5.63"/>
    <n v="1"/>
    <x v="3535"/>
    <x v="1"/>
    <n v="6"/>
  </r>
  <r>
    <x v="347"/>
    <x v="0"/>
    <x v="0"/>
    <x v="0"/>
    <x v="0"/>
    <n v="4.5"/>
    <n v="6"/>
    <x v="1099"/>
    <x v="2"/>
    <n v="9.6999999999999993"/>
  </r>
  <r>
    <x v="347"/>
    <x v="2"/>
    <x v="1"/>
    <x v="1"/>
    <x v="0"/>
    <n v="6.12"/>
    <n v="2"/>
    <x v="1956"/>
    <x v="0"/>
    <n v="4.5999999999999996"/>
  </r>
  <r>
    <x v="347"/>
    <x v="2"/>
    <x v="0"/>
    <x v="1"/>
    <x v="1"/>
    <n v="72.8"/>
    <n v="5"/>
    <x v="3536"/>
    <x v="0"/>
    <n v="8.9"/>
  </r>
  <r>
    <x v="347"/>
    <x v="0"/>
    <x v="1"/>
    <x v="0"/>
    <x v="0"/>
    <n v="3.52"/>
    <n v="3"/>
    <x v="3537"/>
    <x v="0"/>
    <n v="9.8000000000000007"/>
  </r>
  <r>
    <x v="347"/>
    <x v="2"/>
    <x v="0"/>
    <x v="0"/>
    <x v="0"/>
    <n v="2.72"/>
    <n v="7"/>
    <x v="3538"/>
    <x v="2"/>
    <n v="6.1"/>
  </r>
  <r>
    <x v="347"/>
    <x v="1"/>
    <x v="0"/>
    <x v="0"/>
    <x v="3"/>
    <n v="2.91"/>
    <n v="8"/>
    <x v="3539"/>
    <x v="2"/>
    <n v="9"/>
  </r>
  <r>
    <x v="347"/>
    <x v="2"/>
    <x v="0"/>
    <x v="0"/>
    <x v="5"/>
    <n v="45.42"/>
    <n v="7"/>
    <x v="3540"/>
    <x v="1"/>
    <n v="9"/>
  </r>
  <r>
    <x v="347"/>
    <x v="2"/>
    <x v="0"/>
    <x v="0"/>
    <x v="4"/>
    <n v="58.01"/>
    <n v="10"/>
    <x v="3541"/>
    <x v="2"/>
    <n v="4.3"/>
  </r>
  <r>
    <x v="347"/>
    <x v="0"/>
    <x v="1"/>
    <x v="0"/>
    <x v="0"/>
    <n v="8.1199999999999992"/>
    <n v="5"/>
    <x v="3542"/>
    <x v="2"/>
    <n v="7.6"/>
  </r>
  <r>
    <x v="347"/>
    <x v="0"/>
    <x v="1"/>
    <x v="0"/>
    <x v="1"/>
    <n v="93.01"/>
    <n v="6"/>
    <x v="3543"/>
    <x v="2"/>
    <n v="9.4"/>
  </r>
  <r>
    <x v="347"/>
    <x v="0"/>
    <x v="0"/>
    <x v="0"/>
    <x v="4"/>
    <n v="50.91"/>
    <n v="3"/>
    <x v="3544"/>
    <x v="2"/>
    <n v="5.3"/>
  </r>
  <r>
    <x v="347"/>
    <x v="2"/>
    <x v="0"/>
    <x v="1"/>
    <x v="0"/>
    <n v="4.62"/>
    <n v="10"/>
    <x v="874"/>
    <x v="0"/>
    <n v="4.0999999999999996"/>
  </r>
  <r>
    <x v="347"/>
    <x v="1"/>
    <x v="1"/>
    <x v="0"/>
    <x v="2"/>
    <n v="65.22"/>
    <n v="9"/>
    <x v="3545"/>
    <x v="2"/>
    <n v="6.3"/>
  </r>
  <r>
    <x v="347"/>
    <x v="2"/>
    <x v="1"/>
    <x v="1"/>
    <x v="0"/>
    <n v="4.6500000000000004"/>
    <n v="2"/>
    <x v="3546"/>
    <x v="0"/>
    <n v="7"/>
  </r>
  <r>
    <x v="347"/>
    <x v="1"/>
    <x v="1"/>
    <x v="1"/>
    <x v="4"/>
    <n v="55.31"/>
    <n v="10"/>
    <x v="3547"/>
    <x v="2"/>
    <n v="4.5"/>
  </r>
  <r>
    <x v="348"/>
    <x v="2"/>
    <x v="1"/>
    <x v="1"/>
    <x v="1"/>
    <n v="74.28"/>
    <n v="4"/>
    <x v="3548"/>
    <x v="1"/>
    <n v="6.9"/>
  </r>
  <r>
    <x v="348"/>
    <x v="0"/>
    <x v="1"/>
    <x v="1"/>
    <x v="5"/>
    <n v="29.41"/>
    <n v="3"/>
    <x v="3549"/>
    <x v="0"/>
    <n v="7.7"/>
  </r>
  <r>
    <x v="348"/>
    <x v="1"/>
    <x v="0"/>
    <x v="0"/>
    <x v="0"/>
    <n v="7.65"/>
    <n v="9"/>
    <x v="3550"/>
    <x v="1"/>
    <n v="6.8"/>
  </r>
  <r>
    <x v="348"/>
    <x v="2"/>
    <x v="1"/>
    <x v="0"/>
    <x v="2"/>
    <n v="78.7"/>
    <n v="8"/>
    <x v="3551"/>
    <x v="2"/>
    <n v="5.3"/>
  </r>
  <r>
    <x v="348"/>
    <x v="1"/>
    <x v="1"/>
    <x v="0"/>
    <x v="0"/>
    <n v="3.54"/>
    <n v="4"/>
    <x v="1523"/>
    <x v="0"/>
    <n v="6.8"/>
  </r>
  <r>
    <x v="348"/>
    <x v="2"/>
    <x v="0"/>
    <x v="0"/>
    <x v="3"/>
    <n v="14.42"/>
    <n v="8"/>
    <x v="978"/>
    <x v="0"/>
    <n v="6.3"/>
  </r>
  <r>
    <x v="348"/>
    <x v="1"/>
    <x v="1"/>
    <x v="0"/>
    <x v="0"/>
    <n v="2.97"/>
    <n v="9"/>
    <x v="3552"/>
    <x v="0"/>
    <n v="9.1"/>
  </r>
  <r>
    <x v="348"/>
    <x v="2"/>
    <x v="1"/>
    <x v="1"/>
    <x v="0"/>
    <n v="2.34"/>
    <n v="2"/>
    <x v="3553"/>
    <x v="0"/>
    <n v="9.3000000000000007"/>
  </r>
  <r>
    <x v="348"/>
    <x v="1"/>
    <x v="0"/>
    <x v="0"/>
    <x v="5"/>
    <n v="26.06"/>
    <n v="9"/>
    <x v="3554"/>
    <x v="0"/>
    <n v="9.3000000000000007"/>
  </r>
  <r>
    <x v="348"/>
    <x v="0"/>
    <x v="0"/>
    <x v="1"/>
    <x v="5"/>
    <n v="27.27"/>
    <n v="9"/>
    <x v="3555"/>
    <x v="1"/>
    <n v="7.3"/>
  </r>
  <r>
    <x v="348"/>
    <x v="2"/>
    <x v="1"/>
    <x v="0"/>
    <x v="1"/>
    <n v="72.91"/>
    <n v="3"/>
    <x v="3556"/>
    <x v="1"/>
    <n v="9.6"/>
  </r>
  <r>
    <x v="348"/>
    <x v="0"/>
    <x v="1"/>
    <x v="0"/>
    <x v="2"/>
    <n v="64.319999999999993"/>
    <n v="4"/>
    <x v="3557"/>
    <x v="0"/>
    <n v="5.2"/>
  </r>
  <r>
    <x v="349"/>
    <x v="0"/>
    <x v="0"/>
    <x v="1"/>
    <x v="5"/>
    <n v="47.4"/>
    <n v="3"/>
    <x v="3558"/>
    <x v="0"/>
    <n v="9"/>
  </r>
  <r>
    <x v="349"/>
    <x v="0"/>
    <x v="1"/>
    <x v="0"/>
    <x v="3"/>
    <n v="5.35"/>
    <n v="5"/>
    <x v="3559"/>
    <x v="1"/>
    <n v="3.1"/>
  </r>
  <r>
    <x v="349"/>
    <x v="0"/>
    <x v="1"/>
    <x v="0"/>
    <x v="0"/>
    <n v="5.63"/>
    <n v="9"/>
    <x v="1446"/>
    <x v="2"/>
    <n v="6.4"/>
  </r>
  <r>
    <x v="349"/>
    <x v="1"/>
    <x v="1"/>
    <x v="0"/>
    <x v="2"/>
    <n v="55.78"/>
    <n v="2"/>
    <x v="3560"/>
    <x v="0"/>
    <n v="4.0999999999999996"/>
  </r>
  <r>
    <x v="349"/>
    <x v="2"/>
    <x v="0"/>
    <x v="1"/>
    <x v="0"/>
    <n v="7.89"/>
    <n v="5"/>
    <x v="3561"/>
    <x v="2"/>
    <n v="7.6"/>
  </r>
  <r>
    <x v="349"/>
    <x v="1"/>
    <x v="1"/>
    <x v="0"/>
    <x v="3"/>
    <n v="11.28"/>
    <n v="2"/>
    <x v="1804"/>
    <x v="0"/>
    <n v="7.6"/>
  </r>
  <r>
    <x v="349"/>
    <x v="0"/>
    <x v="1"/>
    <x v="0"/>
    <x v="3"/>
    <n v="18.84"/>
    <n v="1"/>
    <x v="3562"/>
    <x v="0"/>
    <n v="5.6"/>
  </r>
  <r>
    <x v="349"/>
    <x v="2"/>
    <x v="1"/>
    <x v="0"/>
    <x v="0"/>
    <n v="6.66"/>
    <n v="10"/>
    <x v="3563"/>
    <x v="1"/>
    <n v="4.8"/>
  </r>
  <r>
    <x v="349"/>
    <x v="0"/>
    <x v="0"/>
    <x v="1"/>
    <x v="0"/>
    <n v="5.72"/>
    <n v="3"/>
    <x v="1747"/>
    <x v="0"/>
    <n v="7.7"/>
  </r>
  <r>
    <x v="349"/>
    <x v="1"/>
    <x v="0"/>
    <x v="0"/>
    <x v="2"/>
    <n v="69.16"/>
    <n v="5"/>
    <x v="3564"/>
    <x v="0"/>
    <n v="7.2"/>
  </r>
  <r>
    <x v="349"/>
    <x v="0"/>
    <x v="0"/>
    <x v="0"/>
    <x v="3"/>
    <n v="10.19"/>
    <n v="10"/>
    <x v="218"/>
    <x v="0"/>
    <n v="5.8"/>
  </r>
  <r>
    <x v="349"/>
    <x v="2"/>
    <x v="0"/>
    <x v="1"/>
    <x v="0"/>
    <n v="7.44"/>
    <n v="10"/>
    <x v="3565"/>
    <x v="1"/>
    <n v="6.6"/>
  </r>
  <r>
    <x v="349"/>
    <x v="2"/>
    <x v="0"/>
    <x v="1"/>
    <x v="0"/>
    <n v="2.4900000000000002"/>
    <n v="9"/>
    <x v="3566"/>
    <x v="2"/>
    <n v="4.4000000000000004"/>
  </r>
  <r>
    <x v="349"/>
    <x v="0"/>
    <x v="1"/>
    <x v="0"/>
    <x v="0"/>
    <n v="2.93"/>
    <n v="4"/>
    <x v="3567"/>
    <x v="2"/>
    <n v="7"/>
  </r>
  <r>
    <x v="349"/>
    <x v="1"/>
    <x v="0"/>
    <x v="0"/>
    <x v="1"/>
    <n v="83.13"/>
    <n v="9"/>
    <x v="3568"/>
    <x v="0"/>
    <n v="6.1"/>
  </r>
  <r>
    <x v="349"/>
    <x v="2"/>
    <x v="0"/>
    <x v="0"/>
    <x v="1"/>
    <n v="81.459999999999994"/>
    <n v="1"/>
    <x v="3569"/>
    <x v="2"/>
    <n v="4.5"/>
  </r>
  <r>
    <x v="349"/>
    <x v="2"/>
    <x v="0"/>
    <x v="0"/>
    <x v="1"/>
    <n v="85.67"/>
    <n v="1"/>
    <x v="3570"/>
    <x v="1"/>
    <n v="9.6999999999999993"/>
  </r>
  <r>
    <x v="349"/>
    <x v="2"/>
    <x v="0"/>
    <x v="0"/>
    <x v="0"/>
    <n v="8.15"/>
    <n v="7"/>
    <x v="3571"/>
    <x v="0"/>
    <n v="9.8000000000000007"/>
  </r>
  <r>
    <x v="349"/>
    <x v="2"/>
    <x v="0"/>
    <x v="0"/>
    <x v="0"/>
    <n v="7.46"/>
    <n v="9"/>
    <x v="1121"/>
    <x v="1"/>
    <n v="7.4"/>
  </r>
  <r>
    <x v="349"/>
    <x v="0"/>
    <x v="0"/>
    <x v="0"/>
    <x v="0"/>
    <n v="7.82"/>
    <n v="4"/>
    <x v="3572"/>
    <x v="1"/>
    <n v="8.1"/>
  </r>
  <r>
    <x v="350"/>
    <x v="2"/>
    <x v="1"/>
    <x v="0"/>
    <x v="2"/>
    <n v="74.7"/>
    <n v="4"/>
    <x v="3573"/>
    <x v="0"/>
    <n v="5.4"/>
  </r>
  <r>
    <x v="350"/>
    <x v="1"/>
    <x v="0"/>
    <x v="1"/>
    <x v="3"/>
    <n v="16.57"/>
    <n v="7"/>
    <x v="2729"/>
    <x v="2"/>
    <n v="8.1999999999999993"/>
  </r>
  <r>
    <x v="350"/>
    <x v="0"/>
    <x v="0"/>
    <x v="1"/>
    <x v="2"/>
    <n v="52.02"/>
    <n v="10"/>
    <x v="3574"/>
    <x v="1"/>
    <n v="6"/>
  </r>
  <r>
    <x v="350"/>
    <x v="0"/>
    <x v="0"/>
    <x v="1"/>
    <x v="5"/>
    <n v="32.07"/>
    <n v="4"/>
    <x v="3575"/>
    <x v="2"/>
    <n v="4.5"/>
  </r>
  <r>
    <x v="350"/>
    <x v="0"/>
    <x v="1"/>
    <x v="1"/>
    <x v="2"/>
    <n v="57.02"/>
    <n v="10"/>
    <x v="3576"/>
    <x v="0"/>
    <n v="6.9"/>
  </r>
  <r>
    <x v="350"/>
    <x v="2"/>
    <x v="1"/>
    <x v="1"/>
    <x v="4"/>
    <n v="67.53"/>
    <n v="9"/>
    <x v="3577"/>
    <x v="1"/>
    <n v="5.8"/>
  </r>
  <r>
    <x v="350"/>
    <x v="1"/>
    <x v="1"/>
    <x v="1"/>
    <x v="3"/>
    <n v="12.01"/>
    <n v="1"/>
    <x v="3578"/>
    <x v="0"/>
    <n v="9.4"/>
  </r>
  <r>
    <x v="350"/>
    <x v="1"/>
    <x v="1"/>
    <x v="0"/>
    <x v="5"/>
    <n v="32.25"/>
    <n v="5"/>
    <x v="296"/>
    <x v="0"/>
    <n v="4.3"/>
  </r>
  <r>
    <x v="350"/>
    <x v="0"/>
    <x v="1"/>
    <x v="1"/>
    <x v="0"/>
    <n v="8.86"/>
    <n v="3"/>
    <x v="2294"/>
    <x v="0"/>
    <n v="9.1999999999999993"/>
  </r>
  <r>
    <x v="350"/>
    <x v="2"/>
    <x v="1"/>
    <x v="1"/>
    <x v="0"/>
    <n v="3.94"/>
    <n v="4"/>
    <x v="3579"/>
    <x v="0"/>
    <n v="7.4"/>
  </r>
  <r>
    <x v="350"/>
    <x v="2"/>
    <x v="0"/>
    <x v="1"/>
    <x v="2"/>
    <n v="51.55"/>
    <n v="7"/>
    <x v="3580"/>
    <x v="2"/>
    <n v="7.1"/>
  </r>
  <r>
    <x v="350"/>
    <x v="0"/>
    <x v="0"/>
    <x v="1"/>
    <x v="1"/>
    <n v="83.88"/>
    <n v="6"/>
    <x v="3581"/>
    <x v="0"/>
    <n v="9.5"/>
  </r>
  <r>
    <x v="350"/>
    <x v="0"/>
    <x v="1"/>
    <x v="1"/>
    <x v="1"/>
    <n v="96.47"/>
    <n v="10"/>
    <x v="3582"/>
    <x v="2"/>
    <n v="4.4000000000000004"/>
  </r>
  <r>
    <x v="350"/>
    <x v="1"/>
    <x v="1"/>
    <x v="0"/>
    <x v="2"/>
    <n v="61.42"/>
    <n v="9"/>
    <x v="723"/>
    <x v="2"/>
    <n v="5.4"/>
  </r>
  <r>
    <x v="350"/>
    <x v="1"/>
    <x v="1"/>
    <x v="0"/>
    <x v="3"/>
    <n v="3.77"/>
    <n v="8"/>
    <x v="2511"/>
    <x v="0"/>
    <n v="9.1999999999999993"/>
  </r>
  <r>
    <x v="350"/>
    <x v="2"/>
    <x v="0"/>
    <x v="1"/>
    <x v="0"/>
    <n v="7.93"/>
    <n v="1"/>
    <x v="3583"/>
    <x v="0"/>
    <n v="6.8"/>
  </r>
  <r>
    <x v="350"/>
    <x v="1"/>
    <x v="1"/>
    <x v="0"/>
    <x v="5"/>
    <n v="24.57"/>
    <n v="6"/>
    <x v="3584"/>
    <x v="1"/>
    <n v="5.6"/>
  </r>
  <r>
    <x v="351"/>
    <x v="2"/>
    <x v="1"/>
    <x v="0"/>
    <x v="4"/>
    <n v="65.27"/>
    <n v="8"/>
    <x v="3585"/>
    <x v="2"/>
    <n v="7.4"/>
  </r>
  <r>
    <x v="351"/>
    <x v="0"/>
    <x v="0"/>
    <x v="0"/>
    <x v="0"/>
    <n v="3.12"/>
    <n v="9"/>
    <x v="3586"/>
    <x v="0"/>
    <n v="4.3"/>
  </r>
  <r>
    <x v="351"/>
    <x v="1"/>
    <x v="0"/>
    <x v="1"/>
    <x v="2"/>
    <n v="75.17"/>
    <n v="2"/>
    <x v="3587"/>
    <x v="2"/>
    <n v="3.3"/>
  </r>
  <r>
    <x v="351"/>
    <x v="0"/>
    <x v="0"/>
    <x v="1"/>
    <x v="1"/>
    <n v="90.47"/>
    <n v="1"/>
    <x v="3588"/>
    <x v="1"/>
    <n v="6.4"/>
  </r>
  <r>
    <x v="351"/>
    <x v="1"/>
    <x v="1"/>
    <x v="0"/>
    <x v="0"/>
    <n v="2.13"/>
    <n v="9"/>
    <x v="3589"/>
    <x v="2"/>
    <n v="5.8"/>
  </r>
  <r>
    <x v="351"/>
    <x v="1"/>
    <x v="1"/>
    <x v="0"/>
    <x v="1"/>
    <n v="70.5"/>
    <n v="7"/>
    <x v="1248"/>
    <x v="1"/>
    <n v="3.7"/>
  </r>
  <r>
    <x v="351"/>
    <x v="0"/>
    <x v="0"/>
    <x v="1"/>
    <x v="1"/>
    <n v="87.94"/>
    <n v="5"/>
    <x v="3590"/>
    <x v="0"/>
    <n v="4.8"/>
  </r>
  <r>
    <x v="351"/>
    <x v="2"/>
    <x v="1"/>
    <x v="0"/>
    <x v="0"/>
    <n v="6.52"/>
    <n v="4"/>
    <x v="3591"/>
    <x v="0"/>
    <n v="7.7"/>
  </r>
  <r>
    <x v="351"/>
    <x v="1"/>
    <x v="0"/>
    <x v="1"/>
    <x v="4"/>
    <n v="58.11"/>
    <n v="7"/>
    <x v="3592"/>
    <x v="2"/>
    <n v="6.2"/>
  </r>
  <r>
    <x v="351"/>
    <x v="1"/>
    <x v="0"/>
    <x v="1"/>
    <x v="5"/>
    <n v="35"/>
    <n v="7"/>
    <x v="3593"/>
    <x v="2"/>
    <n v="8.3000000000000007"/>
  </r>
  <r>
    <x v="351"/>
    <x v="0"/>
    <x v="0"/>
    <x v="1"/>
    <x v="0"/>
    <n v="3.69"/>
    <n v="10"/>
    <x v="3594"/>
    <x v="0"/>
    <n v="4.8"/>
  </r>
  <r>
    <x v="352"/>
    <x v="1"/>
    <x v="0"/>
    <x v="0"/>
    <x v="2"/>
    <n v="55.38"/>
    <n v="6"/>
    <x v="3595"/>
    <x v="1"/>
    <n v="9.5"/>
  </r>
  <r>
    <x v="352"/>
    <x v="1"/>
    <x v="0"/>
    <x v="0"/>
    <x v="5"/>
    <n v="28.98"/>
    <n v="10"/>
    <x v="3596"/>
    <x v="1"/>
    <n v="6.9"/>
  </r>
  <r>
    <x v="352"/>
    <x v="1"/>
    <x v="1"/>
    <x v="0"/>
    <x v="4"/>
    <n v="65.11"/>
    <n v="3"/>
    <x v="3597"/>
    <x v="2"/>
    <n v="7.9"/>
  </r>
  <r>
    <x v="352"/>
    <x v="2"/>
    <x v="0"/>
    <x v="1"/>
    <x v="0"/>
    <n v="5.5"/>
    <n v="2"/>
    <x v="3598"/>
    <x v="0"/>
    <n v="7.1"/>
  </r>
  <r>
    <x v="352"/>
    <x v="1"/>
    <x v="1"/>
    <x v="0"/>
    <x v="5"/>
    <n v="20.89"/>
    <n v="5"/>
    <x v="2495"/>
    <x v="0"/>
    <n v="6.3"/>
  </r>
  <r>
    <x v="352"/>
    <x v="2"/>
    <x v="0"/>
    <x v="0"/>
    <x v="0"/>
    <n v="7.44"/>
    <n v="7"/>
    <x v="3599"/>
    <x v="1"/>
    <n v="8.3000000000000007"/>
  </r>
  <r>
    <x v="352"/>
    <x v="0"/>
    <x v="0"/>
    <x v="1"/>
    <x v="0"/>
    <n v="4.1399999999999997"/>
    <n v="7"/>
    <x v="3600"/>
    <x v="2"/>
    <n v="8.3000000000000007"/>
  </r>
  <r>
    <x v="352"/>
    <x v="2"/>
    <x v="1"/>
    <x v="0"/>
    <x v="3"/>
    <n v="3.92"/>
    <n v="1"/>
    <x v="3601"/>
    <x v="0"/>
    <n v="6"/>
  </r>
  <r>
    <x v="352"/>
    <x v="0"/>
    <x v="0"/>
    <x v="1"/>
    <x v="4"/>
    <n v="53.75"/>
    <n v="8"/>
    <x v="3602"/>
    <x v="2"/>
    <n v="6.8"/>
  </r>
  <r>
    <x v="352"/>
    <x v="0"/>
    <x v="1"/>
    <x v="1"/>
    <x v="0"/>
    <n v="6.43"/>
    <n v="10"/>
    <x v="3603"/>
    <x v="2"/>
    <n v="8.3000000000000007"/>
  </r>
  <r>
    <x v="352"/>
    <x v="0"/>
    <x v="1"/>
    <x v="0"/>
    <x v="2"/>
    <n v="61.63"/>
    <n v="2"/>
    <x v="3604"/>
    <x v="2"/>
    <n v="9.1"/>
  </r>
  <r>
    <x v="353"/>
    <x v="0"/>
    <x v="1"/>
    <x v="1"/>
    <x v="2"/>
    <n v="55.09"/>
    <n v="5"/>
    <x v="3605"/>
    <x v="0"/>
    <n v="4.8"/>
  </r>
  <r>
    <x v="353"/>
    <x v="0"/>
    <x v="1"/>
    <x v="0"/>
    <x v="3"/>
    <n v="9.58"/>
    <n v="8"/>
    <x v="3497"/>
    <x v="1"/>
    <n v="5.5"/>
  </r>
  <r>
    <x v="353"/>
    <x v="1"/>
    <x v="0"/>
    <x v="0"/>
    <x v="2"/>
    <n v="63.74"/>
    <n v="3"/>
    <x v="3606"/>
    <x v="0"/>
    <n v="3"/>
  </r>
  <r>
    <x v="353"/>
    <x v="1"/>
    <x v="1"/>
    <x v="0"/>
    <x v="0"/>
    <n v="5.52"/>
    <n v="7"/>
    <x v="3607"/>
    <x v="2"/>
    <n v="9.6"/>
  </r>
  <r>
    <x v="353"/>
    <x v="2"/>
    <x v="1"/>
    <x v="1"/>
    <x v="3"/>
    <n v="7.66"/>
    <n v="7"/>
    <x v="3608"/>
    <x v="0"/>
    <n v="5"/>
  </r>
  <r>
    <x v="353"/>
    <x v="2"/>
    <x v="1"/>
    <x v="1"/>
    <x v="5"/>
    <n v="31.28"/>
    <n v="7"/>
    <x v="3609"/>
    <x v="0"/>
    <n v="3.8"/>
  </r>
  <r>
    <x v="353"/>
    <x v="1"/>
    <x v="0"/>
    <x v="1"/>
    <x v="5"/>
    <n v="48.59"/>
    <n v="8"/>
    <x v="3610"/>
    <x v="2"/>
    <n v="4.4000000000000004"/>
  </r>
  <r>
    <x v="353"/>
    <x v="1"/>
    <x v="1"/>
    <x v="1"/>
    <x v="4"/>
    <n v="63.46"/>
    <n v="3"/>
    <x v="3611"/>
    <x v="2"/>
    <n v="5.0999999999999996"/>
  </r>
  <r>
    <x v="353"/>
    <x v="0"/>
    <x v="1"/>
    <x v="0"/>
    <x v="0"/>
    <n v="2.59"/>
    <n v="10"/>
    <x v="2876"/>
    <x v="0"/>
    <n v="7"/>
  </r>
  <r>
    <x v="353"/>
    <x v="1"/>
    <x v="0"/>
    <x v="0"/>
    <x v="5"/>
    <n v="43.72"/>
    <n v="6"/>
    <x v="3612"/>
    <x v="2"/>
    <n v="9.1"/>
  </r>
  <r>
    <x v="353"/>
    <x v="1"/>
    <x v="0"/>
    <x v="1"/>
    <x v="5"/>
    <n v="43.07"/>
    <n v="6"/>
    <x v="3613"/>
    <x v="1"/>
    <n v="7.4"/>
  </r>
  <r>
    <x v="353"/>
    <x v="1"/>
    <x v="1"/>
    <x v="0"/>
    <x v="1"/>
    <n v="97.96"/>
    <n v="7"/>
    <x v="3614"/>
    <x v="1"/>
    <n v="3.1"/>
  </r>
  <r>
    <x v="353"/>
    <x v="1"/>
    <x v="1"/>
    <x v="1"/>
    <x v="0"/>
    <n v="4.99"/>
    <n v="8"/>
    <x v="3615"/>
    <x v="2"/>
    <n v="7"/>
  </r>
  <r>
    <x v="354"/>
    <x v="2"/>
    <x v="1"/>
    <x v="1"/>
    <x v="5"/>
    <n v="23.14"/>
    <n v="7"/>
    <x v="3616"/>
    <x v="1"/>
    <n v="3.8"/>
  </r>
  <r>
    <x v="354"/>
    <x v="0"/>
    <x v="1"/>
    <x v="0"/>
    <x v="2"/>
    <n v="60.29"/>
    <n v="4"/>
    <x v="3617"/>
    <x v="2"/>
    <n v="6.3"/>
  </r>
  <r>
    <x v="354"/>
    <x v="2"/>
    <x v="1"/>
    <x v="0"/>
    <x v="0"/>
    <n v="2.54"/>
    <n v="1"/>
    <x v="3618"/>
    <x v="2"/>
    <n v="3.8"/>
  </r>
  <r>
    <x v="354"/>
    <x v="1"/>
    <x v="0"/>
    <x v="1"/>
    <x v="2"/>
    <n v="77.900000000000006"/>
    <n v="4"/>
    <x v="3619"/>
    <x v="2"/>
    <n v="4.2"/>
  </r>
  <r>
    <x v="354"/>
    <x v="1"/>
    <x v="1"/>
    <x v="0"/>
    <x v="3"/>
    <n v="6.17"/>
    <n v="7"/>
    <x v="1150"/>
    <x v="2"/>
    <n v="4.3"/>
  </r>
  <r>
    <x v="354"/>
    <x v="2"/>
    <x v="0"/>
    <x v="0"/>
    <x v="5"/>
    <n v="42.12"/>
    <n v="4"/>
    <x v="3620"/>
    <x v="0"/>
    <n v="7"/>
  </r>
  <r>
    <x v="354"/>
    <x v="1"/>
    <x v="0"/>
    <x v="1"/>
    <x v="0"/>
    <n v="4.2300000000000004"/>
    <n v="2"/>
    <x v="3621"/>
    <x v="2"/>
    <n v="3.7"/>
  </r>
  <r>
    <x v="354"/>
    <x v="0"/>
    <x v="1"/>
    <x v="0"/>
    <x v="2"/>
    <n v="55.91"/>
    <n v="2"/>
    <x v="3622"/>
    <x v="0"/>
    <n v="7.6"/>
  </r>
  <r>
    <x v="354"/>
    <x v="1"/>
    <x v="1"/>
    <x v="0"/>
    <x v="0"/>
    <n v="6.89"/>
    <n v="10"/>
    <x v="3623"/>
    <x v="1"/>
    <n v="5.4"/>
  </r>
  <r>
    <x v="354"/>
    <x v="1"/>
    <x v="1"/>
    <x v="1"/>
    <x v="2"/>
    <n v="77.56"/>
    <n v="10"/>
    <x v="824"/>
    <x v="1"/>
    <n v="7.6"/>
  </r>
  <r>
    <x v="354"/>
    <x v="0"/>
    <x v="0"/>
    <x v="0"/>
    <x v="0"/>
    <n v="3.46"/>
    <n v="3"/>
    <x v="1749"/>
    <x v="2"/>
    <n v="5.6"/>
  </r>
  <r>
    <x v="354"/>
    <x v="1"/>
    <x v="1"/>
    <x v="0"/>
    <x v="5"/>
    <n v="25.57"/>
    <n v="9"/>
    <x v="3624"/>
    <x v="2"/>
    <n v="9.3000000000000007"/>
  </r>
  <r>
    <x v="354"/>
    <x v="0"/>
    <x v="1"/>
    <x v="1"/>
    <x v="2"/>
    <n v="58.67"/>
    <n v="3"/>
    <x v="3625"/>
    <x v="0"/>
    <n v="8.6999999999999993"/>
  </r>
  <r>
    <x v="354"/>
    <x v="2"/>
    <x v="1"/>
    <x v="1"/>
    <x v="5"/>
    <n v="24.1"/>
    <n v="7"/>
    <x v="3626"/>
    <x v="2"/>
    <n v="6.4"/>
  </r>
  <r>
    <x v="354"/>
    <x v="1"/>
    <x v="1"/>
    <x v="0"/>
    <x v="0"/>
    <n v="7.68"/>
    <n v="8"/>
    <x v="3110"/>
    <x v="0"/>
    <n v="4.0999999999999996"/>
  </r>
  <r>
    <x v="354"/>
    <x v="0"/>
    <x v="0"/>
    <x v="0"/>
    <x v="5"/>
    <n v="28.25"/>
    <n v="9"/>
    <x v="3627"/>
    <x v="0"/>
    <n v="4.0999999999999996"/>
  </r>
  <r>
    <x v="354"/>
    <x v="1"/>
    <x v="0"/>
    <x v="0"/>
    <x v="0"/>
    <n v="6.58"/>
    <n v="5"/>
    <x v="3628"/>
    <x v="2"/>
    <n v="8.6"/>
  </r>
  <r>
    <x v="354"/>
    <x v="0"/>
    <x v="0"/>
    <x v="0"/>
    <x v="0"/>
    <n v="9.92"/>
    <n v="2"/>
    <x v="1357"/>
    <x v="2"/>
    <n v="8.6"/>
  </r>
  <r>
    <x v="355"/>
    <x v="2"/>
    <x v="1"/>
    <x v="1"/>
    <x v="4"/>
    <n v="55.26"/>
    <n v="2"/>
    <x v="2018"/>
    <x v="0"/>
    <n v="8.9"/>
  </r>
  <r>
    <x v="355"/>
    <x v="0"/>
    <x v="1"/>
    <x v="1"/>
    <x v="3"/>
    <n v="17.5"/>
    <n v="10"/>
    <x v="3629"/>
    <x v="2"/>
    <n v="5.9"/>
  </r>
  <r>
    <x v="355"/>
    <x v="0"/>
    <x v="0"/>
    <x v="1"/>
    <x v="5"/>
    <n v="37.1"/>
    <n v="9"/>
    <x v="3630"/>
    <x v="0"/>
    <n v="7.1"/>
  </r>
  <r>
    <x v="355"/>
    <x v="1"/>
    <x v="1"/>
    <x v="0"/>
    <x v="3"/>
    <n v="12.31"/>
    <n v="9"/>
    <x v="3631"/>
    <x v="2"/>
    <n v="8.5"/>
  </r>
  <r>
    <x v="355"/>
    <x v="2"/>
    <x v="1"/>
    <x v="1"/>
    <x v="3"/>
    <n v="17.61"/>
    <n v="3"/>
    <x v="3206"/>
    <x v="2"/>
    <n v="8.9"/>
  </r>
  <r>
    <x v="355"/>
    <x v="1"/>
    <x v="0"/>
    <x v="0"/>
    <x v="0"/>
    <n v="8.09"/>
    <n v="7"/>
    <x v="3632"/>
    <x v="0"/>
    <n v="4"/>
  </r>
  <r>
    <x v="355"/>
    <x v="1"/>
    <x v="1"/>
    <x v="0"/>
    <x v="5"/>
    <n v="33.56"/>
    <n v="2"/>
    <x v="3633"/>
    <x v="0"/>
    <n v="6.5"/>
  </r>
  <r>
    <x v="355"/>
    <x v="2"/>
    <x v="1"/>
    <x v="0"/>
    <x v="0"/>
    <n v="4.62"/>
    <n v="1"/>
    <x v="3634"/>
    <x v="2"/>
    <n v="3.6"/>
  </r>
  <r>
    <x v="355"/>
    <x v="1"/>
    <x v="0"/>
    <x v="0"/>
    <x v="2"/>
    <n v="73.87"/>
    <n v="7"/>
    <x v="3635"/>
    <x v="1"/>
    <n v="9.6"/>
  </r>
  <r>
    <x v="355"/>
    <x v="2"/>
    <x v="1"/>
    <x v="0"/>
    <x v="2"/>
    <n v="74.849999999999994"/>
    <n v="6"/>
    <x v="3636"/>
    <x v="2"/>
    <n v="6.9"/>
  </r>
  <r>
    <x v="355"/>
    <x v="2"/>
    <x v="0"/>
    <x v="0"/>
    <x v="5"/>
    <n v="21.38"/>
    <n v="8"/>
    <x v="3637"/>
    <x v="1"/>
    <n v="3.8"/>
  </r>
  <r>
    <x v="355"/>
    <x v="2"/>
    <x v="0"/>
    <x v="0"/>
    <x v="2"/>
    <n v="79.760000000000005"/>
    <n v="7"/>
    <x v="3638"/>
    <x v="1"/>
    <n v="9.8000000000000007"/>
  </r>
  <r>
    <x v="355"/>
    <x v="1"/>
    <x v="0"/>
    <x v="0"/>
    <x v="2"/>
    <n v="76.23"/>
    <n v="5"/>
    <x v="3639"/>
    <x v="1"/>
    <n v="7.5"/>
  </r>
  <r>
    <x v="355"/>
    <x v="2"/>
    <x v="0"/>
    <x v="1"/>
    <x v="0"/>
    <n v="5.17"/>
    <n v="5"/>
    <x v="3640"/>
    <x v="2"/>
    <n v="7.8"/>
  </r>
  <r>
    <x v="355"/>
    <x v="1"/>
    <x v="0"/>
    <x v="1"/>
    <x v="0"/>
    <n v="2.0099999999999998"/>
    <n v="8"/>
    <x v="1399"/>
    <x v="1"/>
    <n v="3.9"/>
  </r>
  <r>
    <x v="355"/>
    <x v="1"/>
    <x v="0"/>
    <x v="0"/>
    <x v="0"/>
    <n v="2.06"/>
    <n v="6"/>
    <x v="3641"/>
    <x v="1"/>
    <n v="9.6999999999999993"/>
  </r>
  <r>
    <x v="355"/>
    <x v="0"/>
    <x v="0"/>
    <x v="0"/>
    <x v="0"/>
    <n v="3.83"/>
    <n v="2"/>
    <x v="3642"/>
    <x v="2"/>
    <n v="8.5"/>
  </r>
  <r>
    <x v="355"/>
    <x v="2"/>
    <x v="0"/>
    <x v="0"/>
    <x v="3"/>
    <n v="8.89"/>
    <n v="3"/>
    <x v="1120"/>
    <x v="2"/>
    <n v="9.8000000000000007"/>
  </r>
  <r>
    <x v="355"/>
    <x v="1"/>
    <x v="0"/>
    <x v="1"/>
    <x v="3"/>
    <n v="9.92"/>
    <n v="4"/>
    <x v="3643"/>
    <x v="2"/>
    <n v="8.1"/>
  </r>
  <r>
    <x v="355"/>
    <x v="1"/>
    <x v="0"/>
    <x v="0"/>
    <x v="2"/>
    <n v="52.6"/>
    <n v="2"/>
    <x v="3644"/>
    <x v="1"/>
    <n v="8.1"/>
  </r>
  <r>
    <x v="356"/>
    <x v="2"/>
    <x v="1"/>
    <x v="0"/>
    <x v="5"/>
    <n v="29.44"/>
    <n v="3"/>
    <x v="3645"/>
    <x v="1"/>
    <n v="4.9000000000000004"/>
  </r>
  <r>
    <x v="356"/>
    <x v="1"/>
    <x v="0"/>
    <x v="0"/>
    <x v="1"/>
    <n v="94.55"/>
    <n v="5"/>
    <x v="3646"/>
    <x v="1"/>
    <n v="6.5"/>
  </r>
  <r>
    <x v="356"/>
    <x v="1"/>
    <x v="1"/>
    <x v="0"/>
    <x v="5"/>
    <n v="39.39"/>
    <n v="4"/>
    <x v="3647"/>
    <x v="0"/>
    <n v="5.6"/>
  </r>
  <r>
    <x v="356"/>
    <x v="1"/>
    <x v="0"/>
    <x v="1"/>
    <x v="0"/>
    <n v="9.9"/>
    <n v="6"/>
    <x v="3648"/>
    <x v="1"/>
    <n v="5.6"/>
  </r>
  <r>
    <x v="356"/>
    <x v="2"/>
    <x v="0"/>
    <x v="0"/>
    <x v="2"/>
    <n v="72.88"/>
    <n v="2"/>
    <x v="807"/>
    <x v="1"/>
    <n v="7"/>
  </r>
  <r>
    <x v="356"/>
    <x v="0"/>
    <x v="0"/>
    <x v="1"/>
    <x v="1"/>
    <n v="97.46"/>
    <n v="7"/>
    <x v="3649"/>
    <x v="2"/>
    <n v="4.9000000000000004"/>
  </r>
  <r>
    <x v="356"/>
    <x v="2"/>
    <x v="1"/>
    <x v="0"/>
    <x v="4"/>
    <n v="51.65"/>
    <n v="9"/>
    <x v="3650"/>
    <x v="2"/>
    <n v="7.2"/>
  </r>
  <r>
    <x v="356"/>
    <x v="2"/>
    <x v="0"/>
    <x v="1"/>
    <x v="0"/>
    <n v="9.7899999999999991"/>
    <n v="3"/>
    <x v="3651"/>
    <x v="2"/>
    <n v="5.2"/>
  </r>
  <r>
    <x v="356"/>
    <x v="1"/>
    <x v="1"/>
    <x v="1"/>
    <x v="5"/>
    <n v="40.96"/>
    <n v="4"/>
    <x v="3652"/>
    <x v="1"/>
    <n v="4.7"/>
  </r>
  <r>
    <x v="356"/>
    <x v="0"/>
    <x v="0"/>
    <x v="0"/>
    <x v="2"/>
    <n v="59.28"/>
    <n v="3"/>
    <x v="1402"/>
    <x v="1"/>
    <n v="3.1"/>
  </r>
  <r>
    <x v="356"/>
    <x v="0"/>
    <x v="1"/>
    <x v="1"/>
    <x v="3"/>
    <n v="19.149999999999999"/>
    <n v="9"/>
    <x v="3653"/>
    <x v="2"/>
    <n v="8.3000000000000007"/>
  </r>
  <r>
    <x v="356"/>
    <x v="0"/>
    <x v="0"/>
    <x v="0"/>
    <x v="4"/>
    <n v="65"/>
    <n v="5"/>
    <x v="1354"/>
    <x v="2"/>
    <n v="9"/>
  </r>
  <r>
    <x v="356"/>
    <x v="0"/>
    <x v="1"/>
    <x v="0"/>
    <x v="4"/>
    <n v="55.44"/>
    <n v="2"/>
    <x v="3654"/>
    <x v="0"/>
    <n v="7.8"/>
  </r>
  <r>
    <x v="356"/>
    <x v="0"/>
    <x v="1"/>
    <x v="0"/>
    <x v="5"/>
    <n v="35.32"/>
    <n v="1"/>
    <x v="3655"/>
    <x v="0"/>
    <n v="8.8000000000000007"/>
  </r>
  <r>
    <x v="356"/>
    <x v="0"/>
    <x v="0"/>
    <x v="0"/>
    <x v="3"/>
    <n v="18.100000000000001"/>
    <n v="2"/>
    <x v="3656"/>
    <x v="1"/>
    <n v="8"/>
  </r>
  <r>
    <x v="356"/>
    <x v="0"/>
    <x v="0"/>
    <x v="1"/>
    <x v="1"/>
    <n v="83.66"/>
    <n v="7"/>
    <x v="3657"/>
    <x v="1"/>
    <n v="4.2"/>
  </r>
  <r>
    <x v="356"/>
    <x v="0"/>
    <x v="0"/>
    <x v="0"/>
    <x v="2"/>
    <n v="59.65"/>
    <n v="7"/>
    <x v="3658"/>
    <x v="2"/>
    <n v="5.2"/>
  </r>
  <r>
    <x v="356"/>
    <x v="1"/>
    <x v="0"/>
    <x v="0"/>
    <x v="2"/>
    <n v="65.06"/>
    <n v="1"/>
    <x v="3659"/>
    <x v="1"/>
    <n v="4.5"/>
  </r>
  <r>
    <x v="356"/>
    <x v="0"/>
    <x v="0"/>
    <x v="0"/>
    <x v="5"/>
    <n v="46.31"/>
    <n v="5"/>
    <x v="3660"/>
    <x v="0"/>
    <n v="5.2"/>
  </r>
  <r>
    <x v="356"/>
    <x v="0"/>
    <x v="0"/>
    <x v="0"/>
    <x v="5"/>
    <n v="28.75"/>
    <n v="5"/>
    <x v="3661"/>
    <x v="2"/>
    <n v="7.2"/>
  </r>
  <r>
    <x v="357"/>
    <x v="1"/>
    <x v="0"/>
    <x v="0"/>
    <x v="0"/>
    <n v="7.86"/>
    <n v="9"/>
    <x v="3662"/>
    <x v="1"/>
    <n v="4"/>
  </r>
  <r>
    <x v="357"/>
    <x v="0"/>
    <x v="1"/>
    <x v="1"/>
    <x v="2"/>
    <n v="69.08"/>
    <n v="1"/>
    <x v="3663"/>
    <x v="0"/>
    <n v="3"/>
  </r>
  <r>
    <x v="357"/>
    <x v="1"/>
    <x v="0"/>
    <x v="0"/>
    <x v="5"/>
    <n v="26.16"/>
    <n v="4"/>
    <x v="3664"/>
    <x v="0"/>
    <n v="6.3"/>
  </r>
  <r>
    <x v="357"/>
    <x v="0"/>
    <x v="0"/>
    <x v="0"/>
    <x v="1"/>
    <n v="71.27"/>
    <n v="4"/>
    <x v="3665"/>
    <x v="2"/>
    <n v="5.8"/>
  </r>
  <r>
    <x v="357"/>
    <x v="2"/>
    <x v="0"/>
    <x v="1"/>
    <x v="2"/>
    <n v="65.16"/>
    <n v="7"/>
    <x v="2638"/>
    <x v="1"/>
    <n v="7"/>
  </r>
  <r>
    <x v="357"/>
    <x v="1"/>
    <x v="0"/>
    <x v="1"/>
    <x v="1"/>
    <n v="78.44"/>
    <n v="6"/>
    <x v="3666"/>
    <x v="0"/>
    <n v="7.8"/>
  </r>
  <r>
    <x v="357"/>
    <x v="2"/>
    <x v="1"/>
    <x v="0"/>
    <x v="4"/>
    <n v="54.67"/>
    <n v="4"/>
    <x v="3667"/>
    <x v="1"/>
    <n v="8.3000000000000007"/>
  </r>
  <r>
    <x v="357"/>
    <x v="0"/>
    <x v="0"/>
    <x v="1"/>
    <x v="5"/>
    <n v="33.49"/>
    <n v="6"/>
    <x v="3668"/>
    <x v="0"/>
    <n v="3.8"/>
  </r>
  <r>
    <x v="357"/>
    <x v="0"/>
    <x v="1"/>
    <x v="0"/>
    <x v="0"/>
    <n v="5.71"/>
    <n v="2"/>
    <x v="3669"/>
    <x v="1"/>
    <n v="4.0999999999999996"/>
  </r>
  <r>
    <x v="357"/>
    <x v="1"/>
    <x v="0"/>
    <x v="1"/>
    <x v="5"/>
    <n v="45.08"/>
    <n v="6"/>
    <x v="3670"/>
    <x v="1"/>
    <n v="3.6"/>
  </r>
  <r>
    <x v="357"/>
    <x v="2"/>
    <x v="0"/>
    <x v="0"/>
    <x v="0"/>
    <n v="7.42"/>
    <n v="5"/>
    <x v="3671"/>
    <x v="1"/>
    <n v="3.2"/>
  </r>
  <r>
    <x v="357"/>
    <x v="2"/>
    <x v="0"/>
    <x v="1"/>
    <x v="0"/>
    <n v="5.7"/>
    <n v="3"/>
    <x v="3672"/>
    <x v="1"/>
    <n v="3.1"/>
  </r>
  <r>
    <x v="357"/>
    <x v="0"/>
    <x v="0"/>
    <x v="1"/>
    <x v="2"/>
    <n v="74.709999999999994"/>
    <n v="6"/>
    <x v="2"/>
    <x v="2"/>
    <n v="7.3"/>
  </r>
  <r>
    <x v="357"/>
    <x v="1"/>
    <x v="0"/>
    <x v="0"/>
    <x v="5"/>
    <n v="20.65"/>
    <n v="2"/>
    <x v="3673"/>
    <x v="1"/>
    <n v="9.1"/>
  </r>
  <r>
    <x v="357"/>
    <x v="0"/>
    <x v="1"/>
    <x v="1"/>
    <x v="0"/>
    <n v="2.98"/>
    <n v="8"/>
    <x v="3674"/>
    <x v="1"/>
    <n v="4.0999999999999996"/>
  </r>
  <r>
    <x v="357"/>
    <x v="1"/>
    <x v="1"/>
    <x v="0"/>
    <x v="5"/>
    <n v="20.88"/>
    <n v="7"/>
    <x v="3675"/>
    <x v="1"/>
    <n v="5.4"/>
  </r>
  <r>
    <x v="357"/>
    <x v="2"/>
    <x v="1"/>
    <x v="0"/>
    <x v="2"/>
    <n v="76.5"/>
    <n v="1"/>
    <x v="3676"/>
    <x v="2"/>
    <n v="7.2"/>
  </r>
  <r>
    <x v="357"/>
    <x v="2"/>
    <x v="1"/>
    <x v="0"/>
    <x v="0"/>
    <n v="9.06"/>
    <n v="8"/>
    <x v="3677"/>
    <x v="1"/>
    <n v="3.6"/>
  </r>
  <r>
    <x v="357"/>
    <x v="2"/>
    <x v="0"/>
    <x v="1"/>
    <x v="0"/>
    <n v="7.05"/>
    <n v="9"/>
    <x v="3678"/>
    <x v="1"/>
    <n v="9.6999999999999993"/>
  </r>
  <r>
    <x v="357"/>
    <x v="2"/>
    <x v="1"/>
    <x v="0"/>
    <x v="4"/>
    <n v="56.88"/>
    <n v="10"/>
    <x v="3679"/>
    <x v="2"/>
    <n v="5.2"/>
  </r>
  <r>
    <x v="357"/>
    <x v="0"/>
    <x v="0"/>
    <x v="0"/>
    <x v="0"/>
    <n v="2.23"/>
    <n v="5"/>
    <x v="3680"/>
    <x v="1"/>
    <n v="8.5"/>
  </r>
  <r>
    <x v="357"/>
    <x v="2"/>
    <x v="0"/>
    <x v="1"/>
    <x v="0"/>
    <n v="2.8"/>
    <n v="4"/>
    <x v="3681"/>
    <x v="0"/>
    <n v="6.6"/>
  </r>
  <r>
    <x v="357"/>
    <x v="1"/>
    <x v="0"/>
    <x v="1"/>
    <x v="4"/>
    <n v="61.51"/>
    <n v="7"/>
    <x v="3682"/>
    <x v="0"/>
    <n v="9.4"/>
  </r>
  <r>
    <x v="357"/>
    <x v="0"/>
    <x v="0"/>
    <x v="1"/>
    <x v="2"/>
    <n v="67.78"/>
    <n v="6"/>
    <x v="3683"/>
    <x v="2"/>
    <n v="3.2"/>
  </r>
  <r>
    <x v="357"/>
    <x v="1"/>
    <x v="0"/>
    <x v="1"/>
    <x v="4"/>
    <n v="66.73"/>
    <n v="8"/>
    <x v="3684"/>
    <x v="2"/>
    <n v="5.0999999999999996"/>
  </r>
  <r>
    <x v="357"/>
    <x v="0"/>
    <x v="0"/>
    <x v="1"/>
    <x v="0"/>
    <n v="6.81"/>
    <n v="1"/>
    <x v="3685"/>
    <x v="2"/>
    <n v="6.3"/>
  </r>
  <r>
    <x v="357"/>
    <x v="1"/>
    <x v="0"/>
    <x v="1"/>
    <x v="0"/>
    <n v="4.7300000000000004"/>
    <n v="3"/>
    <x v="3686"/>
    <x v="0"/>
    <n v="3.4"/>
  </r>
  <r>
    <x v="358"/>
    <x v="1"/>
    <x v="0"/>
    <x v="1"/>
    <x v="3"/>
    <n v="17.239999999999998"/>
    <n v="6"/>
    <x v="3687"/>
    <x v="1"/>
    <n v="5.5"/>
  </r>
  <r>
    <x v="358"/>
    <x v="2"/>
    <x v="1"/>
    <x v="1"/>
    <x v="2"/>
    <n v="59.05"/>
    <n v="3"/>
    <x v="3688"/>
    <x v="1"/>
    <n v="8"/>
  </r>
  <r>
    <x v="358"/>
    <x v="1"/>
    <x v="1"/>
    <x v="0"/>
    <x v="0"/>
    <n v="3.39"/>
    <n v="9"/>
    <x v="3689"/>
    <x v="2"/>
    <n v="9"/>
  </r>
  <r>
    <x v="358"/>
    <x v="2"/>
    <x v="0"/>
    <x v="1"/>
    <x v="5"/>
    <n v="31.35"/>
    <n v="5"/>
    <x v="3690"/>
    <x v="1"/>
    <n v="4.2"/>
  </r>
  <r>
    <x v="358"/>
    <x v="1"/>
    <x v="0"/>
    <x v="0"/>
    <x v="1"/>
    <n v="75.27"/>
    <n v="6"/>
    <x v="3691"/>
    <x v="2"/>
    <n v="4.5"/>
  </r>
  <r>
    <x v="358"/>
    <x v="2"/>
    <x v="1"/>
    <x v="1"/>
    <x v="5"/>
    <n v="42.36"/>
    <n v="4"/>
    <x v="3692"/>
    <x v="0"/>
    <n v="9.6999999999999993"/>
  </r>
  <r>
    <x v="358"/>
    <x v="0"/>
    <x v="1"/>
    <x v="0"/>
    <x v="3"/>
    <n v="2.21"/>
    <n v="4"/>
    <x v="2004"/>
    <x v="1"/>
    <n v="7.7"/>
  </r>
  <r>
    <x v="358"/>
    <x v="0"/>
    <x v="0"/>
    <x v="1"/>
    <x v="0"/>
    <n v="5.09"/>
    <n v="7"/>
    <x v="3693"/>
    <x v="1"/>
    <n v="9"/>
  </r>
  <r>
    <x v="358"/>
    <x v="2"/>
    <x v="1"/>
    <x v="0"/>
    <x v="0"/>
    <n v="2.81"/>
    <n v="8"/>
    <x v="1913"/>
    <x v="2"/>
    <n v="7.4"/>
  </r>
  <r>
    <x v="358"/>
    <x v="0"/>
    <x v="0"/>
    <x v="0"/>
    <x v="5"/>
    <n v="43.98"/>
    <n v="1"/>
    <x v="3694"/>
    <x v="0"/>
    <n v="3.1"/>
  </r>
  <r>
    <x v="358"/>
    <x v="0"/>
    <x v="1"/>
    <x v="1"/>
    <x v="0"/>
    <n v="3.36"/>
    <n v="7"/>
    <x v="3503"/>
    <x v="1"/>
    <n v="8"/>
  </r>
  <r>
    <x v="358"/>
    <x v="0"/>
    <x v="1"/>
    <x v="0"/>
    <x v="5"/>
    <n v="41.14"/>
    <n v="7"/>
    <x v="3695"/>
    <x v="2"/>
    <n v="4.0999999999999996"/>
  </r>
  <r>
    <x v="358"/>
    <x v="0"/>
    <x v="0"/>
    <x v="1"/>
    <x v="2"/>
    <n v="59.93"/>
    <n v="4"/>
    <x v="3696"/>
    <x v="0"/>
    <n v="7.7"/>
  </r>
  <r>
    <x v="358"/>
    <x v="1"/>
    <x v="1"/>
    <x v="0"/>
    <x v="4"/>
    <n v="55.95"/>
    <n v="2"/>
    <x v="3697"/>
    <x v="1"/>
    <n v="5.7"/>
  </r>
  <r>
    <x v="358"/>
    <x v="2"/>
    <x v="0"/>
    <x v="1"/>
    <x v="5"/>
    <n v="30.82"/>
    <n v="7"/>
    <x v="3698"/>
    <x v="1"/>
    <n v="5"/>
  </r>
  <r>
    <x v="358"/>
    <x v="1"/>
    <x v="0"/>
    <x v="0"/>
    <x v="5"/>
    <n v="22.91"/>
    <n v="4"/>
    <x v="3699"/>
    <x v="1"/>
    <n v="7.3"/>
  </r>
  <r>
    <x v="358"/>
    <x v="2"/>
    <x v="1"/>
    <x v="1"/>
    <x v="2"/>
    <n v="73.55"/>
    <n v="8"/>
    <x v="3700"/>
    <x v="0"/>
    <n v="9.1"/>
  </r>
  <r>
    <x v="358"/>
    <x v="1"/>
    <x v="0"/>
    <x v="0"/>
    <x v="0"/>
    <n v="4.97"/>
    <n v="7"/>
    <x v="2618"/>
    <x v="0"/>
    <n v="4.3"/>
  </r>
  <r>
    <x v="358"/>
    <x v="2"/>
    <x v="1"/>
    <x v="0"/>
    <x v="1"/>
    <n v="76.55"/>
    <n v="5"/>
    <x v="3701"/>
    <x v="2"/>
    <n v="3.4"/>
  </r>
  <r>
    <x v="358"/>
    <x v="1"/>
    <x v="0"/>
    <x v="1"/>
    <x v="4"/>
    <n v="63.36"/>
    <n v="9"/>
    <x v="3702"/>
    <x v="0"/>
    <n v="9.6"/>
  </r>
  <r>
    <x v="358"/>
    <x v="1"/>
    <x v="1"/>
    <x v="1"/>
    <x v="5"/>
    <n v="44.55"/>
    <n v="7"/>
    <x v="3703"/>
    <x v="2"/>
    <n v="7.7"/>
  </r>
  <r>
    <x v="358"/>
    <x v="1"/>
    <x v="1"/>
    <x v="1"/>
    <x v="2"/>
    <n v="58.97"/>
    <n v="7"/>
    <x v="3704"/>
    <x v="2"/>
    <n v="3.2"/>
  </r>
  <r>
    <x v="358"/>
    <x v="1"/>
    <x v="0"/>
    <x v="1"/>
    <x v="5"/>
    <n v="48.48"/>
    <n v="8"/>
    <x v="3705"/>
    <x v="1"/>
    <n v="9.5"/>
  </r>
  <r>
    <x v="358"/>
    <x v="0"/>
    <x v="0"/>
    <x v="1"/>
    <x v="3"/>
    <n v="2.77"/>
    <n v="2"/>
    <x v="2326"/>
    <x v="2"/>
    <n v="6"/>
  </r>
  <r>
    <x v="358"/>
    <x v="1"/>
    <x v="1"/>
    <x v="1"/>
    <x v="2"/>
    <n v="59.59"/>
    <n v="2"/>
    <x v="3706"/>
    <x v="1"/>
    <n v="5.6"/>
  </r>
  <r>
    <x v="358"/>
    <x v="2"/>
    <x v="1"/>
    <x v="0"/>
    <x v="0"/>
    <n v="9.34"/>
    <n v="1"/>
    <x v="3707"/>
    <x v="2"/>
    <n v="7.2"/>
  </r>
  <r>
    <x v="359"/>
    <x v="2"/>
    <x v="1"/>
    <x v="1"/>
    <x v="5"/>
    <n v="24.49"/>
    <n v="10"/>
    <x v="589"/>
    <x v="2"/>
    <n v="7"/>
  </r>
  <r>
    <x v="359"/>
    <x v="0"/>
    <x v="0"/>
    <x v="1"/>
    <x v="2"/>
    <n v="73.569999999999993"/>
    <n v="9"/>
    <x v="3708"/>
    <x v="0"/>
    <n v="9"/>
  </r>
  <r>
    <x v="359"/>
    <x v="1"/>
    <x v="1"/>
    <x v="0"/>
    <x v="0"/>
    <n v="2.2999999999999998"/>
    <n v="5"/>
    <x v="2889"/>
    <x v="0"/>
    <n v="4"/>
  </r>
  <r>
    <x v="359"/>
    <x v="1"/>
    <x v="0"/>
    <x v="0"/>
    <x v="5"/>
    <n v="31.87"/>
    <n v="6"/>
    <x v="3606"/>
    <x v="2"/>
    <n v="4.5999999999999996"/>
  </r>
  <r>
    <x v="359"/>
    <x v="2"/>
    <x v="0"/>
    <x v="0"/>
    <x v="4"/>
    <n v="56.76"/>
    <n v="5"/>
    <x v="3709"/>
    <x v="0"/>
    <n v="4.9000000000000004"/>
  </r>
  <r>
    <x v="359"/>
    <x v="1"/>
    <x v="0"/>
    <x v="1"/>
    <x v="0"/>
    <n v="3.08"/>
    <n v="8"/>
    <x v="3710"/>
    <x v="0"/>
    <n v="4.8"/>
  </r>
  <r>
    <x v="359"/>
    <x v="1"/>
    <x v="0"/>
    <x v="1"/>
    <x v="0"/>
    <n v="5.53"/>
    <n v="7"/>
    <x v="3711"/>
    <x v="2"/>
    <n v="6.3"/>
  </r>
  <r>
    <x v="359"/>
    <x v="2"/>
    <x v="0"/>
    <x v="1"/>
    <x v="5"/>
    <n v="21.97"/>
    <n v="9"/>
    <x v="3712"/>
    <x v="0"/>
    <n v="3.9"/>
  </r>
  <r>
    <x v="359"/>
    <x v="1"/>
    <x v="0"/>
    <x v="1"/>
    <x v="2"/>
    <n v="55.78"/>
    <n v="4"/>
    <x v="3713"/>
    <x v="1"/>
    <n v="4.7"/>
  </r>
  <r>
    <x v="359"/>
    <x v="2"/>
    <x v="1"/>
    <x v="1"/>
    <x v="0"/>
    <n v="4.95"/>
    <n v="8"/>
    <x v="3714"/>
    <x v="2"/>
    <n v="5.7"/>
  </r>
  <r>
    <x v="359"/>
    <x v="1"/>
    <x v="0"/>
    <x v="1"/>
    <x v="2"/>
    <n v="61.17"/>
    <n v="10"/>
    <x v="3715"/>
    <x v="0"/>
    <n v="4.2"/>
  </r>
  <r>
    <x v="359"/>
    <x v="1"/>
    <x v="1"/>
    <x v="0"/>
    <x v="2"/>
    <n v="54.91"/>
    <n v="5"/>
    <x v="3716"/>
    <x v="2"/>
    <n v="8.6"/>
  </r>
  <r>
    <x v="359"/>
    <x v="0"/>
    <x v="0"/>
    <x v="0"/>
    <x v="1"/>
    <n v="74.72"/>
    <n v="10"/>
    <x v="3717"/>
    <x v="1"/>
    <n v="8.8000000000000007"/>
  </r>
  <r>
    <x v="359"/>
    <x v="1"/>
    <x v="1"/>
    <x v="1"/>
    <x v="5"/>
    <n v="39.549999999999997"/>
    <n v="9"/>
    <x v="3718"/>
    <x v="1"/>
    <n v="8.9"/>
  </r>
  <r>
    <x v="359"/>
    <x v="1"/>
    <x v="1"/>
    <x v="1"/>
    <x v="2"/>
    <n v="77.349999999999994"/>
    <n v="3"/>
    <x v="3719"/>
    <x v="2"/>
    <n v="8.4"/>
  </r>
  <r>
    <x v="359"/>
    <x v="1"/>
    <x v="1"/>
    <x v="0"/>
    <x v="0"/>
    <n v="5.39"/>
    <n v="7"/>
    <x v="3720"/>
    <x v="0"/>
    <n v="6.1"/>
  </r>
  <r>
    <x v="359"/>
    <x v="2"/>
    <x v="0"/>
    <x v="0"/>
    <x v="0"/>
    <n v="2.06"/>
    <n v="6"/>
    <x v="3641"/>
    <x v="2"/>
    <n v="7.4"/>
  </r>
  <r>
    <x v="359"/>
    <x v="2"/>
    <x v="1"/>
    <x v="1"/>
    <x v="5"/>
    <n v="21.92"/>
    <n v="5"/>
    <x v="368"/>
    <x v="2"/>
    <n v="5.2"/>
  </r>
  <r>
    <x v="360"/>
    <x v="1"/>
    <x v="0"/>
    <x v="0"/>
    <x v="0"/>
    <n v="3.2"/>
    <n v="4"/>
    <x v="1668"/>
    <x v="1"/>
    <n v="8.5"/>
  </r>
  <r>
    <x v="360"/>
    <x v="1"/>
    <x v="1"/>
    <x v="0"/>
    <x v="2"/>
    <n v="70.42"/>
    <n v="1"/>
    <x v="3721"/>
    <x v="2"/>
    <n v="6.4"/>
  </r>
  <r>
    <x v="360"/>
    <x v="2"/>
    <x v="1"/>
    <x v="0"/>
    <x v="0"/>
    <n v="7.89"/>
    <n v="10"/>
    <x v="3722"/>
    <x v="2"/>
    <n v="9.8000000000000007"/>
  </r>
  <r>
    <x v="360"/>
    <x v="2"/>
    <x v="1"/>
    <x v="1"/>
    <x v="2"/>
    <n v="77.2"/>
    <n v="6"/>
    <x v="3723"/>
    <x v="2"/>
    <n v="5"/>
  </r>
  <r>
    <x v="360"/>
    <x v="1"/>
    <x v="1"/>
    <x v="1"/>
    <x v="3"/>
    <n v="3.76"/>
    <n v="3"/>
    <x v="1325"/>
    <x v="2"/>
    <n v="4.8"/>
  </r>
  <r>
    <x v="360"/>
    <x v="0"/>
    <x v="0"/>
    <x v="0"/>
    <x v="2"/>
    <n v="56.67"/>
    <n v="4"/>
    <x v="3724"/>
    <x v="2"/>
    <n v="8.9"/>
  </r>
  <r>
    <x v="360"/>
    <x v="2"/>
    <x v="1"/>
    <x v="0"/>
    <x v="0"/>
    <n v="6.68"/>
    <n v="8"/>
    <x v="3725"/>
    <x v="1"/>
    <n v="6.2"/>
  </r>
  <r>
    <x v="360"/>
    <x v="1"/>
    <x v="1"/>
    <x v="1"/>
    <x v="2"/>
    <n v="76.680000000000007"/>
    <n v="9"/>
    <x v="3726"/>
    <x v="1"/>
    <n v="8.9"/>
  </r>
  <r>
    <x v="360"/>
    <x v="2"/>
    <x v="0"/>
    <x v="0"/>
    <x v="0"/>
    <n v="8.9700000000000006"/>
    <n v="3"/>
    <x v="3727"/>
    <x v="1"/>
    <n v="9.6999999999999993"/>
  </r>
  <r>
    <x v="360"/>
    <x v="1"/>
    <x v="0"/>
    <x v="0"/>
    <x v="0"/>
    <n v="4.53"/>
    <n v="3"/>
    <x v="3728"/>
    <x v="1"/>
    <n v="6.3"/>
  </r>
  <r>
    <x v="360"/>
    <x v="0"/>
    <x v="0"/>
    <x v="0"/>
    <x v="5"/>
    <n v="20.14"/>
    <n v="5"/>
    <x v="3729"/>
    <x v="1"/>
    <n v="8.1999999999999993"/>
  </r>
  <r>
    <x v="360"/>
    <x v="0"/>
    <x v="0"/>
    <x v="0"/>
    <x v="3"/>
    <n v="4.33"/>
    <n v="7"/>
    <x v="3730"/>
    <x v="2"/>
    <n v="5.9"/>
  </r>
  <r>
    <x v="360"/>
    <x v="2"/>
    <x v="0"/>
    <x v="0"/>
    <x v="0"/>
    <n v="2.2999999999999998"/>
    <n v="4"/>
    <x v="3731"/>
    <x v="2"/>
    <n v="5.5"/>
  </r>
  <r>
    <x v="360"/>
    <x v="2"/>
    <x v="0"/>
    <x v="1"/>
    <x v="1"/>
    <n v="89.59"/>
    <n v="4"/>
    <x v="3732"/>
    <x v="1"/>
    <n v="7.7"/>
  </r>
  <r>
    <x v="360"/>
    <x v="0"/>
    <x v="1"/>
    <x v="1"/>
    <x v="0"/>
    <n v="6.03"/>
    <n v="5"/>
    <x v="1921"/>
    <x v="1"/>
    <n v="3.4"/>
  </r>
  <r>
    <x v="360"/>
    <x v="2"/>
    <x v="1"/>
    <x v="0"/>
    <x v="1"/>
    <n v="82.55"/>
    <n v="3"/>
    <x v="3733"/>
    <x v="0"/>
    <n v="9.8000000000000007"/>
  </r>
  <r>
    <x v="360"/>
    <x v="0"/>
    <x v="1"/>
    <x v="1"/>
    <x v="0"/>
    <n v="2.15"/>
    <n v="4"/>
    <x v="1503"/>
    <x v="2"/>
    <n v="9.6999999999999993"/>
  </r>
  <r>
    <x v="360"/>
    <x v="0"/>
    <x v="0"/>
    <x v="1"/>
    <x v="0"/>
    <n v="4.93"/>
    <n v="1"/>
    <x v="3734"/>
    <x v="0"/>
    <n v="9"/>
  </r>
  <r>
    <x v="360"/>
    <x v="1"/>
    <x v="0"/>
    <x v="1"/>
    <x v="0"/>
    <n v="7.3"/>
    <n v="1"/>
    <x v="3735"/>
    <x v="1"/>
    <n v="7.7"/>
  </r>
  <r>
    <x v="360"/>
    <x v="2"/>
    <x v="1"/>
    <x v="1"/>
    <x v="0"/>
    <n v="5.8"/>
    <n v="3"/>
    <x v="1768"/>
    <x v="1"/>
    <n v="7.7"/>
  </r>
  <r>
    <x v="360"/>
    <x v="2"/>
    <x v="0"/>
    <x v="0"/>
    <x v="5"/>
    <n v="39.869999999999997"/>
    <n v="5"/>
    <x v="3736"/>
    <x v="2"/>
    <n v="7.1"/>
  </r>
  <r>
    <x v="360"/>
    <x v="0"/>
    <x v="1"/>
    <x v="1"/>
    <x v="3"/>
    <n v="4.05"/>
    <n v="2"/>
    <x v="3737"/>
    <x v="0"/>
    <n v="4.4000000000000004"/>
  </r>
  <r>
    <x v="361"/>
    <x v="2"/>
    <x v="1"/>
    <x v="1"/>
    <x v="3"/>
    <n v="14.66"/>
    <n v="5"/>
    <x v="3738"/>
    <x v="1"/>
    <n v="3.3"/>
  </r>
  <r>
    <x v="361"/>
    <x v="0"/>
    <x v="1"/>
    <x v="0"/>
    <x v="0"/>
    <n v="3.88"/>
    <n v="1"/>
    <x v="2075"/>
    <x v="2"/>
    <n v="3.6"/>
  </r>
  <r>
    <x v="361"/>
    <x v="1"/>
    <x v="0"/>
    <x v="0"/>
    <x v="3"/>
    <n v="19.09"/>
    <n v="9"/>
    <x v="456"/>
    <x v="1"/>
    <n v="7.9"/>
  </r>
  <r>
    <x v="361"/>
    <x v="2"/>
    <x v="1"/>
    <x v="1"/>
    <x v="3"/>
    <n v="19.8"/>
    <n v="5"/>
    <x v="3739"/>
    <x v="0"/>
    <n v="6.2"/>
  </r>
  <r>
    <x v="361"/>
    <x v="0"/>
    <x v="1"/>
    <x v="1"/>
    <x v="1"/>
    <n v="80.430000000000007"/>
    <n v="6"/>
    <x v="3740"/>
    <x v="0"/>
    <n v="8"/>
  </r>
  <r>
    <x v="361"/>
    <x v="0"/>
    <x v="0"/>
    <x v="1"/>
    <x v="1"/>
    <n v="89.2"/>
    <n v="3"/>
    <x v="3741"/>
    <x v="0"/>
    <n v="5.4"/>
  </r>
  <r>
    <x v="361"/>
    <x v="1"/>
    <x v="0"/>
    <x v="0"/>
    <x v="0"/>
    <n v="4.9800000000000004"/>
    <n v="6"/>
    <x v="3742"/>
    <x v="1"/>
    <n v="3.8"/>
  </r>
  <r>
    <x v="361"/>
    <x v="2"/>
    <x v="1"/>
    <x v="0"/>
    <x v="0"/>
    <n v="7.52"/>
    <n v="8"/>
    <x v="3743"/>
    <x v="0"/>
    <n v="7.4"/>
  </r>
  <r>
    <x v="361"/>
    <x v="0"/>
    <x v="0"/>
    <x v="1"/>
    <x v="4"/>
    <n v="69.63"/>
    <n v="3"/>
    <x v="3744"/>
    <x v="1"/>
    <n v="5.8"/>
  </r>
  <r>
    <x v="361"/>
    <x v="1"/>
    <x v="0"/>
    <x v="0"/>
    <x v="5"/>
    <n v="38.340000000000003"/>
    <n v="6"/>
    <x v="2303"/>
    <x v="2"/>
    <n v="3.2"/>
  </r>
  <r>
    <x v="361"/>
    <x v="1"/>
    <x v="1"/>
    <x v="1"/>
    <x v="5"/>
    <n v="47.61"/>
    <n v="2"/>
    <x v="3745"/>
    <x v="0"/>
    <n v="6"/>
  </r>
  <r>
    <x v="361"/>
    <x v="1"/>
    <x v="0"/>
    <x v="0"/>
    <x v="1"/>
    <n v="90.4"/>
    <n v="9"/>
    <x v="3746"/>
    <x v="2"/>
    <n v="6.9"/>
  </r>
  <r>
    <x v="361"/>
    <x v="1"/>
    <x v="0"/>
    <x v="0"/>
    <x v="5"/>
    <n v="32.99"/>
    <n v="4"/>
    <x v="3747"/>
    <x v="0"/>
    <n v="5.4"/>
  </r>
  <r>
    <x v="361"/>
    <x v="2"/>
    <x v="0"/>
    <x v="1"/>
    <x v="5"/>
    <n v="20.350000000000001"/>
    <n v="3"/>
    <x v="3748"/>
    <x v="2"/>
    <n v="8.8000000000000007"/>
  </r>
  <r>
    <x v="361"/>
    <x v="0"/>
    <x v="1"/>
    <x v="1"/>
    <x v="2"/>
    <n v="59.62"/>
    <n v="6"/>
    <x v="3749"/>
    <x v="0"/>
    <n v="3.3"/>
  </r>
  <r>
    <x v="361"/>
    <x v="1"/>
    <x v="1"/>
    <x v="0"/>
    <x v="0"/>
    <n v="8.5399999999999991"/>
    <n v="2"/>
    <x v="3750"/>
    <x v="0"/>
    <n v="6"/>
  </r>
  <r>
    <x v="361"/>
    <x v="0"/>
    <x v="1"/>
    <x v="0"/>
    <x v="5"/>
    <n v="29.48"/>
    <n v="8"/>
    <x v="3751"/>
    <x v="2"/>
    <n v="7.4"/>
  </r>
  <r>
    <x v="361"/>
    <x v="2"/>
    <x v="0"/>
    <x v="1"/>
    <x v="3"/>
    <n v="16.87"/>
    <n v="10"/>
    <x v="3626"/>
    <x v="2"/>
    <n v="7.3"/>
  </r>
  <r>
    <x v="361"/>
    <x v="1"/>
    <x v="1"/>
    <x v="1"/>
    <x v="2"/>
    <n v="78.510000000000005"/>
    <n v="6"/>
    <x v="3752"/>
    <x v="1"/>
    <n v="8.6"/>
  </r>
  <r>
    <x v="361"/>
    <x v="2"/>
    <x v="1"/>
    <x v="0"/>
    <x v="2"/>
    <n v="71.48"/>
    <n v="2"/>
    <x v="3753"/>
    <x v="1"/>
    <n v="8.1999999999999993"/>
  </r>
  <r>
    <x v="361"/>
    <x v="2"/>
    <x v="1"/>
    <x v="0"/>
    <x v="0"/>
    <n v="6.38"/>
    <n v="6"/>
    <x v="3754"/>
    <x v="2"/>
    <n v="3.7"/>
  </r>
  <r>
    <x v="362"/>
    <x v="2"/>
    <x v="1"/>
    <x v="1"/>
    <x v="2"/>
    <n v="53.21"/>
    <n v="10"/>
    <x v="3755"/>
    <x v="1"/>
    <n v="4.3"/>
  </r>
  <r>
    <x v="362"/>
    <x v="2"/>
    <x v="1"/>
    <x v="1"/>
    <x v="2"/>
    <n v="74.739999999999995"/>
    <n v="4"/>
    <x v="3756"/>
    <x v="2"/>
    <n v="5.3"/>
  </r>
  <r>
    <x v="362"/>
    <x v="0"/>
    <x v="1"/>
    <x v="1"/>
    <x v="4"/>
    <n v="59.15"/>
    <n v="10"/>
    <x v="3757"/>
    <x v="2"/>
    <n v="3.9"/>
  </r>
  <r>
    <x v="362"/>
    <x v="1"/>
    <x v="1"/>
    <x v="1"/>
    <x v="0"/>
    <n v="8.7100000000000009"/>
    <n v="8"/>
    <x v="1294"/>
    <x v="2"/>
    <n v="8.3000000000000007"/>
  </r>
  <r>
    <x v="362"/>
    <x v="1"/>
    <x v="0"/>
    <x v="1"/>
    <x v="2"/>
    <n v="53.11"/>
    <n v="10"/>
    <x v="3758"/>
    <x v="2"/>
    <n v="9"/>
  </r>
  <r>
    <x v="362"/>
    <x v="2"/>
    <x v="0"/>
    <x v="0"/>
    <x v="5"/>
    <n v="28.21"/>
    <n v="6"/>
    <x v="994"/>
    <x v="0"/>
    <n v="6.1"/>
  </r>
  <r>
    <x v="362"/>
    <x v="2"/>
    <x v="1"/>
    <x v="0"/>
    <x v="3"/>
    <n v="14.81"/>
    <n v="9"/>
    <x v="3759"/>
    <x v="2"/>
    <n v="4.5"/>
  </r>
  <r>
    <x v="362"/>
    <x v="1"/>
    <x v="1"/>
    <x v="0"/>
    <x v="0"/>
    <n v="9.3699999999999992"/>
    <n v="3"/>
    <x v="3760"/>
    <x v="2"/>
    <n v="7.4"/>
  </r>
  <r>
    <x v="362"/>
    <x v="1"/>
    <x v="0"/>
    <x v="0"/>
    <x v="2"/>
    <n v="72.819999999999993"/>
    <n v="9"/>
    <x v="3761"/>
    <x v="0"/>
    <n v="7"/>
  </r>
  <r>
    <x v="362"/>
    <x v="1"/>
    <x v="1"/>
    <x v="0"/>
    <x v="2"/>
    <n v="76.319999999999993"/>
    <n v="7"/>
    <x v="3762"/>
    <x v="1"/>
    <n v="6.6"/>
  </r>
  <r>
    <x v="362"/>
    <x v="0"/>
    <x v="0"/>
    <x v="1"/>
    <x v="1"/>
    <n v="75.790000000000006"/>
    <n v="3"/>
    <x v="3763"/>
    <x v="0"/>
    <n v="7.6"/>
  </r>
  <r>
    <x v="362"/>
    <x v="0"/>
    <x v="0"/>
    <x v="0"/>
    <x v="3"/>
    <n v="15.56"/>
    <n v="1"/>
    <x v="3764"/>
    <x v="0"/>
    <n v="8.5"/>
  </r>
  <r>
    <x v="362"/>
    <x v="1"/>
    <x v="1"/>
    <x v="1"/>
    <x v="3"/>
    <n v="6.28"/>
    <n v="5"/>
    <x v="3521"/>
    <x v="2"/>
    <n v="7.5"/>
  </r>
  <r>
    <x v="362"/>
    <x v="2"/>
    <x v="1"/>
    <x v="0"/>
    <x v="2"/>
    <n v="78.97"/>
    <n v="1"/>
    <x v="3765"/>
    <x v="1"/>
    <n v="8.1"/>
  </r>
  <r>
    <x v="362"/>
    <x v="2"/>
    <x v="1"/>
    <x v="1"/>
    <x v="0"/>
    <n v="8.0399999999999991"/>
    <n v="9"/>
    <x v="3766"/>
    <x v="2"/>
    <n v="7.1"/>
  </r>
  <r>
    <x v="362"/>
    <x v="0"/>
    <x v="1"/>
    <x v="0"/>
    <x v="4"/>
    <n v="53.55"/>
    <n v="2"/>
    <x v="2810"/>
    <x v="1"/>
    <n v="9.5"/>
  </r>
  <r>
    <x v="362"/>
    <x v="0"/>
    <x v="0"/>
    <x v="0"/>
    <x v="4"/>
    <n v="58.57"/>
    <n v="9"/>
    <x v="3767"/>
    <x v="0"/>
    <n v="3.9"/>
  </r>
  <r>
    <x v="362"/>
    <x v="2"/>
    <x v="1"/>
    <x v="1"/>
    <x v="5"/>
    <n v="33.99"/>
    <n v="3"/>
    <x v="3768"/>
    <x v="1"/>
    <n v="4"/>
  </r>
  <r>
    <x v="362"/>
    <x v="0"/>
    <x v="1"/>
    <x v="0"/>
    <x v="0"/>
    <n v="8.32"/>
    <n v="9"/>
    <x v="3376"/>
    <x v="0"/>
    <n v="3.5"/>
  </r>
  <r>
    <x v="362"/>
    <x v="1"/>
    <x v="0"/>
    <x v="1"/>
    <x v="4"/>
    <n v="60.41"/>
    <n v="9"/>
    <x v="3769"/>
    <x v="1"/>
    <n v="5.8"/>
  </r>
  <r>
    <x v="362"/>
    <x v="0"/>
    <x v="0"/>
    <x v="0"/>
    <x v="5"/>
    <n v="46.5"/>
    <n v="6"/>
    <x v="3770"/>
    <x v="0"/>
    <n v="5.5"/>
  </r>
  <r>
    <x v="362"/>
    <x v="1"/>
    <x v="0"/>
    <x v="0"/>
    <x v="0"/>
    <n v="2.92"/>
    <n v="6"/>
    <x v="3771"/>
    <x v="0"/>
    <n v="4.5999999999999996"/>
  </r>
  <r>
    <x v="362"/>
    <x v="1"/>
    <x v="0"/>
    <x v="1"/>
    <x v="5"/>
    <n v="40.479999999999997"/>
    <n v="6"/>
    <x v="3772"/>
    <x v="0"/>
    <n v="9.1999999999999993"/>
  </r>
  <r>
    <x v="362"/>
    <x v="2"/>
    <x v="1"/>
    <x v="0"/>
    <x v="2"/>
    <n v="50.74"/>
    <n v="9"/>
    <x v="3773"/>
    <x v="0"/>
    <n v="6.5"/>
  </r>
  <r>
    <x v="363"/>
    <x v="2"/>
    <x v="1"/>
    <x v="1"/>
    <x v="5"/>
    <n v="46.95"/>
    <n v="4"/>
    <x v="3774"/>
    <x v="0"/>
    <n v="6.5"/>
  </r>
  <r>
    <x v="363"/>
    <x v="0"/>
    <x v="0"/>
    <x v="1"/>
    <x v="2"/>
    <n v="56.32"/>
    <n v="4"/>
    <x v="3775"/>
    <x v="2"/>
    <n v="5.9"/>
  </r>
  <r>
    <x v="363"/>
    <x v="1"/>
    <x v="0"/>
    <x v="0"/>
    <x v="3"/>
    <n v="15.44"/>
    <n v="3"/>
    <x v="3776"/>
    <x v="1"/>
    <n v="6.1"/>
  </r>
  <r>
    <x v="363"/>
    <x v="0"/>
    <x v="0"/>
    <x v="1"/>
    <x v="0"/>
    <n v="3.42"/>
    <n v="5"/>
    <x v="3672"/>
    <x v="2"/>
    <n v="3.5"/>
  </r>
  <r>
    <x v="363"/>
    <x v="2"/>
    <x v="1"/>
    <x v="0"/>
    <x v="2"/>
    <n v="63.53"/>
    <n v="7"/>
    <x v="3777"/>
    <x v="0"/>
    <n v="5.2"/>
  </r>
  <r>
    <x v="363"/>
    <x v="0"/>
    <x v="0"/>
    <x v="1"/>
    <x v="0"/>
    <n v="8.0500000000000007"/>
    <n v="10"/>
    <x v="2306"/>
    <x v="1"/>
    <n v="7.8"/>
  </r>
  <r>
    <x v="363"/>
    <x v="1"/>
    <x v="1"/>
    <x v="1"/>
    <x v="1"/>
    <n v="92.78"/>
    <n v="5"/>
    <x v="3778"/>
    <x v="2"/>
    <n v="3.6"/>
  </r>
  <r>
    <x v="363"/>
    <x v="2"/>
    <x v="1"/>
    <x v="0"/>
    <x v="4"/>
    <n v="66.44"/>
    <n v="1"/>
    <x v="3779"/>
    <x v="0"/>
    <n v="4.0999999999999996"/>
  </r>
  <r>
    <x v="363"/>
    <x v="1"/>
    <x v="1"/>
    <x v="0"/>
    <x v="0"/>
    <n v="9.68"/>
    <n v="3"/>
    <x v="3780"/>
    <x v="0"/>
    <n v="7.6"/>
  </r>
  <r>
    <x v="363"/>
    <x v="1"/>
    <x v="0"/>
    <x v="0"/>
    <x v="2"/>
    <n v="66.61"/>
    <n v="9"/>
    <x v="3781"/>
    <x v="1"/>
    <n v="3.8"/>
  </r>
  <r>
    <x v="363"/>
    <x v="1"/>
    <x v="0"/>
    <x v="0"/>
    <x v="1"/>
    <n v="78.819999999999993"/>
    <n v="6"/>
    <x v="3782"/>
    <x v="1"/>
    <n v="5.8"/>
  </r>
  <r>
    <x v="363"/>
    <x v="1"/>
    <x v="0"/>
    <x v="1"/>
    <x v="5"/>
    <n v="25.52"/>
    <n v="10"/>
    <x v="2715"/>
    <x v="0"/>
    <n v="4.3"/>
  </r>
  <r>
    <x v="363"/>
    <x v="1"/>
    <x v="1"/>
    <x v="1"/>
    <x v="3"/>
    <n v="13.6"/>
    <n v="2"/>
    <x v="3783"/>
    <x v="0"/>
    <n v="7.6"/>
  </r>
  <r>
    <x v="363"/>
    <x v="0"/>
    <x v="1"/>
    <x v="0"/>
    <x v="0"/>
    <n v="4.8600000000000003"/>
    <n v="4"/>
    <x v="3784"/>
    <x v="1"/>
    <n v="4.9000000000000004"/>
  </r>
  <r>
    <x v="363"/>
    <x v="0"/>
    <x v="1"/>
    <x v="0"/>
    <x v="1"/>
    <n v="83.05"/>
    <n v="10"/>
    <x v="3785"/>
    <x v="2"/>
    <n v="5.0999999999999996"/>
  </r>
  <r>
    <x v="363"/>
    <x v="1"/>
    <x v="1"/>
    <x v="0"/>
    <x v="5"/>
    <n v="48.76"/>
    <n v="3"/>
    <x v="3786"/>
    <x v="1"/>
    <n v="5.0999999999999996"/>
  </r>
  <r>
    <x v="363"/>
    <x v="1"/>
    <x v="1"/>
    <x v="0"/>
    <x v="4"/>
    <n v="66.8"/>
    <n v="3"/>
    <x v="3787"/>
    <x v="2"/>
    <n v="8"/>
  </r>
  <r>
    <x v="363"/>
    <x v="2"/>
    <x v="1"/>
    <x v="0"/>
    <x v="2"/>
    <n v="73.239999999999995"/>
    <n v="8"/>
    <x v="3788"/>
    <x v="2"/>
    <n v="3.7"/>
  </r>
  <r>
    <x v="363"/>
    <x v="0"/>
    <x v="0"/>
    <x v="0"/>
    <x v="5"/>
    <n v="46.74"/>
    <n v="4"/>
    <x v="3789"/>
    <x v="0"/>
    <n v="8"/>
  </r>
  <r>
    <x v="363"/>
    <x v="1"/>
    <x v="0"/>
    <x v="1"/>
    <x v="5"/>
    <n v="45.49"/>
    <n v="1"/>
    <x v="3790"/>
    <x v="2"/>
    <n v="6.9"/>
  </r>
  <r>
    <x v="363"/>
    <x v="0"/>
    <x v="1"/>
    <x v="1"/>
    <x v="4"/>
    <n v="60.87"/>
    <n v="9"/>
    <x v="3791"/>
    <x v="0"/>
    <n v="7.4"/>
  </r>
  <r>
    <x v="363"/>
    <x v="2"/>
    <x v="1"/>
    <x v="1"/>
    <x v="3"/>
    <n v="4.41"/>
    <n v="9"/>
    <x v="3792"/>
    <x v="2"/>
    <n v="3.6"/>
  </r>
  <r>
    <x v="363"/>
    <x v="0"/>
    <x v="0"/>
    <x v="1"/>
    <x v="0"/>
    <n v="8.06"/>
    <n v="3"/>
    <x v="3793"/>
    <x v="0"/>
    <n v="4.0999999999999996"/>
  </r>
  <r>
    <x v="363"/>
    <x v="1"/>
    <x v="1"/>
    <x v="1"/>
    <x v="5"/>
    <n v="48.18"/>
    <n v="1"/>
    <x v="3794"/>
    <x v="1"/>
    <n v="8.1999999999999993"/>
  </r>
  <r>
    <x v="363"/>
    <x v="2"/>
    <x v="0"/>
    <x v="0"/>
    <x v="0"/>
    <n v="2.34"/>
    <n v="4"/>
    <x v="1924"/>
    <x v="2"/>
    <n v="9.1999999999999993"/>
  </r>
  <r>
    <x v="363"/>
    <x v="2"/>
    <x v="0"/>
    <x v="0"/>
    <x v="0"/>
    <n v="2.3199999999999998"/>
    <n v="6"/>
    <x v="2434"/>
    <x v="1"/>
    <n v="7.8"/>
  </r>
  <r>
    <x v="363"/>
    <x v="2"/>
    <x v="0"/>
    <x v="0"/>
    <x v="5"/>
    <n v="31.3"/>
    <n v="7"/>
    <x v="3795"/>
    <x v="0"/>
    <n v="7"/>
  </r>
  <r>
    <x v="364"/>
    <x v="0"/>
    <x v="1"/>
    <x v="0"/>
    <x v="2"/>
    <n v="79.180000000000007"/>
    <n v="4"/>
    <x v="3796"/>
    <x v="2"/>
    <n v="5.8"/>
  </r>
  <r>
    <x v="364"/>
    <x v="2"/>
    <x v="1"/>
    <x v="0"/>
    <x v="2"/>
    <n v="76.62"/>
    <n v="1"/>
    <x v="3797"/>
    <x v="2"/>
    <n v="9"/>
  </r>
  <r>
    <x v="364"/>
    <x v="0"/>
    <x v="1"/>
    <x v="1"/>
    <x v="0"/>
    <n v="3.69"/>
    <n v="3"/>
    <x v="3798"/>
    <x v="1"/>
    <n v="5.5"/>
  </r>
  <r>
    <x v="364"/>
    <x v="0"/>
    <x v="1"/>
    <x v="1"/>
    <x v="4"/>
    <n v="66.22"/>
    <n v="2"/>
    <x v="3799"/>
    <x v="0"/>
    <n v="7.6"/>
  </r>
  <r>
    <x v="364"/>
    <x v="1"/>
    <x v="1"/>
    <x v="1"/>
    <x v="0"/>
    <n v="2.1800000000000002"/>
    <n v="1"/>
    <x v="3800"/>
    <x v="1"/>
    <n v="6.9"/>
  </r>
  <r>
    <x v="364"/>
    <x v="1"/>
    <x v="0"/>
    <x v="1"/>
    <x v="3"/>
    <n v="3.01"/>
    <n v="5"/>
    <x v="3801"/>
    <x v="1"/>
    <n v="6.5"/>
  </r>
  <r>
    <x v="364"/>
    <x v="1"/>
    <x v="1"/>
    <x v="1"/>
    <x v="0"/>
    <n v="9.58"/>
    <n v="4"/>
    <x v="3802"/>
    <x v="0"/>
    <n v="7.1"/>
  </r>
  <r>
    <x v="364"/>
    <x v="2"/>
    <x v="0"/>
    <x v="1"/>
    <x v="0"/>
    <n v="8.64"/>
    <n v="10"/>
    <x v="3803"/>
    <x v="1"/>
    <n v="8.4"/>
  </r>
  <r>
    <x v="364"/>
    <x v="0"/>
    <x v="0"/>
    <x v="0"/>
    <x v="2"/>
    <n v="71.73"/>
    <n v="6"/>
    <x v="3804"/>
    <x v="0"/>
    <n v="7.1"/>
  </r>
  <r>
    <x v="364"/>
    <x v="2"/>
    <x v="0"/>
    <x v="0"/>
    <x v="1"/>
    <n v="73.14"/>
    <n v="4"/>
    <x v="3805"/>
    <x v="2"/>
    <n v="8.8000000000000007"/>
  </r>
  <r>
    <x v="364"/>
    <x v="2"/>
    <x v="0"/>
    <x v="1"/>
    <x v="5"/>
    <n v="25.32"/>
    <n v="10"/>
    <x v="3806"/>
    <x v="2"/>
    <n v="3.3"/>
  </r>
  <r>
    <x v="364"/>
    <x v="1"/>
    <x v="0"/>
    <x v="1"/>
    <x v="4"/>
    <n v="59.64"/>
    <n v="3"/>
    <x v="3807"/>
    <x v="2"/>
    <n v="6.7"/>
  </r>
  <r>
    <x v="364"/>
    <x v="1"/>
    <x v="1"/>
    <x v="0"/>
    <x v="1"/>
    <n v="80.72"/>
    <n v="1"/>
    <x v="493"/>
    <x v="2"/>
    <n v="6.6"/>
  </r>
  <r>
    <x v="364"/>
    <x v="2"/>
    <x v="1"/>
    <x v="0"/>
    <x v="0"/>
    <n v="6.71"/>
    <n v="10"/>
    <x v="1188"/>
    <x v="1"/>
    <n v="5.9"/>
  </r>
  <r>
    <x v="364"/>
    <x v="0"/>
    <x v="1"/>
    <x v="1"/>
    <x v="0"/>
    <n v="6.79"/>
    <n v="9"/>
    <x v="3808"/>
    <x v="0"/>
    <n v="4.8"/>
  </r>
  <r>
    <x v="364"/>
    <x v="1"/>
    <x v="0"/>
    <x v="1"/>
    <x v="1"/>
    <n v="85.05"/>
    <n v="7"/>
    <x v="3400"/>
    <x v="2"/>
    <n v="4.4000000000000004"/>
  </r>
  <r>
    <x v="364"/>
    <x v="2"/>
    <x v="0"/>
    <x v="0"/>
    <x v="2"/>
    <n v="54.64"/>
    <n v="10"/>
    <x v="3809"/>
    <x v="0"/>
    <n v="4.8"/>
  </r>
  <r>
    <x v="364"/>
    <x v="1"/>
    <x v="1"/>
    <x v="0"/>
    <x v="5"/>
    <n v="49.75"/>
    <n v="7"/>
    <x v="3810"/>
    <x v="1"/>
    <n v="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7" minRefreshableVersion="3" useAutoFormatting="1" itemPrintTitles="1" createdVersion="4" indent="0" compact="0" compactData="0" multipleFieldFilters="0" chartFormat="1">
  <location ref="A67:B71" firstHeaderRow="1" firstDataRow="1" firstDataCol="1"/>
  <pivotFields count="1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dataField="1" compact="0" numFmtId="43" outline="0" showAll="0"/>
    <pivotField axis="axisRow" compact="0" outline="0" showAll="0">
      <items count="4">
        <item x="1"/>
        <item x="0"/>
        <item x="2"/>
        <item t="default"/>
      </items>
    </pivotField>
    <pivotField compact="0" numFmtId="2" outline="0" showAll="0"/>
  </pivotFields>
  <rowFields count="1">
    <field x="8"/>
  </rowFields>
  <rowItems count="4">
    <i>
      <x/>
    </i>
    <i>
      <x v="1"/>
    </i>
    <i>
      <x v="2"/>
    </i>
    <i t="grand">
      <x/>
    </i>
  </rowItems>
  <colItems count="1">
    <i/>
  </colItems>
  <dataFields count="1">
    <dataField name="Sum of Total Revenue" fld="7" baseField="0" baseItem="0" numFmtId="164"/>
  </dataFields>
  <formats count="3">
    <format dxfId="37">
      <pivotArea outline="0" collapsedLevelsAreSubtotals="1" fieldPosition="0"/>
    </format>
    <format dxfId="36">
      <pivotArea type="all" dataOnly="0" outline="0" fieldPosition="0"/>
    </format>
    <format dxfId="35">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7" minRefreshableVersion="3" useAutoFormatting="1" itemPrintTitles="1" createdVersion="4" indent="0" compact="0" compactData="0" multipleFieldFilters="0" chartFormat="1">
  <location ref="A40:B47" firstHeaderRow="1" firstDataRow="1" firstDataCol="1"/>
  <pivotFields count="10">
    <pivotField compact="0" outline="0" showAll="0"/>
    <pivotField compact="0" outline="0" showAll="0"/>
    <pivotField compact="0" outline="0" showAll="0"/>
    <pivotField compact="0" outline="0" showAll="0"/>
    <pivotField axis="axisRow" compact="0" outline="0" showAll="0">
      <items count="7">
        <item x="1"/>
        <item x="3"/>
        <item x="0"/>
        <item x="5"/>
        <item x="4"/>
        <item x="2"/>
        <item t="default"/>
      </items>
    </pivotField>
    <pivotField compact="0" numFmtId="2" outline="0" showAll="0"/>
    <pivotField compact="0" outline="0" showAll="0"/>
    <pivotField dataField="1" compact="0" numFmtId="43" outline="0" showAll="0"/>
    <pivotField compact="0" outline="0" showAll="0"/>
    <pivotField compact="0" numFmtId="2" outline="0" showAll="0"/>
  </pivotFields>
  <rowFields count="1">
    <field x="4"/>
  </rowFields>
  <rowItems count="7">
    <i>
      <x/>
    </i>
    <i>
      <x v="1"/>
    </i>
    <i>
      <x v="2"/>
    </i>
    <i>
      <x v="3"/>
    </i>
    <i>
      <x v="4"/>
    </i>
    <i>
      <x v="5"/>
    </i>
    <i t="grand">
      <x/>
    </i>
  </rowItems>
  <colItems count="1">
    <i/>
  </colItems>
  <dataFields count="1">
    <dataField name="Sum of Total Revenue" fld="7" baseField="0" baseItem="0" numFmtId="164"/>
  </dataFields>
  <formats count="4">
    <format dxfId="41">
      <pivotArea type="all" dataOnly="0" outline="0" fieldPosition="0"/>
    </format>
    <format dxfId="40">
      <pivotArea type="all" dataOnly="0" outline="0" fieldPosition="0"/>
    </format>
    <format dxfId="39">
      <pivotArea outline="0" collapsedLevelsAreSubtotals="1" fieldPosition="0"/>
    </format>
    <format dxfId="38">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2">
  <location ref="A7:C11" firstHeaderRow="0" firstDataRow="1" firstDataCol="1"/>
  <pivotFields count="1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numFmtId="2" outline="0" showAll="0"/>
    <pivotField compact="0" outline="0" showAll="0"/>
    <pivotField dataField="1" compact="0" numFmtId="43" outline="0" showAll="0"/>
    <pivotField compact="0" outline="0" showAll="0"/>
    <pivotField compact="0" numFmtId="2" outline="0" showAll="0"/>
  </pivotFields>
  <rowFields count="1">
    <field x="1"/>
  </rowFields>
  <rowItems count="4">
    <i>
      <x/>
    </i>
    <i>
      <x v="1"/>
    </i>
    <i>
      <x v="2"/>
    </i>
    <i t="grand">
      <x/>
    </i>
  </rowItems>
  <colFields count="1">
    <field x="-2"/>
  </colFields>
  <colItems count="2">
    <i>
      <x/>
    </i>
    <i i="1">
      <x v="1"/>
    </i>
  </colItems>
  <dataFields count="2">
    <dataField name="Sum of Total Revenue" fld="7" baseField="0" baseItem="0" numFmtId="164"/>
    <dataField name="Average of Total Revenue" fld="7" subtotal="average" baseField="1" baseItem="0"/>
  </dataFields>
  <formats count="7">
    <format dxfId="48">
      <pivotArea outline="0" collapsedLevelsAreSubtotals="1" fieldPosition="0">
        <references count="1">
          <reference field="1" count="1" selected="0">
            <x v="2"/>
          </reference>
        </references>
      </pivotArea>
    </format>
    <format dxfId="47">
      <pivotArea outline="0" collapsedLevelsAreSubtotals="1" fieldPosition="0">
        <references count="1">
          <reference field="1" count="1" selected="0">
            <x v="0"/>
          </reference>
        </references>
      </pivotArea>
    </format>
    <format dxfId="46">
      <pivotArea outline="0" collapsedLevelsAreSubtotals="1" fieldPosition="0"/>
    </format>
    <format dxfId="45">
      <pivotArea type="all" dataOnly="0" outline="0" fieldPosition="0"/>
    </format>
    <format dxfId="44">
      <pivotArea type="all" dataOnly="0" outline="0" fieldPosition="0"/>
    </format>
    <format dxfId="43">
      <pivotArea type="all" dataOnly="0" outline="0" fieldPosition="0"/>
    </format>
    <format dxfId="42">
      <pivotArea type="all" dataOnly="0"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1">
  <location ref="A34:B37" firstHeaderRow="1" firstDataRow="1" firstDataCol="1"/>
  <pivotFields count="1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numFmtId="2" outline="0" showAll="0"/>
    <pivotField compact="0" outline="0" showAll="0"/>
    <pivotField dataField="1" compact="0" numFmtId="43" outline="0" showAll="0"/>
    <pivotField compact="0" outline="0" showAll="0"/>
    <pivotField compact="0" numFmtId="2" outline="0" showAll="0"/>
  </pivotFields>
  <rowFields count="1">
    <field x="2"/>
  </rowFields>
  <rowItems count="3">
    <i>
      <x/>
    </i>
    <i>
      <x v="1"/>
    </i>
    <i t="grand">
      <x/>
    </i>
  </rowItems>
  <colItems count="1">
    <i/>
  </colItems>
  <dataFields count="1">
    <dataField name="Average of Total Revenue" fld="7" subtotal="average" baseField="2" baseItem="0" numFmtId="2"/>
  </dataFields>
  <formats count="3">
    <format dxfId="30">
      <pivotArea outline="0" collapsedLevelsAreSubtotals="1" fieldPosition="0"/>
    </format>
    <format dxfId="29">
      <pivotArea type="all" dataOnly="0" outline="0" fieldPosition="0"/>
    </format>
    <format dxfId="28">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1">
  <location ref="A12:B15" firstHeaderRow="1" firstDataRow="1" firstDataCol="1"/>
  <pivotFields count="1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numFmtId="2" outline="0" showAll="0"/>
    <pivotField compact="0" outline="0" showAll="0"/>
    <pivotField dataField="1" compact="0" numFmtId="43" outline="0" showAll="0"/>
    <pivotField compact="0" outline="0" showAll="0"/>
    <pivotField compact="0" numFmtId="2" outline="0" showAll="0"/>
  </pivotFields>
  <rowFields count="1">
    <field x="2"/>
  </rowFields>
  <rowItems count="3">
    <i>
      <x/>
    </i>
    <i>
      <x v="1"/>
    </i>
    <i t="grand">
      <x/>
    </i>
  </rowItems>
  <colItems count="1">
    <i/>
  </colItems>
  <dataFields count="1">
    <dataField name="Sum of Total Revenue" fld="7" baseField="0" baseItem="0" numFmtId="164"/>
  </dataFields>
  <formats count="4">
    <format dxfId="34">
      <pivotArea outline="0" collapsedLevelsAreSubtotals="1" fieldPosition="0"/>
    </format>
    <format dxfId="33">
      <pivotArea type="all" dataOnly="0" outline="0" fieldPosition="0"/>
    </format>
    <format dxfId="32">
      <pivotArea type="all" dataOnly="0" outline="0" fieldPosition="0"/>
    </format>
    <format dxfId="31">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1">
  <location ref="J2:K9" firstHeaderRow="1" firstDataRow="1" firstDataCol="1"/>
  <pivotFields count="10">
    <pivotField compact="0" outline="0" showAll="0"/>
    <pivotField compact="0" outline="0" showAll="0"/>
    <pivotField compact="0" outline="0" showAll="0"/>
    <pivotField compact="0" outline="0" showAll="0"/>
    <pivotField axis="axisRow" compact="0" outline="0" showAll="0">
      <items count="7">
        <item x="1"/>
        <item x="3"/>
        <item x="0"/>
        <item x="5"/>
        <item x="4"/>
        <item x="2"/>
        <item t="default"/>
      </items>
    </pivotField>
    <pivotField compact="0" numFmtId="2" outline="0" showAll="0"/>
    <pivotField compact="0" outline="0" showAll="0"/>
    <pivotField compact="0" numFmtId="43" outline="0" showAll="0"/>
    <pivotField compact="0" outline="0" showAll="0"/>
    <pivotField dataField="1" compact="0" numFmtId="2" outline="0" showAll="0"/>
  </pivotFields>
  <rowFields count="1">
    <field x="4"/>
  </rowFields>
  <rowItems count="7">
    <i>
      <x/>
    </i>
    <i>
      <x v="1"/>
    </i>
    <i>
      <x v="2"/>
    </i>
    <i>
      <x v="3"/>
    </i>
    <i>
      <x v="4"/>
    </i>
    <i>
      <x v="5"/>
    </i>
    <i t="grand">
      <x/>
    </i>
  </rowItems>
  <colItems count="1">
    <i/>
  </colItems>
  <dataFields count="1">
    <dataField name="Average of Rating" fld="9" subtotal="average" baseField="4"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1">
  <location ref="J16:K23" firstHeaderRow="1" firstDataRow="1" firstDataCol="1"/>
  <pivotFields count="10">
    <pivotField compact="0" outline="0" showAll="0"/>
    <pivotField compact="0" outline="0" showAll="0"/>
    <pivotField dataField="1" compact="0" outline="0" showAll="0">
      <items count="3">
        <item x="0"/>
        <item x="1"/>
        <item t="default"/>
      </items>
    </pivotField>
    <pivotField compact="0" outline="0" showAll="0"/>
    <pivotField axis="axisRow" compact="0" outline="0" showAll="0">
      <items count="7">
        <item x="1"/>
        <item x="3"/>
        <item x="0"/>
        <item x="5"/>
        <item x="4"/>
        <item x="2"/>
        <item t="default"/>
      </items>
    </pivotField>
    <pivotField compact="0" numFmtId="2" outline="0" showAll="0"/>
    <pivotField compact="0" outline="0" showAll="0"/>
    <pivotField compact="0" numFmtId="43" outline="0" showAll="0"/>
    <pivotField compact="0" outline="0" showAll="0"/>
    <pivotField compact="0" numFmtId="2" outline="0" showAll="0"/>
  </pivotFields>
  <rowFields count="1">
    <field x="4"/>
  </rowFields>
  <rowItems count="7">
    <i>
      <x/>
    </i>
    <i>
      <x v="1"/>
    </i>
    <i>
      <x v="2"/>
    </i>
    <i>
      <x v="3"/>
    </i>
    <i>
      <x v="4"/>
    </i>
    <i>
      <x v="5"/>
    </i>
    <i t="grand">
      <x/>
    </i>
  </rowItems>
  <colItems count="1">
    <i/>
  </colItems>
  <dataFields count="1">
    <dataField name="No. of Customers" fld="2"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1">
  <location ref="A2:B6" firstHeaderRow="1" firstDataRow="1" firstDataCol="1"/>
  <pivotFields count="10">
    <pivotField showAll="0"/>
    <pivotField axis="axisRow" outline="0" showAll="0">
      <items count="4">
        <item x="1"/>
        <item x="2"/>
        <item x="0"/>
        <item t="default"/>
      </items>
    </pivotField>
    <pivotField showAll="0"/>
    <pivotField showAll="0"/>
    <pivotField showAll="0"/>
    <pivotField numFmtId="2" showAll="0"/>
    <pivotField showAll="0"/>
    <pivotField dataField="1" numFmtId="43" showAll="0"/>
    <pivotField showAll="0"/>
    <pivotField numFmtId="2" showAll="0"/>
  </pivotFields>
  <rowFields count="1">
    <field x="1"/>
  </rowFields>
  <rowItems count="4">
    <i>
      <x/>
    </i>
    <i>
      <x v="1"/>
    </i>
    <i>
      <x v="2"/>
    </i>
    <i t="grand">
      <x/>
    </i>
  </rowItems>
  <colItems count="1">
    <i/>
  </colItems>
  <dataFields count="1">
    <dataField name="Sum of Total Revenue" fld="7" showDataAs="percentOfTotal" baseField="1"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1">
  <location ref="F15:G19" firstHeaderRow="1" firstDataRow="1" firstDataCol="1"/>
  <pivotFields count="10">
    <pivotField compact="0" outline="0" showAll="0"/>
    <pivotField axis="axisRow" compact="0" outline="0" showAll="0">
      <items count="4">
        <item x="1"/>
        <item x="2"/>
        <item x="0"/>
        <item t="default"/>
      </items>
    </pivotField>
    <pivotField compact="0" outline="0" showAll="0"/>
    <pivotField dataField="1" compact="0" outline="0" showAll="0">
      <items count="3">
        <item x="0"/>
        <item x="1"/>
        <item t="default"/>
      </items>
    </pivotField>
    <pivotField compact="0" outline="0" showAll="0"/>
    <pivotField compact="0" numFmtId="2" outline="0" showAll="0"/>
    <pivotField compact="0" outline="0" showAll="0"/>
    <pivotField compact="0" numFmtId="43" outline="0" showAll="0"/>
    <pivotField compact="0" outline="0" showAll="0"/>
    <pivotField compact="0" numFmtId="2" outline="0" showAll="0"/>
  </pivotFields>
  <rowFields count="1">
    <field x="1"/>
  </rowFields>
  <rowItems count="4">
    <i>
      <x/>
    </i>
    <i>
      <x v="1"/>
    </i>
    <i>
      <x v="2"/>
    </i>
    <i t="grand">
      <x/>
    </i>
  </rowItems>
  <colItems count="1">
    <i/>
  </colItems>
  <dataFields count="1">
    <dataField name="Transactions" fld="3" subtotal="count" baseField="1" baseItem="0"/>
  </dataFields>
  <formats count="1">
    <format dxfId="14">
      <pivotArea type="all" dataOnly="0" outline="0"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2">
  <location ref="A15:B19" firstHeaderRow="1" firstDataRow="1" firstDataCol="1"/>
  <pivotFields count="1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numFmtId="2" outline="0" showAll="0"/>
    <pivotField compact="0" outline="0" showAll="0"/>
    <pivotField compact="0" numFmtId="43" outline="0" showAll="0"/>
    <pivotField compact="0" outline="0" showAll="0"/>
    <pivotField dataField="1" compact="0" numFmtId="2" outline="0" showAll="0"/>
  </pivotFields>
  <rowFields count="1">
    <field x="1"/>
  </rowFields>
  <rowItems count="4">
    <i>
      <x/>
    </i>
    <i>
      <x v="1"/>
    </i>
    <i>
      <x v="2"/>
    </i>
    <i t="grand">
      <x/>
    </i>
  </rowItems>
  <colItems count="1">
    <i/>
  </colItems>
  <dataFields count="1">
    <dataField name="Average of Rating" fld="9" subtotal="average" baseField="1" baseItem="0" numFmtId="2"/>
  </dataFields>
  <formats count="1">
    <format dxfId="15">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chartFormat="1">
  <location ref="F2:G9" firstHeaderRow="1" firstDataRow="1" firstDataCol="1"/>
  <pivotFields count="10">
    <pivotField compact="0" outline="0" showAll="0"/>
    <pivotField compact="0" outline="0" showAll="0">
      <items count="4">
        <item x="1"/>
        <item x="2"/>
        <item x="0"/>
        <item t="default"/>
      </items>
    </pivotField>
    <pivotField compact="0" outline="0" showAll="0"/>
    <pivotField compact="0" outline="0" showAll="0"/>
    <pivotField axis="axisRow" compact="0" outline="0" showAll="0">
      <items count="7">
        <item x="1"/>
        <item x="3"/>
        <item x="0"/>
        <item x="5"/>
        <item x="4"/>
        <item x="2"/>
        <item t="default"/>
      </items>
    </pivotField>
    <pivotField compact="0" numFmtId="2" outline="0" showAll="0"/>
    <pivotField compact="0" outline="0" showAll="0"/>
    <pivotField dataField="1" compact="0" numFmtId="43" outline="0" showAll="0">
      <items count="3812">
        <item x="3800"/>
        <item x="2556"/>
        <item x="3417"/>
        <item x="1677"/>
        <item x="3618"/>
        <item x="3426"/>
        <item x="1942"/>
        <item x="1653"/>
        <item x="1830"/>
        <item x="2299"/>
        <item x="3360"/>
        <item x="3034"/>
        <item x="2219"/>
        <item x="1966"/>
        <item x="1638"/>
        <item x="1626"/>
        <item x="3190"/>
        <item x="1375"/>
        <item x="2075"/>
        <item x="3601"/>
        <item x="2442"/>
        <item x="1575"/>
        <item x="1611"/>
        <item x="3520"/>
        <item x="1452"/>
        <item x="1458"/>
        <item x="1756"/>
        <item x="1535"/>
        <item x="2786"/>
        <item x="3477"/>
        <item x="1382"/>
        <item x="3634"/>
        <item x="3020"/>
        <item x="3553"/>
        <item x="1856"/>
        <item x="1867"/>
        <item x="1772"/>
        <item x="2042"/>
        <item x="3734"/>
        <item x="1802"/>
        <item x="1707"/>
        <item x="1952"/>
        <item x="1773"/>
        <item x="3483"/>
        <item x="2088"/>
        <item x="1782"/>
        <item x="1379"/>
        <item x="2051"/>
        <item x="2005"/>
        <item x="2686"/>
        <item x="1909"/>
        <item x="3529"/>
        <item x="1817"/>
        <item x="1438"/>
        <item x="2326"/>
        <item x="1408"/>
        <item x="3535"/>
        <item x="2271"/>
        <item x="1349"/>
        <item x="3042"/>
        <item x="1613"/>
        <item x="2304"/>
        <item x="1875"/>
        <item x="1576"/>
        <item x="1929"/>
        <item x="1718"/>
        <item x="2580"/>
        <item x="1963"/>
        <item x="1896"/>
        <item x="3197"/>
        <item x="1490"/>
        <item x="1702"/>
        <item x="1656"/>
        <item x="1922"/>
        <item x="1834"/>
        <item x="2001"/>
        <item x="1940"/>
        <item x="3421"/>
        <item x="1530"/>
        <item x="2922"/>
        <item x="3138"/>
        <item x="3685"/>
        <item x="2038"/>
        <item x="2938"/>
        <item x="1635"/>
        <item x="1586"/>
        <item x="1850"/>
        <item x="1558"/>
        <item x="1567"/>
        <item x="1800"/>
        <item x="1910"/>
        <item x="2040"/>
        <item x="1757"/>
        <item x="1669"/>
        <item x="3735"/>
        <item x="1427"/>
        <item x="1381"/>
        <item x="2945"/>
        <item x="1434"/>
        <item x="1691"/>
        <item x="1618"/>
        <item x="1969"/>
        <item x="1666"/>
        <item x="2589"/>
        <item x="1451"/>
        <item x="1820"/>
        <item x="3433"/>
        <item x="3642"/>
        <item x="1374"/>
        <item x="1524"/>
        <item x="1846"/>
        <item x="1356"/>
        <item x="1455"/>
        <item x="1899"/>
        <item x="1729"/>
        <item x="3583"/>
        <item x="1584"/>
        <item x="2943"/>
        <item x="3737"/>
        <item x="2436"/>
        <item x="1796"/>
        <item x="1839"/>
        <item x="1810"/>
        <item x="2452"/>
        <item x="3621"/>
        <item x="1491"/>
        <item x="2526"/>
        <item x="1760"/>
        <item x="1503"/>
        <item x="1776"/>
        <item x="1488"/>
        <item x="2000"/>
        <item x="2004"/>
        <item x="3526"/>
        <item x="1722"/>
        <item x="1935"/>
        <item x="2559"/>
        <item x="1614"/>
        <item x="2030"/>
        <item x="3245"/>
        <item x="1470"/>
        <item x="1752"/>
        <item x="3516"/>
        <item x="3731"/>
        <item x="2925"/>
        <item x="3546"/>
        <item x="2432"/>
        <item x="2336"/>
        <item x="3707"/>
        <item x="1924"/>
        <item x="1395"/>
        <item x="1794"/>
        <item x="1468"/>
        <item x="1517"/>
        <item x="1683"/>
        <item x="1641"/>
        <item x="1954"/>
        <item x="1394"/>
        <item x="3524"/>
        <item x="2210"/>
        <item x="3141"/>
        <item x="2746"/>
        <item x="3235"/>
        <item x="2324"/>
        <item x="1423"/>
        <item x="1720"/>
        <item x="1509"/>
        <item x="1555"/>
        <item x="1732"/>
        <item x="1809"/>
        <item x="1698"/>
        <item x="1268"/>
        <item x="2542"/>
        <item x="425"/>
        <item x="1971"/>
        <item x="1526"/>
        <item x="3481"/>
        <item x="1749"/>
        <item x="2012"/>
        <item x="3130"/>
        <item x="3537"/>
        <item x="1997"/>
        <item x="2185"/>
        <item x="1981"/>
        <item x="1318"/>
        <item x="1944"/>
        <item x="1911"/>
        <item x="2631"/>
        <item x="2168"/>
        <item x="1918"/>
        <item x="1113"/>
        <item x="3598"/>
        <item x="2025"/>
        <item x="3798"/>
        <item x="1676"/>
        <item x="2512"/>
        <item x="3680"/>
        <item x="2215"/>
        <item x="3681"/>
        <item x="2569"/>
        <item x="1325"/>
        <item x="1448"/>
        <item x="3669"/>
        <item x="1518"/>
        <item x="1445"/>
        <item x="2889"/>
        <item x="1996"/>
        <item x="2045"/>
        <item x="3282"/>
        <item x="1389"/>
        <item x="1703"/>
        <item x="3044"/>
        <item x="3567"/>
        <item x="2072"/>
        <item x="2708"/>
        <item x="2043"/>
        <item x="2207"/>
        <item x="1454"/>
        <item x="3292"/>
        <item x="3578"/>
        <item x="1606"/>
        <item x="2445"/>
        <item x="275"/>
        <item x="2027"/>
        <item x="1762"/>
        <item x="1425"/>
        <item x="1460"/>
        <item x="2482"/>
        <item x="1956"/>
        <item x="1719"/>
        <item x="3058"/>
        <item x="1450"/>
        <item x="3641"/>
        <item x="1465"/>
        <item x="2466"/>
        <item x="2444"/>
        <item x="1588"/>
        <item x="1388"/>
        <item x="1998"/>
        <item x="578"/>
        <item x="1843"/>
        <item x="2700"/>
        <item x="3180"/>
        <item x="2039"/>
        <item x="2857"/>
        <item x="1824"/>
        <item x="1471"/>
        <item x="2023"/>
        <item x="2054"/>
        <item x="72"/>
        <item x="1668"/>
        <item x="2327"/>
        <item x="2009"/>
        <item x="1968"/>
        <item x="1938"/>
        <item x="2020"/>
        <item x="1763"/>
        <item x="2232"/>
        <item x="1925"/>
        <item x="1371"/>
        <item x="1958"/>
        <item x="3344"/>
        <item x="1522"/>
        <item x="2875"/>
        <item x="1625"/>
        <item x="1734"/>
        <item x="3401"/>
        <item x="1721"/>
        <item x="1437"/>
        <item x="1706"/>
        <item x="2673"/>
        <item x="1739"/>
        <item x="3430"/>
        <item x="2167"/>
        <item x="1540"/>
        <item x="3728"/>
        <item x="1888"/>
        <item x="1609"/>
        <item x="1710"/>
        <item x="3016"/>
        <item x="1571"/>
        <item x="1542"/>
        <item x="2885"/>
        <item x="1366"/>
        <item x="2554"/>
        <item x="1211"/>
        <item x="1026"/>
        <item x="3413"/>
        <item x="2191"/>
        <item x="2753"/>
        <item x="1556"/>
        <item x="1903"/>
        <item x="2434"/>
        <item x="2544"/>
        <item x="389"/>
        <item x="1351"/>
        <item x="1515"/>
        <item x="1894"/>
        <item x="1523"/>
        <item x="3686"/>
        <item x="2017"/>
        <item x="1861"/>
        <item x="2462"/>
        <item x="3228"/>
        <item x="2950"/>
        <item x="2426"/>
        <item x="1978"/>
        <item x="2284"/>
        <item x="1044"/>
        <item x="1931"/>
        <item x="1674"/>
        <item x="1582"/>
        <item x="1863"/>
        <item x="2640"/>
        <item x="1779"/>
        <item x="1980"/>
        <item x="1865"/>
        <item x="3409"/>
        <item x="3384"/>
        <item x="1743"/>
        <item x="1497"/>
        <item x="2375"/>
        <item x="3040"/>
        <item x="1887"/>
        <item x="2352"/>
        <item x="2395"/>
        <item x="1594"/>
        <item x="1177"/>
        <item x="3363"/>
        <item x="2423"/>
        <item x="1600"/>
        <item x="1920"/>
        <item x="3801"/>
        <item x="1781"/>
        <item x="1904"/>
        <item x="1855"/>
        <item x="2441"/>
        <item x="1406"/>
        <item x="1489"/>
        <item x="1877"/>
        <item x="48"/>
        <item x="2016"/>
        <item x="262"/>
        <item x="1876"/>
        <item x="877"/>
        <item x="1948"/>
        <item x="2752"/>
        <item x="1415"/>
        <item x="1173"/>
        <item x="3764"/>
        <item x="1736"/>
        <item x="2932"/>
        <item x="1578"/>
        <item x="3579"/>
        <item x="1313"/>
        <item x="1439"/>
        <item x="1927"/>
        <item x="1589"/>
        <item x="1245"/>
        <item x="1682"/>
        <item x="2762"/>
        <item x="1417"/>
        <item x="1812"/>
        <item x="2070"/>
        <item x="1399"/>
        <item x="1893"/>
        <item x="1521"/>
        <item x="2211"/>
        <item x="1801"/>
        <item x="1620"/>
        <item x="1392"/>
        <item x="763"/>
        <item x="1829"/>
        <item x="1400"/>
        <item x="1945"/>
        <item x="2594"/>
        <item x="1842"/>
        <item x="2465"/>
        <item x="1208"/>
        <item x="1741"/>
        <item x="3386"/>
        <item x="1751"/>
        <item x="1879"/>
        <item x="3307"/>
        <item x="1527"/>
        <item x="2093"/>
        <item x="2826"/>
        <item x="2533"/>
        <item x="1853"/>
        <item x="3318"/>
        <item x="3126"/>
        <item x="3002"/>
        <item x="2484"/>
        <item x="1808"/>
        <item x="2822"/>
        <item x="1857"/>
        <item x="1859"/>
        <item x="1372"/>
        <item x="3750"/>
        <item x="3672"/>
        <item x="1456"/>
        <item x="1747"/>
        <item x="3476"/>
        <item x="1624"/>
        <item x="1768"/>
        <item x="1553"/>
        <item x="1884"/>
        <item x="1534"/>
        <item x="2788"/>
        <item x="3771"/>
        <item x="1714"/>
        <item x="1462"/>
        <item x="1259"/>
        <item x="1631"/>
        <item x="3222"/>
        <item x="2056"/>
        <item x="133"/>
        <item x="3008"/>
        <item x="1960"/>
        <item x="1659"/>
        <item x="1499"/>
        <item x="1080"/>
        <item x="2360"/>
        <item x="1544"/>
        <item x="2036"/>
        <item x="909"/>
        <item x="3239"/>
        <item x="370"/>
        <item x="3243"/>
        <item x="1973"/>
        <item x="3041"/>
        <item x="2057"/>
        <item x="1355"/>
        <item x="2234"/>
        <item x="1348"/>
        <item x="2048"/>
        <item x="2172"/>
        <item x="3562"/>
        <item x="1803"/>
        <item x="1864"/>
        <item x="2268"/>
        <item x="1433"/>
        <item x="3538"/>
        <item x="2998"/>
        <item x="1735"/>
        <item x="2750"/>
        <item x="2106"/>
        <item x="305"/>
        <item x="3589"/>
        <item x="3368"/>
        <item x="1661"/>
        <item x="1361"/>
        <item x="1818"/>
        <item x="1675"/>
        <item x="2068"/>
        <item x="3784"/>
        <item x="2971"/>
        <item x="2528"/>
        <item x="1610"/>
        <item x="2682"/>
        <item x="1957"/>
        <item x="1759"/>
        <item x="1401"/>
        <item x="444"/>
        <item x="1469"/>
        <item x="1459"/>
        <item x="2713"/>
        <item x="1357"/>
        <item x="3134"/>
        <item x="2122"/>
        <item x="1039"/>
        <item x="2067"/>
        <item x="1951"/>
        <item x="1941"/>
        <item x="2034"/>
        <item x="1587"/>
        <item x="1238"/>
        <item x="1662"/>
        <item x="1511"/>
        <item x="3332"/>
        <item x="3066"/>
        <item x="2154"/>
        <item x="1447"/>
        <item x="2133"/>
        <item x="1421"/>
        <item x="2763"/>
        <item x="1482"/>
        <item x="2658"/>
        <item x="3018"/>
        <item x="2963"/>
        <item x="1165"/>
        <item x="1989"/>
        <item x="1694"/>
        <item x="2965"/>
        <item x="1577"/>
        <item x="284"/>
        <item x="1930"/>
        <item x="2035"/>
        <item x="1900"/>
        <item x="1837"/>
        <item x="1282"/>
        <item x="1832"/>
        <item x="1480"/>
        <item x="455"/>
        <item x="1898"/>
        <item x="1538"/>
        <item x="1053"/>
        <item x="1643"/>
        <item x="1664"/>
        <item x="2259"/>
        <item x="1084"/>
        <item x="1878"/>
        <item x="2493"/>
        <item x="1240"/>
        <item x="3296"/>
        <item x="1477"/>
        <item x="1287"/>
        <item x="3389"/>
        <item x="1363"/>
        <item x="3432"/>
        <item x="2069"/>
        <item x="333"/>
        <item x="2003"/>
        <item x="3566"/>
        <item x="2256"/>
        <item x="2892"/>
        <item x="1913"/>
        <item x="1804"/>
        <item x="2155"/>
        <item x="851"/>
        <item x="3113"/>
        <item x="2583"/>
        <item x="2044"/>
        <item x="2101"/>
        <item x="1359"/>
        <item x="1689"/>
        <item x="1680"/>
        <item x="3464"/>
        <item x="329"/>
        <item x="3098"/>
        <item x="3001"/>
        <item x="2274"/>
        <item x="2196"/>
        <item x="1512"/>
        <item x="3539"/>
        <item x="2853"/>
        <item x="1496"/>
        <item x="1599"/>
        <item x="1774"/>
        <item x="2022"/>
        <item x="1873"/>
        <item x="1806"/>
        <item x="3503"/>
        <item x="1422"/>
        <item x="2957"/>
        <item x="1727"/>
        <item x="3299"/>
        <item x="2065"/>
        <item x="2305"/>
        <item x="3674"/>
        <item x="299"/>
        <item x="3052"/>
        <item x="3478"/>
        <item x="3793"/>
        <item x="1192"/>
        <item x="1633"/>
        <item x="1486"/>
        <item x="2803"/>
        <item x="1844"/>
        <item x="1993"/>
        <item x="3710"/>
        <item x="2781"/>
        <item x="1636"/>
        <item x="2460"/>
        <item x="1271"/>
        <item x="2564"/>
        <item x="2915"/>
        <item x="686"/>
        <item x="1416"/>
        <item x="2015"/>
        <item x="911"/>
        <item x="2935"/>
        <item x="1685"/>
        <item x="1983"/>
        <item x="769"/>
        <item x="584"/>
        <item x="2623"/>
        <item x="77"/>
        <item x="1508"/>
        <item x="1652"/>
        <item x="2388"/>
        <item x="3133"/>
        <item x="3640"/>
        <item x="2474"/>
        <item x="2876"/>
        <item x="2739"/>
        <item x="1657"/>
        <item x="3591"/>
        <item x="1500"/>
        <item x="2721"/>
        <item x="1602"/>
        <item x="1936"/>
        <item x="1358"/>
        <item x="2404"/>
        <item x="2294"/>
        <item x="2182"/>
        <item x="1120"/>
        <item x="3552"/>
        <item x="3559"/>
        <item x="2095"/>
        <item x="1385"/>
        <item x="3258"/>
        <item x="1849"/>
        <item x="3727"/>
        <item x="1099"/>
        <item x="3471"/>
        <item x="110"/>
        <item x="2024"/>
        <item x="3783"/>
        <item x="1814"/>
        <item x="3370"/>
        <item x="1632"/>
        <item x="2032"/>
        <item x="2695"/>
        <item x="1651"/>
        <item x="2071"/>
        <item x="3293"/>
        <item x="2507"/>
        <item x="1529"/>
        <item x="2842"/>
        <item x="3586"/>
        <item x="3760"/>
        <item x="3189"/>
        <item x="1775"/>
        <item x="1737"/>
        <item x="1708"/>
        <item x="1539"/>
        <item x="1914"/>
        <item x="3445"/>
        <item x="2734"/>
        <item x="2238"/>
        <item x="2380"/>
        <item x="2874"/>
        <item x="1988"/>
        <item x="3510"/>
        <item x="2270"/>
        <item x="677"/>
        <item x="2454"/>
        <item x="2524"/>
        <item x="1919"/>
        <item x="420"/>
        <item x="3600"/>
        <item x="3780"/>
        <item x="1754"/>
        <item x="1481"/>
        <item x="1350"/>
        <item x="3346"/>
        <item x="1705"/>
        <item x="3651"/>
        <item x="1984"/>
        <item x="2804"/>
        <item x="550"/>
        <item x="1407"/>
        <item x="3210"/>
        <item x="3183"/>
        <item x="2052"/>
        <item x="497"/>
        <item x="3247"/>
        <item x="3742"/>
        <item x="1516"/>
        <item x="2886"/>
        <item x="1569"/>
        <item x="2176"/>
        <item x="3085"/>
        <item x="1921"/>
        <item x="2511"/>
        <item x="2203"/>
        <item x="701"/>
        <item x="2269"/>
        <item x="1699"/>
        <item x="3489"/>
        <item x="2029"/>
        <item x="3730"/>
        <item x="3356"/>
        <item x="1290"/>
        <item x="1939"/>
        <item x="581"/>
        <item x="1831"/>
        <item x="1062"/>
        <item x="3689"/>
        <item x="238"/>
        <item x="396"/>
        <item x="1404"/>
        <item x="1565"/>
        <item x="1991"/>
        <item x="844"/>
        <item x="2705"/>
        <item x="1504"/>
        <item x="2446"/>
        <item x="160"/>
        <item x="3242"/>
        <item x="1655"/>
        <item x="2086"/>
        <item x="1791"/>
        <item x="1390"/>
        <item x="1955"/>
        <item x="1622"/>
        <item x="1678"/>
        <item x="2376"/>
        <item x="3572"/>
        <item x="1510"/>
        <item x="3521"/>
        <item x="3211"/>
        <item x="3027"/>
        <item x="2245"/>
        <item x="1841"/>
        <item x="1753"/>
        <item x="2659"/>
        <item x="2064"/>
        <item x="800"/>
        <item x="458"/>
        <item x="34"/>
        <item x="3398"/>
        <item x="3509"/>
        <item x="3406"/>
        <item x="1730"/>
        <item x="1461"/>
        <item x="1368"/>
        <item x="733"/>
        <item x="1816"/>
        <item x="1319"/>
        <item x="3283"/>
        <item x="2823"/>
        <item x="1302"/>
        <item x="2630"/>
        <item x="1982"/>
        <item x="2881"/>
        <item x="1885"/>
        <item x="2144"/>
        <item x="3628"/>
        <item x="3248"/>
        <item x="399"/>
        <item x="1403"/>
        <item x="3325"/>
        <item x="2707"/>
        <item x="1986"/>
        <item x="1787"/>
        <item x="1979"/>
        <item x="3087"/>
        <item x="2205"/>
        <item x="2002"/>
        <item x="440"/>
        <item x="892"/>
        <item x="1684"/>
        <item x="2600"/>
        <item x="2520"/>
        <item x="1441"/>
        <item x="1916"/>
        <item x="2578"/>
        <item x="3391"/>
        <item x="2011"/>
        <item x="1424"/>
        <item x="3188"/>
        <item x="1101"/>
        <item x="2718"/>
        <item x="1156"/>
        <item x="2618"/>
        <item x="129"/>
        <item x="1992"/>
        <item x="2008"/>
        <item x="1592"/>
        <item x="1152"/>
        <item x="2281"/>
        <item x="1514"/>
        <item x="2551"/>
        <item x="1715"/>
        <item x="1990"/>
        <item x="2275"/>
        <item x="3655"/>
        <item x="1825"/>
        <item x="3457"/>
        <item x="2621"/>
        <item x="2783"/>
        <item x="3059"/>
        <item x="2641"/>
        <item x="2449"/>
        <item x="3166"/>
        <item x="2472"/>
        <item x="3693"/>
        <item x="1835"/>
        <item x="2112"/>
        <item x="3528"/>
        <item x="1353"/>
        <item x="191"/>
        <item x="590"/>
        <item x="2921"/>
        <item x="3169"/>
        <item x="2605"/>
        <item x="1250"/>
        <item x="3656"/>
        <item x="1436"/>
        <item x="1467"/>
        <item x="1692"/>
        <item x="1616"/>
        <item x="2461"/>
        <item x="1549"/>
        <item x="2986"/>
        <item x="1649"/>
        <item x="2651"/>
        <item x="3176"/>
        <item x="2901"/>
        <item x="3217"/>
        <item x="3390"/>
        <item x="3168"/>
        <item x="3594"/>
        <item x="2801"/>
        <item x="2135"/>
        <item x="2010"/>
        <item x="731"/>
        <item x="1484"/>
        <item x="3671"/>
        <item x="3429"/>
        <item x="1881"/>
        <item x="2359"/>
        <item x="1771"/>
        <item x="1726"/>
        <item x="1822"/>
        <item x="3046"/>
        <item x="1235"/>
        <item x="3720"/>
        <item x="2819"/>
        <item x="3121"/>
        <item x="2496"/>
        <item x="3072"/>
        <item x="2006"/>
        <item x="1590"/>
        <item x="3754"/>
        <item x="1552"/>
        <item x="1103"/>
        <item x="3802"/>
        <item x="2476"/>
        <item x="1545"/>
        <item x="360"/>
        <item x="2608"/>
        <item x="1640"/>
        <item x="3314"/>
        <item x="320"/>
        <item x="3607"/>
        <item x="3711"/>
        <item x="1838"/>
        <item x="2347"/>
        <item x="2235"/>
        <item x="2148"/>
        <item x="1443"/>
        <item x="2379"/>
        <item x="801"/>
        <item x="2923"/>
        <item x="947"/>
        <item x="2109"/>
        <item x="2464"/>
        <item x="3411"/>
        <item x="1892"/>
        <item x="176"/>
        <item x="3561"/>
        <item x="484"/>
        <item x="2988"/>
        <item x="3450"/>
        <item x="1845"/>
        <item x="3714"/>
        <item x="1917"/>
        <item x="3021"/>
        <item x="3643"/>
        <item x="3792"/>
        <item x="615"/>
        <item x="2859"/>
        <item x="3615"/>
        <item x="2685"/>
        <item x="1464"/>
        <item x="3053"/>
        <item x="3514"/>
        <item x="3057"/>
        <item x="1347"/>
        <item x="1326"/>
        <item x="3043"/>
        <item x="321"/>
        <item x="1305"/>
        <item x="2050"/>
        <item x="3142"/>
        <item x="3542"/>
        <item x="2485"/>
        <item x="1314"/>
        <item x="3186"/>
        <item x="3442"/>
        <item x="1537"/>
        <item x="1306"/>
        <item x="2013"/>
        <item x="1199"/>
        <item x="3673"/>
        <item x="2723"/>
        <item x="3137"/>
        <item x="1902"/>
        <item x="1231"/>
        <item x="1339"/>
        <item x="1286"/>
        <item x="400"/>
        <item x="2865"/>
        <item x="3468"/>
        <item x="25"/>
        <item x="3469"/>
        <item x="2955"/>
        <item x="2428"/>
        <item x="3364"/>
        <item x="12"/>
        <item x="2970"/>
        <item x="1827"/>
        <item x="2749"/>
        <item x="1650"/>
        <item x="1603"/>
        <item x="1133"/>
        <item x="1964"/>
        <item x="813"/>
        <item x="3530"/>
        <item x="2292"/>
        <item x="640"/>
        <item x="1175"/>
        <item x="2351"/>
        <item x="1890"/>
        <item x="1150"/>
        <item x="1883"/>
        <item x="3416"/>
        <item x="1788"/>
        <item x="2627"/>
        <item x="2473"/>
        <item x="2894"/>
        <item x="2660"/>
        <item x="261"/>
        <item x="3025"/>
        <item x="3259"/>
        <item x="2802"/>
        <item x="2577"/>
        <item x="3694"/>
        <item x="1029"/>
        <item x="2459"/>
        <item x="2780"/>
        <item x="660"/>
        <item x="2869"/>
        <item x="2488"/>
        <item x="2438"/>
        <item x="2866"/>
        <item x="2397"/>
        <item x="2403"/>
        <item x="2263"/>
        <item x="1541"/>
        <item x="3347"/>
        <item x="1961"/>
        <item x="3790"/>
        <item x="424"/>
        <item x="1344"/>
        <item x="2916"/>
        <item x="1024"/>
        <item x="2550"/>
        <item x="2574"/>
        <item x="1289"/>
        <item x="1560"/>
        <item x="874"/>
        <item x="1279"/>
        <item x="3224"/>
        <item x="3776"/>
        <item x="3195"/>
        <item x="685"/>
        <item x="1129"/>
        <item x="3054"/>
        <item x="1128"/>
        <item x="2808"/>
        <item x="1418"/>
        <item x="1336"/>
        <item x="2286"/>
        <item x="814"/>
        <item x="3004"/>
        <item x="3359"/>
        <item x="3219"/>
        <item x="828"/>
        <item x="2278"/>
        <item x="2907"/>
        <item x="1335"/>
        <item x="2134"/>
        <item x="2978"/>
        <item x="935"/>
        <item x="586"/>
        <item x="2173"/>
        <item x="1548"/>
        <item x="1428"/>
        <item x="2217"/>
        <item x="2937"/>
        <item x="3082"/>
        <item x="1826"/>
        <item x="3794"/>
        <item x="1967"/>
        <item x="2310"/>
        <item x="3011"/>
        <item x="1222"/>
        <item x="2061"/>
        <item x="611"/>
        <item x="1155"/>
        <item x="3067"/>
        <item x="950"/>
        <item x="3369"/>
        <item x="2161"/>
        <item x="2262"/>
        <item x="2033"/>
        <item x="3353"/>
        <item x="2138"/>
        <item x="3106"/>
        <item x="1000"/>
        <item x="2171"/>
        <item x="3253"/>
        <item x="3148"/>
        <item x="2184"/>
        <item x="1203"/>
        <item x="2711"/>
        <item x="1686"/>
        <item x="2678"/>
        <item x="2046"/>
        <item x="1532"/>
        <item x="2584"/>
        <item x="3440"/>
        <item x="1889"/>
        <item x="3007"/>
        <item x="1679"/>
        <item x="3512"/>
        <item x="2654"/>
        <item x="2813"/>
        <item x="2408"/>
        <item x="2401"/>
        <item x="1183"/>
        <item x="2615"/>
        <item x="1690"/>
        <item x="3238"/>
        <item x="1947"/>
        <item x="675"/>
        <item x="1446"/>
        <item x="1895"/>
        <item x="2298"/>
        <item x="1048"/>
        <item x="600"/>
        <item x="1717"/>
        <item x="2775"/>
        <item x="1255"/>
        <item x="3505"/>
        <item x="2198"/>
        <item x="1742"/>
        <item x="161"/>
        <item x="3460"/>
        <item x="861"/>
        <item x="3456"/>
        <item x="2334"/>
        <item x="2366"/>
        <item x="2190"/>
        <item x="2671"/>
        <item x="1667"/>
        <item x="1367"/>
        <item x="3047"/>
        <item x="3144"/>
        <item x="2049"/>
        <item x="3599"/>
        <item x="2999"/>
        <item x="1185"/>
        <item x="486"/>
        <item x="948"/>
        <item x="417"/>
        <item x="335"/>
        <item x="2519"/>
        <item x="3206"/>
        <item x="3338"/>
        <item x="2399"/>
        <item x="2280"/>
        <item x="873"/>
        <item x="3123"/>
        <item x="1419"/>
        <item x="3273"/>
        <item x="1543"/>
        <item x="3725"/>
        <item x="952"/>
        <item x="2295"/>
        <item x="2383"/>
        <item x="2248"/>
        <item x="3608"/>
        <item x="2357"/>
        <item x="1871"/>
        <item x="654"/>
        <item x="1485"/>
        <item x="378"/>
        <item x="2844"/>
        <item x="3285"/>
        <item x="1663"/>
        <item x="3035"/>
        <item x="2917"/>
        <item x="2439"/>
        <item x="706"/>
        <item x="837"/>
        <item x="3006"/>
        <item x="1396"/>
        <item x="1617"/>
        <item x="625"/>
        <item x="1872"/>
        <item x="1299"/>
        <item x="237"/>
        <item x="1799"/>
        <item x="1949"/>
        <item x="93"/>
        <item x="1644"/>
        <item x="3404"/>
        <item x="2683"/>
        <item x="2505"/>
        <item x="1301"/>
        <item x="2764"/>
        <item x="629"/>
        <item x="2839"/>
        <item x="1164"/>
        <item x="3324"/>
        <item x="2629"/>
        <item x="3116"/>
        <item x="3050"/>
        <item x="802"/>
        <item x="1224"/>
        <item x="3632"/>
        <item x="1272"/>
        <item x="2591"/>
        <item x="1554"/>
        <item x="3371"/>
        <item x="2939"/>
        <item x="1377"/>
        <item x="3135"/>
        <item x="2637"/>
        <item x="1108"/>
        <item x="1493"/>
        <item x="3571"/>
        <item x="2535"/>
        <item x="2152"/>
        <item x="1819"/>
        <item x="2136"/>
        <item x="1085"/>
        <item x="1646"/>
        <item x="1137"/>
        <item x="415"/>
        <item x="2776"/>
        <item x="3342"/>
        <item x="1738"/>
        <item x="2293"/>
        <item x="3301"/>
        <item x="2745"/>
        <item x="2598"/>
        <item x="1145"/>
        <item x="2841"/>
        <item x="2328"/>
        <item x="1032"/>
        <item x="2499"/>
        <item x="1478"/>
        <item x="1043"/>
        <item x="539"/>
        <item x="2740"/>
        <item x="1758"/>
        <item x="2959"/>
        <item x="1105"/>
        <item x="1063"/>
        <item x="1805"/>
        <item x="3648"/>
        <item x="1525"/>
        <item x="1815"/>
        <item x="2344"/>
        <item x="1783"/>
        <item x="2392"/>
        <item x="2811"/>
        <item x="3069"/>
        <item x="1352"/>
        <item x="1143"/>
        <item x="3743"/>
        <item x="2272"/>
        <item x="529"/>
        <item x="650"/>
        <item x="3465"/>
        <item x="2385"/>
        <item x="1041"/>
        <item x="2350"/>
        <item x="2007"/>
        <item x="2572"/>
        <item x="1182"/>
        <item x="2726"/>
        <item x="2716"/>
        <item x="245"/>
        <item x="551"/>
        <item x="3748"/>
        <item x="3808"/>
        <item x="1976"/>
        <item x="1463"/>
        <item x="3110"/>
        <item x="2912"/>
        <item x="2252"/>
        <item x="1440"/>
        <item x="2243"/>
        <item x="1612"/>
        <item x="1767"/>
        <item x="2807"/>
        <item x="1777"/>
        <item x="2317"/>
        <item x="1901"/>
        <item x="3254"/>
        <item x="2371"/>
        <item x="1840"/>
        <item x="554"/>
        <item x="1431"/>
        <item x="879"/>
        <item x="2468"/>
        <item x="2517"/>
        <item x="2599"/>
        <item x="1030"/>
        <item x="2374"/>
        <item x="2868"/>
        <item x="1007"/>
        <item x="459"/>
        <item x="2909"/>
        <item x="995"/>
        <item x="3678"/>
        <item x="1391"/>
        <item x="3241"/>
        <item x="1712"/>
        <item x="3150"/>
        <item x="621"/>
        <item x="1716"/>
        <item x="1006"/>
        <item x="2855"/>
        <item x="1280"/>
        <item x="2732"/>
        <item x="2037"/>
        <item x="3256"/>
        <item x="2582"/>
        <item x="2481"/>
        <item x="1316"/>
        <item x="2904"/>
        <item x="3603"/>
        <item x="2208"/>
        <item x="1045"/>
        <item x="2514"/>
        <item x="1055"/>
        <item x="2632"/>
        <item x="1153"/>
        <item x="2645"/>
        <item x="2180"/>
        <item x="1267"/>
        <item x="274"/>
        <item x="3659"/>
        <item x="1645"/>
        <item x="1728"/>
        <item x="2181"/>
        <item x="1311"/>
        <item x="2546"/>
        <item x="3297"/>
        <item x="3525"/>
        <item x="2906"/>
        <item x="85"/>
        <item x="3201"/>
        <item x="2877"/>
        <item x="734"/>
        <item x="579"/>
        <item x="2508"/>
        <item x="1021"/>
        <item x="1147"/>
        <item x="1627"/>
        <item x="3373"/>
        <item x="2289"/>
        <item x="670"/>
        <item x="3109"/>
        <item x="2229"/>
        <item x="2576"/>
        <item x="2028"/>
        <item x="3125"/>
        <item x="1409"/>
        <item x="350"/>
        <item x="3397"/>
        <item x="830"/>
        <item x="1010"/>
        <item x="3779"/>
        <item x="3461"/>
        <item x="3563"/>
        <item x="1533"/>
        <item x="279"/>
        <item x="1593"/>
        <item x="2724"/>
        <item x="473"/>
        <item x="2014"/>
        <item x="2059"/>
        <item x="1882"/>
        <item x="1188"/>
        <item x="3633"/>
        <item x="1121"/>
        <item x="2947"/>
        <item x="1557"/>
        <item x="1086"/>
        <item x="2995"/>
        <item x="1505"/>
        <item x="2549"/>
        <item x="1681"/>
        <item x="387"/>
        <item x="2216"/>
        <item x="1239"/>
        <item x="58"/>
        <item x="1658"/>
        <item x="741"/>
        <item x="3063"/>
        <item x="1695"/>
        <item x="2318"/>
        <item x="3101"/>
        <item x="149"/>
        <item x="3124"/>
        <item x="2249"/>
        <item x="1077"/>
        <item x="3550"/>
        <item x="3623"/>
        <item x="2019"/>
        <item x="2785"/>
        <item x="106"/>
        <item x="1429"/>
        <item x="216"/>
        <item x="3308"/>
        <item x="3167"/>
        <item x="3663"/>
        <item x="3140"/>
        <item x="1494"/>
        <item x="2738"/>
        <item x="1513"/>
        <item x="3466"/>
        <item x="2453"/>
        <item x="809"/>
        <item x="2590"/>
        <item x="656"/>
        <item x="1619"/>
        <item x="1100"/>
        <item x="3173"/>
        <item x="1294"/>
        <item x="1474"/>
        <item x="2607"/>
        <item x="1798"/>
        <item x="2279"/>
        <item x="2487"/>
        <item x="3272"/>
        <item x="2091"/>
        <item x="3156"/>
        <item x="2103"/>
        <item x="3721"/>
        <item x="3112"/>
        <item x="968"/>
        <item x="2728"/>
        <item x="2919"/>
        <item x="3662"/>
        <item x="1393"/>
        <item x="2394"/>
        <item x="1795"/>
        <item x="778"/>
        <item x="1304"/>
        <item x="352"/>
        <item x="2840"/>
        <item x="39"/>
        <item x="1132"/>
        <item x="2717"/>
        <item x="1196"/>
        <item x="2369"/>
        <item x="3372"/>
        <item x="905"/>
        <item x="1745"/>
        <item x="1965"/>
        <item x="1327"/>
        <item x="2774"/>
        <item x="1483"/>
        <item x="591"/>
        <item x="1972"/>
        <item x="390"/>
        <item x="2332"/>
        <item x="33"/>
        <item x="130"/>
        <item x="3766"/>
        <item x="1880"/>
        <item x="1247"/>
        <item x="3677"/>
        <item x="92"/>
        <item x="214"/>
        <item x="1265"/>
        <item x="3240"/>
        <item x="80"/>
        <item x="2539"/>
        <item x="2169"/>
        <item x="698"/>
        <item x="2798"/>
        <item x="2389"/>
        <item x="1994"/>
        <item x="289"/>
        <item x="3738"/>
        <item x="2617"/>
        <item x="1851"/>
        <item x="922"/>
        <item x="2920"/>
        <item x="3316"/>
        <item x="2851"/>
        <item x="2561"/>
        <item x="2990"/>
        <item x="3455"/>
        <item x="43"/>
        <item x="384"/>
        <item x="3185"/>
        <item x="1343"/>
        <item x="468"/>
        <item x="270"/>
        <item x="2942"/>
        <item x="518"/>
        <item x="1999"/>
        <item x="120"/>
        <item x="3565"/>
        <item x="1792"/>
        <item x="462"/>
        <item x="1012"/>
        <item x="1020"/>
        <item x="929"/>
        <item x="3376"/>
        <item x="2737"/>
        <item x="846"/>
        <item x="3147"/>
        <item x="565"/>
        <item x="2087"/>
        <item x="2974"/>
        <item x="1507"/>
        <item x="343"/>
        <item x="21"/>
        <item x="3198"/>
        <item x="1520"/>
        <item x="3330"/>
        <item x="3511"/>
        <item x="3419"/>
        <item x="992"/>
        <item x="1670"/>
        <item x="742"/>
        <item x="1131"/>
        <item x="2264"/>
        <item x="3676"/>
        <item x="2787"/>
        <item x="672"/>
        <item x="3797"/>
        <item x="3497"/>
        <item x="492"/>
        <item x="3009"/>
        <item x="1017"/>
        <item x="2239"/>
        <item x="1037"/>
        <item x="3161"/>
        <item x="172"/>
        <item x="2832"/>
        <item x="1323"/>
        <item x="2312"/>
        <item x="2117"/>
        <item x="767"/>
        <item x="3267"/>
        <item x="3226"/>
        <item x="1769"/>
        <item x="1950"/>
        <item x="2041"/>
        <item x="2089"/>
        <item x="1237"/>
        <item x="1050"/>
        <item x="2962"/>
        <item x="1766"/>
        <item x="2931"/>
        <item x="1744"/>
        <item x="661"/>
        <item x="3722"/>
        <item x="663"/>
        <item x="3765"/>
        <item x="2791"/>
        <item x="2390"/>
        <item x="1608"/>
        <item x="2102"/>
        <item x="2319"/>
        <item x="894"/>
        <item x="1847"/>
        <item x="3333"/>
        <item x="727"/>
        <item x="1057"/>
        <item x="3119"/>
        <item x="2489"/>
        <item x="2687"/>
        <item x="3262"/>
        <item x="2306"/>
        <item x="2114"/>
        <item x="779"/>
        <item x="307"/>
        <item x="493"/>
        <item x="2635"/>
        <item x="3003"/>
        <item x="185"/>
        <item x="3313"/>
        <item x="669"/>
        <item x="2674"/>
        <item x="164"/>
        <item x="1912"/>
        <item x="989"/>
        <item x="3569"/>
        <item x="1370"/>
        <item x="3275"/>
        <item x="219"/>
        <item x="57"/>
        <item x="1098"/>
        <item x="2405"/>
        <item x="2684"/>
        <item x="1114"/>
        <item x="3493"/>
        <item x="1159"/>
        <item x="499"/>
        <item x="2194"/>
        <item x="2414"/>
        <item x="651"/>
        <item x="2099"/>
        <item x="1201"/>
        <item x="2980"/>
        <item x="2503"/>
        <item x="239"/>
        <item x="1605"/>
        <item x="1028"/>
        <item x="2150"/>
        <item x="1724"/>
        <item x="1789"/>
        <item x="2896"/>
        <item x="2147"/>
        <item x="2333"/>
        <item x="2277"/>
        <item x="1097"/>
        <item x="2681"/>
        <item x="123"/>
        <item x="1479"/>
        <item x="2026"/>
        <item x="250"/>
        <item x="2532"/>
        <item x="3062"/>
        <item x="134"/>
        <item x="2538"/>
        <item x="1733"/>
        <item x="2320"/>
        <item x="3570"/>
        <item x="2534"/>
        <item x="1095"/>
        <item x="832"/>
        <item x="2427"/>
        <item x="3412"/>
        <item x="568"/>
        <item x="2178"/>
        <item x="1243"/>
        <item x="700"/>
        <item x="3803"/>
        <item x="891"/>
        <item x="3328"/>
        <item x="745"/>
        <item x="1076"/>
        <item x="2078"/>
        <item x="1025"/>
        <item x="1784"/>
        <item x="173"/>
        <item x="2701"/>
        <item x="2431"/>
        <item x="310"/>
        <item x="2602"/>
        <item x="152"/>
        <item x="1346"/>
        <item x="1987"/>
        <item x="1923"/>
        <item x="2646"/>
        <item x="1854"/>
        <item x="943"/>
        <item x="958"/>
        <item x="2575"/>
        <item x="1564"/>
        <item x="3013"/>
        <item x="3084"/>
        <item x="1331"/>
        <item x="403"/>
        <item x="319"/>
        <item x="1430"/>
        <item x="747"/>
        <item x="3287"/>
        <item x="3549"/>
        <item x="2387"/>
        <item x="1561"/>
        <item x="2430"/>
        <item x="520"/>
        <item x="3645"/>
        <item x="2076"/>
        <item x="613"/>
        <item x="1528"/>
        <item x="197"/>
        <item x="2521"/>
        <item x="3402"/>
        <item x="1295"/>
        <item x="1340"/>
        <item x="956"/>
        <item x="524"/>
        <item x="2558"/>
        <item x="3213"/>
        <item x="2573"/>
        <item x="2197"/>
        <item x="658"/>
        <item x="1315"/>
        <item x="2226"/>
        <item x="2419"/>
        <item x="2128"/>
        <item x="2880"/>
        <item x="2914"/>
        <item x="100"/>
        <item x="234"/>
        <item x="408"/>
        <item x="1780"/>
        <item x="1405"/>
        <item x="2831"/>
        <item x="1563"/>
        <item x="3588"/>
        <item x="3480"/>
        <item x="2960"/>
        <item x="2878"/>
        <item x="2648"/>
        <item x="2021"/>
        <item x="2555"/>
        <item x="965"/>
        <item x="1229"/>
        <item x="500"/>
        <item x="534"/>
        <item x="519"/>
        <item x="885"/>
        <item x="3699"/>
        <item x="2755"/>
        <item x="1906"/>
        <item x="858"/>
        <item x="222"/>
        <item x="1038"/>
        <item x="3055"/>
        <item x="2628"/>
        <item x="1200"/>
        <item x="2653"/>
        <item x="2363"/>
        <item x="3490"/>
        <item x="2502"/>
        <item x="840"/>
        <item x="1785"/>
        <item x="3155"/>
        <item x="1112"/>
        <item x="2448"/>
        <item x="876"/>
        <item x="627"/>
        <item x="388"/>
        <item x="22"/>
        <item x="2130"/>
        <item x="1383"/>
        <item x="2976"/>
        <item x="3354"/>
        <item x="1581"/>
        <item x="3179"/>
        <item x="1122"/>
        <item x="2566"/>
        <item x="3191"/>
        <item x="2151"/>
        <item x="330"/>
        <item x="2047"/>
        <item x="82"/>
        <item x="3263"/>
        <item x="3311"/>
        <item x="1905"/>
        <item x="848"/>
        <item x="907"/>
        <item x="2930"/>
        <item x="3745"/>
        <item x="599"/>
        <item x="1158"/>
        <item x="2606"/>
        <item x="1435"/>
        <item x="2666"/>
        <item x="460"/>
        <item x="3533"/>
        <item x="2084"/>
        <item x="1908"/>
        <item x="258"/>
        <item x="1194"/>
        <item x="3286"/>
        <item x="2261"/>
        <item x="1283"/>
        <item x="1495"/>
        <item x="1094"/>
        <item x="1093"/>
        <item x="2339"/>
        <item x="184"/>
        <item x="1995"/>
        <item x="961"/>
        <item x="3383"/>
        <item x="2601"/>
        <item x="2993"/>
        <item x="740"/>
        <item x="811"/>
        <item x="1595"/>
        <item x="1811"/>
        <item x="2467"/>
        <item x="738"/>
        <item x="1970"/>
        <item x="3177"/>
        <item x="1693"/>
        <item x="213"/>
        <item x="67"/>
        <item x="451"/>
        <item x="3073"/>
        <item x="2793"/>
        <item x="1198"/>
        <item x="543"/>
        <item x="2092"/>
        <item x="1308"/>
        <item x="2081"/>
        <item x="1740"/>
        <item x="2698"/>
        <item x="512"/>
        <item x="429"/>
        <item x="3174"/>
        <item x="1790"/>
        <item x="3739"/>
        <item x="2858"/>
        <item x="1189"/>
        <item x="1874"/>
        <item x="2709"/>
        <item x="1144"/>
        <item x="2107"/>
        <item x="1932"/>
        <item x="637"/>
        <item x="1333"/>
        <item x="1254"/>
        <item x="1148"/>
        <item x="730"/>
        <item x="1136"/>
        <item x="1397"/>
        <item x="1765"/>
        <item x="1531"/>
        <item x="2741"/>
        <item x="1647"/>
        <item x="1598"/>
        <item x="3729"/>
        <item x="2273"/>
        <item x="2471"/>
        <item x="1848"/>
        <item x="1161"/>
        <item x="1365"/>
        <item x="3117"/>
        <item x="283"/>
        <item x="850"/>
        <item x="1068"/>
        <item x="1580"/>
        <item x="218"/>
        <item x="3768"/>
        <item x="760"/>
        <item x="277"/>
        <item x="2712"/>
        <item x="1163"/>
        <item x="1036"/>
        <item x="2314"/>
        <item x="2991"/>
        <item x="3687"/>
        <item x="3474"/>
        <item x="1384"/>
        <item x="2435"/>
        <item x="2675"/>
        <item x="2409"/>
        <item x="1764"/>
        <item x="2495"/>
        <item x="1886"/>
        <item x="3664"/>
        <item x="1049"/>
        <item x="2398"/>
        <item x="2381"/>
        <item x="1146"/>
        <item x="29"/>
        <item x="2981"/>
        <item x="183"/>
        <item x="3644"/>
        <item x="1977"/>
        <item x="2425"/>
        <item x="2222"/>
        <item x="2345"/>
        <item x="2195"/>
        <item x="3074"/>
        <item x="1466"/>
        <item x="1233"/>
        <item x="1281"/>
        <item x="2908"/>
        <item x="2329"/>
        <item x="203"/>
        <item x="2810"/>
        <item x="3022"/>
        <item x="2437"/>
        <item x="2948"/>
        <item x="2796"/>
        <item x="2116"/>
        <item x="4"/>
        <item x="1501"/>
        <item x="2504"/>
        <item x="1151"/>
        <item x="1547"/>
        <item x="1821"/>
        <item x="2162"/>
        <item x="1008"/>
        <item x="1073"/>
        <item x="1380"/>
        <item x="3279"/>
        <item x="1075"/>
        <item x="2565"/>
        <item x="368"/>
        <item x="716"/>
        <item x="1711"/>
        <item x="3023"/>
        <item x="2031"/>
        <item x="1274"/>
        <item x="1376"/>
        <item x="2018"/>
        <item x="2097"/>
        <item x="946"/>
        <item x="3631"/>
        <item x="3654"/>
        <item x="1317"/>
        <item x="2331"/>
        <item x="1975"/>
        <item x="959"/>
        <item x="2400"/>
        <item x="3560"/>
        <item x="3420"/>
        <item x="1596"/>
        <item x="2689"/>
        <item x="3622"/>
        <item x="3697"/>
        <item x="365"/>
        <item x="204"/>
        <item x="1562"/>
        <item x="3160"/>
        <item x="2656"/>
        <item x="313"/>
        <item x="1907"/>
        <item x="1079"/>
        <item x="737"/>
        <item x="1473"/>
        <item x="474"/>
        <item x="2302"/>
        <item x="1828"/>
        <item x="2100"/>
        <item x="1334"/>
        <item x="2525"/>
        <item x="1962"/>
        <item x="3090"/>
        <item x="108"/>
        <item x="2447"/>
        <item x="1266"/>
        <item x="1915"/>
        <item x="3105"/>
        <item x="325"/>
        <item x="978"/>
        <item x="3078"/>
        <item x="1082"/>
        <item x="1214"/>
        <item x="1671"/>
        <item x="166"/>
        <item x="971"/>
        <item x="2120"/>
        <item x="2729"/>
        <item x="768"/>
        <item x="1928"/>
        <item x="2494"/>
        <item x="2143"/>
        <item x="3036"/>
        <item x="1793"/>
        <item x="2992"/>
        <item x="1309"/>
        <item x="506"/>
        <item x="437"/>
        <item x="3153"/>
        <item x="3361"/>
        <item x="2186"/>
        <item x="1135"/>
        <item x="3403"/>
        <item x="1660"/>
        <item x="1665"/>
        <item x="1300"/>
        <item x="1723"/>
        <item x="1223"/>
        <item x="2104"/>
        <item x="3081"/>
        <item x="1387"/>
        <item x="308"/>
        <item x="3031"/>
        <item x="3706"/>
        <item x="3171"/>
        <item x="2082"/>
        <item x="2895"/>
        <item x="783"/>
        <item x="592"/>
        <item x="124"/>
        <item x="575"/>
        <item x="2410"/>
        <item x="157"/>
        <item x="2179"/>
        <item x="2624"/>
        <item x="2386"/>
        <item x="1176"/>
        <item x="2722"/>
        <item x="2096"/>
        <item x="1263"/>
        <item x="1697"/>
        <item x="2230"/>
        <item x="3039"/>
        <item x="2872"/>
        <item x="708"/>
        <item x="3146"/>
        <item x="3252"/>
        <item x="1190"/>
        <item x="1014"/>
        <item x="1125"/>
        <item x="1215"/>
        <item x="755"/>
        <item x="3329"/>
        <item x="255"/>
        <item x="3048"/>
        <item x="3304"/>
        <item x="1701"/>
        <item x="3032"/>
        <item x="836"/>
        <item x="2422"/>
        <item x="1005"/>
        <item x="2941"/>
        <item x="2816"/>
        <item x="3604"/>
        <item x="1934"/>
        <item x="944"/>
        <item x="924"/>
        <item x="2954"/>
        <item x="1253"/>
        <item x="385"/>
        <item x="205"/>
        <item x="997"/>
        <item x="1974"/>
        <item x="2603"/>
        <item x="1672"/>
        <item x="169"/>
        <item x="8"/>
        <item x="3451"/>
        <item x="2693"/>
        <item x="887"/>
        <item x="2765"/>
        <item x="1550"/>
        <item x="1"/>
        <item x="3094"/>
        <item x="2285"/>
        <item x="450"/>
        <item x="137"/>
        <item x="3350"/>
        <item x="1953"/>
        <item x="2110"/>
        <item x="770"/>
        <item x="1070"/>
        <item x="3244"/>
        <item x="3575"/>
        <item x="2367"/>
        <item x="2276"/>
        <item x="376"/>
        <item x="498"/>
        <item x="167"/>
        <item x="1206"/>
        <item x="2313"/>
        <item x="1891"/>
        <item x="74"/>
        <item x="1292"/>
        <item x="3056"/>
        <item x="2543"/>
        <item x="2287"/>
        <item x="317"/>
        <item x="1629"/>
        <item x="2492"/>
        <item x="2301"/>
        <item x="2924"/>
        <item x="170"/>
        <item x="3181"/>
        <item x="177"/>
        <item x="3747"/>
        <item x="1162"/>
        <item x="18"/>
        <item x="1449"/>
        <item x="1296"/>
        <item x="862"/>
        <item x="3799"/>
        <item x="3531"/>
        <item x="2672"/>
        <item x="1310"/>
        <item x="2690"/>
        <item x="2362"/>
        <item x="2828"/>
        <item x="3230"/>
        <item x="2800"/>
        <item x="739"/>
        <item x="1755"/>
        <item x="3759"/>
        <item x="1052"/>
        <item x="1092"/>
        <item x="2680"/>
        <item x="3184"/>
        <item x="144"/>
        <item x="2633"/>
        <item x="2873"/>
        <item x="2378"/>
        <item x="501"/>
        <item x="2340"/>
        <item x="1487"/>
        <item x="1654"/>
        <item x="2616"/>
        <item x="3229"/>
        <item x="2166"/>
        <item x="1019"/>
        <item x="1042"/>
        <item x="1123"/>
        <item x="1862"/>
        <item x="641"/>
        <item x="3194"/>
        <item x="938"/>
        <item x="1559"/>
        <item x="3070"/>
        <item x="1298"/>
        <item x="2315"/>
        <item x="2156"/>
        <item x="547"/>
        <item x="1937"/>
        <item x="371"/>
        <item x="2636"/>
        <item x="1704"/>
        <item x="2835"/>
        <item x="2300"/>
        <item x="1673"/>
        <item x="2557"/>
        <item x="1687"/>
        <item x="945"/>
        <item x="2975"/>
        <item x="2283"/>
        <item x="777"/>
        <item x="3289"/>
        <item x="1713"/>
        <item x="1277"/>
        <item x="1943"/>
        <item x="2836"/>
        <item x="1216"/>
        <item x="1003"/>
        <item x="2649"/>
        <item x="2730"/>
        <item x="115"/>
        <item x="348"/>
        <item x="1269"/>
        <item x="1178"/>
        <item x="3205"/>
        <item x="252"/>
        <item x="941"/>
        <item x="401"/>
        <item x="2085"/>
        <item x="298"/>
        <item x="2073"/>
        <item x="1179"/>
        <item x="659"/>
        <item x="1142"/>
        <item x="2897"/>
        <item x="28"/>
        <item x="2060"/>
        <item x="466"/>
        <item x="322"/>
        <item x="1583"/>
        <item x="2098"/>
        <item x="2552"/>
        <item x="736"/>
        <item x="996"/>
        <item x="2475"/>
        <item x="3331"/>
        <item x="928"/>
        <item x="1519"/>
        <item x="121"/>
        <item x="1623"/>
        <item x="2123"/>
        <item x="786"/>
        <item x="817"/>
        <item x="722"/>
        <item x="1630"/>
        <item x="2530"/>
        <item x="1414"/>
        <item x="2145"/>
        <item x="3558"/>
        <item x="3227"/>
        <item x="897"/>
        <item x="1342"/>
        <item x="1081"/>
        <item x="964"/>
        <item x="3753"/>
        <item x="1227"/>
        <item x="1261"/>
        <item x="491"/>
        <item x="2506"/>
        <item x="291"/>
        <item x="2183"/>
        <item x="1219"/>
        <item x="3661"/>
        <item x="2799"/>
        <item x="2548"/>
        <item x="393"/>
        <item x="469"/>
        <item x="221"/>
        <item x="1601"/>
        <item x="125"/>
        <item x="2884"/>
        <item x="2967"/>
        <item x="3251"/>
        <item x="1360"/>
        <item x="3351"/>
        <item x="939"/>
        <item x="79"/>
        <item x="1088"/>
        <item x="705"/>
        <item x="1411"/>
        <item x="807"/>
        <item x="1230"/>
        <item x="3127"/>
        <item x="3097"/>
        <item x="1040"/>
        <item x="3675"/>
        <item x="3786"/>
        <item x="3250"/>
        <item x="951"/>
        <item x="1926"/>
        <item x="1551"/>
        <item x="150"/>
        <item x="1476"/>
        <item x="2794"/>
        <item x="3584"/>
        <item x="2703"/>
        <item x="1022"/>
        <item x="495"/>
        <item x="3395"/>
        <item x="2137"/>
        <item x="1202"/>
        <item x="2847"/>
        <item x="345"/>
        <item x="1016"/>
        <item x="1065"/>
        <item x="912"/>
        <item x="2189"/>
        <item x="2500"/>
        <item x="2714"/>
        <item x="2384"/>
        <item x="2513"/>
        <item x="1324"/>
        <item x="1634"/>
        <item x="2838"/>
        <item x="1210"/>
        <item x="1700"/>
        <item x="3587"/>
        <item x="1217"/>
        <item x="1378"/>
        <item x="2547"/>
        <item x="2118"/>
        <item x="1412"/>
        <item x="2244"/>
        <item x="1001"/>
        <item x="1140"/>
        <item x="1637"/>
        <item x="490"/>
        <item x="3544"/>
        <item x="336"/>
        <item x="3488"/>
        <item x="804"/>
        <item x="1069"/>
        <item x="2727"/>
        <item x="96"/>
        <item x="1091"/>
        <item x="240"/>
        <item x="1186"/>
        <item x="3495"/>
        <item x="915"/>
        <item x="869"/>
        <item x="2622"/>
        <item x="1130"/>
        <item x="407"/>
        <item x="2735"/>
        <item x="526"/>
        <item x="3236"/>
        <item x="2676"/>
        <item x="2455"/>
        <item x="509"/>
        <item x="2201"/>
        <item x="3690"/>
        <item x="3312"/>
        <item x="158"/>
        <item x="953"/>
        <item x="643"/>
        <item x="3647"/>
        <item x="496"/>
        <item x="278"/>
        <item x="88"/>
        <item x="3104"/>
        <item x="726"/>
        <item x="910"/>
        <item x="179"/>
        <item x="2870"/>
        <item x="1225"/>
        <item x="2639"/>
        <item x="805"/>
        <item x="2418"/>
        <item x="3077"/>
        <item x="960"/>
        <item x="2338"/>
        <item x="2055"/>
        <item x="1193"/>
        <item x="1207"/>
        <item x="623"/>
        <item x="993"/>
        <item x="1141"/>
        <item x="263"/>
        <item x="2541"/>
        <item x="260"/>
        <item x="1725"/>
        <item x="1232"/>
        <item x="1221"/>
        <item x="1236"/>
        <item x="2402"/>
        <item x="296"/>
        <item x="1546"/>
        <item x="1566"/>
        <item x="1312"/>
        <item x="2951"/>
        <item x="1046"/>
        <item x="2864"/>
        <item x="3616"/>
        <item x="3026"/>
        <item x="1058"/>
        <item x="1860"/>
        <item x="1197"/>
        <item x="287"/>
        <item x="1276"/>
        <item x="1870"/>
        <item x="1275"/>
        <item x="878"/>
        <item x="717"/>
        <item x="3652"/>
        <item x="3335"/>
        <item x="217"/>
        <item x="2160"/>
        <item x="35"/>
        <item x="2266"/>
        <item x="1852"/>
        <item x="563"/>
        <item x="2540"/>
        <item x="2856"/>
        <item x="2596"/>
        <item x="2643"/>
        <item x="561"/>
        <item x="1174"/>
        <item x="1307"/>
        <item x="799"/>
        <item x="859"/>
        <item x="1181"/>
        <item x="2237"/>
        <item x="2913"/>
        <item x="867"/>
        <item x="364"/>
        <item x="69"/>
        <item x="684"/>
        <item x="2966"/>
        <item x="1117"/>
        <item x="1059"/>
        <item x="2290"/>
        <item x="2887"/>
        <item x="145"/>
        <item x="2663"/>
        <item x="646"/>
        <item x="1109"/>
        <item x="3620"/>
        <item x="949"/>
        <item x="3626"/>
        <item x="2267"/>
        <item x="9"/>
        <item x="3303"/>
        <item x="994"/>
        <item x="3692"/>
        <item x="2343"/>
        <item x="3336"/>
        <item x="301"/>
        <item x="2982"/>
        <item x="2308"/>
        <item x="2522"/>
        <item x="1836"/>
        <item x="2321"/>
        <item x="3637"/>
        <item x="1119"/>
        <item x="2733"/>
        <item x="2206"/>
        <item x="2888"/>
        <item x="456"/>
        <item x="1293"/>
        <item x="340"/>
        <item x="771"/>
        <item x="2063"/>
        <item x="434"/>
        <item x="3653"/>
        <item x="788"/>
        <item x="3214"/>
        <item x="2192"/>
        <item x="1027"/>
        <item x="542"/>
        <item x="2058"/>
        <item x="1257"/>
        <item x="702"/>
        <item x="570"/>
        <item x="528"/>
        <item x="2979"/>
        <item x="2610"/>
        <item x="587"/>
        <item x="180"/>
        <item x="103"/>
        <item x="559"/>
        <item x="1621"/>
        <item x="1321"/>
        <item x="582"/>
        <item x="1002"/>
        <item x="3629"/>
        <item x="2440"/>
        <item x="10"/>
        <item x="776"/>
        <item x="3507"/>
        <item x="1139"/>
        <item x="3625"/>
        <item x="553"/>
        <item x="1167"/>
        <item x="3434"/>
        <item x="2170"/>
        <item x="386"/>
        <item x="1328"/>
        <item x="3688"/>
        <item x="2562"/>
        <item x="680"/>
        <item x="2742"/>
        <item x="2236"/>
        <item x="1402"/>
        <item x="1009"/>
        <item x="2905"/>
        <item x="419"/>
        <item x="2322"/>
        <item x="2825"/>
        <item x="2536"/>
        <item x="359"/>
        <item x="3807"/>
        <item x="411"/>
        <item x="1218"/>
        <item x="2756"/>
        <item x="2806"/>
        <item x="2761"/>
        <item x="114"/>
        <item x="1322"/>
        <item x="1258"/>
        <item x="3232"/>
        <item x="1209"/>
        <item x="808"/>
        <item x="1568"/>
        <item x="3202"/>
        <item x="128"/>
        <item x="68"/>
        <item x="2510"/>
        <item x="2258"/>
        <item x="963"/>
        <item x="1184"/>
        <item x="3145"/>
        <item x="2341"/>
        <item x="3424"/>
        <item x="1118"/>
        <item x="2597"/>
        <item x="2227"/>
        <item x="1866"/>
        <item x="793"/>
        <item x="3280"/>
        <item x="357"/>
        <item x="1023"/>
        <item x="452"/>
        <item x="3270"/>
        <item x="288"/>
        <item x="2983"/>
        <item x="1212"/>
        <item x="798"/>
        <item x="2747"/>
        <item x="3291"/>
        <item x="1288"/>
        <item x="2282"/>
        <item x="75"/>
        <item x="449"/>
        <item x="1573"/>
        <item x="494"/>
        <item x="2335"/>
        <item x="202"/>
        <item x="162"/>
        <item x="649"/>
        <item x="1051"/>
        <item x="3154"/>
        <item x="2163"/>
        <item x="931"/>
        <item x="3012"/>
        <item x="1858"/>
        <item x="985"/>
        <item x="2491"/>
        <item x="3789"/>
        <item x="1270"/>
        <item x="2996"/>
        <item x="1064"/>
        <item x="3774"/>
        <item x="642"/>
        <item x="2795"/>
        <item x="1138"/>
        <item x="187"/>
        <item x="2985"/>
        <item x="3115"/>
        <item x="231"/>
        <item x="1639"/>
        <item x="1264"/>
        <item x="3611"/>
        <item x="792"/>
        <item x="1124"/>
        <item x="2677"/>
        <item x="1035"/>
        <item x="3606"/>
        <item x="2483"/>
        <item x="3326"/>
        <item x="3269"/>
        <item x="1413"/>
        <item x="3513"/>
        <item x="3337"/>
        <item x="1110"/>
        <item x="1750"/>
        <item x="86"/>
        <item x="1585"/>
        <item x="839"/>
        <item x="315"/>
        <item x="728"/>
        <item x="2929"/>
        <item x="60"/>
        <item x="2692"/>
        <item x="3152"/>
        <item x="2956"/>
        <item x="1106"/>
        <item x="822"/>
        <item x="394"/>
        <item x="2731"/>
        <item x="819"/>
        <item x="3597"/>
        <item x="618"/>
        <item x="3274"/>
        <item x="2062"/>
        <item x="3068"/>
        <item x="1373"/>
        <item x="1498"/>
        <item x="833"/>
        <item x="220"/>
        <item x="1061"/>
        <item x="555"/>
        <item x="2354"/>
        <item x="1220"/>
        <item x="577"/>
        <item x="633"/>
        <item x="3712"/>
        <item x="2604"/>
        <item x="2233"/>
        <item x="2113"/>
        <item x="1111"/>
        <item x="1260"/>
        <item x="898"/>
        <item x="3212"/>
        <item x="436"/>
        <item x="2679"/>
        <item x="3215"/>
        <item x="881"/>
        <item x="505"/>
        <item x="580"/>
        <item x="972"/>
        <item x="3736"/>
        <item x="1033"/>
        <item x="735"/>
        <item x="19"/>
        <item x="626"/>
        <item x="3151"/>
        <item x="1054"/>
        <item x="3787"/>
        <item x="76"/>
        <item x="3668"/>
        <item x="1426"/>
        <item x="3491"/>
        <item x="3463"/>
        <item x="1604"/>
        <item x="515"/>
        <item x="3462"/>
        <item x="3193"/>
        <item x="3086"/>
        <item x="1018"/>
        <item x="2662"/>
        <item x="1330"/>
        <item x="2255"/>
        <item x="2417"/>
        <item x="709"/>
        <item x="381"/>
        <item x="687"/>
        <item x="3200"/>
        <item x="3375"/>
        <item x="1127"/>
        <item x="2953"/>
        <item x="864"/>
        <item x="743"/>
        <item x="259"/>
        <item x="52"/>
        <item x="856"/>
        <item x="3064"/>
        <item x="3515"/>
        <item x="1320"/>
        <item x="2149"/>
        <item x="2614"/>
        <item x="695"/>
        <item x="622"/>
        <item x="548"/>
        <item x="752"/>
        <item x="585"/>
        <item x="3120"/>
        <item x="789"/>
        <item x="24"/>
        <item x="354"/>
        <item x="787"/>
        <item x="1475"/>
        <item x="3439"/>
        <item x="1959"/>
        <item x="1709"/>
        <item x="3744"/>
        <item x="2744"/>
        <item x="3083"/>
        <item x="1066"/>
        <item x="2790"/>
        <item x="1056"/>
        <item x="3099"/>
        <item x="1442"/>
        <item x="2077"/>
        <item x="821"/>
        <item x="601"/>
        <item x="932"/>
        <item x="2251"/>
        <item x="3037"/>
        <item x="1797"/>
        <item x="866"/>
        <item x="2862"/>
        <item x="1506"/>
        <item x="1362"/>
        <item x="363"/>
        <item x="2291"/>
        <item x="2209"/>
        <item x="338"/>
        <item x="3207"/>
        <item x="309"/>
        <item x="45"/>
        <item x="2771"/>
        <item x="1597"/>
        <item x="2579"/>
        <item x="967"/>
        <item x="1642"/>
        <item x="391"/>
        <item x="3698"/>
        <item x="1067"/>
        <item x="2213"/>
        <item x="2412"/>
        <item x="976"/>
        <item x="3504"/>
        <item x="2890"/>
        <item x="2611"/>
        <item x="2817"/>
        <item x="56"/>
        <item x="2212"/>
        <item x="3428"/>
        <item x="3667"/>
        <item x="3556"/>
        <item x="3609"/>
        <item x="3795"/>
        <item x="1241"/>
        <item x="2537"/>
        <item x="1332"/>
        <item x="2570"/>
        <item x="676"/>
        <item x="1134"/>
        <item x="1778"/>
        <item x="710"/>
        <item x="3220"/>
        <item x="937"/>
        <item x="1204"/>
        <item x="201"/>
        <item x="2531"/>
        <item x="908"/>
        <item x="461"/>
        <item x="3367"/>
        <item x="467"/>
        <item x="3713"/>
        <item x="3499"/>
        <item x="2805"/>
        <item x="2377"/>
        <item x="1242"/>
        <item x="829"/>
        <item x="1746"/>
        <item x="99"/>
        <item x="3225"/>
        <item x="2973"/>
        <item x="192"/>
        <item x="1502"/>
        <item x="414"/>
        <item x="1536"/>
        <item x="3775"/>
        <item x="2527"/>
        <item x="3288"/>
        <item x="2433"/>
        <item x="404"/>
        <item x="3278"/>
        <item x="697"/>
        <item x="3724"/>
        <item x="1078"/>
        <item x="3763"/>
        <item x="2153"/>
        <item x="1946"/>
        <item x="416"/>
        <item x="2688"/>
        <item x="1444"/>
        <item x="37"/>
        <item x="2612"/>
        <item x="410"/>
        <item x="2989"/>
        <item x="838"/>
        <item x="2303"/>
        <item x="3624"/>
        <item x="2837"/>
        <item x="2490"/>
        <item x="480"/>
        <item x="3660"/>
        <item x="1060"/>
        <item x="3719"/>
        <item x="232"/>
        <item x="1278"/>
        <item x="3500"/>
        <item x="3431"/>
        <item x="2348"/>
        <item x="1345"/>
        <item x="3187"/>
        <item x="2479"/>
        <item x="3554"/>
        <item x="489"/>
        <item x="714"/>
        <item x="3199"/>
        <item x="3132"/>
        <item x="372"/>
        <item x="3751"/>
        <item x="267"/>
        <item x="934"/>
        <item x="2821"/>
        <item x="190"/>
        <item x="3172"/>
        <item x="2613"/>
        <item x="78"/>
        <item x="2757"/>
        <item x="3696"/>
        <item x="884"/>
        <item x="257"/>
        <item x="1090"/>
        <item x="481"/>
        <item x="2220"/>
        <item x="532"/>
        <item x="3131"/>
        <item x="690"/>
        <item x="3617"/>
        <item x="567"/>
        <item x="2592"/>
        <item x="523"/>
        <item x="689"/>
        <item x="782"/>
        <item x="3382"/>
        <item x="2926"/>
        <item x="3772"/>
        <item x="666"/>
        <item x="119"/>
        <item x="2818"/>
        <item x="3281"/>
        <item x="2595"/>
        <item x="457"/>
        <item x="762"/>
        <item x="1570"/>
        <item x="589"/>
        <item x="3593"/>
        <item x="1341"/>
        <item x="3555"/>
        <item x="1869"/>
        <item x="1213"/>
        <item x="3071"/>
        <item x="1154"/>
        <item x="704"/>
        <item x="3260"/>
        <item x="2158"/>
        <item x="3320"/>
        <item x="2820"/>
        <item x="605"/>
        <item x="1823"/>
        <item x="2415"/>
        <item x="3733"/>
        <item x="2066"/>
        <item x="2223"/>
        <item x="46"/>
        <item x="15"/>
        <item x="2934"/>
        <item x="614"/>
        <item x="44"/>
        <item x="1047"/>
        <item x="620"/>
        <item x="2523"/>
        <item x="1472"/>
        <item x="226"/>
        <item x="2157"/>
        <item x="323"/>
        <item x="3118"/>
        <item x="2809"/>
        <item x="3806"/>
        <item x="1985"/>
        <item x="16"/>
        <item x="557"/>
        <item x="2480"/>
        <item x="1731"/>
        <item x="3627"/>
        <item x="265"/>
        <item x="2770"/>
        <item x="2715"/>
        <item x="1770"/>
        <item x="969"/>
        <item x="1369"/>
        <item x="2609"/>
        <item x="940"/>
        <item x="242"/>
        <item x="3494"/>
        <item x="3557"/>
        <item x="101"/>
        <item x="1228"/>
        <item x="281"/>
        <item x="2406"/>
        <item x="3366"/>
        <item x="53"/>
        <item x="472"/>
        <item x="3613"/>
        <item x="1083"/>
        <item x="413"/>
        <item x="682"/>
        <item x="957"/>
        <item x="2342"/>
        <item x="446"/>
        <item x="3454"/>
        <item x="316"/>
        <item x="426"/>
        <item x="1246"/>
        <item x="1786"/>
        <item x="1166"/>
        <item x="3093"/>
        <item x="3508"/>
        <item x="3612"/>
        <item x="1107"/>
        <item x="1492"/>
        <item x="2834"/>
        <item x="2748"/>
        <item x="1284"/>
        <item x="1337"/>
        <item x="427"/>
        <item x="3264"/>
        <item x="719"/>
        <item x="175"/>
        <item x="875"/>
        <item x="3290"/>
        <item x="1688"/>
        <item x="2760"/>
        <item x="1089"/>
        <item x="2108"/>
        <item x="3487"/>
        <item x="2661"/>
        <item x="671"/>
        <item x="678"/>
        <item x="1072"/>
        <item x="2843"/>
        <item x="2789"/>
        <item x="326"/>
        <item x="3422"/>
        <item x="3741"/>
        <item x="3196"/>
        <item x="14"/>
        <item x="1004"/>
        <item x="1648"/>
        <item x="196"/>
        <item x="999"/>
        <item x="2355"/>
        <item x="516"/>
        <item x="1572"/>
        <item x="1833"/>
        <item x="3437"/>
        <item x="3670"/>
        <item x="3506"/>
        <item x="549"/>
        <item x="1096"/>
        <item x="2964"/>
        <item x="2626"/>
        <item x="195"/>
        <item x="2105"/>
        <item x="2940"/>
        <item x="803"/>
        <item x="3159"/>
        <item x="349"/>
        <item x="2792"/>
        <item x="2699"/>
        <item x="1011"/>
        <item x="517"/>
        <item x="977"/>
        <item x="269"/>
        <item x="3415"/>
        <item x="3716"/>
        <item x="32"/>
        <item x="2766"/>
        <item x="2413"/>
        <item x="1696"/>
        <item x="3605"/>
        <item x="3496"/>
        <item x="2861"/>
        <item x="2634"/>
        <item x="438"/>
        <item x="1807"/>
        <item x="546"/>
        <item x="504"/>
        <item x="1579"/>
        <item x="2670"/>
        <item x="264"/>
        <item x="750"/>
        <item x="2424"/>
        <item x="2830"/>
        <item x="1933"/>
        <item x="3770"/>
        <item x="679"/>
        <item x="303"/>
        <item x="3231"/>
        <item x="253"/>
        <item x="1303"/>
        <item x="781"/>
        <item x="3102"/>
        <item x="1256"/>
        <item x="1761"/>
        <item x="3089"/>
        <item x="2581"/>
        <item x="331"/>
        <item x="2567"/>
        <item x="2079"/>
        <item x="3165"/>
        <item x="3029"/>
        <item x="986"/>
        <item x="991"/>
        <item x="1187"/>
        <item x="902"/>
        <item x="40"/>
        <item x="1607"/>
        <item x="398"/>
        <item x="3709"/>
        <item x="574"/>
        <item x="2743"/>
        <item x="998"/>
        <item x="3665"/>
        <item x="790"/>
        <item x="860"/>
        <item x="1338"/>
        <item x="66"/>
        <item x="2854"/>
        <item x="3327"/>
        <item x="536"/>
        <item x="527"/>
        <item x="1195"/>
        <item x="2710"/>
        <item x="3695"/>
        <item x="2224"/>
        <item x="1868"/>
        <item x="3596"/>
        <item x="282"/>
        <item x="1329"/>
        <item x="834"/>
        <item x="981"/>
        <item x="104"/>
        <item x="1249"/>
        <item x="3310"/>
        <item x="616"/>
        <item x="3805"/>
        <item x="3107"/>
        <item x="1126"/>
        <item x="596"/>
        <item x="113"/>
        <item x="1149"/>
        <item x="2588"/>
        <item x="2779"/>
        <item x="406"/>
        <item x="573"/>
        <item x="2702"/>
        <item x="382"/>
        <item x="84"/>
        <item x="593"/>
        <item x="2667"/>
        <item x="3309"/>
        <item x="2949"/>
        <item x="3548"/>
        <item x="1453"/>
        <item x="54"/>
        <item x="2126"/>
        <item x="694"/>
        <item x="608"/>
        <item x="3573"/>
        <item x="3756"/>
        <item x="857"/>
        <item x="652"/>
        <item x="693"/>
        <item x="3294"/>
        <item x="2199"/>
        <item x="2568"/>
        <item x="3143"/>
        <item x="471"/>
        <item x="3447"/>
        <item x="2254"/>
        <item x="868"/>
        <item x="418"/>
        <item x="502"/>
        <item x="3355"/>
        <item x="2429"/>
        <item x="2159"/>
        <item x="896"/>
        <item x="1748"/>
        <item x="927"/>
        <item x="980"/>
        <item x="2121"/>
        <item x="199"/>
        <item x="235"/>
        <item x="2586"/>
        <item x="1170"/>
        <item x="744"/>
        <item x="3129"/>
        <item x="3322"/>
        <item x="855"/>
        <item x="3076"/>
        <item x="3266"/>
        <item x="356"/>
        <item x="59"/>
        <item x="2309"/>
        <item x="2827"/>
        <item x="2368"/>
        <item x="3459"/>
        <item x="3619"/>
        <item x="2202"/>
        <item x="3703"/>
        <item x="2131"/>
        <item x="2241"/>
        <item x="2927"/>
        <item x="775"/>
        <item x="1252"/>
        <item x="926"/>
        <item x="2509"/>
        <item x="3080"/>
        <item x="2240"/>
        <item x="1432"/>
        <item x="3517"/>
        <item x="453"/>
        <item x="2382"/>
        <item x="2571"/>
        <item x="2358"/>
        <item x="3796"/>
        <item x="2486"/>
        <item x="3092"/>
        <item x="194"/>
        <item x="3540"/>
        <item x="1398"/>
        <item x="843"/>
        <item x="236"/>
        <item x="36"/>
        <item x="431"/>
        <item x="1171"/>
        <item x="126"/>
        <item x="3323"/>
        <item x="566"/>
        <item x="806"/>
        <item x="597"/>
        <item x="2257"/>
        <item x="2456"/>
        <item x="2563"/>
        <item x="774"/>
        <item x="983"/>
        <item x="1615"/>
        <item x="572"/>
        <item x="2911"/>
        <item x="1191"/>
        <item x="691"/>
        <item x="443"/>
        <item x="1354"/>
        <item x="1813"/>
        <item x="51"/>
        <item x="423"/>
        <item x="2450"/>
        <item x="853"/>
        <item x="2469"/>
        <item x="508"/>
        <item x="531"/>
        <item x="2642"/>
        <item x="1205"/>
        <item x="1102"/>
        <item x="2815"/>
        <item x="102"/>
        <item x="3208"/>
        <item x="2952"/>
        <item x="2353"/>
        <item x="1251"/>
        <item x="3017"/>
        <item x="1628"/>
        <item x="200"/>
        <item x="65"/>
        <item x="3470"/>
        <item x="3595"/>
        <item x="1285"/>
        <item x="571"/>
        <item x="2782"/>
        <item x="3630"/>
        <item x="598"/>
        <item x="3223"/>
        <item x="223"/>
        <item x="26"/>
        <item x="55"/>
        <item x="721"/>
        <item x="732"/>
        <item x="632"/>
        <item x="2416"/>
        <item x="2848"/>
        <item x="2451"/>
        <item x="725"/>
        <item x="3393"/>
        <item x="1574"/>
        <item x="2187"/>
        <item x="2074"/>
        <item x="1457"/>
        <item x="2665"/>
        <item x="1034"/>
        <item x="337"/>
        <item x="2218"/>
        <item x="2221"/>
        <item x="256"/>
        <item x="3334"/>
        <item x="1386"/>
        <item x="619"/>
        <item x="3075"/>
        <item x="17"/>
        <item x="1410"/>
        <item x="3216"/>
        <item x="3268"/>
        <item x="2560"/>
        <item x="849"/>
        <item x="899"/>
        <item x="2053"/>
        <item x="1115"/>
        <item x="2127"/>
        <item x="193"/>
        <item x="522"/>
        <item x="2119"/>
        <item x="954"/>
        <item x="3564"/>
        <item x="2175"/>
        <item x="3164"/>
        <item x="603"/>
        <item x="2200"/>
        <item x="3810"/>
        <item x="880"/>
        <item x="2231"/>
        <item x="970"/>
        <item x="2393"/>
        <item x="23"/>
        <item x="1591"/>
        <item x="3482"/>
        <item x="3387"/>
        <item x="852"/>
        <item x="2516"/>
        <item x="683"/>
        <item x="921"/>
        <item x="1420"/>
        <item x="1160"/>
        <item x="2214"/>
        <item x="2706"/>
        <item x="2777"/>
        <item x="2984"/>
        <item x="2933"/>
        <item x="31"/>
        <item x="3718"/>
        <item x="63"/>
        <item x="122"/>
        <item x="1169"/>
        <item x="544"/>
        <item x="3218"/>
        <item x="2115"/>
        <item x="117"/>
        <item x="3749"/>
        <item x="3732"/>
        <item x="3317"/>
        <item x="171"/>
        <item x="2132"/>
        <item x="2545"/>
        <item x="2463"/>
        <item x="3580"/>
        <item x="280"/>
        <item x="1031"/>
        <item x="3385"/>
        <item x="64"/>
        <item x="3362"/>
        <item x="1364"/>
        <item x="3536"/>
        <item x="2969"/>
        <item x="2365"/>
        <item x="761"/>
        <item x="13"/>
        <item x="917"/>
        <item x="2664"/>
        <item x="2228"/>
        <item x="246"/>
        <item x="1291"/>
        <item x="3100"/>
        <item x="2625"/>
        <item x="1897"/>
        <item x="3261"/>
        <item x="2260"/>
        <item x="2846"/>
        <item x="1297"/>
        <item x="3"/>
        <item x="3527"/>
        <item x="3358"/>
        <item x="212"/>
        <item x="135"/>
        <item x="2316"/>
        <item x="2356"/>
        <item x="903"/>
        <item x="1013"/>
        <item x="3192"/>
        <item x="3306"/>
        <item x="91"/>
        <item x="2164"/>
        <item x="2620"/>
        <item x="748"/>
        <item x="465"/>
        <item x="751"/>
        <item x="3265"/>
        <item x="794"/>
        <item x="3257"/>
        <item x="3204"/>
        <item x="3149"/>
        <item x="142"/>
        <item x="3449"/>
        <item x="785"/>
        <item x="2083"/>
        <item x="20"/>
        <item x="483"/>
        <item x="286"/>
        <item x="302"/>
        <item x="3388"/>
        <item x="3300"/>
        <item x="2751"/>
        <item x="6"/>
        <item x="3639"/>
        <item x="2250"/>
        <item x="2767"/>
        <item x="369"/>
        <item x="3157"/>
        <item x="628"/>
        <item x="847"/>
        <item x="936"/>
        <item x="3701"/>
        <item x="816"/>
        <item x="3096"/>
        <item x="2242"/>
        <item x="3379"/>
        <item x="297"/>
        <item x="379"/>
        <item x="797"/>
        <item x="397"/>
        <item x="2265"/>
        <item x="2725"/>
        <item x="2696"/>
        <item x="3380"/>
        <item x="247"/>
        <item x="3705"/>
        <item x="2529"/>
        <item x="409"/>
        <item x="3381"/>
        <item x="3610"/>
        <item x="244"/>
        <item x="841"/>
        <item x="919"/>
        <item x="795"/>
        <item x="2364"/>
        <item x="1226"/>
        <item x="711"/>
        <item x="2311"/>
        <item x="3237"/>
        <item x="1104"/>
        <item x="1087"/>
        <item x="3321"/>
        <item x="3453"/>
        <item x="2928"/>
        <item x="464"/>
        <item x="229"/>
        <item x="3111"/>
        <item x="1180"/>
        <item x="3532"/>
        <item x="412"/>
        <item x="1071"/>
        <item x="2824"/>
        <item x="564"/>
        <item x="1262"/>
        <item x="107"/>
        <item x="3170"/>
        <item x="272"/>
        <item x="2754"/>
        <item x="3407"/>
        <item x="604"/>
        <item x="2860"/>
        <item x="251"/>
        <item x="2797"/>
        <item x="138"/>
        <item x="3051"/>
        <item x="2814"/>
        <item x="3683"/>
        <item x="3592"/>
        <item x="3486"/>
        <item x="901"/>
        <item x="3473"/>
        <item x="594"/>
        <item x="3114"/>
        <item x="2657"/>
        <item x="3000"/>
        <item x="610"/>
        <item x="342"/>
        <item x="645"/>
        <item x="3233"/>
        <item x="2553"/>
        <item x="362"/>
        <item x="174"/>
        <item x="3704"/>
        <item x="609"/>
        <item x="2330"/>
        <item x="3005"/>
        <item x="923"/>
        <item x="447"/>
        <item x="127"/>
        <item x="2458"/>
        <item x="3658"/>
        <item x="576"/>
        <item x="366"/>
        <item x="2139"/>
        <item x="535"/>
        <item x="503"/>
        <item x="815"/>
        <item x="900"/>
        <item x="990"/>
        <item x="3162"/>
        <item x="3065"/>
        <item x="3319"/>
        <item x="1116"/>
        <item x="3249"/>
        <item x="178"/>
        <item x="825"/>
        <item x="2644"/>
        <item x="2421"/>
        <item x="227"/>
        <item x="3523"/>
        <item x="904"/>
        <item x="140"/>
        <item x="3602"/>
        <item x="612"/>
        <item x="3804"/>
        <item x="3682"/>
        <item x="358"/>
        <item x="435"/>
        <item x="3014"/>
        <item x="3446"/>
        <item x="2829"/>
        <item x="3088"/>
        <item x="476"/>
        <item x="3221"/>
        <item x="724"/>
        <item x="3444"/>
        <item x="118"/>
        <item x="7"/>
        <item x="327"/>
        <item x="3392"/>
        <item x="210"/>
        <item x="916"/>
        <item x="3209"/>
        <item x="3060"/>
        <item x="823"/>
        <item x="3590"/>
        <item x="890"/>
        <item x="696"/>
        <item x="2997"/>
        <item x="87"/>
        <item x="271"/>
        <item x="2247"/>
        <item x="3108"/>
        <item x="920"/>
        <item x="3472"/>
        <item x="3777"/>
        <item x="2142"/>
        <item x="3122"/>
        <item x="2899"/>
        <item x="882"/>
        <item x="2498"/>
        <item x="984"/>
        <item x="3492"/>
        <item x="3276"/>
        <item x="2"/>
        <item x="207"/>
        <item x="285"/>
        <item x="3636"/>
        <item x="3501"/>
        <item x="463"/>
        <item x="3691"/>
        <item x="759"/>
        <item x="2188"/>
        <item x="1244"/>
        <item x="3405"/>
        <item x="2652"/>
        <item x="3438"/>
        <item x="94"/>
        <item x="2883"/>
        <item x="2501"/>
        <item x="653"/>
        <item x="764"/>
        <item x="2638"/>
        <item x="3773"/>
        <item x="189"/>
        <item x="606"/>
        <item x="715"/>
        <item x="3182"/>
        <item x="2593"/>
        <item x="3315"/>
        <item x="2193"/>
        <item x="3345"/>
        <item x="3352"/>
        <item x="569"/>
        <item x="883"/>
        <item x="2946"/>
        <item x="812"/>
        <item x="634"/>
        <item x="665"/>
        <item x="3302"/>
        <item x="3284"/>
        <item x="3348"/>
        <item x="3723"/>
        <item x="432"/>
        <item x="2177"/>
        <item x="3778"/>
        <item x="3650"/>
        <item x="3339"/>
        <item x="293"/>
        <item x="295"/>
        <item x="2987"/>
        <item x="215"/>
        <item x="95"/>
        <item x="3666"/>
        <item x="607"/>
        <item x="3049"/>
        <item x="3752"/>
        <item x="50"/>
        <item x="2910"/>
        <item x="913"/>
        <item x="2968"/>
        <item x="1168"/>
        <item x="3646"/>
        <item x="3782"/>
        <item x="3163"/>
        <item x="163"/>
        <item x="2288"/>
        <item x="2768"/>
        <item x="537"/>
        <item x="3033"/>
        <item x="3024"/>
        <item x="2961"/>
        <item x="2478"/>
        <item x="3518"/>
        <item x="346"/>
        <item x="225"/>
        <item x="780"/>
        <item x="3740"/>
        <item x="1074"/>
        <item x="421"/>
        <item x="2773"/>
        <item x="131"/>
        <item x="648"/>
        <item x="2204"/>
        <item x="2944"/>
        <item x="334"/>
        <item x="703"/>
        <item x="290"/>
        <item x="353"/>
        <item x="1157"/>
        <item x="3349"/>
        <item x="749"/>
        <item x="3427"/>
        <item x="588"/>
        <item x="2720"/>
        <item x="294"/>
        <item x="300"/>
        <item x="2370"/>
        <item x="3271"/>
        <item x="383"/>
        <item x="1248"/>
        <item x="3448"/>
        <item x="3410"/>
        <item x="375"/>
        <item x="27"/>
        <item x="713"/>
        <item x="2125"/>
        <item x="2759"/>
        <item x="132"/>
        <item x="3340"/>
        <item x="765"/>
        <item x="3484"/>
        <item x="889"/>
        <item x="966"/>
        <item x="2871"/>
        <item x="973"/>
        <item x="230"/>
        <item x="3581"/>
        <item x="3452"/>
        <item x="324"/>
        <item x="2719"/>
        <item x="942"/>
        <item x="2497"/>
        <item x="784"/>
        <item x="2373"/>
        <item x="2443"/>
        <item x="511"/>
        <item x="1015"/>
        <item x="631"/>
        <item x="208"/>
        <item x="810"/>
        <item x="136"/>
        <item x="475"/>
        <item x="3467"/>
        <item x="2619"/>
        <item x="3635"/>
        <item x="674"/>
        <item x="530"/>
        <item x="2129"/>
        <item x="756"/>
        <item x="3574"/>
        <item x="392"/>
        <item x="835"/>
        <item x="3585"/>
        <item x="2697"/>
        <item x="1172"/>
        <item x="757"/>
        <item x="198"/>
        <item x="38"/>
        <item x="402"/>
        <item x="541"/>
        <item x="351"/>
        <item x="2420"/>
        <item x="3767"/>
        <item x="3128"/>
        <item x="361"/>
        <item x="617"/>
        <item x="3091"/>
        <item x="3758"/>
        <item x="254"/>
        <item x="2325"/>
        <item x="3755"/>
        <item x="3684"/>
        <item x="3298"/>
        <item x="3762"/>
        <item x="181"/>
        <item x="2225"/>
        <item x="513"/>
        <item x="3015"/>
        <item x="2323"/>
        <item x="292"/>
        <item x="2346"/>
        <item x="439"/>
        <item x="3769"/>
        <item x="2124"/>
        <item x="630"/>
        <item x="662"/>
        <item x="3809"/>
        <item x="3479"/>
        <item x="3791"/>
        <item x="153"/>
        <item x="70"/>
        <item x="62"/>
        <item x="3458"/>
        <item x="2080"/>
        <item x="42"/>
        <item x="723"/>
        <item x="3547"/>
        <item x="2457"/>
        <item x="3095"/>
        <item x="2141"/>
        <item x="3543"/>
        <item x="3638"/>
        <item x="146"/>
        <item x="90"/>
        <item x="2900"/>
        <item x="3175"/>
        <item x="510"/>
        <item x="955"/>
        <item x="139"/>
        <item x="2867"/>
        <item x="148"/>
        <item x="3485"/>
        <item x="1273"/>
        <item x="2772"/>
        <item x="1234"/>
        <item x="918"/>
        <item x="151"/>
        <item x="3679"/>
        <item x="655"/>
        <item x="3576"/>
        <item x="3702"/>
        <item x="2411"/>
        <item x="2094"/>
        <item x="729"/>
        <item x="558"/>
        <item x="2736"/>
        <item x="2140"/>
        <item x="3019"/>
        <item x="2879"/>
        <item x="3255"/>
        <item x="105"/>
        <item x="796"/>
        <item x="845"/>
        <item x="2845"/>
        <item x="3541"/>
        <item x="988"/>
        <item x="3519"/>
        <item x="987"/>
        <item x="2515"/>
        <item x="718"/>
        <item x="97"/>
        <item x="2758"/>
        <item x="3038"/>
        <item x="3657"/>
        <item x="61"/>
        <item x="3788"/>
        <item x="2902"/>
        <item x="3545"/>
        <item x="2296"/>
        <item x="318"/>
        <item x="3700"/>
        <item x="430"/>
        <item x="241"/>
        <item x="3757"/>
        <item x="5"/>
        <item x="186"/>
        <item x="3010"/>
        <item x="211"/>
        <item x="3400"/>
        <item x="826"/>
        <item x="2349"/>
        <item x="2361"/>
        <item x="933"/>
        <item x="624"/>
        <item x="699"/>
        <item x="673"/>
        <item x="3781"/>
        <item x="930"/>
        <item x="30"/>
        <item x="639"/>
        <item x="3377"/>
        <item x="312"/>
        <item x="488"/>
        <item x="441"/>
        <item x="2778"/>
        <item x="2585"/>
        <item x="2977"/>
        <item x="2691"/>
        <item x="893"/>
        <item x="3577"/>
        <item x="3030"/>
        <item x="276"/>
        <item x="3534"/>
        <item x="3061"/>
        <item x="3178"/>
        <item x="2655"/>
        <item x="2863"/>
        <item x="3715"/>
        <item x="3158"/>
        <item x="2650"/>
        <item x="3435"/>
        <item x="3396"/>
        <item x="552"/>
        <item x="2307"/>
        <item x="3028"/>
        <item x="482"/>
        <item x="344"/>
        <item x="273"/>
        <item x="2850"/>
        <item x="3139"/>
        <item x="562"/>
        <item x="3551"/>
        <item x="268"/>
        <item x="2253"/>
        <item x="155"/>
        <item x="159"/>
        <item x="374"/>
        <item x="2784"/>
        <item x="3441"/>
        <item x="188"/>
        <item x="2669"/>
        <item x="3234"/>
        <item x="2972"/>
        <item x="540"/>
        <item x="306"/>
        <item x="636"/>
        <item x="2647"/>
        <item x="314"/>
        <item x="925"/>
        <item x="2668"/>
        <item x="3136"/>
        <item x="3341"/>
        <item x="71"/>
        <item x="3079"/>
        <item x="2882"/>
        <item x="3761"/>
        <item x="773"/>
        <item x="81"/>
        <item x="41"/>
        <item x="3502"/>
        <item x="3425"/>
        <item x="3708"/>
        <item x="168"/>
        <item x="2891"/>
        <item x="373"/>
        <item x="2246"/>
        <item x="2704"/>
        <item x="147"/>
        <item x="3443"/>
        <item x="2477"/>
        <item x="583"/>
        <item x="758"/>
        <item x="3475"/>
        <item x="3408"/>
        <item x="98"/>
        <item x="224"/>
        <item x="380"/>
        <item x="83"/>
        <item x="870"/>
        <item x="3394"/>
        <item x="2898"/>
        <item x="3045"/>
        <item x="2174"/>
        <item x="595"/>
        <item x="3649"/>
        <item x="2391"/>
        <item x="533"/>
        <item x="3614"/>
        <item x="405"/>
        <item x="2146"/>
        <item x="865"/>
        <item x="647"/>
        <item x="791"/>
        <item x="3726"/>
        <item x="243"/>
        <item x="3277"/>
        <item x="514"/>
        <item x="818"/>
        <item x="2833"/>
        <item x="707"/>
        <item x="560"/>
        <item x="395"/>
        <item x="233"/>
        <item x="635"/>
        <item x="311"/>
        <item x="657"/>
        <item x="906"/>
        <item x="872"/>
        <item x="888"/>
        <item x="538"/>
        <item x="2849"/>
        <item x="979"/>
        <item x="209"/>
        <item x="2407"/>
        <item x="422"/>
        <item x="3436"/>
        <item x="3423"/>
        <item x="895"/>
        <item x="341"/>
        <item x="206"/>
        <item x="49"/>
        <item x="831"/>
        <item x="355"/>
        <item x="377"/>
        <item x="692"/>
        <item x="109"/>
        <item x="914"/>
        <item x="602"/>
        <item x="2090"/>
        <item x="2958"/>
        <item x="11"/>
        <item x="644"/>
        <item x="433"/>
        <item x="73"/>
        <item x="3717"/>
        <item x="3568"/>
        <item x="328"/>
        <item x="367"/>
        <item x="3246"/>
        <item x="638"/>
        <item x="688"/>
        <item x="478"/>
        <item x="487"/>
        <item x="2694"/>
        <item x="3203"/>
        <item x="3418"/>
        <item x="3498"/>
        <item x="2812"/>
        <item x="712"/>
        <item x="249"/>
        <item x="854"/>
        <item x="2337"/>
        <item x="2372"/>
        <item x="479"/>
        <item x="824"/>
        <item x="2918"/>
        <item x="766"/>
        <item x="470"/>
        <item x="720"/>
        <item x="3305"/>
        <item x="2470"/>
        <item x="2852"/>
        <item x="248"/>
        <item x="2769"/>
        <item x="3414"/>
        <item x="339"/>
        <item x="842"/>
        <item x="347"/>
        <item x="304"/>
        <item x="428"/>
        <item x="521"/>
        <item x="668"/>
        <item x="3103"/>
        <item x="507"/>
        <item x="2893"/>
        <item x="3365"/>
        <item x="141"/>
        <item x="3522"/>
        <item x="2994"/>
        <item x="165"/>
        <item x="442"/>
        <item x="3746"/>
        <item x="182"/>
        <item x="772"/>
        <item x="681"/>
        <item x="3343"/>
        <item x="975"/>
        <item x="827"/>
        <item x="863"/>
        <item x="3785"/>
        <item x="2936"/>
        <item x="111"/>
        <item x="156"/>
        <item x="886"/>
        <item x="454"/>
        <item x="0"/>
        <item x="3357"/>
        <item x="2396"/>
        <item x="3374"/>
        <item x="2903"/>
        <item x="485"/>
        <item x="982"/>
        <item x="820"/>
        <item x="974"/>
        <item x="2111"/>
        <item x="545"/>
        <item x="112"/>
        <item x="556"/>
        <item x="753"/>
        <item x="2165"/>
        <item x="477"/>
        <item x="871"/>
        <item x="47"/>
        <item x="667"/>
        <item x="228"/>
        <item x="962"/>
        <item x="754"/>
        <item x="266"/>
        <item x="746"/>
        <item x="2518"/>
        <item x="3378"/>
        <item x="3399"/>
        <item x="3295"/>
        <item x="2587"/>
        <item x="89"/>
        <item x="154"/>
        <item x="3582"/>
        <item x="445"/>
        <item x="143"/>
        <item x="664"/>
        <item x="116"/>
        <item x="2297"/>
        <item x="332"/>
        <item x="448"/>
        <item x="525"/>
        <item t="default"/>
      </items>
    </pivotField>
    <pivotField compact="0" outline="0" showAll="0"/>
    <pivotField compact="0" numFmtId="2" outline="0" showAll="0"/>
  </pivotFields>
  <rowFields count="1">
    <field x="4"/>
  </rowFields>
  <rowItems count="7">
    <i>
      <x/>
    </i>
    <i>
      <x v="1"/>
    </i>
    <i>
      <x v="2"/>
    </i>
    <i>
      <x v="3"/>
    </i>
    <i>
      <x v="4"/>
    </i>
    <i>
      <x v="5"/>
    </i>
    <i t="grand">
      <x/>
    </i>
  </rowItems>
  <colItems count="1">
    <i/>
  </colItems>
  <dataFields count="1">
    <dataField name="Sum of Total Revenue" fld="7" baseField="0" baseItem="0"/>
  </dataFields>
  <formats count="12">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outline="0" fieldPosition="0">
        <references count="1">
          <reference field="4" count="0"/>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outline="0" fieldPosition="0">
        <references count="1">
          <reference field="4" count="0"/>
        </references>
      </pivotArea>
    </format>
    <format dxfId="17">
      <pivotArea dataOnly="0" labelOnly="1" grandRow="1" outline="0" fieldPosition="0"/>
    </format>
    <format dxfId="1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6" name="PivotTable4"/>
  </pivotTables>
  <data>
    <tabular pivotCacheId="168615685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ch" cache="Slicer_Branch" caption="Branch" columnCount="3" rowHeight="234950"/>
</slicers>
</file>

<file path=xl/tables/table1.xml><?xml version="1.0" encoding="utf-8"?>
<table xmlns="http://schemas.openxmlformats.org/spreadsheetml/2006/main" id="1" name="Table1" displayName="Table1" ref="A1:K5054" totalsRowShown="0" headerRowDxfId="13">
  <autoFilter ref="A1:K5054"/>
  <tableColumns count="11">
    <tableColumn id="1" name="Date" dataDxfId="12"/>
    <tableColumn id="2" name="Branch" dataDxfId="11"/>
    <tableColumn id="3" name="Customer type" dataDxfId="10"/>
    <tableColumn id="4" name="Gender" dataDxfId="9"/>
    <tableColumn id="5" name="Product line" dataDxfId="8"/>
    <tableColumn id="6" name="Unit price" dataDxfId="7"/>
    <tableColumn id="7" name="Quantity" dataDxfId="6"/>
    <tableColumn id="10" name="Total Revenue" dataDxfId="5" dataCellStyle="Comma">
      <calculatedColumnFormula>Table1[[#This Row],[Unit price]]*Table1[[#This Row],[Quantity]]</calculatedColumnFormula>
    </tableColumn>
    <tableColumn id="11" name="% of Total Rev" dataDxfId="4">
      <calculatedColumnFormula>Table1[[#This Row],[Total Revenue]]/$H$5056*100</calculatedColumnFormula>
    </tableColumn>
    <tableColumn id="8" name="Payment" dataDxfId="3"/>
    <tableColumn id="9" name="Rating"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09"/>
  <sheetViews>
    <sheetView topLeftCell="A2" workbookViewId="0">
      <selection activeCell="D5038" sqref="D5038"/>
    </sheetView>
  </sheetViews>
  <sheetFormatPr defaultRowHeight="15" x14ac:dyDescent="0.25"/>
  <cols>
    <col min="1" max="1" width="10.7109375" bestFit="1" customWidth="1"/>
    <col min="2" max="2" width="10.5703125" bestFit="1" customWidth="1"/>
    <col min="3" max="3" width="16.140625" customWidth="1"/>
    <col min="4" max="4" width="9.85546875" customWidth="1"/>
    <col min="5" max="5" width="17" bestFit="1" customWidth="1"/>
    <col min="6" max="6" width="11.85546875" customWidth="1"/>
    <col min="7" max="7" width="10.85546875" customWidth="1"/>
    <col min="8" max="8" width="16.140625" style="10" bestFit="1" customWidth="1"/>
    <col min="9" max="9" width="16.140625" style="10" customWidth="1"/>
    <col min="10" max="10" width="11" customWidth="1"/>
    <col min="11" max="11" width="8.7109375" style="7" customWidth="1"/>
    <col min="13" max="13" width="16.7109375" style="19" bestFit="1" customWidth="1"/>
  </cols>
  <sheetData>
    <row r="1" spans="1:13" ht="14.45" x14ac:dyDescent="0.3">
      <c r="A1" s="1" t="s">
        <v>0</v>
      </c>
      <c r="B1" s="1" t="s">
        <v>1</v>
      </c>
      <c r="C1" s="1" t="s">
        <v>2</v>
      </c>
      <c r="D1" s="1" t="s">
        <v>3</v>
      </c>
      <c r="E1" s="1" t="s">
        <v>4</v>
      </c>
      <c r="F1" s="1" t="s">
        <v>5</v>
      </c>
      <c r="G1" s="1" t="s">
        <v>6</v>
      </c>
      <c r="H1" s="9" t="s">
        <v>246</v>
      </c>
      <c r="I1" s="9" t="s">
        <v>260</v>
      </c>
      <c r="J1" s="1" t="s">
        <v>7</v>
      </c>
      <c r="K1" s="6" t="s">
        <v>8</v>
      </c>
      <c r="M1" s="8" t="s">
        <v>247</v>
      </c>
    </row>
    <row r="2" spans="1:13" ht="14.45" x14ac:dyDescent="0.3">
      <c r="A2" s="2">
        <v>45292</v>
      </c>
      <c r="B2" s="3" t="s">
        <v>244</v>
      </c>
      <c r="C2" s="3" t="s">
        <v>9</v>
      </c>
      <c r="D2" s="3" t="s">
        <v>10</v>
      </c>
      <c r="E2" s="5" t="s">
        <v>11</v>
      </c>
      <c r="F2" s="17">
        <v>84.63</v>
      </c>
      <c r="G2" s="3">
        <v>10</v>
      </c>
      <c r="H2" s="17">
        <f>Table1[[#This Row],[Unit price]]*Table1[[#This Row],[Quantity]]</f>
        <v>846.3</v>
      </c>
      <c r="I2" s="29">
        <f>Table1[[#This Row],[Total Revenue]]/$H$5056*100</f>
        <v>8.9788830738399258E-2</v>
      </c>
      <c r="J2" s="3" t="s">
        <v>12</v>
      </c>
      <c r="K2" s="4">
        <v>9</v>
      </c>
      <c r="M2" s="3">
        <f>COUNT(Table1[Total Revenue])</f>
        <v>5053</v>
      </c>
    </row>
    <row r="3" spans="1:13" ht="14.45" x14ac:dyDescent="0.3">
      <c r="A3" s="2">
        <v>45292</v>
      </c>
      <c r="B3" s="3" t="s">
        <v>245</v>
      </c>
      <c r="C3" s="3" t="s">
        <v>13</v>
      </c>
      <c r="D3" s="3" t="s">
        <v>10</v>
      </c>
      <c r="E3" s="5" t="s">
        <v>14</v>
      </c>
      <c r="F3" s="17">
        <v>63.22</v>
      </c>
      <c r="G3" s="3">
        <v>2</v>
      </c>
      <c r="H3" s="17">
        <f>Table1[[#This Row],[Unit price]]*Table1[[#This Row],[Quantity]]</f>
        <v>126.44</v>
      </c>
      <c r="I3" s="29">
        <f>Table1[[#This Row],[Total Revenue]]/$H$5056*100</f>
        <v>1.3414746258493681E-2</v>
      </c>
      <c r="J3" s="3" t="s">
        <v>15</v>
      </c>
      <c r="K3" s="4">
        <v>8.5</v>
      </c>
      <c r="M3"/>
    </row>
    <row r="4" spans="1:13" ht="14.45" x14ac:dyDescent="0.3">
      <c r="A4" s="2">
        <v>45292</v>
      </c>
      <c r="B4" s="3" t="s">
        <v>244</v>
      </c>
      <c r="C4" s="3" t="s">
        <v>13</v>
      </c>
      <c r="D4" s="3" t="s">
        <v>10</v>
      </c>
      <c r="E4" s="5" t="s">
        <v>14</v>
      </c>
      <c r="F4" s="17">
        <v>74.709999999999994</v>
      </c>
      <c r="G4" s="3">
        <v>6</v>
      </c>
      <c r="H4" s="17">
        <f>Table1[[#This Row],[Unit price]]*Table1[[#This Row],[Quantity]]</f>
        <v>448.26</v>
      </c>
      <c r="I4" s="29">
        <f>Table1[[#This Row],[Total Revenue]]/$H$5056*100</f>
        <v>4.7558479577921371E-2</v>
      </c>
      <c r="J4" s="3" t="s">
        <v>15</v>
      </c>
      <c r="K4" s="4">
        <v>6.7</v>
      </c>
      <c r="M4"/>
    </row>
    <row r="5" spans="1:13" ht="14.45" x14ac:dyDescent="0.3">
      <c r="A5" s="2">
        <v>45292</v>
      </c>
      <c r="B5" s="3" t="s">
        <v>245</v>
      </c>
      <c r="C5" s="3" t="s">
        <v>9</v>
      </c>
      <c r="D5" s="3" t="s">
        <v>10</v>
      </c>
      <c r="E5" s="5" t="s">
        <v>16</v>
      </c>
      <c r="F5" s="17">
        <v>36.979999999999997</v>
      </c>
      <c r="G5" s="3">
        <v>10</v>
      </c>
      <c r="H5" s="17">
        <f>Table1[[#This Row],[Unit price]]*Table1[[#This Row],[Quantity]]</f>
        <v>369.79999999999995</v>
      </c>
      <c r="I5" s="29">
        <f>Table1[[#This Row],[Total Revenue]]/$H$5056*100</f>
        <v>3.9234207263452732E-2</v>
      </c>
      <c r="J5" s="3" t="s">
        <v>12</v>
      </c>
      <c r="K5" s="4">
        <v>7</v>
      </c>
      <c r="M5"/>
    </row>
    <row r="6" spans="1:13" ht="14.45" x14ac:dyDescent="0.3">
      <c r="A6" s="2">
        <v>45292</v>
      </c>
      <c r="B6" s="3" t="s">
        <v>243</v>
      </c>
      <c r="C6" s="3" t="s">
        <v>9</v>
      </c>
      <c r="D6" s="3" t="s">
        <v>10</v>
      </c>
      <c r="E6" s="5" t="s">
        <v>16</v>
      </c>
      <c r="F6" s="17">
        <v>27.04</v>
      </c>
      <c r="G6" s="3">
        <v>4</v>
      </c>
      <c r="H6" s="17">
        <f>Table1[[#This Row],[Unit price]]*Table1[[#This Row],[Quantity]]</f>
        <v>108.16</v>
      </c>
      <c r="I6" s="29">
        <f>Table1[[#This Row],[Total Revenue]]/$H$5056*100</f>
        <v>1.1475316002204023E-2</v>
      </c>
      <c r="J6" s="3" t="s">
        <v>17</v>
      </c>
      <c r="K6" s="4">
        <v>6.9</v>
      </c>
      <c r="M6"/>
    </row>
    <row r="7" spans="1:13" ht="14.45" x14ac:dyDescent="0.3">
      <c r="A7" s="2">
        <v>45292</v>
      </c>
      <c r="B7" s="3" t="s">
        <v>243</v>
      </c>
      <c r="C7" s="3" t="s">
        <v>13</v>
      </c>
      <c r="D7" s="3" t="s">
        <v>10</v>
      </c>
      <c r="E7" s="5" t="s">
        <v>18</v>
      </c>
      <c r="F7" s="17">
        <v>65.739999999999995</v>
      </c>
      <c r="G7" s="3">
        <v>9</v>
      </c>
      <c r="H7" s="17">
        <f>Table1[[#This Row],[Unit price]]*Table1[[#This Row],[Quantity]]</f>
        <v>591.66</v>
      </c>
      <c r="I7" s="29">
        <f>Table1[[#This Row],[Total Revenue]]/$H$5056*100</f>
        <v>6.2772609706583132E-2</v>
      </c>
      <c r="J7" s="3" t="s">
        <v>15</v>
      </c>
      <c r="K7" s="4">
        <v>7.7</v>
      </c>
      <c r="M7"/>
    </row>
    <row r="8" spans="1:13" ht="14.45" x14ac:dyDescent="0.3">
      <c r="A8" s="2">
        <v>45292</v>
      </c>
      <c r="B8" s="3" t="s">
        <v>243</v>
      </c>
      <c r="C8" s="3" t="s">
        <v>9</v>
      </c>
      <c r="D8" s="3" t="s">
        <v>19</v>
      </c>
      <c r="E8" s="5" t="s">
        <v>20</v>
      </c>
      <c r="F8" s="17">
        <v>47.59</v>
      </c>
      <c r="G8" s="3">
        <v>8</v>
      </c>
      <c r="H8" s="17">
        <f>Table1[[#This Row],[Unit price]]*Table1[[#This Row],[Quantity]]</f>
        <v>380.72</v>
      </c>
      <c r="I8" s="29">
        <f>Table1[[#This Row],[Total Revenue]]/$H$5056*100</f>
        <v>4.0392772821367565E-2</v>
      </c>
      <c r="J8" s="3" t="s">
        <v>15</v>
      </c>
      <c r="K8" s="4">
        <v>5.7</v>
      </c>
      <c r="M8"/>
    </row>
    <row r="9" spans="1:13" ht="14.45" x14ac:dyDescent="0.3">
      <c r="A9" s="2">
        <v>45292</v>
      </c>
      <c r="B9" s="3" t="s">
        <v>243</v>
      </c>
      <c r="C9" s="3" t="s">
        <v>13</v>
      </c>
      <c r="D9" s="3" t="s">
        <v>19</v>
      </c>
      <c r="E9" s="5" t="s">
        <v>16</v>
      </c>
      <c r="F9" s="17">
        <v>72.61</v>
      </c>
      <c r="G9" s="3">
        <v>6</v>
      </c>
      <c r="H9" s="17">
        <f>Table1[[#This Row],[Unit price]]*Table1[[#This Row],[Quantity]]</f>
        <v>435.65999999999997</v>
      </c>
      <c r="I9" s="29">
        <f>Table1[[#This Row],[Total Revenue]]/$H$5056*100</f>
        <v>4.6221673164942717E-2</v>
      </c>
      <c r="J9" s="3" t="s">
        <v>12</v>
      </c>
      <c r="K9" s="4">
        <v>6.9</v>
      </c>
      <c r="M9"/>
    </row>
    <row r="10" spans="1:13" ht="14.45" x14ac:dyDescent="0.3">
      <c r="A10" s="2">
        <v>45292</v>
      </c>
      <c r="B10" s="3" t="s">
        <v>245</v>
      </c>
      <c r="C10" s="3" t="s">
        <v>13</v>
      </c>
      <c r="D10" s="3" t="s">
        <v>19</v>
      </c>
      <c r="E10" s="5" t="s">
        <v>21</v>
      </c>
      <c r="F10" s="17">
        <v>62.87</v>
      </c>
      <c r="G10" s="3">
        <v>2</v>
      </c>
      <c r="H10" s="17">
        <f>Table1[[#This Row],[Unit price]]*Table1[[#This Row],[Quantity]]</f>
        <v>125.74</v>
      </c>
      <c r="I10" s="29">
        <f>Table1[[#This Row],[Total Revenue]]/$H$5056*100</f>
        <v>1.3340479235550423E-2</v>
      </c>
      <c r="J10" s="3" t="s">
        <v>15</v>
      </c>
      <c r="K10" s="4">
        <v>5</v>
      </c>
      <c r="M10"/>
    </row>
    <row r="11" spans="1:13" ht="14.45" x14ac:dyDescent="0.3">
      <c r="A11" s="2">
        <v>45292</v>
      </c>
      <c r="B11" s="3" t="s">
        <v>244</v>
      </c>
      <c r="C11" s="3" t="s">
        <v>13</v>
      </c>
      <c r="D11" s="3" t="s">
        <v>19</v>
      </c>
      <c r="E11" s="5" t="s">
        <v>11</v>
      </c>
      <c r="F11" s="17">
        <v>21.12</v>
      </c>
      <c r="G11" s="3">
        <v>8</v>
      </c>
      <c r="H11" s="17">
        <f>Table1[[#This Row],[Unit price]]*Table1[[#This Row],[Quantity]]</f>
        <v>168.96</v>
      </c>
      <c r="I11" s="29">
        <f>Table1[[#This Row],[Total Revenue]]/$H$5056*100</f>
        <v>1.7925937423561314E-2</v>
      </c>
      <c r="J11" s="3" t="s">
        <v>15</v>
      </c>
      <c r="K11" s="4">
        <v>6.3</v>
      </c>
      <c r="M11"/>
    </row>
    <row r="12" spans="1:13" ht="14.45" x14ac:dyDescent="0.3">
      <c r="A12" s="2">
        <v>45292</v>
      </c>
      <c r="B12" s="3" t="s">
        <v>245</v>
      </c>
      <c r="C12" s="3" t="s">
        <v>9</v>
      </c>
      <c r="D12" s="3" t="s">
        <v>10</v>
      </c>
      <c r="E12" s="5" t="s">
        <v>16</v>
      </c>
      <c r="F12" s="17">
        <v>29.22</v>
      </c>
      <c r="G12" s="3">
        <v>6</v>
      </c>
      <c r="H12" s="17">
        <f>Table1[[#This Row],[Unit price]]*Table1[[#This Row],[Quantity]]</f>
        <v>175.32</v>
      </c>
      <c r="I12" s="29">
        <f>Table1[[#This Row],[Total Revenue]]/$H$5056*100</f>
        <v>1.8600706374874348E-2</v>
      </c>
      <c r="J12" s="3" t="s">
        <v>17</v>
      </c>
      <c r="K12" s="4">
        <v>5</v>
      </c>
      <c r="M12"/>
    </row>
    <row r="13" spans="1:13" ht="14.45" x14ac:dyDescent="0.3">
      <c r="A13" s="2">
        <v>45292</v>
      </c>
      <c r="B13" s="3" t="s">
        <v>243</v>
      </c>
      <c r="C13" s="3" t="s">
        <v>9</v>
      </c>
      <c r="D13" s="3" t="s">
        <v>10</v>
      </c>
      <c r="E13" s="5" t="s">
        <v>14</v>
      </c>
      <c r="F13" s="17">
        <v>74.22</v>
      </c>
      <c r="G13" s="3">
        <v>10</v>
      </c>
      <c r="H13" s="17">
        <f>Table1[[#This Row],[Unit price]]*Table1[[#This Row],[Quantity]]</f>
        <v>742.2</v>
      </c>
      <c r="I13" s="29">
        <f>Table1[[#This Row],[Total Revenue]]/$H$5056*100</f>
        <v>7.8744263469266149E-2</v>
      </c>
      <c r="J13" s="3" t="s">
        <v>12</v>
      </c>
      <c r="K13" s="4">
        <v>4.3</v>
      </c>
      <c r="M13"/>
    </row>
    <row r="14" spans="1:13" ht="14.45" x14ac:dyDescent="0.3">
      <c r="A14" s="2">
        <v>45323</v>
      </c>
      <c r="B14" s="3" t="s">
        <v>243</v>
      </c>
      <c r="C14" s="3" t="s">
        <v>13</v>
      </c>
      <c r="D14" s="3" t="s">
        <v>19</v>
      </c>
      <c r="E14" s="5" t="s">
        <v>16</v>
      </c>
      <c r="F14" s="17">
        <v>42.47</v>
      </c>
      <c r="G14" s="3">
        <v>1</v>
      </c>
      <c r="H14" s="17">
        <f>Table1[[#This Row],[Unit price]]*Table1[[#This Row],[Quantity]]</f>
        <v>42.47</v>
      </c>
      <c r="I14" s="29">
        <f>Table1[[#This Row],[Total Revenue]]/$H$5056*100</f>
        <v>4.5058863777145417E-3</v>
      </c>
      <c r="J14" s="3" t="s">
        <v>15</v>
      </c>
      <c r="K14" s="4">
        <v>5.7</v>
      </c>
      <c r="M14"/>
    </row>
    <row r="15" spans="1:13" ht="14.45" x14ac:dyDescent="0.3">
      <c r="A15" s="2">
        <v>45323</v>
      </c>
      <c r="B15" s="3" t="s">
        <v>244</v>
      </c>
      <c r="C15" s="3" t="s">
        <v>9</v>
      </c>
      <c r="D15" s="3" t="s">
        <v>19</v>
      </c>
      <c r="E15" s="5" t="s">
        <v>18</v>
      </c>
      <c r="F15" s="17">
        <v>40.61</v>
      </c>
      <c r="G15" s="3">
        <v>9</v>
      </c>
      <c r="H15" s="17">
        <f>Table1[[#This Row],[Unit price]]*Table1[[#This Row],[Quantity]]</f>
        <v>365.49</v>
      </c>
      <c r="I15" s="29">
        <f>Table1[[#This Row],[Total Revenue]]/$H$5056*100</f>
        <v>3.8776934593616391E-2</v>
      </c>
      <c r="J15" s="3" t="s">
        <v>15</v>
      </c>
      <c r="K15" s="4">
        <v>7</v>
      </c>
      <c r="M15"/>
    </row>
    <row r="16" spans="1:13" ht="14.45" x14ac:dyDescent="0.3">
      <c r="A16" s="2">
        <v>45323</v>
      </c>
      <c r="B16" s="3" t="s">
        <v>244</v>
      </c>
      <c r="C16" s="3" t="s">
        <v>13</v>
      </c>
      <c r="D16" s="3" t="s">
        <v>19</v>
      </c>
      <c r="E16" s="5" t="s">
        <v>16</v>
      </c>
      <c r="F16" s="17">
        <v>44.63</v>
      </c>
      <c r="G16" s="3">
        <v>6</v>
      </c>
      <c r="H16" s="17">
        <f>Table1[[#This Row],[Unit price]]*Table1[[#This Row],[Quantity]]</f>
        <v>267.78000000000003</v>
      </c>
      <c r="I16" s="29">
        <f>Table1[[#This Row],[Total Revenue]]/$H$5056*100</f>
        <v>2.841031914820815E-2</v>
      </c>
      <c r="J16" s="3" t="s">
        <v>12</v>
      </c>
      <c r="K16" s="4">
        <v>5.0999999999999996</v>
      </c>
      <c r="M16"/>
    </row>
    <row r="17" spans="1:13" ht="14.45" x14ac:dyDescent="0.3">
      <c r="A17" s="2">
        <v>45323</v>
      </c>
      <c r="B17" s="3" t="s">
        <v>243</v>
      </c>
      <c r="C17" s="3" t="s">
        <v>9</v>
      </c>
      <c r="D17" s="3" t="s">
        <v>19</v>
      </c>
      <c r="E17" s="5" t="s">
        <v>11</v>
      </c>
      <c r="F17" s="17">
        <v>41.66</v>
      </c>
      <c r="G17" s="3">
        <v>6</v>
      </c>
      <c r="H17" s="17">
        <f>Table1[[#This Row],[Unit price]]*Table1[[#This Row],[Quantity]]</f>
        <v>249.95999999999998</v>
      </c>
      <c r="I17" s="29">
        <f>Table1[[#This Row],[Total Revenue]]/$H$5056*100</f>
        <v>2.6519692935566913E-2</v>
      </c>
      <c r="J17" s="3" t="s">
        <v>17</v>
      </c>
      <c r="K17" s="4">
        <v>5.6</v>
      </c>
      <c r="M17"/>
    </row>
    <row r="18" spans="1:13" ht="14.45" x14ac:dyDescent="0.3">
      <c r="A18" s="2">
        <v>45323</v>
      </c>
      <c r="B18" s="3" t="s">
        <v>245</v>
      </c>
      <c r="C18" s="3" t="s">
        <v>9</v>
      </c>
      <c r="D18" s="3" t="s">
        <v>10</v>
      </c>
      <c r="E18" s="5" t="s">
        <v>16</v>
      </c>
      <c r="F18" s="17">
        <v>31.67</v>
      </c>
      <c r="G18" s="3">
        <v>8</v>
      </c>
      <c r="H18" s="17">
        <f>Table1[[#This Row],[Unit price]]*Table1[[#This Row],[Quantity]]</f>
        <v>253.36</v>
      </c>
      <c r="I18" s="29">
        <f>Table1[[#This Row],[Total Revenue]]/$H$5056*100</f>
        <v>2.6880418475577029E-2</v>
      </c>
      <c r="J18" s="3" t="s">
        <v>12</v>
      </c>
      <c r="K18" s="4">
        <v>5.6</v>
      </c>
      <c r="M18"/>
    </row>
    <row r="19" spans="1:13" ht="14.45" x14ac:dyDescent="0.3">
      <c r="A19" s="2">
        <v>45323</v>
      </c>
      <c r="B19" s="3" t="s">
        <v>244</v>
      </c>
      <c r="C19" s="3" t="s">
        <v>13</v>
      </c>
      <c r="D19" s="3" t="s">
        <v>10</v>
      </c>
      <c r="E19" s="5" t="s">
        <v>21</v>
      </c>
      <c r="F19" s="17">
        <v>34.21</v>
      </c>
      <c r="G19" s="3">
        <v>10</v>
      </c>
      <c r="H19" s="17">
        <f>Table1[[#This Row],[Unit price]]*Table1[[#This Row],[Quantity]]</f>
        <v>342.1</v>
      </c>
      <c r="I19" s="29">
        <f>Table1[[#This Row],[Total Revenue]]/$H$5056*100</f>
        <v>3.6295355069840947E-2</v>
      </c>
      <c r="J19" s="3" t="s">
        <v>15</v>
      </c>
      <c r="K19" s="4">
        <v>5.0999999999999996</v>
      </c>
      <c r="M19"/>
    </row>
    <row r="20" spans="1:13" ht="14.45" x14ac:dyDescent="0.3">
      <c r="A20" s="2">
        <v>45323</v>
      </c>
      <c r="B20" s="3" t="s">
        <v>244</v>
      </c>
      <c r="C20" s="3" t="s">
        <v>13</v>
      </c>
      <c r="D20" s="3" t="s">
        <v>19</v>
      </c>
      <c r="E20" s="5" t="s">
        <v>14</v>
      </c>
      <c r="F20" s="17">
        <v>22.01</v>
      </c>
      <c r="G20" s="3">
        <v>6</v>
      </c>
      <c r="H20" s="17">
        <f>Table1[[#This Row],[Unit price]]*Table1[[#This Row],[Quantity]]</f>
        <v>132.06</v>
      </c>
      <c r="I20" s="29">
        <f>Table1[[#This Row],[Total Revenue]]/$H$5056*100</f>
        <v>1.4011004356980985E-2</v>
      </c>
      <c r="J20" s="3" t="s">
        <v>15</v>
      </c>
      <c r="K20" s="4">
        <v>7.6</v>
      </c>
      <c r="M20"/>
    </row>
    <row r="21" spans="1:13" ht="14.45" x14ac:dyDescent="0.3">
      <c r="A21" s="2">
        <v>45323</v>
      </c>
      <c r="B21" s="3" t="s">
        <v>245</v>
      </c>
      <c r="C21" s="3" t="s">
        <v>13</v>
      </c>
      <c r="D21" s="3" t="s">
        <v>19</v>
      </c>
      <c r="E21" s="5" t="s">
        <v>18</v>
      </c>
      <c r="F21" s="17">
        <v>99.82</v>
      </c>
      <c r="G21" s="3">
        <v>2</v>
      </c>
      <c r="H21" s="17">
        <f>Table1[[#This Row],[Unit price]]*Table1[[#This Row],[Quantity]]</f>
        <v>199.64</v>
      </c>
      <c r="I21" s="29">
        <f>Table1[[#This Row],[Total Revenue]]/$H$5056*100</f>
        <v>2.1180954943417263E-2</v>
      </c>
      <c r="J21" s="3" t="s">
        <v>12</v>
      </c>
      <c r="K21" s="4">
        <v>6.7</v>
      </c>
      <c r="M21"/>
    </row>
    <row r="22" spans="1:13" ht="14.45" x14ac:dyDescent="0.3">
      <c r="A22" s="2">
        <v>45352</v>
      </c>
      <c r="B22" s="3" t="s">
        <v>244</v>
      </c>
      <c r="C22" s="3" t="s">
        <v>13</v>
      </c>
      <c r="D22" s="3" t="s">
        <v>10</v>
      </c>
      <c r="E22" s="5" t="s">
        <v>20</v>
      </c>
      <c r="F22" s="17">
        <v>63.15</v>
      </c>
      <c r="G22" s="3">
        <v>6</v>
      </c>
      <c r="H22" s="17">
        <f>Table1[[#This Row],[Unit price]]*Table1[[#This Row],[Quantity]]</f>
        <v>378.9</v>
      </c>
      <c r="I22" s="29">
        <f>Table1[[#This Row],[Total Revenue]]/$H$5056*100</f>
        <v>4.0199678561715094E-2</v>
      </c>
      <c r="J22" s="3" t="s">
        <v>17</v>
      </c>
      <c r="K22" s="4">
        <v>9.8000000000000007</v>
      </c>
      <c r="M22"/>
    </row>
    <row r="23" spans="1:13" ht="14.45" x14ac:dyDescent="0.3">
      <c r="A23" s="2">
        <v>45352</v>
      </c>
      <c r="B23" s="3" t="s">
        <v>245</v>
      </c>
      <c r="C23" s="3" t="s">
        <v>9</v>
      </c>
      <c r="D23" s="3" t="s">
        <v>19</v>
      </c>
      <c r="E23" s="5" t="s">
        <v>21</v>
      </c>
      <c r="F23" s="17">
        <v>75.88</v>
      </c>
      <c r="G23" s="3">
        <v>1</v>
      </c>
      <c r="H23" s="17">
        <f>Table1[[#This Row],[Unit price]]*Table1[[#This Row],[Quantity]]</f>
        <v>75.88</v>
      </c>
      <c r="I23" s="29">
        <f>Table1[[#This Row],[Total Revenue]]/$H$5056*100</f>
        <v>8.0505452870491979E-3</v>
      </c>
      <c r="J23" s="3" t="s">
        <v>12</v>
      </c>
      <c r="K23" s="4">
        <v>7.1</v>
      </c>
      <c r="M23"/>
    </row>
    <row r="24" spans="1:13" ht="14.45" x14ac:dyDescent="0.3">
      <c r="A24" s="2">
        <v>45352</v>
      </c>
      <c r="B24" s="3" t="s">
        <v>244</v>
      </c>
      <c r="C24" s="3" t="s">
        <v>13</v>
      </c>
      <c r="D24" s="3" t="s">
        <v>19</v>
      </c>
      <c r="E24" s="5" t="s">
        <v>16</v>
      </c>
      <c r="F24" s="17">
        <v>93.38</v>
      </c>
      <c r="G24" s="3">
        <v>1</v>
      </c>
      <c r="H24" s="17">
        <f>Table1[[#This Row],[Unit price]]*Table1[[#This Row],[Quantity]]</f>
        <v>93.38</v>
      </c>
      <c r="I24" s="29">
        <f>Table1[[#This Row],[Total Revenue]]/$H$5056*100</f>
        <v>9.9072208606306549E-3</v>
      </c>
      <c r="J24" s="3" t="s">
        <v>15</v>
      </c>
      <c r="K24" s="4">
        <v>9.6</v>
      </c>
      <c r="M24"/>
    </row>
    <row r="25" spans="1:13" ht="14.45" x14ac:dyDescent="0.3">
      <c r="A25" s="2">
        <v>45352</v>
      </c>
      <c r="B25" s="3" t="s">
        <v>243</v>
      </c>
      <c r="C25" s="3" t="s">
        <v>13</v>
      </c>
      <c r="D25" s="3" t="s">
        <v>19</v>
      </c>
      <c r="E25" s="5" t="s">
        <v>21</v>
      </c>
      <c r="F25" s="17">
        <v>70.010000000000005</v>
      </c>
      <c r="G25" s="3">
        <v>5</v>
      </c>
      <c r="H25" s="17">
        <f>Table1[[#This Row],[Unit price]]*Table1[[#This Row],[Quantity]]</f>
        <v>350.05</v>
      </c>
      <c r="I25" s="29">
        <f>Table1[[#This Row],[Total Revenue]]/$H$5056*100</f>
        <v>3.7138816258982237E-2</v>
      </c>
      <c r="J25" s="3" t="s">
        <v>17</v>
      </c>
      <c r="K25" s="4">
        <v>5.5</v>
      </c>
      <c r="M25"/>
    </row>
    <row r="26" spans="1:13" x14ac:dyDescent="0.25">
      <c r="A26" s="2">
        <v>45352</v>
      </c>
      <c r="B26" s="3" t="s">
        <v>243</v>
      </c>
      <c r="C26" s="3" t="s">
        <v>13</v>
      </c>
      <c r="D26" s="3" t="s">
        <v>10</v>
      </c>
      <c r="E26" s="5" t="s">
        <v>21</v>
      </c>
      <c r="F26" s="17">
        <v>23.03</v>
      </c>
      <c r="G26" s="3">
        <v>9</v>
      </c>
      <c r="H26" s="17">
        <f>Table1[[#This Row],[Unit price]]*Table1[[#This Row],[Quantity]]</f>
        <v>207.27</v>
      </c>
      <c r="I26" s="29">
        <f>Table1[[#This Row],[Total Revenue]]/$H$5056*100</f>
        <v>2.1990465493498781E-2</v>
      </c>
      <c r="J26" s="3" t="s">
        <v>17</v>
      </c>
      <c r="K26" s="4">
        <v>7.9</v>
      </c>
      <c r="M26"/>
    </row>
    <row r="27" spans="1:13" x14ac:dyDescent="0.25">
      <c r="A27" s="2">
        <v>45352</v>
      </c>
      <c r="B27" s="3" t="s">
        <v>245</v>
      </c>
      <c r="C27" s="3" t="s">
        <v>9</v>
      </c>
      <c r="D27" s="3" t="s">
        <v>10</v>
      </c>
      <c r="E27" s="5" t="s">
        <v>21</v>
      </c>
      <c r="F27" s="17">
        <v>21.12</v>
      </c>
      <c r="G27" s="3">
        <v>2</v>
      </c>
      <c r="H27" s="17">
        <f>Table1[[#This Row],[Unit price]]*Table1[[#This Row],[Quantity]]</f>
        <v>42.24</v>
      </c>
      <c r="I27" s="29">
        <f>Table1[[#This Row],[Total Revenue]]/$H$5056*100</f>
        <v>4.4814843558903285E-3</v>
      </c>
      <c r="J27" s="3" t="s">
        <v>15</v>
      </c>
      <c r="K27" s="4">
        <v>9.6999999999999993</v>
      </c>
      <c r="M27"/>
    </row>
    <row r="28" spans="1:13" x14ac:dyDescent="0.25">
      <c r="A28" s="2">
        <v>45352</v>
      </c>
      <c r="B28" s="3" t="s">
        <v>243</v>
      </c>
      <c r="C28" s="3" t="s">
        <v>13</v>
      </c>
      <c r="D28" s="3" t="s">
        <v>10</v>
      </c>
      <c r="E28" s="5" t="s">
        <v>20</v>
      </c>
      <c r="F28" s="17">
        <v>67.09</v>
      </c>
      <c r="G28" s="3">
        <v>5</v>
      </c>
      <c r="H28" s="17">
        <f>Table1[[#This Row],[Unit price]]*Table1[[#This Row],[Quantity]]</f>
        <v>335.45000000000005</v>
      </c>
      <c r="I28" s="29">
        <f>Table1[[#This Row],[Total Revenue]]/$H$5056*100</f>
        <v>3.5589818351879993E-2</v>
      </c>
      <c r="J28" s="3" t="s">
        <v>12</v>
      </c>
      <c r="K28" s="4">
        <v>9.1</v>
      </c>
      <c r="M28"/>
    </row>
    <row r="29" spans="1:13" x14ac:dyDescent="0.25">
      <c r="A29" s="2">
        <v>45352</v>
      </c>
      <c r="B29" s="3" t="s">
        <v>244</v>
      </c>
      <c r="C29" s="3" t="s">
        <v>9</v>
      </c>
      <c r="D29" s="3" t="s">
        <v>19</v>
      </c>
      <c r="E29" s="5" t="s">
        <v>21</v>
      </c>
      <c r="F29" s="17">
        <v>62</v>
      </c>
      <c r="G29" s="3">
        <v>8</v>
      </c>
      <c r="H29" s="17">
        <f>Table1[[#This Row],[Unit price]]*Table1[[#This Row],[Quantity]]</f>
        <v>496</v>
      </c>
      <c r="I29" s="29">
        <f>Table1[[#This Row],[Total Revenue]]/$H$5056*100</f>
        <v>5.2623490542651585E-2</v>
      </c>
      <c r="J29" s="3" t="s">
        <v>12</v>
      </c>
      <c r="K29" s="4">
        <v>6.2</v>
      </c>
      <c r="M29"/>
    </row>
    <row r="30" spans="1:13" x14ac:dyDescent="0.25">
      <c r="A30" s="2">
        <v>45383</v>
      </c>
      <c r="B30" s="3" t="s">
        <v>244</v>
      </c>
      <c r="C30" s="3" t="s">
        <v>13</v>
      </c>
      <c r="D30" s="3" t="s">
        <v>19</v>
      </c>
      <c r="E30" s="5" t="s">
        <v>16</v>
      </c>
      <c r="F30" s="17">
        <v>46.42</v>
      </c>
      <c r="G30" s="3">
        <v>3</v>
      </c>
      <c r="H30" s="17">
        <f>Table1[[#This Row],[Unit price]]*Table1[[#This Row],[Quantity]]</f>
        <v>139.26</v>
      </c>
      <c r="I30" s="29">
        <f>Table1[[#This Row],[Total Revenue]]/$H$5056*100</f>
        <v>1.4774893735825927E-2</v>
      </c>
      <c r="J30" s="3" t="s">
        <v>12</v>
      </c>
      <c r="K30" s="4">
        <v>4.4000000000000004</v>
      </c>
      <c r="M30"/>
    </row>
    <row r="31" spans="1:13" x14ac:dyDescent="0.25">
      <c r="A31" s="2">
        <v>45383</v>
      </c>
      <c r="B31" s="3" t="s">
        <v>243</v>
      </c>
      <c r="C31" s="3" t="s">
        <v>9</v>
      </c>
      <c r="D31" s="3" t="s">
        <v>19</v>
      </c>
      <c r="E31" s="5" t="s">
        <v>21</v>
      </c>
      <c r="F31" s="17">
        <v>20.97</v>
      </c>
      <c r="G31" s="3">
        <v>5</v>
      </c>
      <c r="H31" s="17">
        <f>Table1[[#This Row],[Unit price]]*Table1[[#This Row],[Quantity]]</f>
        <v>104.85</v>
      </c>
      <c r="I31" s="29">
        <f>Table1[[#This Row],[Total Revenue]]/$H$5056*100</f>
        <v>1.1124139079429473E-2</v>
      </c>
      <c r="J31" s="3" t="s">
        <v>15</v>
      </c>
      <c r="K31" s="4">
        <v>7.8</v>
      </c>
      <c r="M31"/>
    </row>
    <row r="32" spans="1:13" x14ac:dyDescent="0.25">
      <c r="A32" s="2">
        <v>45383</v>
      </c>
      <c r="B32" s="3" t="s">
        <v>245</v>
      </c>
      <c r="C32" s="3" t="s">
        <v>9</v>
      </c>
      <c r="D32" s="3" t="s">
        <v>10</v>
      </c>
      <c r="E32" s="5" t="s">
        <v>14</v>
      </c>
      <c r="F32" s="17">
        <v>66.650000000000006</v>
      </c>
      <c r="G32" s="3">
        <v>9</v>
      </c>
      <c r="H32" s="17">
        <f>Table1[[#This Row],[Unit price]]*Table1[[#This Row],[Quantity]]</f>
        <v>599.85</v>
      </c>
      <c r="I32" s="29">
        <f>Table1[[#This Row],[Total Revenue]]/$H$5056*100</f>
        <v>6.3641533875019266E-2</v>
      </c>
      <c r="J32" s="3" t="s">
        <v>12</v>
      </c>
      <c r="K32" s="4">
        <v>9.6999999999999993</v>
      </c>
      <c r="M32"/>
    </row>
    <row r="33" spans="1:13" x14ac:dyDescent="0.25">
      <c r="A33" s="2">
        <v>45383</v>
      </c>
      <c r="B33" s="3" t="s">
        <v>243</v>
      </c>
      <c r="C33" s="3" t="s">
        <v>9</v>
      </c>
      <c r="D33" s="3" t="s">
        <v>10</v>
      </c>
      <c r="E33" s="5" t="s">
        <v>20</v>
      </c>
      <c r="F33" s="17">
        <v>35.54</v>
      </c>
      <c r="G33" s="3">
        <v>10</v>
      </c>
      <c r="H33" s="17">
        <f>Table1[[#This Row],[Unit price]]*Table1[[#This Row],[Quantity]]</f>
        <v>355.4</v>
      </c>
      <c r="I33" s="29">
        <f>Table1[[#This Row],[Total Revenue]]/$H$5056*100</f>
        <v>3.7706428505762848E-2</v>
      </c>
      <c r="J33" s="3" t="s">
        <v>17</v>
      </c>
      <c r="K33" s="4">
        <v>7</v>
      </c>
      <c r="M33"/>
    </row>
    <row r="34" spans="1:13" x14ac:dyDescent="0.25">
      <c r="A34" s="2">
        <v>45383</v>
      </c>
      <c r="B34" s="3" t="s">
        <v>244</v>
      </c>
      <c r="C34" s="3" t="s">
        <v>9</v>
      </c>
      <c r="D34" s="3" t="s">
        <v>10</v>
      </c>
      <c r="E34" s="5" t="s">
        <v>18</v>
      </c>
      <c r="F34" s="17">
        <v>68.709999999999994</v>
      </c>
      <c r="G34" s="3">
        <v>4</v>
      </c>
      <c r="H34" s="17">
        <f>Table1[[#This Row],[Unit price]]*Table1[[#This Row],[Quantity]]</f>
        <v>274.83999999999997</v>
      </c>
      <c r="I34" s="29">
        <f>Table1[[#This Row],[Total Revenue]]/$H$5056*100</f>
        <v>2.9159355122464436E-2</v>
      </c>
      <c r="J34" s="3" t="s">
        <v>15</v>
      </c>
      <c r="K34" s="4">
        <v>4.0999999999999996</v>
      </c>
      <c r="M34"/>
    </row>
    <row r="35" spans="1:13" x14ac:dyDescent="0.25">
      <c r="A35" s="2">
        <v>45383</v>
      </c>
      <c r="B35" s="3" t="s">
        <v>244</v>
      </c>
      <c r="C35" s="3" t="s">
        <v>9</v>
      </c>
      <c r="D35" s="3" t="s">
        <v>19</v>
      </c>
      <c r="E35" s="5" t="s">
        <v>14</v>
      </c>
      <c r="F35" s="17">
        <v>72.17</v>
      </c>
      <c r="G35" s="3">
        <v>1</v>
      </c>
      <c r="H35" s="17">
        <f>Table1[[#This Row],[Unit price]]*Table1[[#This Row],[Quantity]]</f>
        <v>72.17</v>
      </c>
      <c r="I35" s="29">
        <f>Table1[[#This Row],[Total Revenue]]/$H$5056*100</f>
        <v>7.6569300654499295E-3</v>
      </c>
      <c r="J35" s="3" t="s">
        <v>15</v>
      </c>
      <c r="K35" s="4">
        <v>6.1</v>
      </c>
      <c r="M35"/>
    </row>
    <row r="36" spans="1:13" x14ac:dyDescent="0.25">
      <c r="A36" s="2">
        <v>45413</v>
      </c>
      <c r="B36" s="3" t="s">
        <v>245</v>
      </c>
      <c r="C36" s="3" t="s">
        <v>9</v>
      </c>
      <c r="D36" s="3" t="s">
        <v>10</v>
      </c>
      <c r="E36" s="5" t="s">
        <v>18</v>
      </c>
      <c r="F36" s="17">
        <v>31.9</v>
      </c>
      <c r="G36" s="3">
        <v>1</v>
      </c>
      <c r="H36" s="17">
        <f>Table1[[#This Row],[Unit price]]*Table1[[#This Row],[Quantity]]</f>
        <v>31.9</v>
      </c>
      <c r="I36" s="29">
        <f>Table1[[#This Row],[Total Revenue]]/$H$5056*100</f>
        <v>3.3844543312713418E-3</v>
      </c>
      <c r="J36" s="3" t="s">
        <v>17</v>
      </c>
      <c r="K36" s="4">
        <v>9.1</v>
      </c>
      <c r="M36"/>
    </row>
    <row r="37" spans="1:13" x14ac:dyDescent="0.25">
      <c r="A37" s="2">
        <v>45413</v>
      </c>
      <c r="B37" s="3" t="s">
        <v>245</v>
      </c>
      <c r="C37" s="3" t="s">
        <v>13</v>
      </c>
      <c r="D37" s="3" t="s">
        <v>19</v>
      </c>
      <c r="E37" s="5" t="s">
        <v>18</v>
      </c>
      <c r="F37" s="17">
        <v>27.38</v>
      </c>
      <c r="G37" s="3">
        <v>6</v>
      </c>
      <c r="H37" s="17">
        <f>Table1[[#This Row],[Unit price]]*Table1[[#This Row],[Quantity]]</f>
        <v>164.28</v>
      </c>
      <c r="I37" s="29">
        <f>Table1[[#This Row],[Total Revenue]]/$H$5056*100</f>
        <v>1.7429409327312101E-2</v>
      </c>
      <c r="J37" s="3" t="s">
        <v>12</v>
      </c>
      <c r="K37" s="4">
        <v>7.9</v>
      </c>
      <c r="M37"/>
    </row>
    <row r="38" spans="1:13" x14ac:dyDescent="0.25">
      <c r="A38" s="2">
        <v>45413</v>
      </c>
      <c r="B38" s="3" t="s">
        <v>244</v>
      </c>
      <c r="C38" s="3" t="s">
        <v>9</v>
      </c>
      <c r="D38" s="3" t="s">
        <v>10</v>
      </c>
      <c r="E38" s="5" t="s">
        <v>20</v>
      </c>
      <c r="F38" s="17">
        <v>35.380000000000003</v>
      </c>
      <c r="G38" s="3">
        <v>9</v>
      </c>
      <c r="H38" s="17">
        <f>Table1[[#This Row],[Unit price]]*Table1[[#This Row],[Quantity]]</f>
        <v>318.42</v>
      </c>
      <c r="I38" s="29">
        <f>Table1[[#This Row],[Total Revenue]]/$H$5056*100</f>
        <v>3.3783007779417576E-2</v>
      </c>
      <c r="J38" s="3" t="s">
        <v>12</v>
      </c>
      <c r="K38" s="4">
        <v>9.6</v>
      </c>
      <c r="M38"/>
    </row>
    <row r="39" spans="1:13" x14ac:dyDescent="0.25">
      <c r="A39" s="2">
        <v>45413</v>
      </c>
      <c r="B39" s="3" t="s">
        <v>245</v>
      </c>
      <c r="C39" s="3" t="s">
        <v>13</v>
      </c>
      <c r="D39" s="3" t="s">
        <v>10</v>
      </c>
      <c r="E39" s="5" t="s">
        <v>18</v>
      </c>
      <c r="F39" s="17">
        <v>76.06</v>
      </c>
      <c r="G39" s="3">
        <v>3</v>
      </c>
      <c r="H39" s="17">
        <f>Table1[[#This Row],[Unit price]]*Table1[[#This Row],[Quantity]]</f>
        <v>228.18</v>
      </c>
      <c r="I39" s="29">
        <f>Table1[[#This Row],[Total Revenue]]/$H$5056*100</f>
        <v>2.4208927564560966E-2</v>
      </c>
      <c r="J39" s="3" t="s">
        <v>12</v>
      </c>
      <c r="K39" s="4">
        <v>9.8000000000000007</v>
      </c>
      <c r="M39"/>
    </row>
    <row r="40" spans="1:13" x14ac:dyDescent="0.25">
      <c r="A40" s="2">
        <v>45413</v>
      </c>
      <c r="B40" s="3" t="s">
        <v>243</v>
      </c>
      <c r="C40" s="3" t="s">
        <v>9</v>
      </c>
      <c r="D40" s="3" t="s">
        <v>10</v>
      </c>
      <c r="E40" s="5" t="s">
        <v>21</v>
      </c>
      <c r="F40" s="17">
        <v>74.69</v>
      </c>
      <c r="G40" s="3">
        <v>7</v>
      </c>
      <c r="H40" s="17">
        <f>Table1[[#This Row],[Unit price]]*Table1[[#This Row],[Quantity]]</f>
        <v>522.82999999999993</v>
      </c>
      <c r="I40" s="29">
        <f>Table1[[#This Row],[Total Revenue]]/$H$5056*100</f>
        <v>5.5470039436319604E-2</v>
      </c>
      <c r="J40" s="3" t="s">
        <v>17</v>
      </c>
      <c r="K40" s="4">
        <v>9.1</v>
      </c>
      <c r="M40"/>
    </row>
    <row r="41" spans="1:13" x14ac:dyDescent="0.25">
      <c r="A41" s="2">
        <v>45413</v>
      </c>
      <c r="B41" s="3" t="s">
        <v>244</v>
      </c>
      <c r="C41" s="3" t="s">
        <v>13</v>
      </c>
      <c r="D41" s="3" t="s">
        <v>10</v>
      </c>
      <c r="E41" s="5" t="s">
        <v>11</v>
      </c>
      <c r="F41" s="17">
        <v>71.2</v>
      </c>
      <c r="G41" s="3">
        <v>1</v>
      </c>
      <c r="H41" s="17">
        <f>Table1[[#This Row],[Unit price]]*Table1[[#This Row],[Quantity]]</f>
        <v>71.2</v>
      </c>
      <c r="I41" s="29">
        <f>Table1[[#This Row],[Total Revenue]]/$H$5056*100</f>
        <v>7.5540171907999866E-3</v>
      </c>
      <c r="J41" s="3" t="s">
        <v>12</v>
      </c>
      <c r="K41" s="4">
        <v>9.1999999999999993</v>
      </c>
      <c r="M41"/>
    </row>
    <row r="42" spans="1:13" x14ac:dyDescent="0.25">
      <c r="A42" s="2">
        <v>45413</v>
      </c>
      <c r="B42" s="3" t="s">
        <v>243</v>
      </c>
      <c r="C42" s="3" t="s">
        <v>9</v>
      </c>
      <c r="D42" s="3" t="s">
        <v>19</v>
      </c>
      <c r="E42" s="5" t="s">
        <v>20</v>
      </c>
      <c r="F42" s="17">
        <v>70.739999999999995</v>
      </c>
      <c r="G42" s="3">
        <v>4</v>
      </c>
      <c r="H42" s="17">
        <f>Table1[[#This Row],[Unit price]]*Table1[[#This Row],[Quantity]]</f>
        <v>282.95999999999998</v>
      </c>
      <c r="I42" s="29">
        <f>Table1[[#This Row],[Total Revenue]]/$H$5056*100</f>
        <v>3.0020852588606234E-2</v>
      </c>
      <c r="J42" s="3" t="s">
        <v>12</v>
      </c>
      <c r="K42" s="4">
        <v>4.4000000000000004</v>
      </c>
      <c r="M42"/>
    </row>
    <row r="43" spans="1:13" x14ac:dyDescent="0.25">
      <c r="A43" s="2">
        <v>45413</v>
      </c>
      <c r="B43" s="3" t="s">
        <v>243</v>
      </c>
      <c r="C43" s="3" t="s">
        <v>13</v>
      </c>
      <c r="D43" s="3" t="s">
        <v>10</v>
      </c>
      <c r="E43" s="5" t="s">
        <v>14</v>
      </c>
      <c r="F43" s="17">
        <v>93.88</v>
      </c>
      <c r="G43" s="3">
        <v>7</v>
      </c>
      <c r="H43" s="17">
        <f>Table1[[#This Row],[Unit price]]*Table1[[#This Row],[Quantity]]</f>
        <v>657.16</v>
      </c>
      <c r="I43" s="29">
        <f>Table1[[#This Row],[Total Revenue]]/$H$5056*100</f>
        <v>6.9721881139130873E-2</v>
      </c>
      <c r="J43" s="3" t="s">
        <v>12</v>
      </c>
      <c r="K43" s="4">
        <v>7.3</v>
      </c>
      <c r="M43"/>
    </row>
    <row r="44" spans="1:13" x14ac:dyDescent="0.25">
      <c r="A44" s="2">
        <v>45413</v>
      </c>
      <c r="B44" s="3" t="s">
        <v>245</v>
      </c>
      <c r="C44" s="3" t="s">
        <v>13</v>
      </c>
      <c r="D44" s="3" t="s">
        <v>10</v>
      </c>
      <c r="E44" s="5" t="s">
        <v>21</v>
      </c>
      <c r="F44" s="17">
        <v>78.89</v>
      </c>
      <c r="G44" s="3">
        <v>7</v>
      </c>
      <c r="H44" s="17">
        <f>Table1[[#This Row],[Unit price]]*Table1[[#This Row],[Quantity]]</f>
        <v>552.23</v>
      </c>
      <c r="I44" s="29">
        <f>Table1[[#This Row],[Total Revenue]]/$H$5056*100</f>
        <v>5.8589254399936459E-2</v>
      </c>
      <c r="J44" s="3" t="s">
        <v>17</v>
      </c>
      <c r="K44" s="4">
        <v>7.5</v>
      </c>
      <c r="M44"/>
    </row>
    <row r="45" spans="1:13" x14ac:dyDescent="0.25">
      <c r="A45" s="2">
        <v>45413</v>
      </c>
      <c r="B45" s="3" t="s">
        <v>244</v>
      </c>
      <c r="C45" s="3" t="s">
        <v>9</v>
      </c>
      <c r="D45" s="3" t="s">
        <v>10</v>
      </c>
      <c r="E45" s="5" t="s">
        <v>18</v>
      </c>
      <c r="F45" s="17">
        <v>73.959999999999994</v>
      </c>
      <c r="G45" s="3">
        <v>1</v>
      </c>
      <c r="H45" s="17">
        <f>Table1[[#This Row],[Unit price]]*Table1[[#This Row],[Quantity]]</f>
        <v>73.959999999999994</v>
      </c>
      <c r="I45" s="29">
        <f>Table1[[#This Row],[Total Revenue]]/$H$5056*100</f>
        <v>7.846841452690545E-3</v>
      </c>
      <c r="J45" s="3" t="s">
        <v>12</v>
      </c>
      <c r="K45" s="4">
        <v>5</v>
      </c>
      <c r="M45"/>
    </row>
    <row r="46" spans="1:13" x14ac:dyDescent="0.25">
      <c r="A46" s="2">
        <v>45413</v>
      </c>
      <c r="B46" s="3" t="s">
        <v>243</v>
      </c>
      <c r="C46" s="3" t="s">
        <v>9</v>
      </c>
      <c r="D46" s="3" t="s">
        <v>19</v>
      </c>
      <c r="E46" s="5" t="s">
        <v>20</v>
      </c>
      <c r="F46" s="17">
        <v>62.65</v>
      </c>
      <c r="G46" s="3">
        <v>4</v>
      </c>
      <c r="H46" s="17">
        <f>Table1[[#This Row],[Unit price]]*Table1[[#This Row],[Quantity]]</f>
        <v>250.6</v>
      </c>
      <c r="I46" s="29">
        <f>Table1[[#This Row],[Total Revenue]]/$H$5056*100</f>
        <v>2.6587594213686467E-2</v>
      </c>
      <c r="J46" s="3" t="s">
        <v>15</v>
      </c>
      <c r="K46" s="4">
        <v>4.2</v>
      </c>
      <c r="M46"/>
    </row>
    <row r="47" spans="1:13" x14ac:dyDescent="0.25">
      <c r="A47" s="2">
        <v>45413</v>
      </c>
      <c r="B47" s="3" t="s">
        <v>243</v>
      </c>
      <c r="C47" s="3" t="s">
        <v>13</v>
      </c>
      <c r="D47" s="3" t="s">
        <v>10</v>
      </c>
      <c r="E47" s="5" t="s">
        <v>20</v>
      </c>
      <c r="F47" s="17">
        <v>42.91</v>
      </c>
      <c r="G47" s="3">
        <v>5</v>
      </c>
      <c r="H47" s="17">
        <f>Table1[[#This Row],[Unit price]]*Table1[[#This Row],[Quantity]]</f>
        <v>214.54999999999998</v>
      </c>
      <c r="I47" s="29">
        <f>Table1[[#This Row],[Total Revenue]]/$H$5056*100</f>
        <v>2.2762842532108661E-2</v>
      </c>
      <c r="J47" s="3" t="s">
        <v>17</v>
      </c>
      <c r="K47" s="4">
        <v>6.1</v>
      </c>
      <c r="M47"/>
    </row>
    <row r="48" spans="1:13" x14ac:dyDescent="0.25">
      <c r="A48" s="2">
        <v>45444</v>
      </c>
      <c r="B48" s="3" t="s">
        <v>244</v>
      </c>
      <c r="C48" s="3" t="s">
        <v>13</v>
      </c>
      <c r="D48" s="3" t="s">
        <v>19</v>
      </c>
      <c r="E48" s="5" t="s">
        <v>20</v>
      </c>
      <c r="F48" s="17">
        <v>62.19</v>
      </c>
      <c r="G48" s="3">
        <v>4</v>
      </c>
      <c r="H48" s="17">
        <f>Table1[[#This Row],[Unit price]]*Table1[[#This Row],[Quantity]]</f>
        <v>248.76</v>
      </c>
      <c r="I48" s="29">
        <f>Table1[[#This Row],[Total Revenue]]/$H$5056*100</f>
        <v>2.6392378039092761E-2</v>
      </c>
      <c r="J48" s="3" t="s">
        <v>17</v>
      </c>
      <c r="K48" s="4">
        <v>4.3</v>
      </c>
      <c r="M48"/>
    </row>
    <row r="49" spans="1:13" x14ac:dyDescent="0.25">
      <c r="A49" s="2">
        <v>45444</v>
      </c>
      <c r="B49" s="3" t="s">
        <v>245</v>
      </c>
      <c r="C49" s="3" t="s">
        <v>13</v>
      </c>
      <c r="D49" s="3" t="s">
        <v>19</v>
      </c>
      <c r="E49" s="5" t="s">
        <v>11</v>
      </c>
      <c r="F49" s="17">
        <v>89.48</v>
      </c>
      <c r="G49" s="3">
        <v>10</v>
      </c>
      <c r="H49" s="17">
        <f>Table1[[#This Row],[Unit price]]*Table1[[#This Row],[Quantity]]</f>
        <v>894.80000000000007</v>
      </c>
      <c r="I49" s="29">
        <f>Table1[[#This Row],[Total Revenue]]/$H$5056*100</f>
        <v>9.4934474470896466E-2</v>
      </c>
      <c r="J49" s="3" t="s">
        <v>12</v>
      </c>
      <c r="K49" s="4">
        <v>9.6</v>
      </c>
      <c r="M49"/>
    </row>
    <row r="50" spans="1:13" x14ac:dyDescent="0.25">
      <c r="A50" s="2">
        <v>45444</v>
      </c>
      <c r="B50" s="3" t="s">
        <v>243</v>
      </c>
      <c r="C50" s="3" t="s">
        <v>13</v>
      </c>
      <c r="D50" s="3" t="s">
        <v>10</v>
      </c>
      <c r="E50" s="5" t="s">
        <v>16</v>
      </c>
      <c r="F50" s="17">
        <v>15.34</v>
      </c>
      <c r="G50" s="3">
        <v>1</v>
      </c>
      <c r="H50" s="17">
        <f>Table1[[#This Row],[Unit price]]*Table1[[#This Row],[Quantity]]</f>
        <v>15.34</v>
      </c>
      <c r="I50" s="29">
        <f>Table1[[#This Row],[Total Revenue]]/$H$5056*100</f>
        <v>1.6275087599279744E-3</v>
      </c>
      <c r="J50" s="3" t="s">
        <v>15</v>
      </c>
      <c r="K50" s="4">
        <v>6.5</v>
      </c>
      <c r="M50"/>
    </row>
    <row r="51" spans="1:13" x14ac:dyDescent="0.25">
      <c r="A51" s="2">
        <v>45444</v>
      </c>
      <c r="B51" s="3" t="s">
        <v>244</v>
      </c>
      <c r="C51" s="3" t="s">
        <v>9</v>
      </c>
      <c r="D51" s="3" t="s">
        <v>19</v>
      </c>
      <c r="E51" s="5" t="s">
        <v>21</v>
      </c>
      <c r="F51" s="17">
        <v>80.47</v>
      </c>
      <c r="G51" s="3">
        <v>9</v>
      </c>
      <c r="H51" s="17">
        <f>Table1[[#This Row],[Unit price]]*Table1[[#This Row],[Quantity]]</f>
        <v>724.23</v>
      </c>
      <c r="I51" s="29">
        <f>Table1[[#This Row],[Total Revenue]]/$H$5056*100</f>
        <v>7.6837722894565641E-2</v>
      </c>
      <c r="J51" s="3" t="s">
        <v>15</v>
      </c>
      <c r="K51" s="4">
        <v>9.1999999999999993</v>
      </c>
      <c r="M51"/>
    </row>
    <row r="52" spans="1:13" x14ac:dyDescent="0.25">
      <c r="A52" s="2">
        <v>45444</v>
      </c>
      <c r="B52" s="3" t="s">
        <v>243</v>
      </c>
      <c r="C52" s="3" t="s">
        <v>9</v>
      </c>
      <c r="D52" s="3" t="s">
        <v>19</v>
      </c>
      <c r="E52" s="5" t="s">
        <v>20</v>
      </c>
      <c r="F52" s="17">
        <v>58.9</v>
      </c>
      <c r="G52" s="3">
        <v>8</v>
      </c>
      <c r="H52" s="17">
        <f>Table1[[#This Row],[Unit price]]*Table1[[#This Row],[Quantity]]</f>
        <v>471.2</v>
      </c>
      <c r="I52" s="29">
        <f>Table1[[#This Row],[Total Revenue]]/$H$5056*100</f>
        <v>4.9992316015519012E-2</v>
      </c>
      <c r="J52" s="3" t="s">
        <v>15</v>
      </c>
      <c r="K52" s="4">
        <v>8.9</v>
      </c>
      <c r="M52"/>
    </row>
    <row r="53" spans="1:13" x14ac:dyDescent="0.25">
      <c r="A53" s="2">
        <v>45444</v>
      </c>
      <c r="B53" s="3" t="s">
        <v>245</v>
      </c>
      <c r="C53" s="3" t="s">
        <v>13</v>
      </c>
      <c r="D53" s="3" t="s">
        <v>10</v>
      </c>
      <c r="E53" s="5" t="s">
        <v>18</v>
      </c>
      <c r="F53" s="17">
        <v>81.680000000000007</v>
      </c>
      <c r="G53" s="3">
        <v>4</v>
      </c>
      <c r="H53" s="17">
        <f>Table1[[#This Row],[Unit price]]*Table1[[#This Row],[Quantity]]</f>
        <v>326.72000000000003</v>
      </c>
      <c r="I53" s="29">
        <f>Table1[[#This Row],[Total Revenue]]/$H$5056*100</f>
        <v>3.4663602480030496E-2</v>
      </c>
      <c r="J53" s="3" t="s">
        <v>15</v>
      </c>
      <c r="K53" s="4">
        <v>9.1</v>
      </c>
      <c r="M53"/>
    </row>
    <row r="54" spans="1:13" x14ac:dyDescent="0.25">
      <c r="A54" s="2">
        <v>45444</v>
      </c>
      <c r="B54" s="3" t="s">
        <v>243</v>
      </c>
      <c r="C54" s="3" t="s">
        <v>13</v>
      </c>
      <c r="D54" s="3" t="s">
        <v>10</v>
      </c>
      <c r="E54" s="5" t="s">
        <v>11</v>
      </c>
      <c r="F54" s="17">
        <v>40.94</v>
      </c>
      <c r="G54" s="3">
        <v>5</v>
      </c>
      <c r="H54" s="17">
        <f>Table1[[#This Row],[Unit price]]*Table1[[#This Row],[Quantity]]</f>
        <v>204.7</v>
      </c>
      <c r="I54" s="29">
        <f>Table1[[#This Row],[Total Revenue]]/$H$5056*100</f>
        <v>2.1717799423549958E-2</v>
      </c>
      <c r="J54" s="3" t="s">
        <v>17</v>
      </c>
      <c r="K54" s="4">
        <v>9.9</v>
      </c>
      <c r="M54"/>
    </row>
    <row r="55" spans="1:13" x14ac:dyDescent="0.25">
      <c r="A55" s="2">
        <v>45444</v>
      </c>
      <c r="B55" s="3" t="s">
        <v>243</v>
      </c>
      <c r="C55" s="3" t="s">
        <v>13</v>
      </c>
      <c r="D55" s="3" t="s">
        <v>19</v>
      </c>
      <c r="E55" s="5" t="s">
        <v>16</v>
      </c>
      <c r="F55" s="17">
        <v>64.59</v>
      </c>
      <c r="G55" s="3">
        <v>4</v>
      </c>
      <c r="H55" s="17">
        <f>Table1[[#This Row],[Unit price]]*Table1[[#This Row],[Quantity]]</f>
        <v>258.36</v>
      </c>
      <c r="I55" s="29">
        <f>Table1[[#This Row],[Total Revenue]]/$H$5056*100</f>
        <v>2.7410897210886017E-2</v>
      </c>
      <c r="J55" s="3" t="s">
        <v>17</v>
      </c>
      <c r="K55" s="4">
        <v>9.3000000000000007</v>
      </c>
      <c r="M55"/>
    </row>
    <row r="56" spans="1:13" x14ac:dyDescent="0.25">
      <c r="A56" s="2">
        <v>45444</v>
      </c>
      <c r="B56" s="3" t="s">
        <v>243</v>
      </c>
      <c r="C56" s="3" t="s">
        <v>13</v>
      </c>
      <c r="D56" s="3" t="s">
        <v>10</v>
      </c>
      <c r="E56" s="5" t="s">
        <v>18</v>
      </c>
      <c r="F56" s="17">
        <v>42.57</v>
      </c>
      <c r="G56" s="3">
        <v>7</v>
      </c>
      <c r="H56" s="17">
        <f>Table1[[#This Row],[Unit price]]*Table1[[#This Row],[Quantity]]</f>
        <v>297.99</v>
      </c>
      <c r="I56" s="29">
        <f>Table1[[#This Row],[Total Revenue]]/$H$5056*100</f>
        <v>3.1615471666945054E-2</v>
      </c>
      <c r="J56" s="3" t="s">
        <v>15</v>
      </c>
      <c r="K56" s="4">
        <v>6.8</v>
      </c>
      <c r="M56"/>
    </row>
    <row r="57" spans="1:13" x14ac:dyDescent="0.25">
      <c r="A57" s="2">
        <v>45474</v>
      </c>
      <c r="B57" s="3" t="s">
        <v>244</v>
      </c>
      <c r="C57" s="3" t="s">
        <v>13</v>
      </c>
      <c r="D57" s="3" t="s">
        <v>19</v>
      </c>
      <c r="E57" s="5" t="s">
        <v>18</v>
      </c>
      <c r="F57" s="17">
        <v>47.97</v>
      </c>
      <c r="G57" s="3">
        <v>7</v>
      </c>
      <c r="H57" s="17">
        <f>Table1[[#This Row],[Unit price]]*Table1[[#This Row],[Quantity]]</f>
        <v>335.78999999999996</v>
      </c>
      <c r="I57" s="29">
        <f>Table1[[#This Row],[Total Revenue]]/$H$5056*100</f>
        <v>3.5625890905880996E-2</v>
      </c>
      <c r="J57" s="3" t="s">
        <v>15</v>
      </c>
      <c r="K57" s="4">
        <v>6.2</v>
      </c>
      <c r="M57"/>
    </row>
    <row r="58" spans="1:13" x14ac:dyDescent="0.25">
      <c r="A58" s="2">
        <v>45474</v>
      </c>
      <c r="B58" s="3" t="s">
        <v>245</v>
      </c>
      <c r="C58" s="3" t="s">
        <v>9</v>
      </c>
      <c r="D58" s="3" t="s">
        <v>10</v>
      </c>
      <c r="E58" s="5" t="s">
        <v>20</v>
      </c>
      <c r="F58" s="17">
        <v>21.82</v>
      </c>
      <c r="G58" s="3">
        <v>10</v>
      </c>
      <c r="H58" s="17">
        <f>Table1[[#This Row],[Unit price]]*Table1[[#This Row],[Quantity]]</f>
        <v>218.2</v>
      </c>
      <c r="I58" s="29">
        <f>Table1[[#This Row],[Total Revenue]]/$H$5056*100</f>
        <v>2.3150092008884227E-2</v>
      </c>
      <c r="J58" s="3" t="s">
        <v>15</v>
      </c>
      <c r="K58" s="4">
        <v>7.1</v>
      </c>
      <c r="M58"/>
    </row>
    <row r="59" spans="1:13" x14ac:dyDescent="0.25">
      <c r="A59" s="2">
        <v>45474</v>
      </c>
      <c r="B59" s="3" t="s">
        <v>245</v>
      </c>
      <c r="C59" s="3" t="s">
        <v>13</v>
      </c>
      <c r="D59" s="3" t="s">
        <v>19</v>
      </c>
      <c r="E59" s="5" t="s">
        <v>11</v>
      </c>
      <c r="F59" s="17">
        <v>27.22</v>
      </c>
      <c r="G59" s="3">
        <v>3</v>
      </c>
      <c r="H59" s="17">
        <f>Table1[[#This Row],[Unit price]]*Table1[[#This Row],[Quantity]]</f>
        <v>81.66</v>
      </c>
      <c r="I59" s="29">
        <f>Table1[[#This Row],[Total Revenue]]/$H$5056*100</f>
        <v>8.6637787050663877E-3</v>
      </c>
      <c r="J59" s="3" t="s">
        <v>15</v>
      </c>
      <c r="K59" s="4">
        <v>7.3</v>
      </c>
      <c r="M59"/>
    </row>
    <row r="60" spans="1:13" x14ac:dyDescent="0.25">
      <c r="A60" s="2">
        <v>45474</v>
      </c>
      <c r="B60" s="3" t="s">
        <v>245</v>
      </c>
      <c r="C60" s="3" t="s">
        <v>9</v>
      </c>
      <c r="D60" s="3" t="s">
        <v>10</v>
      </c>
      <c r="E60" s="5" t="s">
        <v>16</v>
      </c>
      <c r="F60" s="17">
        <v>68.12</v>
      </c>
      <c r="G60" s="3">
        <v>1</v>
      </c>
      <c r="H60" s="17">
        <f>Table1[[#This Row],[Unit price]]*Table1[[#This Row],[Quantity]]</f>
        <v>68.12</v>
      </c>
      <c r="I60" s="29">
        <f>Table1[[#This Row],[Total Revenue]]/$H$5056*100</f>
        <v>7.2272422898496495E-3</v>
      </c>
      <c r="J60" s="3" t="s">
        <v>17</v>
      </c>
      <c r="K60" s="4">
        <v>6.8</v>
      </c>
      <c r="M60"/>
    </row>
    <row r="61" spans="1:13" x14ac:dyDescent="0.25">
      <c r="A61" s="2">
        <v>45474</v>
      </c>
      <c r="B61" s="3" t="s">
        <v>243</v>
      </c>
      <c r="C61" s="3" t="s">
        <v>9</v>
      </c>
      <c r="D61" s="3" t="s">
        <v>19</v>
      </c>
      <c r="E61" s="5" t="s">
        <v>14</v>
      </c>
      <c r="F61" s="17">
        <v>77.72</v>
      </c>
      <c r="G61" s="3">
        <v>4</v>
      </c>
      <c r="H61" s="17">
        <f>Table1[[#This Row],[Unit price]]*Table1[[#This Row],[Quantity]]</f>
        <v>310.88</v>
      </c>
      <c r="I61" s="29">
        <f>Table1[[#This Row],[Total Revenue]]/$H$5056*100</f>
        <v>3.2983045846571621E-2</v>
      </c>
      <c r="J61" s="3" t="s">
        <v>12</v>
      </c>
      <c r="K61" s="4">
        <v>8.8000000000000007</v>
      </c>
      <c r="M61"/>
    </row>
    <row r="62" spans="1:13" x14ac:dyDescent="0.25">
      <c r="A62" s="2">
        <v>45474</v>
      </c>
      <c r="B62" s="3" t="s">
        <v>243</v>
      </c>
      <c r="C62" s="3" t="s">
        <v>9</v>
      </c>
      <c r="D62" s="3" t="s">
        <v>10</v>
      </c>
      <c r="E62" s="5" t="s">
        <v>20</v>
      </c>
      <c r="F62" s="17">
        <v>21.54</v>
      </c>
      <c r="G62" s="3">
        <v>9</v>
      </c>
      <c r="H62" s="17">
        <f>Table1[[#This Row],[Unit price]]*Table1[[#This Row],[Quantity]]</f>
        <v>193.85999999999999</v>
      </c>
      <c r="I62" s="29">
        <f>Table1[[#This Row],[Total Revenue]]/$H$5056*100</f>
        <v>2.0567721525400071E-2</v>
      </c>
      <c r="J62" s="3" t="s">
        <v>12</v>
      </c>
      <c r="K62" s="4">
        <v>8.8000000000000007</v>
      </c>
      <c r="M62"/>
    </row>
    <row r="63" spans="1:13" x14ac:dyDescent="0.25">
      <c r="A63" s="2">
        <v>45474</v>
      </c>
      <c r="B63" s="3" t="s">
        <v>244</v>
      </c>
      <c r="C63" s="3" t="s">
        <v>9</v>
      </c>
      <c r="D63" s="3" t="s">
        <v>10</v>
      </c>
      <c r="E63" s="5" t="s">
        <v>18</v>
      </c>
      <c r="F63" s="17">
        <v>97.61</v>
      </c>
      <c r="G63" s="3">
        <v>6</v>
      </c>
      <c r="H63" s="17">
        <f>Table1[[#This Row],[Unit price]]*Table1[[#This Row],[Quantity]]</f>
        <v>585.66</v>
      </c>
      <c r="I63" s="29">
        <f>Table1[[#This Row],[Total Revenue]]/$H$5056*100</f>
        <v>6.2136035224212356E-2</v>
      </c>
      <c r="J63" s="3" t="s">
        <v>17</v>
      </c>
      <c r="K63" s="4">
        <v>9.9</v>
      </c>
      <c r="M63"/>
    </row>
    <row r="64" spans="1:13" x14ac:dyDescent="0.25">
      <c r="A64" s="2">
        <v>45474</v>
      </c>
      <c r="B64" s="3" t="s">
        <v>243</v>
      </c>
      <c r="C64" s="3" t="s">
        <v>13</v>
      </c>
      <c r="D64" s="3" t="s">
        <v>19</v>
      </c>
      <c r="E64" s="5" t="s">
        <v>16</v>
      </c>
      <c r="F64" s="17">
        <v>60.95</v>
      </c>
      <c r="G64" s="3">
        <v>9</v>
      </c>
      <c r="H64" s="17">
        <f>Table1[[#This Row],[Unit price]]*Table1[[#This Row],[Quantity]]</f>
        <v>548.55000000000007</v>
      </c>
      <c r="I64" s="29">
        <f>Table1[[#This Row],[Total Revenue]]/$H$5056*100</f>
        <v>5.8198822050749062E-2</v>
      </c>
      <c r="J64" s="3" t="s">
        <v>12</v>
      </c>
      <c r="K64" s="4">
        <v>6</v>
      </c>
      <c r="M64"/>
    </row>
    <row r="65" spans="1:13" x14ac:dyDescent="0.25">
      <c r="A65" s="2">
        <v>45474</v>
      </c>
      <c r="B65" s="3" t="s">
        <v>244</v>
      </c>
      <c r="C65" s="3" t="s">
        <v>9</v>
      </c>
      <c r="D65" s="3" t="s">
        <v>10</v>
      </c>
      <c r="E65" s="5" t="s">
        <v>11</v>
      </c>
      <c r="F65" s="17">
        <v>89.14</v>
      </c>
      <c r="G65" s="3">
        <v>4</v>
      </c>
      <c r="H65" s="17">
        <f>Table1[[#This Row],[Unit price]]*Table1[[#This Row],[Quantity]]</f>
        <v>356.56</v>
      </c>
      <c r="I65" s="29">
        <f>Table1[[#This Row],[Total Revenue]]/$H$5056*100</f>
        <v>3.7829499572354541E-2</v>
      </c>
      <c r="J65" s="3" t="s">
        <v>12</v>
      </c>
      <c r="K65" s="4">
        <v>7.8</v>
      </c>
      <c r="M65"/>
    </row>
    <row r="66" spans="1:13" x14ac:dyDescent="0.25">
      <c r="A66" s="2">
        <v>45505</v>
      </c>
      <c r="B66" s="3" t="s">
        <v>245</v>
      </c>
      <c r="C66" s="3" t="s">
        <v>9</v>
      </c>
      <c r="D66" s="3" t="s">
        <v>10</v>
      </c>
      <c r="E66" s="5" t="s">
        <v>18</v>
      </c>
      <c r="F66" s="17">
        <v>51.89</v>
      </c>
      <c r="G66" s="3">
        <v>7</v>
      </c>
      <c r="H66" s="17">
        <f>Table1[[#This Row],[Unit price]]*Table1[[#This Row],[Quantity]]</f>
        <v>363.23</v>
      </c>
      <c r="I66" s="29">
        <f>Table1[[#This Row],[Total Revenue]]/$H$5056*100</f>
        <v>3.853715820525673E-2</v>
      </c>
      <c r="J66" s="3" t="s">
        <v>15</v>
      </c>
      <c r="K66" s="4">
        <v>4.5</v>
      </c>
      <c r="M66"/>
    </row>
    <row r="67" spans="1:13" x14ac:dyDescent="0.25">
      <c r="A67" s="2">
        <v>45505</v>
      </c>
      <c r="B67" s="3" t="s">
        <v>244</v>
      </c>
      <c r="C67" s="3" t="s">
        <v>9</v>
      </c>
      <c r="D67" s="3" t="s">
        <v>10</v>
      </c>
      <c r="E67" s="5" t="s">
        <v>11</v>
      </c>
      <c r="F67" s="17">
        <v>33.21</v>
      </c>
      <c r="G67" s="3">
        <v>10</v>
      </c>
      <c r="H67" s="17">
        <f>Table1[[#This Row],[Unit price]]*Table1[[#This Row],[Quantity]]</f>
        <v>332.1</v>
      </c>
      <c r="I67" s="29">
        <f>Table1[[#This Row],[Total Revenue]]/$H$5056*100</f>
        <v>3.523439759922297E-2</v>
      </c>
      <c r="J67" s="3" t="s">
        <v>17</v>
      </c>
      <c r="K67" s="4">
        <v>6</v>
      </c>
      <c r="M67"/>
    </row>
    <row r="68" spans="1:13" x14ac:dyDescent="0.25">
      <c r="A68" s="2">
        <v>45505</v>
      </c>
      <c r="B68" s="3" t="s">
        <v>245</v>
      </c>
      <c r="C68" s="3" t="s">
        <v>13</v>
      </c>
      <c r="D68" s="3" t="s">
        <v>10</v>
      </c>
      <c r="E68" s="5" t="s">
        <v>18</v>
      </c>
      <c r="F68" s="17">
        <v>31.73</v>
      </c>
      <c r="G68" s="3">
        <v>9</v>
      </c>
      <c r="H68" s="17">
        <f>Table1[[#This Row],[Unit price]]*Table1[[#This Row],[Quantity]]</f>
        <v>285.57</v>
      </c>
      <c r="I68" s="29">
        <f>Table1[[#This Row],[Total Revenue]]/$H$5056*100</f>
        <v>3.0297762488437525E-2</v>
      </c>
      <c r="J68" s="3" t="s">
        <v>12</v>
      </c>
      <c r="K68" s="4">
        <v>5.9</v>
      </c>
      <c r="M68"/>
    </row>
    <row r="69" spans="1:13" x14ac:dyDescent="0.25">
      <c r="A69" s="2">
        <v>45505</v>
      </c>
      <c r="B69" s="3" t="s">
        <v>244</v>
      </c>
      <c r="C69" s="3" t="s">
        <v>9</v>
      </c>
      <c r="D69" s="3" t="s">
        <v>10</v>
      </c>
      <c r="E69" s="5" t="s">
        <v>20</v>
      </c>
      <c r="F69" s="17">
        <v>49.1</v>
      </c>
      <c r="G69" s="3">
        <v>2</v>
      </c>
      <c r="H69" s="17">
        <f>Table1[[#This Row],[Unit price]]*Table1[[#This Row],[Quantity]]</f>
        <v>98.2</v>
      </c>
      <c r="I69" s="29">
        <f>Table1[[#This Row],[Total Revenue]]/$H$5056*100</f>
        <v>1.0418602361468519E-2</v>
      </c>
      <c r="J69" s="3" t="s">
        <v>12</v>
      </c>
      <c r="K69" s="4">
        <v>6.4</v>
      </c>
      <c r="M69"/>
    </row>
    <row r="70" spans="1:13" x14ac:dyDescent="0.25">
      <c r="A70" s="2">
        <v>45505</v>
      </c>
      <c r="B70" s="3" t="s">
        <v>245</v>
      </c>
      <c r="C70" s="3" t="s">
        <v>13</v>
      </c>
      <c r="D70" s="3" t="s">
        <v>10</v>
      </c>
      <c r="E70" s="5" t="s">
        <v>20</v>
      </c>
      <c r="F70" s="17">
        <v>45.38</v>
      </c>
      <c r="G70" s="3">
        <v>4</v>
      </c>
      <c r="H70" s="17">
        <f>Table1[[#This Row],[Unit price]]*Table1[[#This Row],[Quantity]]</f>
        <v>181.52</v>
      </c>
      <c r="I70" s="29">
        <f>Table1[[#This Row],[Total Revenue]]/$H$5056*100</f>
        <v>1.9258500006657492E-2</v>
      </c>
      <c r="J70" s="3" t="s">
        <v>12</v>
      </c>
      <c r="K70" s="4">
        <v>8.6999999999999993</v>
      </c>
      <c r="M70"/>
    </row>
    <row r="71" spans="1:13" x14ac:dyDescent="0.25">
      <c r="A71" s="2">
        <v>45505</v>
      </c>
      <c r="B71" s="3" t="s">
        <v>245</v>
      </c>
      <c r="C71" s="3" t="s">
        <v>9</v>
      </c>
      <c r="D71" s="3" t="s">
        <v>19</v>
      </c>
      <c r="E71" s="5" t="s">
        <v>20</v>
      </c>
      <c r="F71" s="17">
        <v>55.57</v>
      </c>
      <c r="G71" s="3">
        <v>3</v>
      </c>
      <c r="H71" s="17">
        <f>Table1[[#This Row],[Unit price]]*Table1[[#This Row],[Quantity]]</f>
        <v>166.71</v>
      </c>
      <c r="I71" s="29">
        <f>Table1[[#This Row],[Total Revenue]]/$H$5056*100</f>
        <v>1.768722199267227E-2</v>
      </c>
      <c r="J71" s="3" t="s">
        <v>12</v>
      </c>
      <c r="K71" s="4">
        <v>5.9</v>
      </c>
      <c r="M71"/>
    </row>
    <row r="72" spans="1:13" x14ac:dyDescent="0.25">
      <c r="A72" s="2">
        <v>45505</v>
      </c>
      <c r="B72" s="3" t="s">
        <v>245</v>
      </c>
      <c r="C72" s="3" t="s">
        <v>9</v>
      </c>
      <c r="D72" s="3" t="s">
        <v>10</v>
      </c>
      <c r="E72" s="5" t="s">
        <v>11</v>
      </c>
      <c r="F72" s="17">
        <v>68.540000000000006</v>
      </c>
      <c r="G72" s="3">
        <v>8</v>
      </c>
      <c r="H72" s="17">
        <f>Table1[[#This Row],[Unit price]]*Table1[[#This Row],[Quantity]]</f>
        <v>548.32000000000005</v>
      </c>
      <c r="I72" s="29">
        <f>Table1[[#This Row],[Total Revenue]]/$H$5056*100</f>
        <v>5.8174420028924846E-2</v>
      </c>
      <c r="J72" s="3" t="s">
        <v>17</v>
      </c>
      <c r="K72" s="4">
        <v>8.5</v>
      </c>
      <c r="M72"/>
    </row>
    <row r="73" spans="1:13" x14ac:dyDescent="0.25">
      <c r="A73" s="2">
        <v>45505</v>
      </c>
      <c r="B73" s="3" t="s">
        <v>244</v>
      </c>
      <c r="C73" s="3" t="s">
        <v>9</v>
      </c>
      <c r="D73" s="3" t="s">
        <v>19</v>
      </c>
      <c r="E73" s="5" t="s">
        <v>18</v>
      </c>
      <c r="F73" s="17">
        <v>65.23</v>
      </c>
      <c r="G73" s="3">
        <v>10</v>
      </c>
      <c r="H73" s="17">
        <f>Table1[[#This Row],[Unit price]]*Table1[[#This Row],[Quantity]]</f>
        <v>652.30000000000007</v>
      </c>
      <c r="I73" s="29">
        <f>Table1[[#This Row],[Total Revenue]]/$H$5056*100</f>
        <v>6.9206255808410555E-2</v>
      </c>
      <c r="J73" s="3" t="s">
        <v>12</v>
      </c>
      <c r="K73" s="4">
        <v>5.2</v>
      </c>
      <c r="M73"/>
    </row>
    <row r="74" spans="1:13" x14ac:dyDescent="0.25">
      <c r="A74" s="2">
        <v>45505</v>
      </c>
      <c r="B74" s="3" t="s">
        <v>245</v>
      </c>
      <c r="C74" s="3" t="s">
        <v>13</v>
      </c>
      <c r="D74" s="3" t="s">
        <v>19</v>
      </c>
      <c r="E74" s="5" t="s">
        <v>18</v>
      </c>
      <c r="F74" s="17">
        <v>12.78</v>
      </c>
      <c r="G74" s="3">
        <v>1</v>
      </c>
      <c r="H74" s="17">
        <f>Table1[[#This Row],[Unit price]]*Table1[[#This Row],[Quantity]]</f>
        <v>12.78</v>
      </c>
      <c r="I74" s="29">
        <f>Table1[[#This Row],[Total Revenue]]/$H$5056*100</f>
        <v>1.3559036474497727E-3</v>
      </c>
      <c r="J74" s="3" t="s">
        <v>17</v>
      </c>
      <c r="K74" s="4">
        <v>9.5</v>
      </c>
      <c r="M74"/>
    </row>
    <row r="75" spans="1:13" x14ac:dyDescent="0.25">
      <c r="A75" s="2">
        <v>45505</v>
      </c>
      <c r="B75" s="3" t="s">
        <v>244</v>
      </c>
      <c r="C75" s="3" t="s">
        <v>9</v>
      </c>
      <c r="D75" s="3" t="s">
        <v>10</v>
      </c>
      <c r="E75" s="5" t="s">
        <v>11</v>
      </c>
      <c r="F75" s="17">
        <v>74.599999999999994</v>
      </c>
      <c r="G75" s="3">
        <v>10</v>
      </c>
      <c r="H75" s="17">
        <f>Table1[[#This Row],[Unit price]]*Table1[[#This Row],[Quantity]]</f>
        <v>746</v>
      </c>
      <c r="I75" s="29">
        <f>Table1[[#This Row],[Total Revenue]]/$H$5056*100</f>
        <v>7.9147427308100982E-2</v>
      </c>
      <c r="J75" s="3" t="s">
        <v>15</v>
      </c>
      <c r="K75" s="4">
        <v>9.5</v>
      </c>
      <c r="M75"/>
    </row>
    <row r="76" spans="1:13" x14ac:dyDescent="0.25">
      <c r="A76" s="2">
        <v>45505</v>
      </c>
      <c r="B76" s="3" t="s">
        <v>244</v>
      </c>
      <c r="C76" s="3" t="s">
        <v>9</v>
      </c>
      <c r="D76" s="3" t="s">
        <v>10</v>
      </c>
      <c r="E76" s="5" t="s">
        <v>16</v>
      </c>
      <c r="F76" s="17">
        <v>64.83</v>
      </c>
      <c r="G76" s="3">
        <v>2</v>
      </c>
      <c r="H76" s="17">
        <f>Table1[[#This Row],[Unit price]]*Table1[[#This Row],[Quantity]]</f>
        <v>129.66</v>
      </c>
      <c r="I76" s="29">
        <f>Table1[[#This Row],[Total Revenue]]/$H$5056*100</f>
        <v>1.3756374564032671E-2</v>
      </c>
      <c r="J76" s="3" t="s">
        <v>12</v>
      </c>
      <c r="K76" s="4">
        <v>8</v>
      </c>
      <c r="M76"/>
    </row>
    <row r="77" spans="1:13" x14ac:dyDescent="0.25">
      <c r="A77" s="2">
        <v>45505</v>
      </c>
      <c r="B77" s="3" t="s">
        <v>243</v>
      </c>
      <c r="C77" s="3" t="s">
        <v>13</v>
      </c>
      <c r="D77" s="3" t="s">
        <v>19</v>
      </c>
      <c r="E77" s="5" t="s">
        <v>16</v>
      </c>
      <c r="F77" s="17">
        <v>37.14</v>
      </c>
      <c r="G77" s="3">
        <v>5</v>
      </c>
      <c r="H77" s="17">
        <f>Table1[[#This Row],[Unit price]]*Table1[[#This Row],[Quantity]]</f>
        <v>185.7</v>
      </c>
      <c r="I77" s="29">
        <f>Table1[[#This Row],[Total Revenue]]/$H$5056*100</f>
        <v>1.9701980229375804E-2</v>
      </c>
      <c r="J77" s="3" t="s">
        <v>17</v>
      </c>
      <c r="K77" s="4">
        <v>5</v>
      </c>
      <c r="M77"/>
    </row>
    <row r="78" spans="1:13" x14ac:dyDescent="0.25">
      <c r="A78" s="2">
        <v>45505</v>
      </c>
      <c r="B78" s="3" t="s">
        <v>243</v>
      </c>
      <c r="C78" s="3" t="s">
        <v>13</v>
      </c>
      <c r="D78" s="3" t="s">
        <v>10</v>
      </c>
      <c r="E78" s="5" t="s">
        <v>14</v>
      </c>
      <c r="F78" s="17">
        <v>50.23</v>
      </c>
      <c r="G78" s="3">
        <v>4</v>
      </c>
      <c r="H78" s="17">
        <f>Table1[[#This Row],[Unit price]]*Table1[[#This Row],[Quantity]]</f>
        <v>200.92</v>
      </c>
      <c r="I78" s="29">
        <f>Table1[[#This Row],[Total Revenue]]/$H$5056*100</f>
        <v>2.1316757499656364E-2</v>
      </c>
      <c r="J78" s="3" t="s">
        <v>15</v>
      </c>
      <c r="K78" s="4">
        <v>9</v>
      </c>
      <c r="M78"/>
    </row>
    <row r="79" spans="1:13" x14ac:dyDescent="0.25">
      <c r="A79" s="2">
        <v>45505</v>
      </c>
      <c r="B79" s="3" t="s">
        <v>243</v>
      </c>
      <c r="C79" s="3" t="s">
        <v>9</v>
      </c>
      <c r="D79" s="3" t="s">
        <v>19</v>
      </c>
      <c r="E79" s="5" t="s">
        <v>16</v>
      </c>
      <c r="F79" s="17">
        <v>12.76</v>
      </c>
      <c r="G79" s="3">
        <v>2</v>
      </c>
      <c r="H79" s="17">
        <f>Table1[[#This Row],[Unit price]]*Table1[[#This Row],[Quantity]]</f>
        <v>25.52</v>
      </c>
      <c r="I79" s="29">
        <f>Table1[[#This Row],[Total Revenue]]/$H$5056*100</f>
        <v>2.7075634650170735E-3</v>
      </c>
      <c r="J79" s="3" t="s">
        <v>17</v>
      </c>
      <c r="K79" s="4">
        <v>7.8</v>
      </c>
      <c r="M79"/>
    </row>
    <row r="80" spans="1:13" x14ac:dyDescent="0.25">
      <c r="A80" s="2">
        <v>45505</v>
      </c>
      <c r="B80" s="3" t="s">
        <v>243</v>
      </c>
      <c r="C80" s="3" t="s">
        <v>9</v>
      </c>
      <c r="D80" s="3" t="s">
        <v>10</v>
      </c>
      <c r="E80" s="5" t="s">
        <v>14</v>
      </c>
      <c r="F80" s="17">
        <v>79.59</v>
      </c>
      <c r="G80" s="3">
        <v>3</v>
      </c>
      <c r="H80" s="17">
        <f>Table1[[#This Row],[Unit price]]*Table1[[#This Row],[Quantity]]</f>
        <v>238.77</v>
      </c>
      <c r="I80" s="29">
        <f>Table1[[#This Row],[Total Revenue]]/$H$5056*100</f>
        <v>2.5332481525945406E-2</v>
      </c>
      <c r="J80" s="3" t="s">
        <v>15</v>
      </c>
      <c r="K80" s="4">
        <v>6.6</v>
      </c>
      <c r="M80"/>
    </row>
    <row r="81" spans="1:13" x14ac:dyDescent="0.25">
      <c r="A81" s="2">
        <v>45505</v>
      </c>
      <c r="B81" s="3" t="s">
        <v>244</v>
      </c>
      <c r="C81" s="3" t="s">
        <v>9</v>
      </c>
      <c r="D81" s="3" t="s">
        <v>10</v>
      </c>
      <c r="E81" s="5" t="s">
        <v>16</v>
      </c>
      <c r="F81" s="17">
        <v>48.5</v>
      </c>
      <c r="G81" s="3">
        <v>3</v>
      </c>
      <c r="H81" s="17">
        <f>Table1[[#This Row],[Unit price]]*Table1[[#This Row],[Quantity]]</f>
        <v>145.5</v>
      </c>
      <c r="I81" s="29">
        <f>Table1[[#This Row],[Total Revenue]]/$H$5056*100</f>
        <v>1.5436931197491545E-2</v>
      </c>
      <c r="J81" s="3" t="s">
        <v>15</v>
      </c>
      <c r="K81" s="4">
        <v>6.7</v>
      </c>
      <c r="M81"/>
    </row>
    <row r="82" spans="1:13" x14ac:dyDescent="0.25">
      <c r="A82" s="2">
        <v>45505</v>
      </c>
      <c r="B82" s="3" t="s">
        <v>245</v>
      </c>
      <c r="C82" s="3" t="s">
        <v>9</v>
      </c>
      <c r="D82" s="3" t="s">
        <v>19</v>
      </c>
      <c r="E82" s="5" t="s">
        <v>11</v>
      </c>
      <c r="F82" s="17">
        <v>24.31</v>
      </c>
      <c r="G82" s="3">
        <v>3</v>
      </c>
      <c r="H82" s="17">
        <f>Table1[[#This Row],[Unit price]]*Table1[[#This Row],[Quantity]]</f>
        <v>72.929999999999993</v>
      </c>
      <c r="I82" s="29">
        <f>Table1[[#This Row],[Total Revenue]]/$H$5056*100</f>
        <v>7.7375628332168956E-3</v>
      </c>
      <c r="J82" s="3" t="s">
        <v>12</v>
      </c>
      <c r="K82" s="4">
        <v>4.3</v>
      </c>
      <c r="M82"/>
    </row>
    <row r="83" spans="1:13" x14ac:dyDescent="0.25">
      <c r="A83" s="2">
        <v>45505</v>
      </c>
      <c r="B83" s="3" t="s">
        <v>245</v>
      </c>
      <c r="C83" s="3" t="s">
        <v>9</v>
      </c>
      <c r="D83" s="3" t="s">
        <v>10</v>
      </c>
      <c r="E83" s="5" t="s">
        <v>11</v>
      </c>
      <c r="F83" s="17">
        <v>72.88</v>
      </c>
      <c r="G83" s="3">
        <v>9</v>
      </c>
      <c r="H83" s="17">
        <f>Table1[[#This Row],[Unit price]]*Table1[[#This Row],[Quantity]]</f>
        <v>655.92</v>
      </c>
      <c r="I83" s="29">
        <f>Table1[[#This Row],[Total Revenue]]/$H$5056*100</f>
        <v>6.9590322412774255E-2</v>
      </c>
      <c r="J83" s="3" t="s">
        <v>15</v>
      </c>
      <c r="K83" s="4">
        <v>4</v>
      </c>
      <c r="M83"/>
    </row>
    <row r="84" spans="1:13" x14ac:dyDescent="0.25">
      <c r="A84" s="2">
        <v>45536</v>
      </c>
      <c r="B84" s="3" t="s">
        <v>244</v>
      </c>
      <c r="C84" s="3" t="s">
        <v>9</v>
      </c>
      <c r="D84" s="3" t="s">
        <v>10</v>
      </c>
      <c r="E84" s="5" t="s">
        <v>16</v>
      </c>
      <c r="F84" s="17">
        <v>11.85</v>
      </c>
      <c r="G84" s="3">
        <v>8</v>
      </c>
      <c r="H84" s="17">
        <f>Table1[[#This Row],[Unit price]]*Table1[[#This Row],[Quantity]]</f>
        <v>94.8</v>
      </c>
      <c r="I84" s="29">
        <f>Table1[[#This Row],[Total Revenue]]/$H$5056*100</f>
        <v>1.0057876821458409E-2</v>
      </c>
      <c r="J84" s="3" t="s">
        <v>15</v>
      </c>
      <c r="K84" s="4">
        <v>4.0999999999999996</v>
      </c>
      <c r="M84"/>
    </row>
    <row r="85" spans="1:13" x14ac:dyDescent="0.25">
      <c r="A85" s="2">
        <v>45536</v>
      </c>
      <c r="B85" s="3" t="s">
        <v>245</v>
      </c>
      <c r="C85" s="3" t="s">
        <v>13</v>
      </c>
      <c r="D85" s="3" t="s">
        <v>19</v>
      </c>
      <c r="E85" s="5" t="s">
        <v>14</v>
      </c>
      <c r="F85" s="17">
        <v>96.37</v>
      </c>
      <c r="G85" s="3">
        <v>7</v>
      </c>
      <c r="H85" s="17">
        <f>Table1[[#This Row],[Unit price]]*Table1[[#This Row],[Quantity]]</f>
        <v>674.59</v>
      </c>
      <c r="I85" s="29">
        <f>Table1[[#This Row],[Total Revenue]]/$H$5056*100</f>
        <v>7.157113001041801E-2</v>
      </c>
      <c r="J85" s="3" t="s">
        <v>15</v>
      </c>
      <c r="K85" s="4">
        <v>6</v>
      </c>
      <c r="M85"/>
    </row>
    <row r="86" spans="1:13" x14ac:dyDescent="0.25">
      <c r="A86" s="2">
        <v>45536</v>
      </c>
      <c r="B86" s="3" t="s">
        <v>245</v>
      </c>
      <c r="C86" s="3" t="s">
        <v>13</v>
      </c>
      <c r="D86" s="3" t="s">
        <v>10</v>
      </c>
      <c r="E86" s="5" t="s">
        <v>18</v>
      </c>
      <c r="F86" s="17">
        <v>49.32</v>
      </c>
      <c r="G86" s="3">
        <v>6</v>
      </c>
      <c r="H86" s="17">
        <f>Table1[[#This Row],[Unit price]]*Table1[[#This Row],[Quantity]]</f>
        <v>295.92</v>
      </c>
      <c r="I86" s="29">
        <f>Table1[[#This Row],[Total Revenue]]/$H$5056*100</f>
        <v>3.1395853470527132E-2</v>
      </c>
      <c r="J86" s="3" t="s">
        <v>17</v>
      </c>
      <c r="K86" s="4">
        <v>7.1</v>
      </c>
      <c r="M86"/>
    </row>
    <row r="87" spans="1:13" x14ac:dyDescent="0.25">
      <c r="A87" s="2">
        <v>45536</v>
      </c>
      <c r="B87" s="3" t="s">
        <v>244</v>
      </c>
      <c r="C87" s="3" t="s">
        <v>9</v>
      </c>
      <c r="D87" s="3" t="s">
        <v>10</v>
      </c>
      <c r="E87" s="5" t="s">
        <v>20</v>
      </c>
      <c r="F87" s="17">
        <v>21.9</v>
      </c>
      <c r="G87" s="3">
        <v>3</v>
      </c>
      <c r="H87" s="17">
        <f>Table1[[#This Row],[Unit price]]*Table1[[#This Row],[Quantity]]</f>
        <v>65.699999999999989</v>
      </c>
      <c r="I87" s="29">
        <f>Table1[[#This Row],[Total Revenue]]/$H$5056*100</f>
        <v>6.9704905819600975E-3</v>
      </c>
      <c r="J87" s="3" t="s">
        <v>17</v>
      </c>
      <c r="K87" s="4">
        <v>4.7</v>
      </c>
      <c r="M87"/>
    </row>
    <row r="88" spans="1:13" x14ac:dyDescent="0.25">
      <c r="A88" s="2">
        <v>45536</v>
      </c>
      <c r="B88" s="3" t="s">
        <v>243</v>
      </c>
      <c r="C88" s="3" t="s">
        <v>9</v>
      </c>
      <c r="D88" s="3" t="s">
        <v>19</v>
      </c>
      <c r="E88" s="5" t="s">
        <v>18</v>
      </c>
      <c r="F88" s="17">
        <v>38.54</v>
      </c>
      <c r="G88" s="3">
        <v>5</v>
      </c>
      <c r="H88" s="17">
        <f>Table1[[#This Row],[Unit price]]*Table1[[#This Row],[Quantity]]</f>
        <v>192.7</v>
      </c>
      <c r="I88" s="29">
        <f>Table1[[#This Row],[Total Revenue]]/$H$5056*100</f>
        <v>2.0444650458808389E-2</v>
      </c>
      <c r="J88" s="3" t="s">
        <v>17</v>
      </c>
      <c r="K88" s="4">
        <v>5.6</v>
      </c>
      <c r="M88"/>
    </row>
    <row r="89" spans="1:13" x14ac:dyDescent="0.25">
      <c r="A89" s="2">
        <v>45536</v>
      </c>
      <c r="B89" s="3" t="s">
        <v>245</v>
      </c>
      <c r="C89" s="3" t="s">
        <v>9</v>
      </c>
      <c r="D89" s="3" t="s">
        <v>19</v>
      </c>
      <c r="E89" s="5" t="s">
        <v>18</v>
      </c>
      <c r="F89" s="17">
        <v>49.04</v>
      </c>
      <c r="G89" s="3">
        <v>9</v>
      </c>
      <c r="H89" s="17">
        <f>Table1[[#This Row],[Unit price]]*Table1[[#This Row],[Quantity]]</f>
        <v>441.36</v>
      </c>
      <c r="I89" s="29">
        <f>Table1[[#This Row],[Total Revenue]]/$H$5056*100</f>
        <v>4.6826418923194967E-2</v>
      </c>
      <c r="J89" s="3" t="s">
        <v>12</v>
      </c>
      <c r="K89" s="4">
        <v>8.6</v>
      </c>
      <c r="M89"/>
    </row>
    <row r="90" spans="1:13" x14ac:dyDescent="0.25">
      <c r="A90" s="2">
        <v>45536</v>
      </c>
      <c r="B90" s="3" t="s">
        <v>245</v>
      </c>
      <c r="C90" s="3" t="s">
        <v>13</v>
      </c>
      <c r="D90" s="3" t="s">
        <v>10</v>
      </c>
      <c r="E90" s="5" t="s">
        <v>20</v>
      </c>
      <c r="F90" s="17">
        <v>15.8</v>
      </c>
      <c r="G90" s="3">
        <v>10</v>
      </c>
      <c r="H90" s="17">
        <f>Table1[[#This Row],[Unit price]]*Table1[[#This Row],[Quantity]]</f>
        <v>158</v>
      </c>
      <c r="I90" s="29">
        <f>Table1[[#This Row],[Total Revenue]]/$H$5056*100</f>
        <v>1.6763128035764012E-2</v>
      </c>
      <c r="J90" s="3" t="s">
        <v>15</v>
      </c>
      <c r="K90" s="4">
        <v>7.8</v>
      </c>
      <c r="M90"/>
    </row>
    <row r="91" spans="1:13" x14ac:dyDescent="0.25">
      <c r="A91" s="2">
        <v>45536</v>
      </c>
      <c r="B91" s="3" t="s">
        <v>245</v>
      </c>
      <c r="C91" s="3" t="s">
        <v>13</v>
      </c>
      <c r="D91" s="3" t="s">
        <v>10</v>
      </c>
      <c r="E91" s="5" t="s">
        <v>16</v>
      </c>
      <c r="F91" s="17">
        <v>95.44</v>
      </c>
      <c r="G91" s="3">
        <v>10</v>
      </c>
      <c r="H91" s="17">
        <f>Table1[[#This Row],[Unit price]]*Table1[[#This Row],[Quantity]]</f>
        <v>954.4</v>
      </c>
      <c r="I91" s="29">
        <f>Table1[[#This Row],[Total Revenue]]/$H$5056*100</f>
        <v>0.10125778099577959</v>
      </c>
      <c r="J91" s="3" t="s">
        <v>15</v>
      </c>
      <c r="K91" s="4">
        <v>5.2</v>
      </c>
      <c r="M91"/>
    </row>
    <row r="92" spans="1:13" x14ac:dyDescent="0.25">
      <c r="A92" s="2">
        <v>45566</v>
      </c>
      <c r="B92" s="3" t="s">
        <v>244</v>
      </c>
      <c r="C92" s="3" t="s">
        <v>13</v>
      </c>
      <c r="D92" s="3" t="s">
        <v>10</v>
      </c>
      <c r="E92" s="5" t="s">
        <v>18</v>
      </c>
      <c r="F92" s="17">
        <v>79.86</v>
      </c>
      <c r="G92" s="3">
        <v>7</v>
      </c>
      <c r="H92" s="17">
        <f>Table1[[#This Row],[Unit price]]*Table1[[#This Row],[Quantity]]</f>
        <v>559.02</v>
      </c>
      <c r="I92" s="29">
        <f>Table1[[#This Row],[Total Revenue]]/$H$5056*100</f>
        <v>5.9309644522486063E-2</v>
      </c>
      <c r="J92" s="3" t="s">
        <v>12</v>
      </c>
      <c r="K92" s="4">
        <v>5.5</v>
      </c>
      <c r="M92"/>
    </row>
    <row r="93" spans="1:13" x14ac:dyDescent="0.25">
      <c r="A93" s="2">
        <v>45566</v>
      </c>
      <c r="B93" s="3" t="s">
        <v>245</v>
      </c>
      <c r="C93" s="3" t="s">
        <v>9</v>
      </c>
      <c r="D93" s="3" t="s">
        <v>19</v>
      </c>
      <c r="E93" s="5" t="s">
        <v>14</v>
      </c>
      <c r="F93" s="17">
        <v>74.790000000000006</v>
      </c>
      <c r="G93" s="3">
        <v>5</v>
      </c>
      <c r="H93" s="17">
        <f>Table1[[#This Row],[Unit price]]*Table1[[#This Row],[Quantity]]</f>
        <v>373.95000000000005</v>
      </c>
      <c r="I93" s="29">
        <f>Table1[[#This Row],[Total Revenue]]/$H$5056*100</f>
        <v>3.9674504613759203E-2</v>
      </c>
      <c r="J93" s="3" t="s">
        <v>15</v>
      </c>
      <c r="K93" s="4">
        <v>4.9000000000000004</v>
      </c>
      <c r="M93"/>
    </row>
    <row r="94" spans="1:13" x14ac:dyDescent="0.25">
      <c r="A94" s="2">
        <v>45566</v>
      </c>
      <c r="B94" s="3" t="s">
        <v>243</v>
      </c>
      <c r="C94" s="3" t="s">
        <v>9</v>
      </c>
      <c r="D94" s="3" t="s">
        <v>10</v>
      </c>
      <c r="E94" s="5" t="s">
        <v>21</v>
      </c>
      <c r="F94" s="17">
        <v>36.26</v>
      </c>
      <c r="G94" s="3">
        <v>2</v>
      </c>
      <c r="H94" s="17">
        <f>Table1[[#This Row],[Unit price]]*Table1[[#This Row],[Quantity]]</f>
        <v>72.52</v>
      </c>
      <c r="I94" s="29">
        <f>Table1[[#This Row],[Total Revenue]]/$H$5056*100</f>
        <v>7.6940635769215584E-3</v>
      </c>
      <c r="J94" s="3" t="s">
        <v>12</v>
      </c>
      <c r="K94" s="4">
        <v>7.2</v>
      </c>
      <c r="M94"/>
    </row>
    <row r="95" spans="1:13" x14ac:dyDescent="0.25">
      <c r="A95" s="2">
        <v>45566</v>
      </c>
      <c r="B95" s="3" t="s">
        <v>244</v>
      </c>
      <c r="C95" s="3" t="s">
        <v>13</v>
      </c>
      <c r="D95" s="3" t="s">
        <v>10</v>
      </c>
      <c r="E95" s="5" t="s">
        <v>14</v>
      </c>
      <c r="F95" s="17">
        <v>13.78</v>
      </c>
      <c r="G95" s="3">
        <v>4</v>
      </c>
      <c r="H95" s="17">
        <f>Table1[[#This Row],[Unit price]]*Table1[[#This Row],[Quantity]]</f>
        <v>55.12</v>
      </c>
      <c r="I95" s="29">
        <f>Table1[[#This Row],[Total Revenue]]/$H$5056*100</f>
        <v>5.8479975780462807E-3</v>
      </c>
      <c r="J95" s="3" t="s">
        <v>17</v>
      </c>
      <c r="K95" s="4">
        <v>9</v>
      </c>
      <c r="M95"/>
    </row>
    <row r="96" spans="1:13" x14ac:dyDescent="0.25">
      <c r="A96" s="2">
        <v>45566</v>
      </c>
      <c r="B96" s="3" t="s">
        <v>245</v>
      </c>
      <c r="C96" s="3" t="s">
        <v>9</v>
      </c>
      <c r="D96" s="3" t="s">
        <v>19</v>
      </c>
      <c r="E96" s="5" t="s">
        <v>11</v>
      </c>
      <c r="F96" s="17">
        <v>50.49</v>
      </c>
      <c r="G96" s="3">
        <v>9</v>
      </c>
      <c r="H96" s="17">
        <f>Table1[[#This Row],[Unit price]]*Table1[[#This Row],[Quantity]]</f>
        <v>454.41</v>
      </c>
      <c r="I96" s="29">
        <f>Table1[[#This Row],[Total Revenue]]/$H$5056*100</f>
        <v>4.8210968422351431E-2</v>
      </c>
      <c r="J96" s="3" t="s">
        <v>15</v>
      </c>
      <c r="K96" s="4">
        <v>5.4</v>
      </c>
      <c r="M96"/>
    </row>
    <row r="97" spans="1:13" x14ac:dyDescent="0.25">
      <c r="A97" s="2">
        <v>45566</v>
      </c>
      <c r="B97" s="3" t="s">
        <v>243</v>
      </c>
      <c r="C97" s="3" t="s">
        <v>9</v>
      </c>
      <c r="D97" s="3" t="s">
        <v>19</v>
      </c>
      <c r="E97" s="5" t="s">
        <v>20</v>
      </c>
      <c r="F97" s="17">
        <v>78.38</v>
      </c>
      <c r="G97" s="3">
        <v>6</v>
      </c>
      <c r="H97" s="17">
        <f>Table1[[#This Row],[Unit price]]*Table1[[#This Row],[Quantity]]</f>
        <v>470.28</v>
      </c>
      <c r="I97" s="29">
        <f>Table1[[#This Row],[Total Revenue]]/$H$5056*100</f>
        <v>4.9894707928222155E-2</v>
      </c>
      <c r="J97" s="3" t="s">
        <v>17</v>
      </c>
      <c r="K97" s="4">
        <v>5.8</v>
      </c>
      <c r="M97"/>
    </row>
    <row r="98" spans="1:13" x14ac:dyDescent="0.25">
      <c r="A98" s="2">
        <v>45566</v>
      </c>
      <c r="B98" s="3" t="s">
        <v>243</v>
      </c>
      <c r="C98" s="3" t="s">
        <v>9</v>
      </c>
      <c r="D98" s="3" t="s">
        <v>10</v>
      </c>
      <c r="E98" s="5" t="s">
        <v>16</v>
      </c>
      <c r="F98" s="17">
        <v>21.98</v>
      </c>
      <c r="G98" s="3">
        <v>7</v>
      </c>
      <c r="H98" s="17">
        <f>Table1[[#This Row],[Unit price]]*Table1[[#This Row],[Quantity]]</f>
        <v>153.86000000000001</v>
      </c>
      <c r="I98" s="29">
        <f>Table1[[#This Row],[Total Revenue]]/$H$5056*100</f>
        <v>1.6323891642928173E-2</v>
      </c>
      <c r="J98" s="3" t="s">
        <v>17</v>
      </c>
      <c r="K98" s="4">
        <v>5.0999999999999996</v>
      </c>
      <c r="M98"/>
    </row>
    <row r="99" spans="1:13" x14ac:dyDescent="0.25">
      <c r="A99" s="2">
        <v>45566</v>
      </c>
      <c r="B99" s="3" t="s">
        <v>245</v>
      </c>
      <c r="C99" s="3" t="s">
        <v>13</v>
      </c>
      <c r="D99" s="3" t="s">
        <v>10</v>
      </c>
      <c r="E99" s="5" t="s">
        <v>16</v>
      </c>
      <c r="F99" s="17">
        <v>83.14</v>
      </c>
      <c r="G99" s="3">
        <v>7</v>
      </c>
      <c r="H99" s="17">
        <f>Table1[[#This Row],[Unit price]]*Table1[[#This Row],[Quantity]]</f>
        <v>581.98</v>
      </c>
      <c r="I99" s="29">
        <f>Table1[[#This Row],[Total Revenue]]/$H$5056*100</f>
        <v>6.1745602875024945E-2</v>
      </c>
      <c r="J99" s="3" t="s">
        <v>12</v>
      </c>
      <c r="K99" s="4">
        <v>6.6</v>
      </c>
      <c r="M99"/>
    </row>
    <row r="100" spans="1:13" x14ac:dyDescent="0.25">
      <c r="A100" s="2">
        <v>45566</v>
      </c>
      <c r="B100" s="3" t="s">
        <v>244</v>
      </c>
      <c r="C100" s="3" t="s">
        <v>13</v>
      </c>
      <c r="D100" s="3" t="s">
        <v>19</v>
      </c>
      <c r="E100" s="5" t="s">
        <v>16</v>
      </c>
      <c r="F100" s="17">
        <v>83.78</v>
      </c>
      <c r="G100" s="3">
        <v>8</v>
      </c>
      <c r="H100" s="17">
        <f>Table1[[#This Row],[Unit price]]*Table1[[#This Row],[Quantity]]</f>
        <v>670.24</v>
      </c>
      <c r="I100" s="29">
        <f>Table1[[#This Row],[Total Revenue]]/$H$5056*100</f>
        <v>7.1109613510699193E-2</v>
      </c>
      <c r="J100" s="3" t="s">
        <v>15</v>
      </c>
      <c r="K100" s="4">
        <v>5.0999999999999996</v>
      </c>
      <c r="M100"/>
    </row>
    <row r="101" spans="1:13" x14ac:dyDescent="0.25">
      <c r="A101" s="2">
        <v>45597</v>
      </c>
      <c r="B101" s="3" t="s">
        <v>243</v>
      </c>
      <c r="C101" s="3" t="s">
        <v>13</v>
      </c>
      <c r="D101" s="3" t="s">
        <v>19</v>
      </c>
      <c r="E101" s="5" t="s">
        <v>11</v>
      </c>
      <c r="F101" s="17">
        <v>24.94</v>
      </c>
      <c r="G101" s="3">
        <v>9</v>
      </c>
      <c r="H101" s="17">
        <f>Table1[[#This Row],[Unit price]]*Table1[[#This Row],[Quantity]]</f>
        <v>224.46</v>
      </c>
      <c r="I101" s="29">
        <f>Table1[[#This Row],[Total Revenue]]/$H$5056*100</f>
        <v>2.3814251385491078E-2</v>
      </c>
      <c r="J101" s="3" t="s">
        <v>12</v>
      </c>
      <c r="K101" s="4">
        <v>5.6</v>
      </c>
      <c r="M101"/>
    </row>
    <row r="102" spans="1:13" x14ac:dyDescent="0.25">
      <c r="A102" s="2">
        <v>45597</v>
      </c>
      <c r="B102" s="3" t="s">
        <v>243</v>
      </c>
      <c r="C102" s="3" t="s">
        <v>13</v>
      </c>
      <c r="D102" s="3" t="s">
        <v>19</v>
      </c>
      <c r="E102" s="5" t="s">
        <v>18</v>
      </c>
      <c r="F102" s="17">
        <v>89.69</v>
      </c>
      <c r="G102" s="3">
        <v>1</v>
      </c>
      <c r="H102" s="17">
        <f>Table1[[#This Row],[Unit price]]*Table1[[#This Row],[Quantity]]</f>
        <v>89.69</v>
      </c>
      <c r="I102" s="29">
        <f>Table1[[#This Row],[Total Revenue]]/$H$5056*100</f>
        <v>9.5157275539726211E-3</v>
      </c>
      <c r="J102" s="3" t="s">
        <v>17</v>
      </c>
      <c r="K102" s="4">
        <v>4.9000000000000004</v>
      </c>
      <c r="M102"/>
    </row>
    <row r="103" spans="1:13" x14ac:dyDescent="0.25">
      <c r="A103" s="2">
        <v>45597</v>
      </c>
      <c r="B103" s="3" t="s">
        <v>245</v>
      </c>
      <c r="C103" s="3" t="s">
        <v>9</v>
      </c>
      <c r="D103" s="3" t="s">
        <v>10</v>
      </c>
      <c r="E103" s="5" t="s">
        <v>11</v>
      </c>
      <c r="F103" s="17">
        <v>36.770000000000003</v>
      </c>
      <c r="G103" s="3">
        <v>7</v>
      </c>
      <c r="H103" s="17">
        <f>Table1[[#This Row],[Unit price]]*Table1[[#This Row],[Quantity]]</f>
        <v>257.39000000000004</v>
      </c>
      <c r="I103" s="29">
        <f>Table1[[#This Row],[Total Revenue]]/$H$5056*100</f>
        <v>2.7307984336236078E-2</v>
      </c>
      <c r="J103" s="3" t="s">
        <v>15</v>
      </c>
      <c r="K103" s="4">
        <v>7.4</v>
      </c>
      <c r="M103"/>
    </row>
    <row r="104" spans="1:13" x14ac:dyDescent="0.25">
      <c r="A104" s="2">
        <v>45597</v>
      </c>
      <c r="B104" s="3" t="s">
        <v>243</v>
      </c>
      <c r="C104" s="3" t="s">
        <v>9</v>
      </c>
      <c r="D104" s="3" t="s">
        <v>19</v>
      </c>
      <c r="E104" s="5" t="s">
        <v>16</v>
      </c>
      <c r="F104" s="17">
        <v>82.33</v>
      </c>
      <c r="G104" s="3">
        <v>4</v>
      </c>
      <c r="H104" s="17">
        <f>Table1[[#This Row],[Unit price]]*Table1[[#This Row],[Quantity]]</f>
        <v>329.32</v>
      </c>
      <c r="I104" s="29">
        <f>Table1[[#This Row],[Total Revenue]]/$H$5056*100</f>
        <v>3.4939451422391174E-2</v>
      </c>
      <c r="J104" s="3" t="s">
        <v>12</v>
      </c>
      <c r="K104" s="4">
        <v>7.5</v>
      </c>
      <c r="M104"/>
    </row>
    <row r="105" spans="1:13" x14ac:dyDescent="0.25">
      <c r="A105" s="2">
        <v>45597</v>
      </c>
      <c r="B105" s="3" t="s">
        <v>245</v>
      </c>
      <c r="C105" s="3" t="s">
        <v>9</v>
      </c>
      <c r="D105" s="3" t="s">
        <v>10</v>
      </c>
      <c r="E105" s="5" t="s">
        <v>16</v>
      </c>
      <c r="F105" s="17">
        <v>87.16</v>
      </c>
      <c r="G105" s="3">
        <v>2</v>
      </c>
      <c r="H105" s="17">
        <f>Table1[[#This Row],[Unit price]]*Table1[[#This Row],[Quantity]]</f>
        <v>174.32</v>
      </c>
      <c r="I105" s="29">
        <f>Table1[[#This Row],[Total Revenue]]/$H$5056*100</f>
        <v>1.849461062781255E-2</v>
      </c>
      <c r="J105" s="3" t="s">
        <v>12</v>
      </c>
      <c r="K105" s="4">
        <v>9.6999999999999993</v>
      </c>
      <c r="M105"/>
    </row>
    <row r="106" spans="1:13" x14ac:dyDescent="0.25">
      <c r="A106" s="2">
        <v>45597</v>
      </c>
      <c r="B106" s="3" t="s">
        <v>243</v>
      </c>
      <c r="C106" s="3" t="s">
        <v>9</v>
      </c>
      <c r="D106" s="3" t="s">
        <v>19</v>
      </c>
      <c r="E106" s="5" t="s">
        <v>11</v>
      </c>
      <c r="F106" s="17">
        <v>48.5</v>
      </c>
      <c r="G106" s="3">
        <v>6</v>
      </c>
      <c r="H106" s="17">
        <f>Table1[[#This Row],[Unit price]]*Table1[[#This Row],[Quantity]]</f>
        <v>291</v>
      </c>
      <c r="I106" s="29">
        <f>Table1[[#This Row],[Total Revenue]]/$H$5056*100</f>
        <v>3.087386239498309E-2</v>
      </c>
      <c r="J106" s="3" t="s">
        <v>17</v>
      </c>
      <c r="K106" s="4">
        <v>9.4</v>
      </c>
      <c r="M106"/>
    </row>
    <row r="107" spans="1:13" x14ac:dyDescent="0.25">
      <c r="A107" s="2">
        <v>45597</v>
      </c>
      <c r="B107" s="3" t="s">
        <v>243</v>
      </c>
      <c r="C107" s="3" t="s">
        <v>13</v>
      </c>
      <c r="D107" s="3" t="s">
        <v>10</v>
      </c>
      <c r="E107" s="5" t="s">
        <v>20</v>
      </c>
      <c r="F107" s="17">
        <v>96.52</v>
      </c>
      <c r="G107" s="3">
        <v>6</v>
      </c>
      <c r="H107" s="17">
        <f>Table1[[#This Row],[Unit price]]*Table1[[#This Row],[Quantity]]</f>
        <v>579.12</v>
      </c>
      <c r="I107" s="29">
        <f>Table1[[#This Row],[Total Revenue]]/$H$5056*100</f>
        <v>6.1442169038428196E-2</v>
      </c>
      <c r="J107" s="3" t="s">
        <v>15</v>
      </c>
      <c r="K107" s="4">
        <v>4.5</v>
      </c>
      <c r="M107"/>
    </row>
    <row r="108" spans="1:13" x14ac:dyDescent="0.25">
      <c r="A108" s="2">
        <v>45597</v>
      </c>
      <c r="B108" s="3" t="s">
        <v>243</v>
      </c>
      <c r="C108" s="3" t="s">
        <v>13</v>
      </c>
      <c r="D108" s="3" t="s">
        <v>19</v>
      </c>
      <c r="E108" s="5" t="s">
        <v>11</v>
      </c>
      <c r="F108" s="17">
        <v>13.79</v>
      </c>
      <c r="G108" s="3">
        <v>5</v>
      </c>
      <c r="H108" s="17">
        <f>Table1[[#This Row],[Unit price]]*Table1[[#This Row],[Quantity]]</f>
        <v>68.949999999999989</v>
      </c>
      <c r="I108" s="29">
        <f>Table1[[#This Row],[Total Revenue]]/$H$5056*100</f>
        <v>7.3153017599109412E-3</v>
      </c>
      <c r="J108" s="3" t="s">
        <v>12</v>
      </c>
      <c r="K108" s="4">
        <v>7.8</v>
      </c>
      <c r="M108"/>
    </row>
    <row r="109" spans="1:13" x14ac:dyDescent="0.25">
      <c r="A109" s="2">
        <v>45627</v>
      </c>
      <c r="B109" s="3" t="s">
        <v>245</v>
      </c>
      <c r="C109" s="3" t="s">
        <v>9</v>
      </c>
      <c r="D109" s="3" t="s">
        <v>19</v>
      </c>
      <c r="E109" s="5" t="s">
        <v>16</v>
      </c>
      <c r="F109" s="17">
        <v>57.12</v>
      </c>
      <c r="G109" s="3">
        <v>7</v>
      </c>
      <c r="H109" s="17">
        <f>Table1[[#This Row],[Unit price]]*Table1[[#This Row],[Quantity]]</f>
        <v>399.84</v>
      </c>
      <c r="I109" s="29">
        <f>Table1[[#This Row],[Total Revenue]]/$H$5056*100</f>
        <v>4.242132350518913E-2</v>
      </c>
      <c r="J109" s="3" t="s">
        <v>12</v>
      </c>
      <c r="K109" s="4">
        <v>6.5</v>
      </c>
      <c r="M109"/>
    </row>
    <row r="110" spans="1:13" x14ac:dyDescent="0.25">
      <c r="A110" s="2">
        <v>45627</v>
      </c>
      <c r="B110" s="3" t="s">
        <v>244</v>
      </c>
      <c r="C110" s="3" t="s">
        <v>13</v>
      </c>
      <c r="D110" s="3" t="s">
        <v>10</v>
      </c>
      <c r="E110" s="5" t="s">
        <v>21</v>
      </c>
      <c r="F110" s="17">
        <v>57.22</v>
      </c>
      <c r="G110" s="3">
        <v>2</v>
      </c>
      <c r="H110" s="17">
        <f>Table1[[#This Row],[Unit price]]*Table1[[#This Row],[Quantity]]</f>
        <v>114.44</v>
      </c>
      <c r="I110" s="29">
        <f>Table1[[#This Row],[Total Revenue]]/$H$5056*100</f>
        <v>1.2141597293752112E-2</v>
      </c>
      <c r="J110" s="3" t="s">
        <v>17</v>
      </c>
      <c r="K110" s="4">
        <v>8.3000000000000007</v>
      </c>
      <c r="M110"/>
    </row>
    <row r="111" spans="1:13" x14ac:dyDescent="0.25">
      <c r="A111" s="2">
        <v>45627</v>
      </c>
      <c r="B111" s="3" t="s">
        <v>244</v>
      </c>
      <c r="C111" s="3" t="s">
        <v>9</v>
      </c>
      <c r="D111" s="3" t="s">
        <v>19</v>
      </c>
      <c r="E111" s="5" t="s">
        <v>14</v>
      </c>
      <c r="F111" s="17">
        <v>91.56</v>
      </c>
      <c r="G111" s="3">
        <v>8</v>
      </c>
      <c r="H111" s="17">
        <f>Table1[[#This Row],[Unit price]]*Table1[[#This Row],[Quantity]]</f>
        <v>732.48</v>
      </c>
      <c r="I111" s="29">
        <f>Table1[[#This Row],[Total Revenue]]/$H$5056*100</f>
        <v>7.7713012807825471E-2</v>
      </c>
      <c r="J111" s="3" t="s">
        <v>17</v>
      </c>
      <c r="K111" s="4">
        <v>6</v>
      </c>
      <c r="M111"/>
    </row>
    <row r="112" spans="1:13" x14ac:dyDescent="0.25">
      <c r="A112" s="2">
        <v>45627</v>
      </c>
      <c r="B112" s="3" t="s">
        <v>244</v>
      </c>
      <c r="C112" s="3" t="s">
        <v>9</v>
      </c>
      <c r="D112" s="3" t="s">
        <v>10</v>
      </c>
      <c r="E112" s="5" t="s">
        <v>21</v>
      </c>
      <c r="F112" s="17">
        <v>27.07</v>
      </c>
      <c r="G112" s="3">
        <v>1</v>
      </c>
      <c r="H112" s="17">
        <f>Table1[[#This Row],[Unit price]]*Table1[[#This Row],[Quantity]]</f>
        <v>27.07</v>
      </c>
      <c r="I112" s="29">
        <f>Table1[[#This Row],[Total Revenue]]/$H$5056*100</f>
        <v>2.8720118729628598E-3</v>
      </c>
      <c r="J112" s="3" t="s">
        <v>12</v>
      </c>
      <c r="K112" s="4">
        <v>5.3</v>
      </c>
      <c r="M112"/>
    </row>
    <row r="113" spans="1:13" x14ac:dyDescent="0.25">
      <c r="A113" s="2">
        <v>45627</v>
      </c>
      <c r="B113" s="3" t="s">
        <v>244</v>
      </c>
      <c r="C113" s="3" t="s">
        <v>13</v>
      </c>
      <c r="D113" s="3" t="s">
        <v>10</v>
      </c>
      <c r="E113" s="5" t="s">
        <v>18</v>
      </c>
      <c r="F113" s="17">
        <v>83.25</v>
      </c>
      <c r="G113" s="3">
        <v>10</v>
      </c>
      <c r="H113" s="17">
        <f>Table1[[#This Row],[Unit price]]*Table1[[#This Row],[Quantity]]</f>
        <v>832.5</v>
      </c>
      <c r="I113" s="29">
        <f>Table1[[#This Row],[Total Revenue]]/$H$5056*100</f>
        <v>8.8324709428946463E-2</v>
      </c>
      <c r="J113" s="3" t="s">
        <v>12</v>
      </c>
      <c r="K113" s="4">
        <v>4.4000000000000004</v>
      </c>
      <c r="M113"/>
    </row>
    <row r="114" spans="1:13" x14ac:dyDescent="0.25">
      <c r="A114" s="2">
        <v>45627</v>
      </c>
      <c r="B114" s="3" t="s">
        <v>243</v>
      </c>
      <c r="C114" s="3" t="s">
        <v>9</v>
      </c>
      <c r="D114" s="3" t="s">
        <v>19</v>
      </c>
      <c r="E114" s="5" t="s">
        <v>14</v>
      </c>
      <c r="F114" s="17">
        <v>88.67</v>
      </c>
      <c r="G114" s="3">
        <v>10</v>
      </c>
      <c r="H114" s="17">
        <f>Table1[[#This Row],[Unit price]]*Table1[[#This Row],[Quantity]]</f>
        <v>886.7</v>
      </c>
      <c r="I114" s="29">
        <f>Table1[[#This Row],[Total Revenue]]/$H$5056*100</f>
        <v>9.4075098919695899E-2</v>
      </c>
      <c r="J114" s="3" t="s">
        <v>17</v>
      </c>
      <c r="K114" s="4">
        <v>7.3</v>
      </c>
      <c r="M114"/>
    </row>
    <row r="115" spans="1:13" x14ac:dyDescent="0.25">
      <c r="A115" s="2">
        <v>45627</v>
      </c>
      <c r="B115" s="3" t="s">
        <v>243</v>
      </c>
      <c r="C115" s="3" t="s">
        <v>13</v>
      </c>
      <c r="D115" s="3" t="s">
        <v>10</v>
      </c>
      <c r="E115" s="5" t="s">
        <v>18</v>
      </c>
      <c r="F115" s="17">
        <v>29.42</v>
      </c>
      <c r="G115" s="3">
        <v>10</v>
      </c>
      <c r="H115" s="17">
        <f>Table1[[#This Row],[Unit price]]*Table1[[#This Row],[Quantity]]</f>
        <v>294.20000000000005</v>
      </c>
      <c r="I115" s="29">
        <f>Table1[[#This Row],[Total Revenue]]/$H$5056*100</f>
        <v>3.1213368785580849E-2</v>
      </c>
      <c r="J115" s="3" t="s">
        <v>17</v>
      </c>
      <c r="K115" s="4">
        <v>8.9</v>
      </c>
      <c r="M115"/>
    </row>
    <row r="116" spans="1:13" x14ac:dyDescent="0.25">
      <c r="A116" s="2">
        <v>45627</v>
      </c>
      <c r="B116" s="3" t="s">
        <v>243</v>
      </c>
      <c r="C116" s="3" t="s">
        <v>9</v>
      </c>
      <c r="D116" s="3" t="s">
        <v>10</v>
      </c>
      <c r="E116" s="5" t="s">
        <v>18</v>
      </c>
      <c r="F116" s="17">
        <v>20.010000000000002</v>
      </c>
      <c r="G116" s="3">
        <v>9</v>
      </c>
      <c r="H116" s="17">
        <f>Table1[[#This Row],[Unit price]]*Table1[[#This Row],[Quantity]]</f>
        <v>180.09</v>
      </c>
      <c r="I116" s="29">
        <f>Table1[[#This Row],[Total Revenue]]/$H$5056*100</f>
        <v>1.9106783088359121E-2</v>
      </c>
      <c r="J116" s="3" t="s">
        <v>12</v>
      </c>
      <c r="K116" s="4">
        <v>5.7</v>
      </c>
      <c r="M116"/>
    </row>
    <row r="117" spans="1:13" x14ac:dyDescent="0.25">
      <c r="A117" s="2">
        <v>45627</v>
      </c>
      <c r="B117" s="3" t="s">
        <v>244</v>
      </c>
      <c r="C117" s="3" t="s">
        <v>13</v>
      </c>
      <c r="D117" s="3" t="s">
        <v>19</v>
      </c>
      <c r="E117" s="5" t="s">
        <v>16</v>
      </c>
      <c r="F117" s="17">
        <v>23.01</v>
      </c>
      <c r="G117" s="3">
        <v>6</v>
      </c>
      <c r="H117" s="17">
        <f>Table1[[#This Row],[Unit price]]*Table1[[#This Row],[Quantity]]</f>
        <v>138.06</v>
      </c>
      <c r="I117" s="29">
        <f>Table1[[#This Row],[Total Revenue]]/$H$5056*100</f>
        <v>1.464757883935177E-2</v>
      </c>
      <c r="J117" s="3" t="s">
        <v>17</v>
      </c>
      <c r="K117" s="4">
        <v>7.9</v>
      </c>
      <c r="M117"/>
    </row>
    <row r="118" spans="1:13" x14ac:dyDescent="0.25">
      <c r="A118" s="2">
        <v>45627</v>
      </c>
      <c r="B118" s="3" t="s">
        <v>245</v>
      </c>
      <c r="C118" s="3" t="s">
        <v>13</v>
      </c>
      <c r="D118" s="3" t="s">
        <v>19</v>
      </c>
      <c r="E118" s="5" t="s">
        <v>20</v>
      </c>
      <c r="F118" s="17">
        <v>97.5</v>
      </c>
      <c r="G118" s="3">
        <v>10</v>
      </c>
      <c r="H118" s="17">
        <f>Table1[[#This Row],[Unit price]]*Table1[[#This Row],[Quantity]]</f>
        <v>975</v>
      </c>
      <c r="I118" s="29">
        <f>Table1[[#This Row],[Total Revenue]]/$H$5056*100</f>
        <v>0.10344335338525262</v>
      </c>
      <c r="J118" s="3" t="s">
        <v>17</v>
      </c>
      <c r="K118" s="4">
        <v>8</v>
      </c>
      <c r="M118"/>
    </row>
    <row r="119" spans="1:13" x14ac:dyDescent="0.25">
      <c r="A119" s="2">
        <v>45627</v>
      </c>
      <c r="B119" s="3" t="s">
        <v>244</v>
      </c>
      <c r="C119" s="3" t="s">
        <v>13</v>
      </c>
      <c r="D119" s="3" t="s">
        <v>10</v>
      </c>
      <c r="E119" s="5" t="s">
        <v>20</v>
      </c>
      <c r="F119" s="17">
        <v>51.07</v>
      </c>
      <c r="G119" s="3">
        <v>7</v>
      </c>
      <c r="H119" s="17">
        <f>Table1[[#This Row],[Unit price]]*Table1[[#This Row],[Quantity]]</f>
        <v>357.49</v>
      </c>
      <c r="I119" s="29">
        <f>Table1[[#This Row],[Total Revenue]]/$H$5056*100</f>
        <v>3.7928168617122004E-2</v>
      </c>
      <c r="J119" s="3" t="s">
        <v>15</v>
      </c>
      <c r="K119" s="4">
        <v>7</v>
      </c>
      <c r="M119"/>
    </row>
    <row r="120" spans="1:13" x14ac:dyDescent="0.25">
      <c r="A120" s="3" t="s">
        <v>22</v>
      </c>
      <c r="B120" s="3" t="s">
        <v>244</v>
      </c>
      <c r="C120" s="3" t="s">
        <v>9</v>
      </c>
      <c r="D120" s="3" t="s">
        <v>19</v>
      </c>
      <c r="E120" s="5" t="s">
        <v>16</v>
      </c>
      <c r="F120" s="17">
        <v>72.599999999999994</v>
      </c>
      <c r="G120" s="3">
        <v>6</v>
      </c>
      <c r="H120" s="17">
        <f>Table1[[#This Row],[Unit price]]*Table1[[#This Row],[Quantity]]</f>
        <v>435.59999999999997</v>
      </c>
      <c r="I120" s="29">
        <f>Table1[[#This Row],[Total Revenue]]/$H$5056*100</f>
        <v>4.6215307420119006E-2</v>
      </c>
      <c r="J120" s="3" t="s">
        <v>15</v>
      </c>
      <c r="K120" s="4">
        <v>6.9</v>
      </c>
      <c r="M120"/>
    </row>
    <row r="121" spans="1:13" x14ac:dyDescent="0.25">
      <c r="A121" s="3" t="s">
        <v>22</v>
      </c>
      <c r="B121" s="3" t="s">
        <v>243</v>
      </c>
      <c r="C121" s="3" t="s">
        <v>9</v>
      </c>
      <c r="D121" s="3" t="s">
        <v>19</v>
      </c>
      <c r="E121" s="5" t="s">
        <v>20</v>
      </c>
      <c r="F121" s="17">
        <v>81.010000000000005</v>
      </c>
      <c r="G121" s="3">
        <v>3</v>
      </c>
      <c r="H121" s="17">
        <f>Table1[[#This Row],[Unit price]]*Table1[[#This Row],[Quantity]]</f>
        <v>243.03000000000003</v>
      </c>
      <c r="I121" s="29">
        <f>Table1[[#This Row],[Total Revenue]]/$H$5056*100</f>
        <v>2.5784449408428663E-2</v>
      </c>
      <c r="J121" s="3" t="s">
        <v>12</v>
      </c>
      <c r="K121" s="4">
        <v>9.3000000000000007</v>
      </c>
      <c r="M121"/>
    </row>
    <row r="122" spans="1:13" x14ac:dyDescent="0.25">
      <c r="A122" s="3" t="s">
        <v>22</v>
      </c>
      <c r="B122" s="3" t="s">
        <v>245</v>
      </c>
      <c r="C122" s="3" t="s">
        <v>9</v>
      </c>
      <c r="D122" s="3" t="s">
        <v>10</v>
      </c>
      <c r="E122" s="5" t="s">
        <v>18</v>
      </c>
      <c r="F122" s="17">
        <v>74.290000000000006</v>
      </c>
      <c r="G122" s="3">
        <v>1</v>
      </c>
      <c r="H122" s="17">
        <f>Table1[[#This Row],[Unit price]]*Table1[[#This Row],[Quantity]]</f>
        <v>74.290000000000006</v>
      </c>
      <c r="I122" s="29">
        <f>Table1[[#This Row],[Total Revenue]]/$H$5056*100</f>
        <v>7.881853049220941E-3</v>
      </c>
      <c r="J122" s="3" t="s">
        <v>15</v>
      </c>
      <c r="K122" s="4">
        <v>5</v>
      </c>
      <c r="M122"/>
    </row>
    <row r="123" spans="1:13" x14ac:dyDescent="0.25">
      <c r="A123" s="3" t="s">
        <v>22</v>
      </c>
      <c r="B123" s="3" t="s">
        <v>243</v>
      </c>
      <c r="C123" s="3" t="s">
        <v>13</v>
      </c>
      <c r="D123" s="3" t="s">
        <v>10</v>
      </c>
      <c r="E123" s="5" t="s">
        <v>14</v>
      </c>
      <c r="F123" s="17">
        <v>23.46</v>
      </c>
      <c r="G123" s="3">
        <v>6</v>
      </c>
      <c r="H123" s="17">
        <f>Table1[[#This Row],[Unit price]]*Table1[[#This Row],[Quantity]]</f>
        <v>140.76</v>
      </c>
      <c r="I123" s="29">
        <f>Table1[[#This Row],[Total Revenue]]/$H$5056*100</f>
        <v>1.4934037356418623E-2</v>
      </c>
      <c r="J123" s="3" t="s">
        <v>17</v>
      </c>
      <c r="K123" s="4">
        <v>6.4</v>
      </c>
      <c r="M123"/>
    </row>
    <row r="124" spans="1:13" x14ac:dyDescent="0.25">
      <c r="A124" s="3" t="s">
        <v>22</v>
      </c>
      <c r="B124" s="3" t="s">
        <v>243</v>
      </c>
      <c r="C124" s="3" t="s">
        <v>9</v>
      </c>
      <c r="D124" s="3" t="s">
        <v>10</v>
      </c>
      <c r="E124" s="5" t="s">
        <v>21</v>
      </c>
      <c r="F124" s="17">
        <v>39.619999999999997</v>
      </c>
      <c r="G124" s="3">
        <v>9</v>
      </c>
      <c r="H124" s="17">
        <f>Table1[[#This Row],[Unit price]]*Table1[[#This Row],[Quantity]]</f>
        <v>356.58</v>
      </c>
      <c r="I124" s="29">
        <f>Table1[[#This Row],[Total Revenue]]/$H$5056*100</f>
        <v>3.7831621487295769E-2</v>
      </c>
      <c r="J124" s="3" t="s">
        <v>12</v>
      </c>
      <c r="K124" s="4">
        <v>6.8</v>
      </c>
      <c r="M124"/>
    </row>
    <row r="125" spans="1:13" x14ac:dyDescent="0.25">
      <c r="A125" s="3" t="s">
        <v>22</v>
      </c>
      <c r="B125" s="3" t="s">
        <v>245</v>
      </c>
      <c r="C125" s="3" t="s">
        <v>9</v>
      </c>
      <c r="D125" s="3" t="s">
        <v>10</v>
      </c>
      <c r="E125" s="5" t="s">
        <v>11</v>
      </c>
      <c r="F125" s="17">
        <v>21.04</v>
      </c>
      <c r="G125" s="3">
        <v>4</v>
      </c>
      <c r="H125" s="17">
        <f>Table1[[#This Row],[Unit price]]*Table1[[#This Row],[Quantity]]</f>
        <v>84.16</v>
      </c>
      <c r="I125" s="29">
        <f>Table1[[#This Row],[Total Revenue]]/$H$5056*100</f>
        <v>8.9290180727208818E-3</v>
      </c>
      <c r="J125" s="3" t="s">
        <v>15</v>
      </c>
      <c r="K125" s="4">
        <v>7.6</v>
      </c>
      <c r="M125"/>
    </row>
    <row r="126" spans="1:13" x14ac:dyDescent="0.25">
      <c r="A126" s="3" t="s">
        <v>22</v>
      </c>
      <c r="B126" s="3" t="s">
        <v>244</v>
      </c>
      <c r="C126" s="3" t="s">
        <v>9</v>
      </c>
      <c r="D126" s="3" t="s">
        <v>19</v>
      </c>
      <c r="E126" s="5" t="s">
        <v>18</v>
      </c>
      <c r="F126" s="17">
        <v>59.86</v>
      </c>
      <c r="G126" s="3">
        <v>2</v>
      </c>
      <c r="H126" s="17">
        <f>Table1[[#This Row],[Unit price]]*Table1[[#This Row],[Quantity]]</f>
        <v>119.72</v>
      </c>
      <c r="I126" s="29">
        <f>Table1[[#This Row],[Total Revenue]]/$H$5056*100</f>
        <v>1.2701782838238402E-2</v>
      </c>
      <c r="J126" s="3" t="s">
        <v>17</v>
      </c>
      <c r="K126" s="4">
        <v>6.7</v>
      </c>
      <c r="M126"/>
    </row>
    <row r="127" spans="1:13" x14ac:dyDescent="0.25">
      <c r="A127" s="3" t="s">
        <v>22</v>
      </c>
      <c r="B127" s="3" t="s">
        <v>244</v>
      </c>
      <c r="C127" s="3" t="s">
        <v>13</v>
      </c>
      <c r="D127" s="3" t="s">
        <v>19</v>
      </c>
      <c r="E127" s="5" t="s">
        <v>11</v>
      </c>
      <c r="F127" s="17">
        <v>72.39</v>
      </c>
      <c r="G127" s="3">
        <v>2</v>
      </c>
      <c r="H127" s="17">
        <f>Table1[[#This Row],[Unit price]]*Table1[[#This Row],[Quantity]]</f>
        <v>144.78</v>
      </c>
      <c r="I127" s="29">
        <f>Table1[[#This Row],[Total Revenue]]/$H$5056*100</f>
        <v>1.5360542259607049E-2</v>
      </c>
      <c r="J127" s="3" t="s">
        <v>12</v>
      </c>
      <c r="K127" s="4">
        <v>8.1</v>
      </c>
      <c r="M127"/>
    </row>
    <row r="128" spans="1:13" x14ac:dyDescent="0.25">
      <c r="A128" s="3" t="s">
        <v>22</v>
      </c>
      <c r="B128" s="3" t="s">
        <v>243</v>
      </c>
      <c r="C128" s="3" t="s">
        <v>13</v>
      </c>
      <c r="D128" s="3" t="s">
        <v>19</v>
      </c>
      <c r="E128" s="5" t="s">
        <v>16</v>
      </c>
      <c r="F128" s="17">
        <v>45.58</v>
      </c>
      <c r="G128" s="3">
        <v>7</v>
      </c>
      <c r="H128" s="17">
        <f>Table1[[#This Row],[Unit price]]*Table1[[#This Row],[Quantity]]</f>
        <v>319.06</v>
      </c>
      <c r="I128" s="29">
        <f>Table1[[#This Row],[Total Revenue]]/$H$5056*100</f>
        <v>3.3850909057537126E-2</v>
      </c>
      <c r="J128" s="3" t="s">
        <v>15</v>
      </c>
      <c r="K128" s="4">
        <v>5</v>
      </c>
      <c r="M128"/>
    </row>
    <row r="129" spans="1:13" x14ac:dyDescent="0.25">
      <c r="A129" s="3" t="s">
        <v>22</v>
      </c>
      <c r="B129" s="3" t="s">
        <v>245</v>
      </c>
      <c r="C129" s="3" t="s">
        <v>13</v>
      </c>
      <c r="D129" s="3" t="s">
        <v>10</v>
      </c>
      <c r="E129" s="5" t="s">
        <v>14</v>
      </c>
      <c r="F129" s="17">
        <v>41.65</v>
      </c>
      <c r="G129" s="3">
        <v>10</v>
      </c>
      <c r="H129" s="17">
        <f>Table1[[#This Row],[Unit price]]*Table1[[#This Row],[Quantity]]</f>
        <v>416.5</v>
      </c>
      <c r="I129" s="29">
        <f>Table1[[#This Row],[Total Revenue]]/$H$5056*100</f>
        <v>4.4188878651238682E-2</v>
      </c>
      <c r="J129" s="3" t="s">
        <v>12</v>
      </c>
      <c r="K129" s="4">
        <v>5.4</v>
      </c>
      <c r="M129"/>
    </row>
    <row r="130" spans="1:13" x14ac:dyDescent="0.25">
      <c r="A130" s="3" t="s">
        <v>23</v>
      </c>
      <c r="B130" s="3" t="s">
        <v>245</v>
      </c>
      <c r="C130" s="3" t="s">
        <v>9</v>
      </c>
      <c r="D130" s="3" t="s">
        <v>19</v>
      </c>
      <c r="E130" s="5" t="s">
        <v>21</v>
      </c>
      <c r="F130" s="17">
        <v>60.47</v>
      </c>
      <c r="G130" s="3">
        <v>3</v>
      </c>
      <c r="H130" s="17">
        <f>Table1[[#This Row],[Unit price]]*Table1[[#This Row],[Quantity]]</f>
        <v>181.41</v>
      </c>
      <c r="I130" s="29">
        <f>Table1[[#This Row],[Total Revenue]]/$H$5056*100</f>
        <v>1.9246829474480694E-2</v>
      </c>
      <c r="J130" s="3" t="s">
        <v>12</v>
      </c>
      <c r="K130" s="4">
        <v>5.6</v>
      </c>
      <c r="M130"/>
    </row>
    <row r="131" spans="1:13" x14ac:dyDescent="0.25">
      <c r="A131" s="3" t="s">
        <v>23</v>
      </c>
      <c r="B131" s="3" t="s">
        <v>244</v>
      </c>
      <c r="C131" s="3" t="s">
        <v>13</v>
      </c>
      <c r="D131" s="3" t="s">
        <v>10</v>
      </c>
      <c r="E131" s="5" t="s">
        <v>16</v>
      </c>
      <c r="F131" s="17">
        <v>34.81</v>
      </c>
      <c r="G131" s="3">
        <v>1</v>
      </c>
      <c r="H131" s="17">
        <f>Table1[[#This Row],[Unit price]]*Table1[[#This Row],[Quantity]]</f>
        <v>34.81</v>
      </c>
      <c r="I131" s="29">
        <f>Table1[[#This Row],[Total Revenue]]/$H$5056*100</f>
        <v>3.6931929552211731E-3</v>
      </c>
      <c r="J131" s="3" t="s">
        <v>12</v>
      </c>
      <c r="K131" s="4">
        <v>7</v>
      </c>
      <c r="M131"/>
    </row>
    <row r="132" spans="1:13" x14ac:dyDescent="0.25">
      <c r="A132" s="3" t="s">
        <v>23</v>
      </c>
      <c r="B132" s="3" t="s">
        <v>244</v>
      </c>
      <c r="C132" s="3" t="s">
        <v>9</v>
      </c>
      <c r="D132" s="3" t="s">
        <v>10</v>
      </c>
      <c r="E132" s="5" t="s">
        <v>18</v>
      </c>
      <c r="F132" s="17">
        <v>18.079999999999998</v>
      </c>
      <c r="G132" s="3">
        <v>4</v>
      </c>
      <c r="H132" s="17">
        <f>Table1[[#This Row],[Unit price]]*Table1[[#This Row],[Quantity]]</f>
        <v>72.319999999999993</v>
      </c>
      <c r="I132" s="29">
        <f>Table1[[#This Row],[Total Revenue]]/$H$5056*100</f>
        <v>7.672844427509198E-3</v>
      </c>
      <c r="J132" s="3" t="s">
        <v>12</v>
      </c>
      <c r="K132" s="4">
        <v>9.5</v>
      </c>
      <c r="M132"/>
    </row>
    <row r="133" spans="1:13" x14ac:dyDescent="0.25">
      <c r="A133" s="3" t="s">
        <v>23</v>
      </c>
      <c r="B133" s="3" t="s">
        <v>243</v>
      </c>
      <c r="C133" s="3" t="s">
        <v>9</v>
      </c>
      <c r="D133" s="3" t="s">
        <v>10</v>
      </c>
      <c r="E133" s="5" t="s">
        <v>18</v>
      </c>
      <c r="F133" s="17">
        <v>96.7</v>
      </c>
      <c r="G133" s="3">
        <v>5</v>
      </c>
      <c r="H133" s="17">
        <f>Table1[[#This Row],[Unit price]]*Table1[[#This Row],[Quantity]]</f>
        <v>483.5</v>
      </c>
      <c r="I133" s="29">
        <f>Table1[[#This Row],[Total Revenue]]/$H$5056*100</f>
        <v>5.1297293704379118E-2</v>
      </c>
      <c r="J133" s="3" t="s">
        <v>17</v>
      </c>
      <c r="K133" s="4">
        <v>7</v>
      </c>
      <c r="M133"/>
    </row>
    <row r="134" spans="1:13" x14ac:dyDescent="0.25">
      <c r="A134" s="3" t="s">
        <v>23</v>
      </c>
      <c r="B134" s="3" t="s">
        <v>244</v>
      </c>
      <c r="C134" s="3" t="s">
        <v>13</v>
      </c>
      <c r="D134" s="3" t="s">
        <v>10</v>
      </c>
      <c r="E134" s="5" t="s">
        <v>11</v>
      </c>
      <c r="F134" s="17">
        <v>99.69</v>
      </c>
      <c r="G134" s="3">
        <v>5</v>
      </c>
      <c r="H134" s="17">
        <f>Table1[[#This Row],[Unit price]]*Table1[[#This Row],[Quantity]]</f>
        <v>498.45</v>
      </c>
      <c r="I134" s="29">
        <f>Table1[[#This Row],[Total Revenue]]/$H$5056*100</f>
        <v>5.2883425122952986E-2</v>
      </c>
      <c r="J134" s="3" t="s">
        <v>15</v>
      </c>
      <c r="K134" s="4">
        <v>9.9</v>
      </c>
      <c r="M134"/>
    </row>
    <row r="135" spans="1:13" x14ac:dyDescent="0.25">
      <c r="A135" s="3" t="s">
        <v>23</v>
      </c>
      <c r="B135" s="3" t="s">
        <v>244</v>
      </c>
      <c r="C135" s="3" t="s">
        <v>13</v>
      </c>
      <c r="D135" s="3" t="s">
        <v>10</v>
      </c>
      <c r="E135" s="5" t="s">
        <v>21</v>
      </c>
      <c r="F135" s="17">
        <v>17.75</v>
      </c>
      <c r="G135" s="3">
        <v>1</v>
      </c>
      <c r="H135" s="17">
        <f>Table1[[#This Row],[Unit price]]*Table1[[#This Row],[Quantity]]</f>
        <v>17.75</v>
      </c>
      <c r="I135" s="29">
        <f>Table1[[#This Row],[Total Revenue]]/$H$5056*100</f>
        <v>1.8831995103469068E-3</v>
      </c>
      <c r="J135" s="3" t="s">
        <v>15</v>
      </c>
      <c r="K135" s="4">
        <v>8.6</v>
      </c>
      <c r="M135"/>
    </row>
    <row r="136" spans="1:13" x14ac:dyDescent="0.25">
      <c r="A136" s="3" t="s">
        <v>23</v>
      </c>
      <c r="B136" s="3" t="s">
        <v>245</v>
      </c>
      <c r="C136" s="3" t="s">
        <v>13</v>
      </c>
      <c r="D136" s="3" t="s">
        <v>19</v>
      </c>
      <c r="E136" s="5" t="s">
        <v>11</v>
      </c>
      <c r="F136" s="17">
        <v>84.83</v>
      </c>
      <c r="G136" s="3">
        <v>1</v>
      </c>
      <c r="H136" s="17">
        <f>Table1[[#This Row],[Unit price]]*Table1[[#This Row],[Quantity]]</f>
        <v>84.83</v>
      </c>
      <c r="I136" s="29">
        <f>Table1[[#This Row],[Total Revenue]]/$H$5056*100</f>
        <v>9.0001022232522859E-3</v>
      </c>
      <c r="J136" s="3" t="s">
        <v>17</v>
      </c>
      <c r="K136" s="4">
        <v>8.8000000000000007</v>
      </c>
      <c r="M136"/>
    </row>
    <row r="137" spans="1:13" x14ac:dyDescent="0.25">
      <c r="A137" s="3" t="s">
        <v>23</v>
      </c>
      <c r="B137" s="3" t="s">
        <v>245</v>
      </c>
      <c r="C137" s="3" t="s">
        <v>13</v>
      </c>
      <c r="D137" s="3" t="s">
        <v>19</v>
      </c>
      <c r="E137" s="5" t="s">
        <v>21</v>
      </c>
      <c r="F137" s="17">
        <v>53.19</v>
      </c>
      <c r="G137" s="3">
        <v>7</v>
      </c>
      <c r="H137" s="17">
        <f>Table1[[#This Row],[Unit price]]*Table1[[#This Row],[Quantity]]</f>
        <v>372.33</v>
      </c>
      <c r="I137" s="29">
        <f>Table1[[#This Row],[Total Revenue]]/$H$5056*100</f>
        <v>3.9502629503519078E-2</v>
      </c>
      <c r="J137" s="3" t="s">
        <v>17</v>
      </c>
      <c r="K137" s="4">
        <v>5</v>
      </c>
      <c r="M137"/>
    </row>
    <row r="138" spans="1:13" x14ac:dyDescent="0.25">
      <c r="A138" s="3" t="s">
        <v>23</v>
      </c>
      <c r="B138" s="3" t="s">
        <v>244</v>
      </c>
      <c r="C138" s="3" t="s">
        <v>13</v>
      </c>
      <c r="D138" s="3" t="s">
        <v>19</v>
      </c>
      <c r="E138" s="5" t="s">
        <v>11</v>
      </c>
      <c r="F138" s="17">
        <v>73.06</v>
      </c>
      <c r="G138" s="3">
        <v>7</v>
      </c>
      <c r="H138" s="17">
        <f>Table1[[#This Row],[Unit price]]*Table1[[#This Row],[Quantity]]</f>
        <v>511.42</v>
      </c>
      <c r="I138" s="29">
        <f>Table1[[#This Row],[Total Revenue]]/$H$5056*100</f>
        <v>5.4259486962344505E-2</v>
      </c>
      <c r="J138" s="3" t="s">
        <v>12</v>
      </c>
      <c r="K138" s="4">
        <v>4.2</v>
      </c>
      <c r="M138"/>
    </row>
    <row r="139" spans="1:13" x14ac:dyDescent="0.25">
      <c r="A139" s="3" t="s">
        <v>23</v>
      </c>
      <c r="B139" s="3" t="s">
        <v>245</v>
      </c>
      <c r="C139" s="3" t="s">
        <v>13</v>
      </c>
      <c r="D139" s="3" t="s">
        <v>19</v>
      </c>
      <c r="E139" s="5" t="s">
        <v>11</v>
      </c>
      <c r="F139" s="17">
        <v>31.77</v>
      </c>
      <c r="G139" s="3">
        <v>4</v>
      </c>
      <c r="H139" s="17">
        <f>Table1[[#This Row],[Unit price]]*Table1[[#This Row],[Quantity]]</f>
        <v>127.08</v>
      </c>
      <c r="I139" s="29">
        <f>Table1[[#This Row],[Total Revenue]]/$H$5056*100</f>
        <v>1.3482647536613233E-2</v>
      </c>
      <c r="J139" s="3" t="s">
        <v>17</v>
      </c>
      <c r="K139" s="4">
        <v>6.2</v>
      </c>
      <c r="M139"/>
    </row>
    <row r="140" spans="1:13" x14ac:dyDescent="0.25">
      <c r="A140" s="3" t="s">
        <v>23</v>
      </c>
      <c r="B140" s="3" t="s">
        <v>245</v>
      </c>
      <c r="C140" s="3" t="s">
        <v>9</v>
      </c>
      <c r="D140" s="3" t="s">
        <v>10</v>
      </c>
      <c r="E140" s="5" t="s">
        <v>14</v>
      </c>
      <c r="F140" s="17">
        <v>44.84</v>
      </c>
      <c r="G140" s="3">
        <v>9</v>
      </c>
      <c r="H140" s="17">
        <f>Table1[[#This Row],[Unit price]]*Table1[[#This Row],[Quantity]]</f>
        <v>403.56000000000006</v>
      </c>
      <c r="I140" s="29">
        <f>Table1[[#This Row],[Total Revenue]]/$H$5056*100</f>
        <v>4.2815999684259025E-2</v>
      </c>
      <c r="J140" s="3" t="s">
        <v>12</v>
      </c>
      <c r="K140" s="4">
        <v>7.5</v>
      </c>
      <c r="M140"/>
    </row>
    <row r="141" spans="1:13" x14ac:dyDescent="0.25">
      <c r="A141" s="3" t="s">
        <v>23</v>
      </c>
      <c r="B141" s="3" t="s">
        <v>243</v>
      </c>
      <c r="C141" s="3" t="s">
        <v>9</v>
      </c>
      <c r="D141" s="3" t="s">
        <v>19</v>
      </c>
      <c r="E141" s="5" t="s">
        <v>18</v>
      </c>
      <c r="F141" s="17">
        <v>56.04</v>
      </c>
      <c r="G141" s="3">
        <v>10</v>
      </c>
      <c r="H141" s="17">
        <f>Table1[[#This Row],[Unit price]]*Table1[[#This Row],[Quantity]]</f>
        <v>560.4</v>
      </c>
      <c r="I141" s="29">
        <f>Table1[[#This Row],[Total Revenue]]/$H$5056*100</f>
        <v>5.9456056653431344E-2</v>
      </c>
      <c r="J141" s="3" t="s">
        <v>17</v>
      </c>
      <c r="K141" s="4">
        <v>4.4000000000000004</v>
      </c>
      <c r="M141"/>
    </row>
    <row r="142" spans="1:13" x14ac:dyDescent="0.25">
      <c r="A142" s="3" t="s">
        <v>23</v>
      </c>
      <c r="B142" s="3" t="s">
        <v>245</v>
      </c>
      <c r="C142" s="3" t="s">
        <v>13</v>
      </c>
      <c r="D142" s="3" t="s">
        <v>19</v>
      </c>
      <c r="E142" s="5" t="s">
        <v>14</v>
      </c>
      <c r="F142" s="17">
        <v>61.41</v>
      </c>
      <c r="G142" s="3">
        <v>7</v>
      </c>
      <c r="H142" s="17">
        <f>Table1[[#This Row],[Unit price]]*Table1[[#This Row],[Quantity]]</f>
        <v>429.87</v>
      </c>
      <c r="I142" s="29">
        <f>Table1[[#This Row],[Total Revenue]]/$H$5056*100</f>
        <v>4.5607378789454915E-2</v>
      </c>
      <c r="J142" s="3" t="s">
        <v>15</v>
      </c>
      <c r="K142" s="4">
        <v>9.8000000000000007</v>
      </c>
      <c r="M142"/>
    </row>
    <row r="143" spans="1:13" x14ac:dyDescent="0.25">
      <c r="A143" s="3" t="s">
        <v>24</v>
      </c>
      <c r="B143" s="3" t="s">
        <v>243</v>
      </c>
      <c r="C143" s="3" t="s">
        <v>9</v>
      </c>
      <c r="D143" s="3" t="s">
        <v>10</v>
      </c>
      <c r="E143" s="5" t="s">
        <v>20</v>
      </c>
      <c r="F143" s="17">
        <v>89.21</v>
      </c>
      <c r="G143" s="3">
        <v>9</v>
      </c>
      <c r="H143" s="17">
        <f>Table1[[#This Row],[Unit price]]*Table1[[#This Row],[Quantity]]</f>
        <v>802.89</v>
      </c>
      <c r="I143" s="29">
        <f>Table1[[#This Row],[Total Revenue]]/$H$5056*100</f>
        <v>8.5183214358446627E-2</v>
      </c>
      <c r="J143" s="3" t="s">
        <v>12</v>
      </c>
      <c r="K143" s="4">
        <v>6.5</v>
      </c>
      <c r="M143"/>
    </row>
    <row r="144" spans="1:13" x14ac:dyDescent="0.25">
      <c r="A144" s="3" t="s">
        <v>24</v>
      </c>
      <c r="B144" s="3" t="s">
        <v>244</v>
      </c>
      <c r="C144" s="3" t="s">
        <v>13</v>
      </c>
      <c r="D144" s="3" t="s">
        <v>19</v>
      </c>
      <c r="E144" s="5" t="s">
        <v>14</v>
      </c>
      <c r="F144" s="17">
        <v>75.66</v>
      </c>
      <c r="G144" s="3">
        <v>5</v>
      </c>
      <c r="H144" s="17">
        <f>Table1[[#This Row],[Unit price]]*Table1[[#This Row],[Quantity]]</f>
        <v>378.29999999999995</v>
      </c>
      <c r="I144" s="29">
        <f>Table1[[#This Row],[Total Revenue]]/$H$5056*100</f>
        <v>4.0136021113478006E-2</v>
      </c>
      <c r="J144" s="3" t="s">
        <v>17</v>
      </c>
      <c r="K144" s="4">
        <v>7.8</v>
      </c>
      <c r="M144"/>
    </row>
    <row r="145" spans="1:13" x14ac:dyDescent="0.25">
      <c r="A145" s="3" t="s">
        <v>24</v>
      </c>
      <c r="B145" s="3" t="s">
        <v>244</v>
      </c>
      <c r="C145" s="3" t="s">
        <v>13</v>
      </c>
      <c r="D145" s="3" t="s">
        <v>10</v>
      </c>
      <c r="E145" s="5" t="s">
        <v>20</v>
      </c>
      <c r="F145" s="17">
        <v>97.37</v>
      </c>
      <c r="G145" s="3">
        <v>10</v>
      </c>
      <c r="H145" s="17">
        <f>Table1[[#This Row],[Unit price]]*Table1[[#This Row],[Quantity]]</f>
        <v>973.7</v>
      </c>
      <c r="I145" s="29">
        <f>Table1[[#This Row],[Total Revenue]]/$H$5056*100</f>
        <v>0.10330542891407229</v>
      </c>
      <c r="J145" s="3" t="s">
        <v>12</v>
      </c>
      <c r="K145" s="4">
        <v>4.9000000000000004</v>
      </c>
      <c r="M145"/>
    </row>
    <row r="146" spans="1:13" x14ac:dyDescent="0.25">
      <c r="A146" s="3" t="s">
        <v>24</v>
      </c>
      <c r="B146" s="3" t="s">
        <v>243</v>
      </c>
      <c r="C146" s="3" t="s">
        <v>13</v>
      </c>
      <c r="D146" s="3" t="s">
        <v>10</v>
      </c>
      <c r="E146" s="5" t="s">
        <v>16</v>
      </c>
      <c r="F146" s="17">
        <v>19.100000000000001</v>
      </c>
      <c r="G146" s="3">
        <v>7</v>
      </c>
      <c r="H146" s="17">
        <f>Table1[[#This Row],[Unit price]]*Table1[[#This Row],[Quantity]]</f>
        <v>133.70000000000002</v>
      </c>
      <c r="I146" s="29">
        <f>Table1[[#This Row],[Total Revenue]]/$H$5056*100</f>
        <v>1.4185001382162336E-2</v>
      </c>
      <c r="J146" s="3" t="s">
        <v>15</v>
      </c>
      <c r="K146" s="4">
        <v>9.6999999999999993</v>
      </c>
      <c r="M146"/>
    </row>
    <row r="147" spans="1:13" x14ac:dyDescent="0.25">
      <c r="A147" s="3" t="s">
        <v>24</v>
      </c>
      <c r="B147" s="3" t="s">
        <v>243</v>
      </c>
      <c r="C147" s="3" t="s">
        <v>9</v>
      </c>
      <c r="D147" s="3" t="s">
        <v>19</v>
      </c>
      <c r="E147" s="5" t="s">
        <v>11</v>
      </c>
      <c r="F147" s="17">
        <v>83.77</v>
      </c>
      <c r="G147" s="3">
        <v>2</v>
      </c>
      <c r="H147" s="17">
        <f>Table1[[#This Row],[Unit price]]*Table1[[#This Row],[Quantity]]</f>
        <v>167.54</v>
      </c>
      <c r="I147" s="29">
        <f>Table1[[#This Row],[Total Revenue]]/$H$5056*100</f>
        <v>1.777528146273356E-2</v>
      </c>
      <c r="J147" s="3" t="s">
        <v>12</v>
      </c>
      <c r="K147" s="4">
        <v>7</v>
      </c>
      <c r="M147"/>
    </row>
    <row r="148" spans="1:13" x14ac:dyDescent="0.25">
      <c r="A148" s="3" t="s">
        <v>24</v>
      </c>
      <c r="B148" s="3" t="s">
        <v>245</v>
      </c>
      <c r="C148" s="3" t="s">
        <v>13</v>
      </c>
      <c r="D148" s="3" t="s">
        <v>19</v>
      </c>
      <c r="E148" s="5" t="s">
        <v>14</v>
      </c>
      <c r="F148" s="17">
        <v>55.87</v>
      </c>
      <c r="G148" s="3">
        <v>10</v>
      </c>
      <c r="H148" s="17">
        <f>Table1[[#This Row],[Unit price]]*Table1[[#This Row],[Quantity]]</f>
        <v>558.69999999999993</v>
      </c>
      <c r="I148" s="29">
        <f>Table1[[#This Row],[Total Revenue]]/$H$5056*100</f>
        <v>5.9275693883426288E-2</v>
      </c>
      <c r="J148" s="3" t="s">
        <v>15</v>
      </c>
      <c r="K148" s="4">
        <v>5.8</v>
      </c>
      <c r="M148"/>
    </row>
    <row r="149" spans="1:13" x14ac:dyDescent="0.25">
      <c r="A149" s="3" t="s">
        <v>24</v>
      </c>
      <c r="B149" s="3" t="s">
        <v>244</v>
      </c>
      <c r="C149" s="3" t="s">
        <v>9</v>
      </c>
      <c r="D149" s="3" t="s">
        <v>19</v>
      </c>
      <c r="E149" s="5" t="s">
        <v>21</v>
      </c>
      <c r="F149" s="17">
        <v>66.47</v>
      </c>
      <c r="G149" s="3">
        <v>10</v>
      </c>
      <c r="H149" s="17">
        <f>Table1[[#This Row],[Unit price]]*Table1[[#This Row],[Quantity]]</f>
        <v>664.7</v>
      </c>
      <c r="I149" s="29">
        <f>Table1[[#This Row],[Total Revenue]]/$H$5056*100</f>
        <v>7.0521843071976842E-2</v>
      </c>
      <c r="J149" s="3" t="s">
        <v>12</v>
      </c>
      <c r="K149" s="4">
        <v>5</v>
      </c>
      <c r="M149"/>
    </row>
    <row r="150" spans="1:13" x14ac:dyDescent="0.25">
      <c r="A150" s="3" t="s">
        <v>24</v>
      </c>
      <c r="B150" s="3" t="s">
        <v>244</v>
      </c>
      <c r="C150" s="3" t="s">
        <v>9</v>
      </c>
      <c r="D150" s="3" t="s">
        <v>10</v>
      </c>
      <c r="E150" s="5" t="s">
        <v>16</v>
      </c>
      <c r="F150" s="17">
        <v>93.72</v>
      </c>
      <c r="G150" s="3">
        <v>6</v>
      </c>
      <c r="H150" s="17">
        <f>Table1[[#This Row],[Unit price]]*Table1[[#This Row],[Quantity]]</f>
        <v>562.31999999999994</v>
      </c>
      <c r="I150" s="29">
        <f>Table1[[#This Row],[Total Revenue]]/$H$5056*100</f>
        <v>5.9659760487789995E-2</v>
      </c>
      <c r="J150" s="3" t="s">
        <v>15</v>
      </c>
      <c r="K150" s="4">
        <v>4.5</v>
      </c>
      <c r="M150"/>
    </row>
    <row r="151" spans="1:13" x14ac:dyDescent="0.25">
      <c r="A151" s="3" t="s">
        <v>24</v>
      </c>
      <c r="B151" s="3" t="s">
        <v>243</v>
      </c>
      <c r="C151" s="3" t="s">
        <v>13</v>
      </c>
      <c r="D151" s="3" t="s">
        <v>10</v>
      </c>
      <c r="E151" s="5" t="s">
        <v>20</v>
      </c>
      <c r="F151" s="17">
        <v>11.43</v>
      </c>
      <c r="G151" s="3">
        <v>6</v>
      </c>
      <c r="H151" s="17">
        <f>Table1[[#This Row],[Unit price]]*Table1[[#This Row],[Quantity]]</f>
        <v>68.58</v>
      </c>
      <c r="I151" s="29">
        <f>Table1[[#This Row],[Total Revenue]]/$H$5056*100</f>
        <v>7.2760463334980759E-3</v>
      </c>
      <c r="J151" s="3" t="s">
        <v>15</v>
      </c>
      <c r="K151" s="4">
        <v>7.7</v>
      </c>
      <c r="M151"/>
    </row>
    <row r="152" spans="1:13" x14ac:dyDescent="0.25">
      <c r="A152" s="3" t="s">
        <v>24</v>
      </c>
      <c r="B152" s="3" t="s">
        <v>244</v>
      </c>
      <c r="C152" s="3" t="s">
        <v>13</v>
      </c>
      <c r="D152" s="3" t="s">
        <v>10</v>
      </c>
      <c r="E152" s="5" t="s">
        <v>18</v>
      </c>
      <c r="F152" s="17">
        <v>73.52</v>
      </c>
      <c r="G152" s="3">
        <v>2</v>
      </c>
      <c r="H152" s="17">
        <f>Table1[[#This Row],[Unit price]]*Table1[[#This Row],[Quantity]]</f>
        <v>147.04</v>
      </c>
      <c r="I152" s="29">
        <f>Table1[[#This Row],[Total Revenue]]/$H$5056*100</f>
        <v>1.5600318647966712E-2</v>
      </c>
      <c r="J152" s="3" t="s">
        <v>17</v>
      </c>
      <c r="K152" s="4">
        <v>4.5999999999999996</v>
      </c>
      <c r="M152"/>
    </row>
    <row r="153" spans="1:13" x14ac:dyDescent="0.25">
      <c r="A153" s="3" t="s">
        <v>24</v>
      </c>
      <c r="B153" s="3" t="s">
        <v>245</v>
      </c>
      <c r="C153" s="3" t="s">
        <v>9</v>
      </c>
      <c r="D153" s="3" t="s">
        <v>19</v>
      </c>
      <c r="E153" s="5" t="s">
        <v>21</v>
      </c>
      <c r="F153" s="17">
        <v>81.23</v>
      </c>
      <c r="G153" s="3">
        <v>7</v>
      </c>
      <c r="H153" s="17">
        <f>Table1[[#This Row],[Unit price]]*Table1[[#This Row],[Quantity]]</f>
        <v>568.61</v>
      </c>
      <c r="I153" s="29">
        <f>Table1[[#This Row],[Total Revenue]]/$H$5056*100</f>
        <v>6.0327102736808712E-2</v>
      </c>
      <c r="J153" s="3" t="s">
        <v>15</v>
      </c>
      <c r="K153" s="4">
        <v>9</v>
      </c>
      <c r="M153"/>
    </row>
    <row r="154" spans="1:13" x14ac:dyDescent="0.25">
      <c r="A154" s="3" t="s">
        <v>24</v>
      </c>
      <c r="B154" s="3" t="s">
        <v>245</v>
      </c>
      <c r="C154" s="3" t="s">
        <v>9</v>
      </c>
      <c r="D154" s="3" t="s">
        <v>19</v>
      </c>
      <c r="E154" s="5" t="s">
        <v>11</v>
      </c>
      <c r="F154" s="17">
        <v>17.440000000000001</v>
      </c>
      <c r="G154" s="3">
        <v>5</v>
      </c>
      <c r="H154" s="17">
        <f>Table1[[#This Row],[Unit price]]*Table1[[#This Row],[Quantity]]</f>
        <v>87.2</v>
      </c>
      <c r="I154" s="29">
        <f>Table1[[#This Row],[Total Revenue]]/$H$5056*100</f>
        <v>9.2515491437887478E-3</v>
      </c>
      <c r="J154" s="3" t="s">
        <v>15</v>
      </c>
      <c r="K154" s="4">
        <v>8.1</v>
      </c>
      <c r="M154"/>
    </row>
    <row r="155" spans="1:13" x14ac:dyDescent="0.25">
      <c r="A155" s="3" t="s">
        <v>24</v>
      </c>
      <c r="B155" s="3" t="s">
        <v>243</v>
      </c>
      <c r="C155" s="3" t="s">
        <v>13</v>
      </c>
      <c r="D155" s="3" t="s">
        <v>10</v>
      </c>
      <c r="E155" s="5" t="s">
        <v>14</v>
      </c>
      <c r="F155" s="17">
        <v>60.88</v>
      </c>
      <c r="G155" s="3">
        <v>9</v>
      </c>
      <c r="H155" s="17">
        <f>Table1[[#This Row],[Unit price]]*Table1[[#This Row],[Quantity]]</f>
        <v>547.92000000000007</v>
      </c>
      <c r="I155" s="29">
        <f>Table1[[#This Row],[Total Revenue]]/$H$5056*100</f>
        <v>5.8131981730100125E-2</v>
      </c>
      <c r="J155" s="3" t="s">
        <v>17</v>
      </c>
      <c r="K155" s="4">
        <v>4.7</v>
      </c>
      <c r="M155"/>
    </row>
    <row r="156" spans="1:13" x14ac:dyDescent="0.25">
      <c r="A156" s="3" t="s">
        <v>25</v>
      </c>
      <c r="B156" s="3" t="s">
        <v>245</v>
      </c>
      <c r="C156" s="3" t="s">
        <v>13</v>
      </c>
      <c r="D156" s="3" t="s">
        <v>19</v>
      </c>
      <c r="E156" s="5" t="s">
        <v>20</v>
      </c>
      <c r="F156" s="17">
        <v>95.58</v>
      </c>
      <c r="G156" s="3">
        <v>10</v>
      </c>
      <c r="H156" s="17">
        <f>Table1[[#This Row],[Unit price]]*Table1[[#This Row],[Quantity]]</f>
        <v>955.8</v>
      </c>
      <c r="I156" s="29">
        <f>Table1[[#This Row],[Total Revenue]]/$H$5056*100</f>
        <v>0.10140631504166611</v>
      </c>
      <c r="J156" s="3" t="s">
        <v>15</v>
      </c>
      <c r="K156" s="4">
        <v>4.8</v>
      </c>
      <c r="M156"/>
    </row>
    <row r="157" spans="1:13" x14ac:dyDescent="0.25">
      <c r="A157" s="3" t="s">
        <v>25</v>
      </c>
      <c r="B157" s="3" t="s">
        <v>244</v>
      </c>
      <c r="C157" s="3" t="s">
        <v>9</v>
      </c>
      <c r="D157" s="3" t="s">
        <v>10</v>
      </c>
      <c r="E157" s="5" t="s">
        <v>16</v>
      </c>
      <c r="F157" s="17">
        <v>90.74</v>
      </c>
      <c r="G157" s="3">
        <v>7</v>
      </c>
      <c r="H157" s="17">
        <f>Table1[[#This Row],[Unit price]]*Table1[[#This Row],[Quantity]]</f>
        <v>635.17999999999995</v>
      </c>
      <c r="I157" s="29">
        <f>Table1[[#This Row],[Total Revenue]]/$H$5056*100</f>
        <v>6.7389896618712572E-2</v>
      </c>
      <c r="J157" s="3" t="s">
        <v>12</v>
      </c>
      <c r="K157" s="4">
        <v>6.2</v>
      </c>
      <c r="M157"/>
    </row>
    <row r="158" spans="1:13" x14ac:dyDescent="0.25">
      <c r="A158" s="3" t="s">
        <v>25</v>
      </c>
      <c r="B158" s="3" t="s">
        <v>245</v>
      </c>
      <c r="C158" s="3" t="s">
        <v>13</v>
      </c>
      <c r="D158" s="3" t="s">
        <v>10</v>
      </c>
      <c r="E158" s="5" t="s">
        <v>11</v>
      </c>
      <c r="F158" s="17">
        <v>93.26</v>
      </c>
      <c r="G158" s="3">
        <v>9</v>
      </c>
      <c r="H158" s="17">
        <f>Table1[[#This Row],[Unit price]]*Table1[[#This Row],[Quantity]]</f>
        <v>839.34</v>
      </c>
      <c r="I158" s="29">
        <f>Table1[[#This Row],[Total Revenue]]/$H$5056*100</f>
        <v>8.9050404338849171E-2</v>
      </c>
      <c r="J158" s="3" t="s">
        <v>15</v>
      </c>
      <c r="K158" s="4">
        <v>8.8000000000000007</v>
      </c>
      <c r="M158"/>
    </row>
    <row r="159" spans="1:13" x14ac:dyDescent="0.25">
      <c r="A159" s="3" t="s">
        <v>25</v>
      </c>
      <c r="B159" s="3" t="s">
        <v>245</v>
      </c>
      <c r="C159" s="3" t="s">
        <v>9</v>
      </c>
      <c r="D159" s="3" t="s">
        <v>19</v>
      </c>
      <c r="E159" s="5" t="s">
        <v>16</v>
      </c>
      <c r="F159" s="17">
        <v>17.14</v>
      </c>
      <c r="G159" s="3">
        <v>7</v>
      </c>
      <c r="H159" s="17">
        <f>Table1[[#This Row],[Unit price]]*Table1[[#This Row],[Quantity]]</f>
        <v>119.98</v>
      </c>
      <c r="I159" s="29">
        <f>Table1[[#This Row],[Total Revenue]]/$H$5056*100</f>
        <v>1.2729367732474472E-2</v>
      </c>
      <c r="J159" s="3" t="s">
        <v>12</v>
      </c>
      <c r="K159" s="4">
        <v>7.9</v>
      </c>
      <c r="M159"/>
    </row>
    <row r="160" spans="1:13" x14ac:dyDescent="0.25">
      <c r="A160" s="3" t="s">
        <v>25</v>
      </c>
      <c r="B160" s="3" t="s">
        <v>244</v>
      </c>
      <c r="C160" s="3" t="s">
        <v>13</v>
      </c>
      <c r="D160" s="3" t="s">
        <v>19</v>
      </c>
      <c r="E160" s="5" t="s">
        <v>18</v>
      </c>
      <c r="F160" s="17">
        <v>39.21</v>
      </c>
      <c r="G160" s="3">
        <v>4</v>
      </c>
      <c r="H160" s="17">
        <f>Table1[[#This Row],[Unit price]]*Table1[[#This Row],[Quantity]]</f>
        <v>156.84</v>
      </c>
      <c r="I160" s="29">
        <f>Table1[[#This Row],[Total Revenue]]/$H$5056*100</f>
        <v>1.6640056969172329E-2</v>
      </c>
      <c r="J160" s="3" t="s">
        <v>12</v>
      </c>
      <c r="K160" s="4">
        <v>9</v>
      </c>
      <c r="M160"/>
    </row>
    <row r="161" spans="1:13" x14ac:dyDescent="0.25">
      <c r="A161" s="3" t="s">
        <v>25</v>
      </c>
      <c r="B161" s="3" t="s">
        <v>243</v>
      </c>
      <c r="C161" s="3" t="s">
        <v>9</v>
      </c>
      <c r="D161" s="3" t="s">
        <v>19</v>
      </c>
      <c r="E161" s="5" t="s">
        <v>20</v>
      </c>
      <c r="F161" s="17">
        <v>63.56</v>
      </c>
      <c r="G161" s="3">
        <v>10</v>
      </c>
      <c r="H161" s="17">
        <f>Table1[[#This Row],[Unit price]]*Table1[[#This Row],[Quantity]]</f>
        <v>635.6</v>
      </c>
      <c r="I161" s="29">
        <f>Table1[[#This Row],[Total Revenue]]/$H$5056*100</f>
        <v>6.743445683247852E-2</v>
      </c>
      <c r="J161" s="3" t="s">
        <v>15</v>
      </c>
      <c r="K161" s="4">
        <v>4.3</v>
      </c>
      <c r="M161"/>
    </row>
    <row r="162" spans="1:13" x14ac:dyDescent="0.25">
      <c r="A162" s="3" t="s">
        <v>25</v>
      </c>
      <c r="B162" s="3" t="s">
        <v>245</v>
      </c>
      <c r="C162" s="3" t="s">
        <v>9</v>
      </c>
      <c r="D162" s="3" t="s">
        <v>10</v>
      </c>
      <c r="E162" s="5" t="s">
        <v>16</v>
      </c>
      <c r="F162" s="17">
        <v>15.49</v>
      </c>
      <c r="G162" s="3">
        <v>2</v>
      </c>
      <c r="H162" s="17">
        <f>Table1[[#This Row],[Unit price]]*Table1[[#This Row],[Quantity]]</f>
        <v>30.98</v>
      </c>
      <c r="I162" s="29">
        <f>Table1[[#This Row],[Total Revenue]]/$H$5056*100</f>
        <v>3.2868462439744881E-3</v>
      </c>
      <c r="J162" s="3" t="s">
        <v>15</v>
      </c>
      <c r="K162" s="4">
        <v>6.3</v>
      </c>
      <c r="M162"/>
    </row>
    <row r="163" spans="1:13" x14ac:dyDescent="0.25">
      <c r="A163" s="3" t="s">
        <v>25</v>
      </c>
      <c r="B163" s="3" t="s">
        <v>244</v>
      </c>
      <c r="C163" s="3" t="s">
        <v>9</v>
      </c>
      <c r="D163" s="3" t="s">
        <v>19</v>
      </c>
      <c r="E163" s="5" t="s">
        <v>18</v>
      </c>
      <c r="F163" s="17">
        <v>51.36</v>
      </c>
      <c r="G163" s="3">
        <v>1</v>
      </c>
      <c r="H163" s="17">
        <f>Table1[[#This Row],[Unit price]]*Table1[[#This Row],[Quantity]]</f>
        <v>51.36</v>
      </c>
      <c r="I163" s="29">
        <f>Table1[[#This Row],[Total Revenue]]/$H$5056*100</f>
        <v>5.4490775690939222E-3</v>
      </c>
      <c r="J163" s="3" t="s">
        <v>17</v>
      </c>
      <c r="K163" s="4">
        <v>5.2</v>
      </c>
      <c r="M163"/>
    </row>
    <row r="164" spans="1:13" x14ac:dyDescent="0.25">
      <c r="A164" s="3" t="s">
        <v>25</v>
      </c>
      <c r="B164" s="3" t="s">
        <v>243</v>
      </c>
      <c r="C164" s="3" t="s">
        <v>13</v>
      </c>
      <c r="D164" s="3" t="s">
        <v>10</v>
      </c>
      <c r="E164" s="5" t="s">
        <v>16</v>
      </c>
      <c r="F164" s="17">
        <v>93.18</v>
      </c>
      <c r="G164" s="3">
        <v>2</v>
      </c>
      <c r="H164" s="17">
        <f>Table1[[#This Row],[Unit price]]*Table1[[#This Row],[Quantity]]</f>
        <v>186.36</v>
      </c>
      <c r="I164" s="29">
        <f>Table1[[#This Row],[Total Revenue]]/$H$5056*100</f>
        <v>1.9772003422436592E-2</v>
      </c>
      <c r="J164" s="3" t="s">
        <v>12</v>
      </c>
      <c r="K164" s="4">
        <v>8.5</v>
      </c>
      <c r="M164"/>
    </row>
    <row r="165" spans="1:13" x14ac:dyDescent="0.25">
      <c r="A165" s="3" t="s">
        <v>25</v>
      </c>
      <c r="B165" s="3" t="s">
        <v>245</v>
      </c>
      <c r="C165" s="3" t="s">
        <v>13</v>
      </c>
      <c r="D165" s="3" t="s">
        <v>10</v>
      </c>
      <c r="E165" s="5" t="s">
        <v>11</v>
      </c>
      <c r="F165" s="17">
        <v>52.6</v>
      </c>
      <c r="G165" s="3">
        <v>9</v>
      </c>
      <c r="H165" s="17">
        <f>Table1[[#This Row],[Unit price]]*Table1[[#This Row],[Quantity]]</f>
        <v>473.40000000000003</v>
      </c>
      <c r="I165" s="29">
        <f>Table1[[#This Row],[Total Revenue]]/$H$5056*100</f>
        <v>5.0225726659054962E-2</v>
      </c>
      <c r="J165" s="3" t="s">
        <v>15</v>
      </c>
      <c r="K165" s="4">
        <v>7.6</v>
      </c>
      <c r="M165"/>
    </row>
    <row r="166" spans="1:13" x14ac:dyDescent="0.25">
      <c r="A166" s="3" t="s">
        <v>26</v>
      </c>
      <c r="B166" s="3" t="s">
        <v>244</v>
      </c>
      <c r="C166" s="3" t="s">
        <v>13</v>
      </c>
      <c r="D166" s="3" t="s">
        <v>10</v>
      </c>
      <c r="E166" s="5" t="s">
        <v>16</v>
      </c>
      <c r="F166" s="17">
        <v>40.619999999999997</v>
      </c>
      <c r="G166" s="3">
        <v>2</v>
      </c>
      <c r="H166" s="17">
        <f>Table1[[#This Row],[Unit price]]*Table1[[#This Row],[Quantity]]</f>
        <v>81.239999999999995</v>
      </c>
      <c r="I166" s="29">
        <f>Table1[[#This Row],[Total Revenue]]/$H$5056*100</f>
        <v>8.619218491300434E-3</v>
      </c>
      <c r="J166" s="3" t="s">
        <v>12</v>
      </c>
      <c r="K166" s="4">
        <v>4.0999999999999996</v>
      </c>
      <c r="M166"/>
    </row>
    <row r="167" spans="1:13" x14ac:dyDescent="0.25">
      <c r="A167" s="3" t="s">
        <v>26</v>
      </c>
      <c r="B167" s="3" t="s">
        <v>243</v>
      </c>
      <c r="C167" s="3" t="s">
        <v>13</v>
      </c>
      <c r="D167" s="3" t="s">
        <v>10</v>
      </c>
      <c r="E167" s="5" t="s">
        <v>11</v>
      </c>
      <c r="F167" s="17">
        <v>81.209999999999994</v>
      </c>
      <c r="G167" s="3">
        <v>10</v>
      </c>
      <c r="H167" s="17">
        <f>Table1[[#This Row],[Unit price]]*Table1[[#This Row],[Quantity]]</f>
        <v>812.09999999999991</v>
      </c>
      <c r="I167" s="29">
        <f>Table1[[#This Row],[Total Revenue]]/$H$5056*100</f>
        <v>8.6160356188885789E-2</v>
      </c>
      <c r="J167" s="3" t="s">
        <v>12</v>
      </c>
      <c r="K167" s="4">
        <v>6.3</v>
      </c>
      <c r="M167"/>
    </row>
    <row r="168" spans="1:13" x14ac:dyDescent="0.25">
      <c r="A168" s="3" t="s">
        <v>26</v>
      </c>
      <c r="B168" s="3" t="s">
        <v>244</v>
      </c>
      <c r="C168" s="3" t="s">
        <v>9</v>
      </c>
      <c r="D168" s="3" t="s">
        <v>19</v>
      </c>
      <c r="E168" s="5" t="s">
        <v>11</v>
      </c>
      <c r="F168" s="17">
        <v>57.89</v>
      </c>
      <c r="G168" s="3">
        <v>2</v>
      </c>
      <c r="H168" s="17">
        <f>Table1[[#This Row],[Unit price]]*Table1[[#This Row],[Quantity]]</f>
        <v>115.78</v>
      </c>
      <c r="I168" s="29">
        <f>Table1[[#This Row],[Total Revenue]]/$H$5056*100</f>
        <v>1.2283765594814922E-2</v>
      </c>
      <c r="J168" s="3" t="s">
        <v>17</v>
      </c>
      <c r="K168" s="4">
        <v>8.9</v>
      </c>
      <c r="M168"/>
    </row>
    <row r="169" spans="1:13" x14ac:dyDescent="0.25">
      <c r="A169" s="3" t="s">
        <v>26</v>
      </c>
      <c r="B169" s="3" t="s">
        <v>243</v>
      </c>
      <c r="C169" s="3" t="s">
        <v>13</v>
      </c>
      <c r="D169" s="3" t="s">
        <v>19</v>
      </c>
      <c r="E169" s="5" t="s">
        <v>20</v>
      </c>
      <c r="F169" s="17">
        <v>21.52</v>
      </c>
      <c r="G169" s="3">
        <v>6</v>
      </c>
      <c r="H169" s="17">
        <f>Table1[[#This Row],[Unit price]]*Table1[[#This Row],[Quantity]]</f>
        <v>129.12</v>
      </c>
      <c r="I169" s="29">
        <f>Table1[[#This Row],[Total Revenue]]/$H$5056*100</f>
        <v>1.3699082860619303E-2</v>
      </c>
      <c r="J169" s="3" t="s">
        <v>12</v>
      </c>
      <c r="K169" s="4">
        <v>9.4</v>
      </c>
      <c r="M169"/>
    </row>
    <row r="170" spans="1:13" x14ac:dyDescent="0.25">
      <c r="A170" s="3" t="s">
        <v>26</v>
      </c>
      <c r="B170" s="3" t="s">
        <v>244</v>
      </c>
      <c r="C170" s="3" t="s">
        <v>9</v>
      </c>
      <c r="D170" s="3" t="s">
        <v>10</v>
      </c>
      <c r="E170" s="5" t="s">
        <v>20</v>
      </c>
      <c r="F170" s="17">
        <v>94.59</v>
      </c>
      <c r="G170" s="3">
        <v>7</v>
      </c>
      <c r="H170" s="17">
        <f>Table1[[#This Row],[Unit price]]*Table1[[#This Row],[Quantity]]</f>
        <v>662.13</v>
      </c>
      <c r="I170" s="29">
        <f>Table1[[#This Row],[Total Revenue]]/$H$5056*100</f>
        <v>7.0249177002028013E-2</v>
      </c>
      <c r="J170" s="3" t="s">
        <v>12</v>
      </c>
      <c r="K170" s="4">
        <v>4.9000000000000004</v>
      </c>
      <c r="M170"/>
    </row>
    <row r="171" spans="1:13" x14ac:dyDescent="0.25">
      <c r="A171" s="3" t="s">
        <v>26</v>
      </c>
      <c r="B171" s="3" t="s">
        <v>245</v>
      </c>
      <c r="C171" s="3" t="s">
        <v>9</v>
      </c>
      <c r="D171" s="3" t="s">
        <v>10</v>
      </c>
      <c r="E171" s="5" t="s">
        <v>21</v>
      </c>
      <c r="F171" s="17">
        <v>62.82</v>
      </c>
      <c r="G171" s="3">
        <v>2</v>
      </c>
      <c r="H171" s="17">
        <f>Table1[[#This Row],[Unit price]]*Table1[[#This Row],[Quantity]]</f>
        <v>125.64</v>
      </c>
      <c r="I171" s="29">
        <f>Table1[[#This Row],[Total Revenue]]/$H$5056*100</f>
        <v>1.3329869660844243E-2</v>
      </c>
      <c r="J171" s="3" t="s">
        <v>17</v>
      </c>
      <c r="K171" s="4">
        <v>4.9000000000000004</v>
      </c>
      <c r="M171"/>
    </row>
    <row r="172" spans="1:13" x14ac:dyDescent="0.25">
      <c r="A172" s="3" t="s">
        <v>26</v>
      </c>
      <c r="B172" s="3" t="s">
        <v>245</v>
      </c>
      <c r="C172" s="3" t="s">
        <v>9</v>
      </c>
      <c r="D172" s="3" t="s">
        <v>19</v>
      </c>
      <c r="E172" s="5" t="s">
        <v>11</v>
      </c>
      <c r="F172" s="17">
        <v>65.650000000000006</v>
      </c>
      <c r="G172" s="3">
        <v>2</v>
      </c>
      <c r="H172" s="17">
        <f>Table1[[#This Row],[Unit price]]*Table1[[#This Row],[Quantity]]</f>
        <v>131.30000000000001</v>
      </c>
      <c r="I172" s="29">
        <f>Table1[[#This Row],[Total Revenue]]/$H$5056*100</f>
        <v>1.3930371589214022E-2</v>
      </c>
      <c r="J172" s="3" t="s">
        <v>15</v>
      </c>
      <c r="K172" s="4">
        <v>6</v>
      </c>
      <c r="M172"/>
    </row>
    <row r="173" spans="1:13" x14ac:dyDescent="0.25">
      <c r="A173" s="3" t="s">
        <v>26</v>
      </c>
      <c r="B173" s="3" t="s">
        <v>245</v>
      </c>
      <c r="C173" s="3" t="s">
        <v>9</v>
      </c>
      <c r="D173" s="3" t="s">
        <v>19</v>
      </c>
      <c r="E173" s="5" t="s">
        <v>16</v>
      </c>
      <c r="F173" s="17">
        <v>71.92</v>
      </c>
      <c r="G173" s="3">
        <v>5</v>
      </c>
      <c r="H173" s="17">
        <f>Table1[[#This Row],[Unit price]]*Table1[[#This Row],[Quantity]]</f>
        <v>359.6</v>
      </c>
      <c r="I173" s="29">
        <f>Table1[[#This Row],[Total Revenue]]/$H$5056*100</f>
        <v>3.8152030643422402E-2</v>
      </c>
      <c r="J173" s="3" t="s">
        <v>12</v>
      </c>
      <c r="K173" s="4">
        <v>4.3</v>
      </c>
      <c r="M173"/>
    </row>
    <row r="174" spans="1:13" x14ac:dyDescent="0.25">
      <c r="A174" s="3" t="s">
        <v>26</v>
      </c>
      <c r="B174" s="3" t="s">
        <v>243</v>
      </c>
      <c r="C174" s="3" t="s">
        <v>13</v>
      </c>
      <c r="D174" s="3" t="s">
        <v>19</v>
      </c>
      <c r="E174" s="5" t="s">
        <v>16</v>
      </c>
      <c r="F174" s="17">
        <v>25.7</v>
      </c>
      <c r="G174" s="3">
        <v>3</v>
      </c>
      <c r="H174" s="17">
        <f>Table1[[#This Row],[Unit price]]*Table1[[#This Row],[Quantity]]</f>
        <v>77.099999999999994</v>
      </c>
      <c r="I174" s="29">
        <f>Table1[[#This Row],[Total Revenue]]/$H$5056*100</f>
        <v>8.1799820984645895E-3</v>
      </c>
      <c r="J174" s="3" t="s">
        <v>17</v>
      </c>
      <c r="K174" s="4">
        <v>6.1</v>
      </c>
      <c r="M174"/>
    </row>
    <row r="175" spans="1:13" x14ac:dyDescent="0.25">
      <c r="A175" s="3" t="s">
        <v>26</v>
      </c>
      <c r="B175" s="3" t="s">
        <v>244</v>
      </c>
      <c r="C175" s="3" t="s">
        <v>9</v>
      </c>
      <c r="D175" s="3" t="s">
        <v>10</v>
      </c>
      <c r="E175" s="5" t="s">
        <v>20</v>
      </c>
      <c r="F175" s="17">
        <v>86.72</v>
      </c>
      <c r="G175" s="3">
        <v>1</v>
      </c>
      <c r="H175" s="17">
        <f>Table1[[#This Row],[Unit price]]*Table1[[#This Row],[Quantity]]</f>
        <v>86.72</v>
      </c>
      <c r="I175" s="29">
        <f>Table1[[#This Row],[Total Revenue]]/$H$5056*100</f>
        <v>9.2006231851990833E-3</v>
      </c>
      <c r="J175" s="3" t="s">
        <v>17</v>
      </c>
      <c r="K175" s="4">
        <v>7.9</v>
      </c>
      <c r="M175"/>
    </row>
    <row r="176" spans="1:13" x14ac:dyDescent="0.25">
      <c r="A176" s="3" t="s">
        <v>26</v>
      </c>
      <c r="B176" s="3" t="s">
        <v>243</v>
      </c>
      <c r="C176" s="3" t="s">
        <v>13</v>
      </c>
      <c r="D176" s="3" t="s">
        <v>19</v>
      </c>
      <c r="E176" s="5" t="s">
        <v>16</v>
      </c>
      <c r="F176" s="17">
        <v>58.91</v>
      </c>
      <c r="G176" s="3">
        <v>7</v>
      </c>
      <c r="H176" s="17">
        <f>Table1[[#This Row],[Unit price]]*Table1[[#This Row],[Quantity]]</f>
        <v>412.37</v>
      </c>
      <c r="I176" s="29">
        <f>Table1[[#This Row],[Total Revenue]]/$H$5056*100</f>
        <v>4.3750703215873453E-2</v>
      </c>
      <c r="J176" s="3" t="s">
        <v>17</v>
      </c>
      <c r="K176" s="4">
        <v>9.6999999999999993</v>
      </c>
      <c r="M176"/>
    </row>
    <row r="177" spans="1:13" x14ac:dyDescent="0.25">
      <c r="A177" s="3" t="s">
        <v>27</v>
      </c>
      <c r="B177" s="3" t="s">
        <v>243</v>
      </c>
      <c r="C177" s="3" t="s">
        <v>9</v>
      </c>
      <c r="D177" s="3" t="s">
        <v>10</v>
      </c>
      <c r="E177" s="5" t="s">
        <v>18</v>
      </c>
      <c r="F177" s="17">
        <v>88.15</v>
      </c>
      <c r="G177" s="3">
        <v>3</v>
      </c>
      <c r="H177" s="17">
        <f>Table1[[#This Row],[Unit price]]*Table1[[#This Row],[Quantity]]</f>
        <v>264.45000000000005</v>
      </c>
      <c r="I177" s="29">
        <f>Table1[[#This Row],[Total Revenue]]/$H$5056*100</f>
        <v>2.8057020310492366E-2</v>
      </c>
      <c r="J177" s="3" t="s">
        <v>17</v>
      </c>
      <c r="K177" s="4">
        <v>7.9</v>
      </c>
      <c r="M177"/>
    </row>
    <row r="178" spans="1:13" x14ac:dyDescent="0.25">
      <c r="A178" s="3" t="s">
        <v>27</v>
      </c>
      <c r="B178" s="3" t="s">
        <v>245</v>
      </c>
      <c r="C178" s="3" t="s">
        <v>13</v>
      </c>
      <c r="D178" s="3" t="s">
        <v>10</v>
      </c>
      <c r="E178" s="5" t="s">
        <v>21</v>
      </c>
      <c r="F178" s="17">
        <v>39.42</v>
      </c>
      <c r="G178" s="3">
        <v>1</v>
      </c>
      <c r="H178" s="17">
        <f>Table1[[#This Row],[Unit price]]*Table1[[#This Row],[Quantity]]</f>
        <v>39.42</v>
      </c>
      <c r="I178" s="29">
        <f>Table1[[#This Row],[Total Revenue]]/$H$5056*100</f>
        <v>4.1822943491760601E-3</v>
      </c>
      <c r="J178" s="3" t="s">
        <v>15</v>
      </c>
      <c r="K178" s="4">
        <v>8.4</v>
      </c>
      <c r="M178"/>
    </row>
    <row r="179" spans="1:13" x14ac:dyDescent="0.25">
      <c r="A179" s="3" t="s">
        <v>27</v>
      </c>
      <c r="B179" s="3" t="s">
        <v>243</v>
      </c>
      <c r="C179" s="3" t="s">
        <v>13</v>
      </c>
      <c r="D179" s="3" t="s">
        <v>10</v>
      </c>
      <c r="E179" s="5" t="s">
        <v>14</v>
      </c>
      <c r="F179" s="17">
        <v>26.31</v>
      </c>
      <c r="G179" s="3">
        <v>5</v>
      </c>
      <c r="H179" s="17">
        <f>Table1[[#This Row],[Unit price]]*Table1[[#This Row],[Quantity]]</f>
        <v>131.54999999999998</v>
      </c>
      <c r="I179" s="29">
        <f>Table1[[#This Row],[Total Revenue]]/$H$5056*100</f>
        <v>1.3956895525979467E-2</v>
      </c>
      <c r="J179" s="3" t="s">
        <v>12</v>
      </c>
      <c r="K179" s="4">
        <v>8.8000000000000007</v>
      </c>
      <c r="M179"/>
    </row>
    <row r="180" spans="1:13" x14ac:dyDescent="0.25">
      <c r="A180" s="3" t="s">
        <v>27</v>
      </c>
      <c r="B180" s="3" t="s">
        <v>245</v>
      </c>
      <c r="C180" s="3" t="s">
        <v>13</v>
      </c>
      <c r="D180" s="3" t="s">
        <v>19</v>
      </c>
      <c r="E180" s="5" t="s">
        <v>18</v>
      </c>
      <c r="F180" s="17">
        <v>60.74</v>
      </c>
      <c r="G180" s="3">
        <v>7</v>
      </c>
      <c r="H180" s="17">
        <f>Table1[[#This Row],[Unit price]]*Table1[[#This Row],[Quantity]]</f>
        <v>425.18</v>
      </c>
      <c r="I180" s="29">
        <f>Table1[[#This Row],[Total Revenue]]/$H$5056*100</f>
        <v>4.5109789735735081E-2</v>
      </c>
      <c r="J180" s="3" t="s">
        <v>17</v>
      </c>
      <c r="K180" s="4">
        <v>5</v>
      </c>
      <c r="M180"/>
    </row>
    <row r="181" spans="1:13" x14ac:dyDescent="0.25">
      <c r="A181" s="3" t="s">
        <v>27</v>
      </c>
      <c r="B181" s="3" t="s">
        <v>244</v>
      </c>
      <c r="C181" s="3" t="s">
        <v>13</v>
      </c>
      <c r="D181" s="3" t="s">
        <v>19</v>
      </c>
      <c r="E181" s="5" t="s">
        <v>11</v>
      </c>
      <c r="F181" s="17">
        <v>19.79</v>
      </c>
      <c r="G181" s="3">
        <v>8</v>
      </c>
      <c r="H181" s="17">
        <f>Table1[[#This Row],[Unit price]]*Table1[[#This Row],[Quantity]]</f>
        <v>158.32</v>
      </c>
      <c r="I181" s="29">
        <f>Table1[[#This Row],[Total Revenue]]/$H$5056*100</f>
        <v>1.6797078674823787E-2</v>
      </c>
      <c r="J181" s="3" t="s">
        <v>17</v>
      </c>
      <c r="K181" s="4">
        <v>8.6999999999999993</v>
      </c>
      <c r="M181"/>
    </row>
    <row r="182" spans="1:13" x14ac:dyDescent="0.25">
      <c r="A182" s="3" t="s">
        <v>27</v>
      </c>
      <c r="B182" s="3" t="s">
        <v>243</v>
      </c>
      <c r="C182" s="3" t="s">
        <v>9</v>
      </c>
      <c r="D182" s="3" t="s">
        <v>19</v>
      </c>
      <c r="E182" s="5" t="s">
        <v>20</v>
      </c>
      <c r="F182" s="17">
        <v>19.36</v>
      </c>
      <c r="G182" s="3">
        <v>9</v>
      </c>
      <c r="H182" s="17">
        <f>Table1[[#This Row],[Unit price]]*Table1[[#This Row],[Quantity]]</f>
        <v>174.24</v>
      </c>
      <c r="I182" s="29">
        <f>Table1[[#This Row],[Total Revenue]]/$H$5056*100</f>
        <v>1.8486122968047605E-2</v>
      </c>
      <c r="J182" s="3" t="s">
        <v>17</v>
      </c>
      <c r="K182" s="4">
        <v>8.6999999999999993</v>
      </c>
      <c r="M182"/>
    </row>
    <row r="183" spans="1:13" x14ac:dyDescent="0.25">
      <c r="A183" s="3" t="s">
        <v>27</v>
      </c>
      <c r="B183" s="3" t="s">
        <v>243</v>
      </c>
      <c r="C183" s="3" t="s">
        <v>9</v>
      </c>
      <c r="D183" s="3" t="s">
        <v>19</v>
      </c>
      <c r="E183" s="5" t="s">
        <v>16</v>
      </c>
      <c r="F183" s="17">
        <v>89.06</v>
      </c>
      <c r="G183" s="3">
        <v>6</v>
      </c>
      <c r="H183" s="17">
        <f>Table1[[#This Row],[Unit price]]*Table1[[#This Row],[Quantity]]</f>
        <v>534.36</v>
      </c>
      <c r="I183" s="29">
        <f>Table1[[#This Row],[Total Revenue]]/$H$5056*100</f>
        <v>5.6693323399942146E-2</v>
      </c>
      <c r="J183" s="3" t="s">
        <v>15</v>
      </c>
      <c r="K183" s="4">
        <v>9.9</v>
      </c>
      <c r="M183"/>
    </row>
    <row r="184" spans="1:13" x14ac:dyDescent="0.25">
      <c r="A184" s="3" t="s">
        <v>27</v>
      </c>
      <c r="B184" s="3" t="s">
        <v>245</v>
      </c>
      <c r="C184" s="3" t="s">
        <v>9</v>
      </c>
      <c r="D184" s="3" t="s">
        <v>10</v>
      </c>
      <c r="E184" s="5" t="s">
        <v>16</v>
      </c>
      <c r="F184" s="17">
        <v>90.63</v>
      </c>
      <c r="G184" s="3">
        <v>9</v>
      </c>
      <c r="H184" s="17">
        <f>Table1[[#This Row],[Unit price]]*Table1[[#This Row],[Quantity]]</f>
        <v>815.67</v>
      </c>
      <c r="I184" s="29">
        <f>Table1[[#This Row],[Total Revenue]]/$H$5056*100</f>
        <v>8.6539118005896407E-2</v>
      </c>
      <c r="J184" s="3" t="s">
        <v>15</v>
      </c>
      <c r="K184" s="4">
        <v>5.0999999999999996</v>
      </c>
      <c r="M184"/>
    </row>
    <row r="185" spans="1:13" x14ac:dyDescent="0.25">
      <c r="A185" s="3" t="s">
        <v>27</v>
      </c>
      <c r="B185" s="3" t="s">
        <v>244</v>
      </c>
      <c r="C185" s="3" t="s">
        <v>9</v>
      </c>
      <c r="D185" s="3" t="s">
        <v>10</v>
      </c>
      <c r="E185" s="5" t="s">
        <v>18</v>
      </c>
      <c r="F185" s="17">
        <v>17.48</v>
      </c>
      <c r="G185" s="3">
        <v>6</v>
      </c>
      <c r="H185" s="17">
        <f>Table1[[#This Row],[Unit price]]*Table1[[#This Row],[Quantity]]</f>
        <v>104.88</v>
      </c>
      <c r="I185" s="29">
        <f>Table1[[#This Row],[Total Revenue]]/$H$5056*100</f>
        <v>1.1127321951841327E-2</v>
      </c>
      <c r="J185" s="3" t="s">
        <v>12</v>
      </c>
      <c r="K185" s="4">
        <v>6.1</v>
      </c>
      <c r="M185"/>
    </row>
    <row r="186" spans="1:13" x14ac:dyDescent="0.25">
      <c r="A186" s="3" t="s">
        <v>28</v>
      </c>
      <c r="B186" s="3" t="s">
        <v>244</v>
      </c>
      <c r="C186" s="3" t="s">
        <v>9</v>
      </c>
      <c r="D186" s="3" t="s">
        <v>10</v>
      </c>
      <c r="E186" s="5" t="s">
        <v>14</v>
      </c>
      <c r="F186" s="17">
        <v>12.1</v>
      </c>
      <c r="G186" s="3">
        <v>8</v>
      </c>
      <c r="H186" s="17">
        <f>Table1[[#This Row],[Unit price]]*Table1[[#This Row],[Quantity]]</f>
        <v>96.8</v>
      </c>
      <c r="I186" s="29">
        <f>Table1[[#This Row],[Total Revenue]]/$H$5056*100</f>
        <v>1.0270068315582003E-2</v>
      </c>
      <c r="J186" s="3" t="s">
        <v>17</v>
      </c>
      <c r="K186" s="4">
        <v>8.6</v>
      </c>
      <c r="M186"/>
    </row>
    <row r="187" spans="1:13" x14ac:dyDescent="0.25">
      <c r="A187" s="3" t="s">
        <v>28</v>
      </c>
      <c r="B187" s="3" t="s">
        <v>245</v>
      </c>
      <c r="C187" s="3" t="s">
        <v>9</v>
      </c>
      <c r="D187" s="3" t="s">
        <v>19</v>
      </c>
      <c r="E187" s="5" t="s">
        <v>16</v>
      </c>
      <c r="F187" s="17">
        <v>80.930000000000007</v>
      </c>
      <c r="G187" s="3">
        <v>1</v>
      </c>
      <c r="H187" s="17">
        <f>Table1[[#This Row],[Unit price]]*Table1[[#This Row],[Quantity]]</f>
        <v>80.930000000000007</v>
      </c>
      <c r="I187" s="29">
        <f>Table1[[#This Row],[Total Revenue]]/$H$5056*100</f>
        <v>8.5863288097112762E-3</v>
      </c>
      <c r="J187" s="3" t="s">
        <v>12</v>
      </c>
      <c r="K187" s="4">
        <v>9</v>
      </c>
      <c r="M187"/>
    </row>
    <row r="188" spans="1:13" x14ac:dyDescent="0.25">
      <c r="A188" s="3" t="s">
        <v>28</v>
      </c>
      <c r="B188" s="3" t="s">
        <v>243</v>
      </c>
      <c r="C188" s="3" t="s">
        <v>13</v>
      </c>
      <c r="D188" s="3" t="s">
        <v>10</v>
      </c>
      <c r="E188" s="5" t="s">
        <v>18</v>
      </c>
      <c r="F188" s="17">
        <v>99.1</v>
      </c>
      <c r="G188" s="3">
        <v>6</v>
      </c>
      <c r="H188" s="17">
        <f>Table1[[#This Row],[Unit price]]*Table1[[#This Row],[Quantity]]</f>
        <v>594.59999999999991</v>
      </c>
      <c r="I188" s="29">
        <f>Table1[[#This Row],[Total Revenue]]/$H$5056*100</f>
        <v>6.3084531202944813E-2</v>
      </c>
      <c r="J188" s="3" t="s">
        <v>15</v>
      </c>
      <c r="K188" s="4">
        <v>4.2</v>
      </c>
      <c r="M188"/>
    </row>
    <row r="189" spans="1:13" x14ac:dyDescent="0.25">
      <c r="A189" s="3" t="s">
        <v>28</v>
      </c>
      <c r="B189" s="3" t="s">
        <v>244</v>
      </c>
      <c r="C189" s="3" t="s">
        <v>13</v>
      </c>
      <c r="D189" s="3" t="s">
        <v>19</v>
      </c>
      <c r="E189" s="5" t="s">
        <v>16</v>
      </c>
      <c r="F189" s="17">
        <v>63.06</v>
      </c>
      <c r="G189" s="3">
        <v>3</v>
      </c>
      <c r="H189" s="17">
        <f>Table1[[#This Row],[Unit price]]*Table1[[#This Row],[Quantity]]</f>
        <v>189.18</v>
      </c>
      <c r="I189" s="29">
        <f>Table1[[#This Row],[Total Revenue]]/$H$5056*100</f>
        <v>2.0071193429150862E-2</v>
      </c>
      <c r="J189" s="3" t="s">
        <v>17</v>
      </c>
      <c r="K189" s="4">
        <v>7</v>
      </c>
      <c r="M189"/>
    </row>
    <row r="190" spans="1:13" x14ac:dyDescent="0.25">
      <c r="A190" s="3" t="s">
        <v>28</v>
      </c>
      <c r="B190" s="3" t="s">
        <v>243</v>
      </c>
      <c r="C190" s="3" t="s">
        <v>13</v>
      </c>
      <c r="D190" s="3" t="s">
        <v>19</v>
      </c>
      <c r="E190" s="5" t="s">
        <v>16</v>
      </c>
      <c r="F190" s="17">
        <v>64.19</v>
      </c>
      <c r="G190" s="3">
        <v>10</v>
      </c>
      <c r="H190" s="17">
        <f>Table1[[#This Row],[Unit price]]*Table1[[#This Row],[Quantity]]</f>
        <v>641.9</v>
      </c>
      <c r="I190" s="29">
        <f>Table1[[#This Row],[Total Revenue]]/$H$5056*100</f>
        <v>6.8102860038967844E-2</v>
      </c>
      <c r="J190" s="3" t="s">
        <v>12</v>
      </c>
      <c r="K190" s="4">
        <v>6.7</v>
      </c>
      <c r="M190"/>
    </row>
    <row r="191" spans="1:13" x14ac:dyDescent="0.25">
      <c r="A191" s="3" t="s">
        <v>28</v>
      </c>
      <c r="B191" s="3" t="s">
        <v>243</v>
      </c>
      <c r="C191" s="3" t="s">
        <v>13</v>
      </c>
      <c r="D191" s="3" t="s">
        <v>10</v>
      </c>
      <c r="E191" s="5" t="s">
        <v>20</v>
      </c>
      <c r="F191" s="17">
        <v>45.68</v>
      </c>
      <c r="G191" s="3">
        <v>10</v>
      </c>
      <c r="H191" s="17">
        <f>Table1[[#This Row],[Unit price]]*Table1[[#This Row],[Quantity]]</f>
        <v>456.8</v>
      </c>
      <c r="I191" s="29">
        <f>Table1[[#This Row],[Total Revenue]]/$H$5056*100</f>
        <v>4.8464537257829128E-2</v>
      </c>
      <c r="J191" s="3" t="s">
        <v>17</v>
      </c>
      <c r="K191" s="4">
        <v>5.7</v>
      </c>
      <c r="M191"/>
    </row>
    <row r="192" spans="1:13" x14ac:dyDescent="0.25">
      <c r="A192" s="3" t="s">
        <v>28</v>
      </c>
      <c r="B192" s="3" t="s">
        <v>245</v>
      </c>
      <c r="C192" s="3" t="s">
        <v>9</v>
      </c>
      <c r="D192" s="3" t="s">
        <v>19</v>
      </c>
      <c r="E192" s="5" t="s">
        <v>11</v>
      </c>
      <c r="F192" s="17">
        <v>59.59</v>
      </c>
      <c r="G192" s="3">
        <v>4</v>
      </c>
      <c r="H192" s="17">
        <f>Table1[[#This Row],[Unit price]]*Table1[[#This Row],[Quantity]]</f>
        <v>238.36</v>
      </c>
      <c r="I192" s="29">
        <f>Table1[[#This Row],[Total Revenue]]/$H$5056*100</f>
        <v>2.5288982269650068E-2</v>
      </c>
      <c r="J192" s="3" t="s">
        <v>15</v>
      </c>
      <c r="K192" s="4">
        <v>9.8000000000000007</v>
      </c>
      <c r="M192"/>
    </row>
    <row r="193" spans="1:13" x14ac:dyDescent="0.25">
      <c r="A193" s="3" t="s">
        <v>28</v>
      </c>
      <c r="B193" s="3" t="s">
        <v>243</v>
      </c>
      <c r="C193" s="3" t="s">
        <v>9</v>
      </c>
      <c r="D193" s="3" t="s">
        <v>19</v>
      </c>
      <c r="E193" s="5" t="s">
        <v>14</v>
      </c>
      <c r="F193" s="17">
        <v>11.94</v>
      </c>
      <c r="G193" s="3">
        <v>3</v>
      </c>
      <c r="H193" s="17">
        <f>Table1[[#This Row],[Unit price]]*Table1[[#This Row],[Quantity]]</f>
        <v>35.82</v>
      </c>
      <c r="I193" s="29">
        <f>Table1[[#This Row],[Total Revenue]]/$H$5056*100</f>
        <v>3.8003496597535883E-3</v>
      </c>
      <c r="J193" s="3" t="s">
        <v>12</v>
      </c>
      <c r="K193" s="4">
        <v>8.1</v>
      </c>
      <c r="M193"/>
    </row>
    <row r="194" spans="1:13" x14ac:dyDescent="0.25">
      <c r="A194" s="3" t="s">
        <v>28</v>
      </c>
      <c r="B194" s="3" t="s">
        <v>245</v>
      </c>
      <c r="C194" s="3" t="s">
        <v>13</v>
      </c>
      <c r="D194" s="3" t="s">
        <v>10</v>
      </c>
      <c r="E194" s="5" t="s">
        <v>14</v>
      </c>
      <c r="F194" s="17">
        <v>56.13</v>
      </c>
      <c r="G194" s="3">
        <v>4</v>
      </c>
      <c r="H194" s="17">
        <f>Table1[[#This Row],[Unit price]]*Table1[[#This Row],[Quantity]]</f>
        <v>224.52</v>
      </c>
      <c r="I194" s="29">
        <f>Table1[[#This Row],[Total Revenue]]/$H$5056*100</f>
        <v>2.3820617130314789E-2</v>
      </c>
      <c r="J194" s="3" t="s">
        <v>17</v>
      </c>
      <c r="K194" s="4">
        <v>8.6</v>
      </c>
      <c r="M194"/>
    </row>
    <row r="195" spans="1:13" x14ac:dyDescent="0.25">
      <c r="A195" s="3" t="s">
        <v>28</v>
      </c>
      <c r="B195" s="3" t="s">
        <v>245</v>
      </c>
      <c r="C195" s="3" t="s">
        <v>13</v>
      </c>
      <c r="D195" s="3" t="s">
        <v>10</v>
      </c>
      <c r="E195" s="5" t="s">
        <v>11</v>
      </c>
      <c r="F195" s="17">
        <v>43.18</v>
      </c>
      <c r="G195" s="3">
        <v>8</v>
      </c>
      <c r="H195" s="17">
        <f>Table1[[#This Row],[Unit price]]*Table1[[#This Row],[Quantity]]</f>
        <v>345.44</v>
      </c>
      <c r="I195" s="29">
        <f>Table1[[#This Row],[Total Revenue]]/$H$5056*100</f>
        <v>3.6649714865027348E-2</v>
      </c>
      <c r="J195" s="3" t="s">
        <v>12</v>
      </c>
      <c r="K195" s="4">
        <v>8.3000000000000007</v>
      </c>
      <c r="M195"/>
    </row>
    <row r="196" spans="1:13" x14ac:dyDescent="0.25">
      <c r="A196" s="3" t="s">
        <v>28</v>
      </c>
      <c r="B196" s="3" t="s">
        <v>244</v>
      </c>
      <c r="C196" s="3" t="s">
        <v>9</v>
      </c>
      <c r="D196" s="3" t="s">
        <v>19</v>
      </c>
      <c r="E196" s="5" t="s">
        <v>14</v>
      </c>
      <c r="F196" s="17">
        <v>52.89</v>
      </c>
      <c r="G196" s="3">
        <v>6</v>
      </c>
      <c r="H196" s="17">
        <f>Table1[[#This Row],[Unit price]]*Table1[[#This Row],[Quantity]]</f>
        <v>317.34000000000003</v>
      </c>
      <c r="I196" s="29">
        <f>Table1[[#This Row],[Total Revenue]]/$H$5056*100</f>
        <v>3.3668424372590842E-2</v>
      </c>
      <c r="J196" s="3" t="s">
        <v>12</v>
      </c>
      <c r="K196" s="4">
        <v>9.8000000000000007</v>
      </c>
      <c r="M196"/>
    </row>
    <row r="197" spans="1:13" x14ac:dyDescent="0.25">
      <c r="A197" s="3" t="s">
        <v>28</v>
      </c>
      <c r="B197" s="3" t="s">
        <v>243</v>
      </c>
      <c r="C197" s="3" t="s">
        <v>13</v>
      </c>
      <c r="D197" s="3" t="s">
        <v>19</v>
      </c>
      <c r="E197" s="5" t="s">
        <v>11</v>
      </c>
      <c r="F197" s="17">
        <v>33.880000000000003</v>
      </c>
      <c r="G197" s="3">
        <v>8</v>
      </c>
      <c r="H197" s="17">
        <f>Table1[[#This Row],[Unit price]]*Table1[[#This Row],[Quantity]]</f>
        <v>271.04000000000002</v>
      </c>
      <c r="I197" s="29">
        <f>Table1[[#This Row],[Total Revenue]]/$H$5056*100</f>
        <v>2.8756191283629613E-2</v>
      </c>
      <c r="J197" s="3" t="s">
        <v>17</v>
      </c>
      <c r="K197" s="4">
        <v>9.6</v>
      </c>
      <c r="M197"/>
    </row>
    <row r="198" spans="1:13" x14ac:dyDescent="0.25">
      <c r="A198" s="3" t="s">
        <v>28</v>
      </c>
      <c r="B198" s="3" t="s">
        <v>243</v>
      </c>
      <c r="C198" s="3" t="s">
        <v>9</v>
      </c>
      <c r="D198" s="3" t="s">
        <v>19</v>
      </c>
      <c r="E198" s="5" t="s">
        <v>16</v>
      </c>
      <c r="F198" s="17">
        <v>67.260000000000005</v>
      </c>
      <c r="G198" s="3">
        <v>4</v>
      </c>
      <c r="H198" s="17">
        <f>Table1[[#This Row],[Unit price]]*Table1[[#This Row],[Quantity]]</f>
        <v>269.04000000000002</v>
      </c>
      <c r="I198" s="29">
        <f>Table1[[#This Row],[Total Revenue]]/$H$5056*100</f>
        <v>2.8543999789506017E-2</v>
      </c>
      <c r="J198" s="3" t="s">
        <v>12</v>
      </c>
      <c r="K198" s="4">
        <v>8</v>
      </c>
      <c r="M198"/>
    </row>
    <row r="199" spans="1:13" x14ac:dyDescent="0.25">
      <c r="A199" s="3" t="s">
        <v>28</v>
      </c>
      <c r="B199" s="3" t="s">
        <v>245</v>
      </c>
      <c r="C199" s="3" t="s">
        <v>9</v>
      </c>
      <c r="D199" s="3" t="s">
        <v>10</v>
      </c>
      <c r="E199" s="5" t="s">
        <v>20</v>
      </c>
      <c r="F199" s="17">
        <v>88.61</v>
      </c>
      <c r="G199" s="3">
        <v>1</v>
      </c>
      <c r="H199" s="17">
        <f>Table1[[#This Row],[Unit price]]*Table1[[#This Row],[Quantity]]</f>
        <v>88.61</v>
      </c>
      <c r="I199" s="29">
        <f>Table1[[#This Row],[Total Revenue]]/$H$5056*100</f>
        <v>9.4011441471458807E-3</v>
      </c>
      <c r="J199" s="3" t="s">
        <v>15</v>
      </c>
      <c r="K199" s="4">
        <v>7.7</v>
      </c>
      <c r="M199"/>
    </row>
    <row r="200" spans="1:13" x14ac:dyDescent="0.25">
      <c r="A200" s="3" t="s">
        <v>28</v>
      </c>
      <c r="B200" s="3" t="s">
        <v>243</v>
      </c>
      <c r="C200" s="3" t="s">
        <v>9</v>
      </c>
      <c r="D200" s="3" t="s">
        <v>19</v>
      </c>
      <c r="E200" s="5" t="s">
        <v>20</v>
      </c>
      <c r="F200" s="17">
        <v>58.07</v>
      </c>
      <c r="G200" s="3">
        <v>9</v>
      </c>
      <c r="H200" s="17">
        <f>Table1[[#This Row],[Unit price]]*Table1[[#This Row],[Quantity]]</f>
        <v>522.63</v>
      </c>
      <c r="I200" s="29">
        <f>Table1[[#This Row],[Total Revenue]]/$H$5056*100</f>
        <v>5.5448820286907258E-2</v>
      </c>
      <c r="J200" s="3" t="s">
        <v>17</v>
      </c>
      <c r="K200" s="4">
        <v>4.3</v>
      </c>
      <c r="M200"/>
    </row>
    <row r="201" spans="1:13" x14ac:dyDescent="0.25">
      <c r="A201" s="3" t="s">
        <v>28</v>
      </c>
      <c r="B201" s="3" t="s">
        <v>243</v>
      </c>
      <c r="C201" s="3" t="s">
        <v>13</v>
      </c>
      <c r="D201" s="3" t="s">
        <v>19</v>
      </c>
      <c r="E201" s="5" t="s">
        <v>11</v>
      </c>
      <c r="F201" s="17">
        <v>51.28</v>
      </c>
      <c r="G201" s="3">
        <v>6</v>
      </c>
      <c r="H201" s="17">
        <f>Table1[[#This Row],[Unit price]]*Table1[[#This Row],[Quantity]]</f>
        <v>307.68</v>
      </c>
      <c r="I201" s="29">
        <f>Table1[[#This Row],[Total Revenue]]/$H$5056*100</f>
        <v>3.2643539455973869E-2</v>
      </c>
      <c r="J201" s="3" t="s">
        <v>15</v>
      </c>
      <c r="K201" s="4">
        <v>6.5</v>
      </c>
      <c r="M201"/>
    </row>
    <row r="202" spans="1:13" x14ac:dyDescent="0.25">
      <c r="A202" s="3" t="s">
        <v>29</v>
      </c>
      <c r="B202" s="3" t="s">
        <v>245</v>
      </c>
      <c r="C202" s="3" t="s">
        <v>9</v>
      </c>
      <c r="D202" s="3" t="s">
        <v>19</v>
      </c>
      <c r="E202" s="5" t="s">
        <v>16</v>
      </c>
      <c r="F202" s="17">
        <v>82.93</v>
      </c>
      <c r="G202" s="3">
        <v>4</v>
      </c>
      <c r="H202" s="17">
        <f>Table1[[#This Row],[Unit price]]*Table1[[#This Row],[Quantity]]</f>
        <v>331.72</v>
      </c>
      <c r="I202" s="29">
        <f>Table1[[#This Row],[Total Revenue]]/$H$5056*100</f>
        <v>3.5194081215339484E-2</v>
      </c>
      <c r="J202" s="3" t="s">
        <v>17</v>
      </c>
      <c r="K202" s="4">
        <v>9.6</v>
      </c>
      <c r="M202"/>
    </row>
    <row r="203" spans="1:13" x14ac:dyDescent="0.25">
      <c r="A203" s="3" t="s">
        <v>29</v>
      </c>
      <c r="B203" s="3" t="s">
        <v>243</v>
      </c>
      <c r="C203" s="3" t="s">
        <v>9</v>
      </c>
      <c r="D203" s="3" t="s">
        <v>19</v>
      </c>
      <c r="E203" s="5" t="s">
        <v>21</v>
      </c>
      <c r="F203" s="17">
        <v>55.5</v>
      </c>
      <c r="G203" s="3">
        <v>4</v>
      </c>
      <c r="H203" s="17">
        <f>Table1[[#This Row],[Unit price]]*Table1[[#This Row],[Quantity]]</f>
        <v>222</v>
      </c>
      <c r="I203" s="29">
        <f>Table1[[#This Row],[Total Revenue]]/$H$5056*100</f>
        <v>2.3553255847719057E-2</v>
      </c>
      <c r="J203" s="3" t="s">
        <v>12</v>
      </c>
      <c r="K203" s="4">
        <v>6.6</v>
      </c>
      <c r="M203"/>
    </row>
    <row r="204" spans="1:13" x14ac:dyDescent="0.25">
      <c r="A204" s="3" t="s">
        <v>29</v>
      </c>
      <c r="B204" s="3" t="s">
        <v>243</v>
      </c>
      <c r="C204" s="3" t="s">
        <v>13</v>
      </c>
      <c r="D204" s="3" t="s">
        <v>10</v>
      </c>
      <c r="E204" s="5" t="s">
        <v>16</v>
      </c>
      <c r="F204" s="17">
        <v>93.14</v>
      </c>
      <c r="G204" s="3">
        <v>2</v>
      </c>
      <c r="H204" s="17">
        <f>Table1[[#This Row],[Unit price]]*Table1[[#This Row],[Quantity]]</f>
        <v>186.28</v>
      </c>
      <c r="I204" s="29">
        <f>Table1[[#This Row],[Total Revenue]]/$H$5056*100</f>
        <v>1.976351576267165E-2</v>
      </c>
      <c r="J204" s="3" t="s">
        <v>17</v>
      </c>
      <c r="K204" s="4">
        <v>4.0999999999999996</v>
      </c>
      <c r="M204"/>
    </row>
    <row r="205" spans="1:13" x14ac:dyDescent="0.25">
      <c r="A205" s="3" t="s">
        <v>29</v>
      </c>
      <c r="B205" s="3" t="s">
        <v>244</v>
      </c>
      <c r="C205" s="3" t="s">
        <v>13</v>
      </c>
      <c r="D205" s="3" t="s">
        <v>19</v>
      </c>
      <c r="E205" s="5" t="s">
        <v>20</v>
      </c>
      <c r="F205" s="17">
        <v>53.44</v>
      </c>
      <c r="G205" s="3">
        <v>2</v>
      </c>
      <c r="H205" s="17">
        <f>Table1[[#This Row],[Unit price]]*Table1[[#This Row],[Quantity]]</f>
        <v>106.88</v>
      </c>
      <c r="I205" s="29">
        <f>Table1[[#This Row],[Total Revenue]]/$H$5056*100</f>
        <v>1.1339513445964922E-2</v>
      </c>
      <c r="J205" s="3" t="s">
        <v>17</v>
      </c>
      <c r="K205" s="4">
        <v>4.0999999999999996</v>
      </c>
      <c r="M205"/>
    </row>
    <row r="206" spans="1:13" x14ac:dyDescent="0.25">
      <c r="A206" s="3" t="s">
        <v>29</v>
      </c>
      <c r="B206" s="3" t="s">
        <v>244</v>
      </c>
      <c r="C206" s="3" t="s">
        <v>13</v>
      </c>
      <c r="D206" s="3" t="s">
        <v>19</v>
      </c>
      <c r="E206" s="5" t="s">
        <v>20</v>
      </c>
      <c r="F206" s="17">
        <v>37.479999999999997</v>
      </c>
      <c r="G206" s="3">
        <v>3</v>
      </c>
      <c r="H206" s="17">
        <f>Table1[[#This Row],[Unit price]]*Table1[[#This Row],[Quantity]]</f>
        <v>112.44</v>
      </c>
      <c r="I206" s="29">
        <f>Table1[[#This Row],[Total Revenue]]/$H$5056*100</f>
        <v>1.1929405799628517E-2</v>
      </c>
      <c r="J206" s="3" t="s">
        <v>12</v>
      </c>
      <c r="K206" s="4">
        <v>7.7</v>
      </c>
      <c r="M206"/>
    </row>
    <row r="207" spans="1:13" x14ac:dyDescent="0.25">
      <c r="A207" s="3" t="s">
        <v>29</v>
      </c>
      <c r="B207" s="3" t="s">
        <v>245</v>
      </c>
      <c r="C207" s="3" t="s">
        <v>13</v>
      </c>
      <c r="D207" s="3" t="s">
        <v>19</v>
      </c>
      <c r="E207" s="5" t="s">
        <v>18</v>
      </c>
      <c r="F207" s="17">
        <v>15.62</v>
      </c>
      <c r="G207" s="3">
        <v>8</v>
      </c>
      <c r="H207" s="17">
        <f>Table1[[#This Row],[Unit price]]*Table1[[#This Row],[Quantity]]</f>
        <v>124.96</v>
      </c>
      <c r="I207" s="29">
        <f>Table1[[#This Row],[Total Revenue]]/$H$5056*100</f>
        <v>1.325772455284222E-2</v>
      </c>
      <c r="J207" s="3" t="s">
        <v>17</v>
      </c>
      <c r="K207" s="4">
        <v>9.1</v>
      </c>
      <c r="M207"/>
    </row>
    <row r="208" spans="1:13" x14ac:dyDescent="0.25">
      <c r="A208" s="3" t="s">
        <v>29</v>
      </c>
      <c r="B208" s="3" t="s">
        <v>243</v>
      </c>
      <c r="C208" s="3" t="s">
        <v>9</v>
      </c>
      <c r="D208" s="3" t="s">
        <v>10</v>
      </c>
      <c r="E208" s="5" t="s">
        <v>20</v>
      </c>
      <c r="F208" s="17">
        <v>72.349999999999994</v>
      </c>
      <c r="G208" s="3">
        <v>10</v>
      </c>
      <c r="H208" s="17">
        <f>Table1[[#This Row],[Unit price]]*Table1[[#This Row],[Quantity]]</f>
        <v>723.5</v>
      </c>
      <c r="I208" s="29">
        <f>Table1[[#This Row],[Total Revenue]]/$H$5056*100</f>
        <v>7.6760272999210538E-2</v>
      </c>
      <c r="J208" s="3" t="s">
        <v>15</v>
      </c>
      <c r="K208" s="4">
        <v>5.4</v>
      </c>
      <c r="M208"/>
    </row>
    <row r="209" spans="1:13" x14ac:dyDescent="0.25">
      <c r="A209" s="3" t="s">
        <v>29</v>
      </c>
      <c r="B209" s="3" t="s">
        <v>245</v>
      </c>
      <c r="C209" s="3" t="s">
        <v>13</v>
      </c>
      <c r="D209" s="3" t="s">
        <v>19</v>
      </c>
      <c r="E209" s="5" t="s">
        <v>21</v>
      </c>
      <c r="F209" s="17">
        <v>64.08</v>
      </c>
      <c r="G209" s="3">
        <v>7</v>
      </c>
      <c r="H209" s="17">
        <f>Table1[[#This Row],[Unit price]]*Table1[[#This Row],[Quantity]]</f>
        <v>448.56</v>
      </c>
      <c r="I209" s="29">
        <f>Table1[[#This Row],[Total Revenue]]/$H$5056*100</f>
        <v>4.7590308302039912E-2</v>
      </c>
      <c r="J209" s="3" t="s">
        <v>17</v>
      </c>
      <c r="K209" s="4">
        <v>7.6</v>
      </c>
      <c r="M209"/>
    </row>
    <row r="210" spans="1:13" x14ac:dyDescent="0.25">
      <c r="A210" s="3" t="s">
        <v>29</v>
      </c>
      <c r="B210" s="3" t="s">
        <v>243</v>
      </c>
      <c r="C210" s="3" t="s">
        <v>9</v>
      </c>
      <c r="D210" s="3" t="s">
        <v>10</v>
      </c>
      <c r="E210" s="5" t="s">
        <v>18</v>
      </c>
      <c r="F210" s="17">
        <v>63.88</v>
      </c>
      <c r="G210" s="3">
        <v>8</v>
      </c>
      <c r="H210" s="17">
        <f>Table1[[#This Row],[Unit price]]*Table1[[#This Row],[Quantity]]</f>
        <v>511.04</v>
      </c>
      <c r="I210" s="29">
        <f>Table1[[#This Row],[Total Revenue]]/$H$5056*100</f>
        <v>5.4219170578461026E-2</v>
      </c>
      <c r="J210" s="3" t="s">
        <v>17</v>
      </c>
      <c r="K210" s="4">
        <v>9.9</v>
      </c>
      <c r="M210"/>
    </row>
    <row r="211" spans="1:13" x14ac:dyDescent="0.25">
      <c r="A211" s="3" t="s">
        <v>29</v>
      </c>
      <c r="B211" s="3" t="s">
        <v>245</v>
      </c>
      <c r="C211" s="3" t="s">
        <v>9</v>
      </c>
      <c r="D211" s="3" t="s">
        <v>10</v>
      </c>
      <c r="E211" s="5" t="s">
        <v>20</v>
      </c>
      <c r="F211" s="17">
        <v>89.25</v>
      </c>
      <c r="G211" s="3">
        <v>8</v>
      </c>
      <c r="H211" s="17">
        <f>Table1[[#This Row],[Unit price]]*Table1[[#This Row],[Quantity]]</f>
        <v>714</v>
      </c>
      <c r="I211" s="29">
        <f>Table1[[#This Row],[Total Revenue]]/$H$5056*100</f>
        <v>7.5752363402123463E-2</v>
      </c>
      <c r="J211" s="3" t="s">
        <v>15</v>
      </c>
      <c r="K211" s="4">
        <v>4.7</v>
      </c>
      <c r="M211"/>
    </row>
    <row r="212" spans="1:13" x14ac:dyDescent="0.25">
      <c r="A212" s="3" t="s">
        <v>30</v>
      </c>
      <c r="B212" s="3" t="s">
        <v>243</v>
      </c>
      <c r="C212" s="3" t="s">
        <v>13</v>
      </c>
      <c r="D212" s="3" t="s">
        <v>19</v>
      </c>
      <c r="E212" s="5" t="s">
        <v>20</v>
      </c>
      <c r="F212" s="17">
        <v>73.22</v>
      </c>
      <c r="G212" s="3">
        <v>6</v>
      </c>
      <c r="H212" s="17">
        <f>Table1[[#This Row],[Unit price]]*Table1[[#This Row],[Quantity]]</f>
        <v>439.32</v>
      </c>
      <c r="I212" s="29">
        <f>Table1[[#This Row],[Total Revenue]]/$H$5056*100</f>
        <v>4.6609983599188901E-2</v>
      </c>
      <c r="J212" s="3" t="s">
        <v>15</v>
      </c>
      <c r="K212" s="4">
        <v>7.2</v>
      </c>
      <c r="M212"/>
    </row>
    <row r="213" spans="1:13" x14ac:dyDescent="0.25">
      <c r="A213" s="3" t="s">
        <v>30</v>
      </c>
      <c r="B213" s="3" t="s">
        <v>245</v>
      </c>
      <c r="C213" s="3" t="s">
        <v>13</v>
      </c>
      <c r="D213" s="3" t="s">
        <v>10</v>
      </c>
      <c r="E213" s="5" t="s">
        <v>21</v>
      </c>
      <c r="F213" s="17">
        <v>99.19</v>
      </c>
      <c r="G213" s="3">
        <v>6</v>
      </c>
      <c r="H213" s="17">
        <f>Table1[[#This Row],[Unit price]]*Table1[[#This Row],[Quantity]]</f>
        <v>595.14</v>
      </c>
      <c r="I213" s="29">
        <f>Table1[[#This Row],[Total Revenue]]/$H$5056*100</f>
        <v>6.3141822906358197E-2</v>
      </c>
      <c r="J213" s="3" t="s">
        <v>12</v>
      </c>
      <c r="K213" s="4">
        <v>5.5</v>
      </c>
      <c r="M213"/>
    </row>
    <row r="214" spans="1:13" x14ac:dyDescent="0.25">
      <c r="A214" s="3" t="s">
        <v>30</v>
      </c>
      <c r="B214" s="3" t="s">
        <v>243</v>
      </c>
      <c r="C214" s="3" t="s">
        <v>9</v>
      </c>
      <c r="D214" s="3" t="s">
        <v>19</v>
      </c>
      <c r="E214" s="5" t="s">
        <v>21</v>
      </c>
      <c r="F214" s="17">
        <v>53.17</v>
      </c>
      <c r="G214" s="3">
        <v>7</v>
      </c>
      <c r="H214" s="17">
        <f>Table1[[#This Row],[Unit price]]*Table1[[#This Row],[Quantity]]</f>
        <v>372.19</v>
      </c>
      <c r="I214" s="29">
        <f>Table1[[#This Row],[Total Revenue]]/$H$5056*100</f>
        <v>3.9487776098930429E-2</v>
      </c>
      <c r="J214" s="3" t="s">
        <v>15</v>
      </c>
      <c r="K214" s="4">
        <v>8.9</v>
      </c>
      <c r="M214"/>
    </row>
    <row r="215" spans="1:13" x14ac:dyDescent="0.25">
      <c r="A215" s="3" t="s">
        <v>30</v>
      </c>
      <c r="B215" s="3" t="s">
        <v>244</v>
      </c>
      <c r="C215" s="3" t="s">
        <v>9</v>
      </c>
      <c r="D215" s="3" t="s">
        <v>10</v>
      </c>
      <c r="E215" s="5" t="s">
        <v>16</v>
      </c>
      <c r="F215" s="17">
        <v>98.13</v>
      </c>
      <c r="G215" s="3">
        <v>1</v>
      </c>
      <c r="H215" s="17">
        <f>Table1[[#This Row],[Unit price]]*Table1[[#This Row],[Quantity]]</f>
        <v>98.13</v>
      </c>
      <c r="I215" s="29">
        <f>Table1[[#This Row],[Total Revenue]]/$H$5056*100</f>
        <v>1.0411175659174194E-2</v>
      </c>
      <c r="J215" s="3" t="s">
        <v>15</v>
      </c>
      <c r="K215" s="4">
        <v>8.9</v>
      </c>
      <c r="M215"/>
    </row>
    <row r="216" spans="1:13" x14ac:dyDescent="0.25">
      <c r="A216" s="3" t="s">
        <v>30</v>
      </c>
      <c r="B216" s="3" t="s">
        <v>243</v>
      </c>
      <c r="C216" s="3" t="s">
        <v>9</v>
      </c>
      <c r="D216" s="3" t="s">
        <v>10</v>
      </c>
      <c r="E216" s="5" t="s">
        <v>11</v>
      </c>
      <c r="F216" s="17">
        <v>36.36</v>
      </c>
      <c r="G216" s="3">
        <v>2</v>
      </c>
      <c r="H216" s="17">
        <f>Table1[[#This Row],[Unit price]]*Table1[[#This Row],[Quantity]]</f>
        <v>72.72</v>
      </c>
      <c r="I216" s="29">
        <f>Table1[[#This Row],[Total Revenue]]/$H$5056*100</f>
        <v>7.7152827263339179E-3</v>
      </c>
      <c r="J216" s="3" t="s">
        <v>15</v>
      </c>
      <c r="K216" s="4">
        <v>7.1</v>
      </c>
      <c r="M216"/>
    </row>
    <row r="217" spans="1:13" x14ac:dyDescent="0.25">
      <c r="A217" s="3" t="s">
        <v>30</v>
      </c>
      <c r="B217" s="3" t="s">
        <v>243</v>
      </c>
      <c r="C217" s="3" t="s">
        <v>13</v>
      </c>
      <c r="D217" s="3" t="s">
        <v>10</v>
      </c>
      <c r="E217" s="5" t="s">
        <v>20</v>
      </c>
      <c r="F217" s="17">
        <v>77.95</v>
      </c>
      <c r="G217" s="3">
        <v>6</v>
      </c>
      <c r="H217" s="17">
        <f>Table1[[#This Row],[Unit price]]*Table1[[#This Row],[Quantity]]</f>
        <v>467.70000000000005</v>
      </c>
      <c r="I217" s="29">
        <f>Table1[[#This Row],[Total Revenue]]/$H$5056*100</f>
        <v>4.9620980900802719E-2</v>
      </c>
      <c r="J217" s="3" t="s">
        <v>17</v>
      </c>
      <c r="K217" s="4">
        <v>8</v>
      </c>
      <c r="M217"/>
    </row>
    <row r="218" spans="1:13" x14ac:dyDescent="0.25">
      <c r="A218" s="3" t="s">
        <v>30</v>
      </c>
      <c r="B218" s="3" t="s">
        <v>245</v>
      </c>
      <c r="C218" s="3" t="s">
        <v>9</v>
      </c>
      <c r="D218" s="3" t="s">
        <v>19</v>
      </c>
      <c r="E218" s="5" t="s">
        <v>11</v>
      </c>
      <c r="F218" s="17">
        <v>68.98</v>
      </c>
      <c r="G218" s="3">
        <v>1</v>
      </c>
      <c r="H218" s="17">
        <f>Table1[[#This Row],[Unit price]]*Table1[[#This Row],[Quantity]]</f>
        <v>68.98</v>
      </c>
      <c r="I218" s="29">
        <f>Table1[[#This Row],[Total Revenue]]/$H$5056*100</f>
        <v>7.3184846323227949E-3</v>
      </c>
      <c r="J218" s="3" t="s">
        <v>15</v>
      </c>
      <c r="K218" s="4">
        <v>4.8</v>
      </c>
      <c r="M218"/>
    </row>
    <row r="219" spans="1:13" x14ac:dyDescent="0.25">
      <c r="A219" s="3" t="s">
        <v>30</v>
      </c>
      <c r="B219" s="3" t="s">
        <v>243</v>
      </c>
      <c r="C219" s="3" t="s">
        <v>13</v>
      </c>
      <c r="D219" s="3" t="s">
        <v>19</v>
      </c>
      <c r="E219" s="5" t="s">
        <v>11</v>
      </c>
      <c r="F219" s="17">
        <v>54.67</v>
      </c>
      <c r="G219" s="3">
        <v>3</v>
      </c>
      <c r="H219" s="17">
        <f>Table1[[#This Row],[Unit price]]*Table1[[#This Row],[Quantity]]</f>
        <v>164.01</v>
      </c>
      <c r="I219" s="29">
        <f>Table1[[#This Row],[Total Revenue]]/$H$5056*100</f>
        <v>1.7400763475605416E-2</v>
      </c>
      <c r="J219" s="3" t="s">
        <v>12</v>
      </c>
      <c r="K219" s="4">
        <v>8.6</v>
      </c>
      <c r="M219"/>
    </row>
    <row r="220" spans="1:13" x14ac:dyDescent="0.25">
      <c r="A220" s="3" t="s">
        <v>31</v>
      </c>
      <c r="B220" s="3" t="s">
        <v>245</v>
      </c>
      <c r="C220" s="3" t="s">
        <v>13</v>
      </c>
      <c r="D220" s="3" t="s">
        <v>10</v>
      </c>
      <c r="E220" s="5" t="s">
        <v>21</v>
      </c>
      <c r="F220" s="17">
        <v>20.38</v>
      </c>
      <c r="G220" s="3">
        <v>5</v>
      </c>
      <c r="H220" s="17">
        <f>Table1[[#This Row],[Unit price]]*Table1[[#This Row],[Quantity]]</f>
        <v>101.89999999999999</v>
      </c>
      <c r="I220" s="29">
        <f>Table1[[#This Row],[Total Revenue]]/$H$5056*100</f>
        <v>1.081115662559717E-2</v>
      </c>
      <c r="J220" s="3" t="s">
        <v>15</v>
      </c>
      <c r="K220" s="4">
        <v>6</v>
      </c>
      <c r="M220"/>
    </row>
    <row r="221" spans="1:13" x14ac:dyDescent="0.25">
      <c r="A221" s="3" t="s">
        <v>31</v>
      </c>
      <c r="B221" s="3" t="s">
        <v>245</v>
      </c>
      <c r="C221" s="3" t="s">
        <v>9</v>
      </c>
      <c r="D221" s="3" t="s">
        <v>10</v>
      </c>
      <c r="E221" s="5" t="s">
        <v>21</v>
      </c>
      <c r="F221" s="17">
        <v>81.510000000000005</v>
      </c>
      <c r="G221" s="3">
        <v>1</v>
      </c>
      <c r="H221" s="17">
        <f>Table1[[#This Row],[Unit price]]*Table1[[#This Row],[Quantity]]</f>
        <v>81.510000000000005</v>
      </c>
      <c r="I221" s="29">
        <f>Table1[[#This Row],[Total Revenue]]/$H$5056*100</f>
        <v>8.6478643430071191E-3</v>
      </c>
      <c r="J221" s="3" t="s">
        <v>17</v>
      </c>
      <c r="K221" s="4">
        <v>9.1999999999999993</v>
      </c>
      <c r="M221"/>
    </row>
    <row r="222" spans="1:13" x14ac:dyDescent="0.25">
      <c r="A222" s="3" t="s">
        <v>31</v>
      </c>
      <c r="B222" s="3" t="s">
        <v>245</v>
      </c>
      <c r="C222" s="3" t="s">
        <v>9</v>
      </c>
      <c r="D222" s="3" t="s">
        <v>19</v>
      </c>
      <c r="E222" s="5" t="s">
        <v>20</v>
      </c>
      <c r="F222" s="17">
        <v>39.39</v>
      </c>
      <c r="G222" s="3">
        <v>5</v>
      </c>
      <c r="H222" s="17">
        <f>Table1[[#This Row],[Unit price]]*Table1[[#This Row],[Quantity]]</f>
        <v>196.95</v>
      </c>
      <c r="I222" s="29">
        <f>Table1[[#This Row],[Total Revenue]]/$H$5056*100</f>
        <v>2.0895557383821026E-2</v>
      </c>
      <c r="J222" s="3" t="s">
        <v>12</v>
      </c>
      <c r="K222" s="4">
        <v>8.6999999999999993</v>
      </c>
      <c r="M222"/>
    </row>
    <row r="223" spans="1:13" x14ac:dyDescent="0.25">
      <c r="A223" s="3" t="s">
        <v>31</v>
      </c>
      <c r="B223" s="3" t="s">
        <v>244</v>
      </c>
      <c r="C223" s="3" t="s">
        <v>13</v>
      </c>
      <c r="D223" s="3" t="s">
        <v>10</v>
      </c>
      <c r="E223" s="5" t="s">
        <v>11</v>
      </c>
      <c r="F223" s="17">
        <v>28.86</v>
      </c>
      <c r="G223" s="3">
        <v>5</v>
      </c>
      <c r="H223" s="17">
        <f>Table1[[#This Row],[Unit price]]*Table1[[#This Row],[Quantity]]</f>
        <v>144.30000000000001</v>
      </c>
      <c r="I223" s="29">
        <f>Table1[[#This Row],[Total Revenue]]/$H$5056*100</f>
        <v>1.5309616301017388E-2</v>
      </c>
      <c r="J223" s="3" t="s">
        <v>12</v>
      </c>
      <c r="K223" s="4">
        <v>8</v>
      </c>
      <c r="M223"/>
    </row>
    <row r="224" spans="1:13" x14ac:dyDescent="0.25">
      <c r="A224" s="3" t="s">
        <v>31</v>
      </c>
      <c r="B224" s="3" t="s">
        <v>243</v>
      </c>
      <c r="C224" s="3" t="s">
        <v>13</v>
      </c>
      <c r="D224" s="3" t="s">
        <v>19</v>
      </c>
      <c r="E224" s="5" t="s">
        <v>20</v>
      </c>
      <c r="F224" s="17">
        <v>30.68</v>
      </c>
      <c r="G224" s="3">
        <v>3</v>
      </c>
      <c r="H224" s="17">
        <f>Table1[[#This Row],[Unit price]]*Table1[[#This Row],[Quantity]]</f>
        <v>92.039999999999992</v>
      </c>
      <c r="I224" s="29">
        <f>Table1[[#This Row],[Total Revenue]]/$H$5056*100</f>
        <v>9.7650525595678467E-3</v>
      </c>
      <c r="J224" s="3" t="s">
        <v>17</v>
      </c>
      <c r="K224" s="4">
        <v>9.1</v>
      </c>
      <c r="M224"/>
    </row>
    <row r="225" spans="1:13" x14ac:dyDescent="0.25">
      <c r="A225" s="3" t="s">
        <v>31</v>
      </c>
      <c r="B225" s="3" t="s">
        <v>244</v>
      </c>
      <c r="C225" s="3" t="s">
        <v>13</v>
      </c>
      <c r="D225" s="3" t="s">
        <v>10</v>
      </c>
      <c r="E225" s="5" t="s">
        <v>21</v>
      </c>
      <c r="F225" s="17">
        <v>55.81</v>
      </c>
      <c r="G225" s="3">
        <v>6</v>
      </c>
      <c r="H225" s="17">
        <f>Table1[[#This Row],[Unit price]]*Table1[[#This Row],[Quantity]]</f>
        <v>334.86</v>
      </c>
      <c r="I225" s="29">
        <f>Table1[[#This Row],[Total Revenue]]/$H$5056*100</f>
        <v>3.5527221861113525E-2</v>
      </c>
      <c r="J225" s="3" t="s">
        <v>15</v>
      </c>
      <c r="K225" s="4">
        <v>9.9</v>
      </c>
      <c r="M225"/>
    </row>
    <row r="226" spans="1:13" x14ac:dyDescent="0.25">
      <c r="A226" s="3" t="s">
        <v>31</v>
      </c>
      <c r="B226" s="3" t="s">
        <v>243</v>
      </c>
      <c r="C226" s="3" t="s">
        <v>13</v>
      </c>
      <c r="D226" s="3" t="s">
        <v>19</v>
      </c>
      <c r="E226" s="5" t="s">
        <v>20</v>
      </c>
      <c r="F226" s="17">
        <v>74.67</v>
      </c>
      <c r="G226" s="3">
        <v>9</v>
      </c>
      <c r="H226" s="17">
        <f>Table1[[#This Row],[Unit price]]*Table1[[#This Row],[Quantity]]</f>
        <v>672.03</v>
      </c>
      <c r="I226" s="29">
        <f>Table1[[#This Row],[Total Revenue]]/$H$5056*100</f>
        <v>7.1299524897939809E-2</v>
      </c>
      <c r="J226" s="3" t="s">
        <v>17</v>
      </c>
      <c r="K226" s="4">
        <v>9.4</v>
      </c>
      <c r="M226"/>
    </row>
    <row r="227" spans="1:13" x14ac:dyDescent="0.25">
      <c r="A227" s="3" t="s">
        <v>32</v>
      </c>
      <c r="B227" s="3" t="s">
        <v>243</v>
      </c>
      <c r="C227" s="3" t="s">
        <v>9</v>
      </c>
      <c r="D227" s="3" t="s">
        <v>10</v>
      </c>
      <c r="E227" s="5" t="s">
        <v>21</v>
      </c>
      <c r="F227" s="17">
        <v>95.95</v>
      </c>
      <c r="G227" s="3">
        <v>5</v>
      </c>
      <c r="H227" s="17">
        <f>Table1[[#This Row],[Unit price]]*Table1[[#This Row],[Quantity]]</f>
        <v>479.75</v>
      </c>
      <c r="I227" s="29">
        <f>Table1[[#This Row],[Total Revenue]]/$H$5056*100</f>
        <v>5.0899434652897375E-2</v>
      </c>
      <c r="J227" s="3" t="s">
        <v>17</v>
      </c>
      <c r="K227" s="4">
        <v>8.8000000000000007</v>
      </c>
      <c r="M227"/>
    </row>
    <row r="228" spans="1:13" x14ac:dyDescent="0.25">
      <c r="A228" s="3" t="s">
        <v>32</v>
      </c>
      <c r="B228" s="3" t="s">
        <v>245</v>
      </c>
      <c r="C228" s="3" t="s">
        <v>13</v>
      </c>
      <c r="D228" s="3" t="s">
        <v>10</v>
      </c>
      <c r="E228" s="5" t="s">
        <v>14</v>
      </c>
      <c r="F228" s="17">
        <v>84.05</v>
      </c>
      <c r="G228" s="3">
        <v>3</v>
      </c>
      <c r="H228" s="17">
        <f>Table1[[#This Row],[Unit price]]*Table1[[#This Row],[Quantity]]</f>
        <v>252.14999999999998</v>
      </c>
      <c r="I228" s="29">
        <f>Table1[[#This Row],[Total Revenue]]/$H$5056*100</f>
        <v>2.6752042621632253E-2</v>
      </c>
      <c r="J228" s="3" t="s">
        <v>15</v>
      </c>
      <c r="K228" s="4">
        <v>9.8000000000000007</v>
      </c>
      <c r="M228"/>
    </row>
    <row r="229" spans="1:13" x14ac:dyDescent="0.25">
      <c r="A229" s="3" t="s">
        <v>32</v>
      </c>
      <c r="B229" s="3" t="s">
        <v>243</v>
      </c>
      <c r="C229" s="3" t="s">
        <v>9</v>
      </c>
      <c r="D229" s="3" t="s">
        <v>10</v>
      </c>
      <c r="E229" s="5" t="s">
        <v>11</v>
      </c>
      <c r="F229" s="17">
        <v>47.63</v>
      </c>
      <c r="G229" s="3">
        <v>9</v>
      </c>
      <c r="H229" s="17">
        <f>Table1[[#This Row],[Unit price]]*Table1[[#This Row],[Quantity]]</f>
        <v>428.67</v>
      </c>
      <c r="I229" s="29">
        <f>Table1[[#This Row],[Total Revenue]]/$H$5056*100</f>
        <v>4.548006389298076E-2</v>
      </c>
      <c r="J229" s="3" t="s">
        <v>15</v>
      </c>
      <c r="K229" s="4">
        <v>5</v>
      </c>
      <c r="M229"/>
    </row>
    <row r="230" spans="1:13" x14ac:dyDescent="0.25">
      <c r="A230" s="3" t="s">
        <v>32</v>
      </c>
      <c r="B230" s="3" t="s">
        <v>245</v>
      </c>
      <c r="C230" s="3" t="s">
        <v>9</v>
      </c>
      <c r="D230" s="3" t="s">
        <v>10</v>
      </c>
      <c r="E230" s="5" t="s">
        <v>16</v>
      </c>
      <c r="F230" s="17">
        <v>89.8</v>
      </c>
      <c r="G230" s="3">
        <v>10</v>
      </c>
      <c r="H230" s="17">
        <f>Table1[[#This Row],[Unit price]]*Table1[[#This Row],[Quantity]]</f>
        <v>898</v>
      </c>
      <c r="I230" s="29">
        <f>Table1[[#This Row],[Total Revenue]]/$H$5056*100</f>
        <v>9.5273980861494204E-2</v>
      </c>
      <c r="J230" s="3" t="s">
        <v>12</v>
      </c>
      <c r="K230" s="4">
        <v>5.4</v>
      </c>
      <c r="M230"/>
    </row>
    <row r="231" spans="1:13" x14ac:dyDescent="0.25">
      <c r="A231" s="3" t="s">
        <v>32</v>
      </c>
      <c r="B231" s="3" t="s">
        <v>243</v>
      </c>
      <c r="C231" s="3" t="s">
        <v>13</v>
      </c>
      <c r="D231" s="3" t="s">
        <v>10</v>
      </c>
      <c r="E231" s="5" t="s">
        <v>14</v>
      </c>
      <c r="F231" s="17">
        <v>66.06</v>
      </c>
      <c r="G231" s="3">
        <v>6</v>
      </c>
      <c r="H231" s="17">
        <f>Table1[[#This Row],[Unit price]]*Table1[[#This Row],[Quantity]]</f>
        <v>396.36</v>
      </c>
      <c r="I231" s="29">
        <f>Table1[[#This Row],[Total Revenue]]/$H$5056*100</f>
        <v>4.205211030541408E-2</v>
      </c>
      <c r="J231" s="3" t="s">
        <v>15</v>
      </c>
      <c r="K231" s="4">
        <v>7.3</v>
      </c>
      <c r="M231"/>
    </row>
    <row r="232" spans="1:13" x14ac:dyDescent="0.25">
      <c r="A232" s="3" t="s">
        <v>32</v>
      </c>
      <c r="B232" s="3" t="s">
        <v>245</v>
      </c>
      <c r="C232" s="3" t="s">
        <v>9</v>
      </c>
      <c r="D232" s="3" t="s">
        <v>10</v>
      </c>
      <c r="E232" s="5" t="s">
        <v>20</v>
      </c>
      <c r="F232" s="17">
        <v>83.77</v>
      </c>
      <c r="G232" s="3">
        <v>6</v>
      </c>
      <c r="H232" s="17">
        <f>Table1[[#This Row],[Unit price]]*Table1[[#This Row],[Quantity]]</f>
        <v>502.62</v>
      </c>
      <c r="I232" s="29">
        <f>Table1[[#This Row],[Total Revenue]]/$H$5056*100</f>
        <v>5.3325844388200691E-2</v>
      </c>
      <c r="J232" s="3" t="s">
        <v>17</v>
      </c>
      <c r="K232" s="4">
        <v>5.4</v>
      </c>
      <c r="M232"/>
    </row>
    <row r="233" spans="1:13" x14ac:dyDescent="0.25">
      <c r="A233" s="3" t="s">
        <v>32</v>
      </c>
      <c r="B233" s="3" t="s">
        <v>245</v>
      </c>
      <c r="C233" s="3" t="s">
        <v>9</v>
      </c>
      <c r="D233" s="3" t="s">
        <v>10</v>
      </c>
      <c r="E233" s="5" t="s">
        <v>20</v>
      </c>
      <c r="F233" s="17">
        <v>47.38</v>
      </c>
      <c r="G233" s="3">
        <v>4</v>
      </c>
      <c r="H233" s="17">
        <f>Table1[[#This Row],[Unit price]]*Table1[[#This Row],[Quantity]]</f>
        <v>189.52</v>
      </c>
      <c r="I233" s="29">
        <f>Table1[[#This Row],[Total Revenue]]/$H$5056*100</f>
        <v>2.0107265983151875E-2</v>
      </c>
      <c r="J233" s="3" t="s">
        <v>15</v>
      </c>
      <c r="K233" s="4">
        <v>7.1</v>
      </c>
      <c r="M233"/>
    </row>
    <row r="234" spans="1:13" x14ac:dyDescent="0.25">
      <c r="A234" s="3" t="s">
        <v>32</v>
      </c>
      <c r="B234" s="3" t="s">
        <v>243</v>
      </c>
      <c r="C234" s="3" t="s">
        <v>13</v>
      </c>
      <c r="D234" s="3" t="s">
        <v>19</v>
      </c>
      <c r="E234" s="5" t="s">
        <v>21</v>
      </c>
      <c r="F234" s="17">
        <v>58.15</v>
      </c>
      <c r="G234" s="3">
        <v>4</v>
      </c>
      <c r="H234" s="17">
        <f>Table1[[#This Row],[Unit price]]*Table1[[#This Row],[Quantity]]</f>
        <v>232.6</v>
      </c>
      <c r="I234" s="29">
        <f>Table1[[#This Row],[Total Revenue]]/$H$5056*100</f>
        <v>2.4677870766574114E-2</v>
      </c>
      <c r="J234" s="3" t="s">
        <v>15</v>
      </c>
      <c r="K234" s="4">
        <v>8.4</v>
      </c>
      <c r="M234"/>
    </row>
    <row r="235" spans="1:13" x14ac:dyDescent="0.25">
      <c r="A235" s="3" t="s">
        <v>32</v>
      </c>
      <c r="B235" s="3" t="s">
        <v>245</v>
      </c>
      <c r="C235" s="3" t="s">
        <v>13</v>
      </c>
      <c r="D235" s="3" t="s">
        <v>19</v>
      </c>
      <c r="E235" s="5" t="s">
        <v>21</v>
      </c>
      <c r="F235" s="17">
        <v>99.96</v>
      </c>
      <c r="G235" s="3">
        <v>7</v>
      </c>
      <c r="H235" s="17">
        <f>Table1[[#This Row],[Unit price]]*Table1[[#This Row],[Quantity]]</f>
        <v>699.71999999999991</v>
      </c>
      <c r="I235" s="29">
        <f>Table1[[#This Row],[Total Revenue]]/$H$5056*100</f>
        <v>7.423731613408098E-2</v>
      </c>
      <c r="J235" s="3" t="s">
        <v>15</v>
      </c>
      <c r="K235" s="4">
        <v>6.1</v>
      </c>
      <c r="M235"/>
    </row>
    <row r="236" spans="1:13" x14ac:dyDescent="0.25">
      <c r="A236" s="3" t="s">
        <v>32</v>
      </c>
      <c r="B236" s="3" t="s">
        <v>243</v>
      </c>
      <c r="C236" s="3" t="s">
        <v>9</v>
      </c>
      <c r="D236" s="3" t="s">
        <v>19</v>
      </c>
      <c r="E236" s="5" t="s">
        <v>18</v>
      </c>
      <c r="F236" s="17">
        <v>17.940000000000001</v>
      </c>
      <c r="G236" s="3">
        <v>5</v>
      </c>
      <c r="H236" s="17">
        <f>Table1[[#This Row],[Unit price]]*Table1[[#This Row],[Quantity]]</f>
        <v>89.7</v>
      </c>
      <c r="I236" s="29">
        <f>Table1[[#This Row],[Total Revenue]]/$H$5056*100</f>
        <v>9.5167885114432402E-3</v>
      </c>
      <c r="J236" s="3" t="s">
        <v>17</v>
      </c>
      <c r="K236" s="4">
        <v>6.8</v>
      </c>
      <c r="M236"/>
    </row>
    <row r="237" spans="1:13" x14ac:dyDescent="0.25">
      <c r="A237" s="3" t="s">
        <v>32</v>
      </c>
      <c r="B237" s="3" t="s">
        <v>245</v>
      </c>
      <c r="C237" s="3" t="s">
        <v>9</v>
      </c>
      <c r="D237" s="3" t="s">
        <v>19</v>
      </c>
      <c r="E237" s="5" t="s">
        <v>11</v>
      </c>
      <c r="F237" s="17">
        <v>38.47</v>
      </c>
      <c r="G237" s="3">
        <v>8</v>
      </c>
      <c r="H237" s="17">
        <f>Table1[[#This Row],[Unit price]]*Table1[[#This Row],[Quantity]]</f>
        <v>307.76</v>
      </c>
      <c r="I237" s="29">
        <f>Table1[[#This Row],[Total Revenue]]/$H$5056*100</f>
        <v>3.2652027115738815E-2</v>
      </c>
      <c r="J237" s="3" t="s">
        <v>15</v>
      </c>
      <c r="K237" s="4">
        <v>7.7</v>
      </c>
      <c r="M237"/>
    </row>
    <row r="238" spans="1:13" x14ac:dyDescent="0.25">
      <c r="A238" s="3" t="s">
        <v>32</v>
      </c>
      <c r="B238" s="3" t="s">
        <v>245</v>
      </c>
      <c r="C238" s="3" t="s">
        <v>13</v>
      </c>
      <c r="D238" s="3" t="s">
        <v>10</v>
      </c>
      <c r="E238" s="5" t="s">
        <v>18</v>
      </c>
      <c r="F238" s="17">
        <v>45.44</v>
      </c>
      <c r="G238" s="3">
        <v>7</v>
      </c>
      <c r="H238" s="17">
        <f>Table1[[#This Row],[Unit price]]*Table1[[#This Row],[Quantity]]</f>
        <v>318.08</v>
      </c>
      <c r="I238" s="29">
        <f>Table1[[#This Row],[Total Revenue]]/$H$5056*100</f>
        <v>3.3746935225416566E-2</v>
      </c>
      <c r="J238" s="3" t="s">
        <v>15</v>
      </c>
      <c r="K238" s="4">
        <v>9.1999999999999993</v>
      </c>
      <c r="M238"/>
    </row>
    <row r="239" spans="1:13" x14ac:dyDescent="0.25">
      <c r="A239" s="3" t="s">
        <v>32</v>
      </c>
      <c r="B239" s="3" t="s">
        <v>245</v>
      </c>
      <c r="C239" s="3" t="s">
        <v>13</v>
      </c>
      <c r="D239" s="3" t="s">
        <v>10</v>
      </c>
      <c r="E239" s="5" t="s">
        <v>21</v>
      </c>
      <c r="F239" s="17">
        <v>10.99</v>
      </c>
      <c r="G239" s="3">
        <v>5</v>
      </c>
      <c r="H239" s="17">
        <f>Table1[[#This Row],[Unit price]]*Table1[[#This Row],[Quantity]]</f>
        <v>54.95</v>
      </c>
      <c r="I239" s="29">
        <f>Table1[[#This Row],[Total Revenue]]/$H$5056*100</f>
        <v>5.8299613010457758E-3</v>
      </c>
      <c r="J239" s="3" t="s">
        <v>12</v>
      </c>
      <c r="K239" s="4">
        <v>9.3000000000000007</v>
      </c>
      <c r="M239"/>
    </row>
    <row r="240" spans="1:13" x14ac:dyDescent="0.25">
      <c r="A240" s="3" t="s">
        <v>32</v>
      </c>
      <c r="B240" s="3" t="s">
        <v>243</v>
      </c>
      <c r="C240" s="3" t="s">
        <v>13</v>
      </c>
      <c r="D240" s="3" t="s">
        <v>19</v>
      </c>
      <c r="E240" s="5" t="s">
        <v>18</v>
      </c>
      <c r="F240" s="17">
        <v>30.61</v>
      </c>
      <c r="G240" s="3">
        <v>1</v>
      </c>
      <c r="H240" s="17">
        <f>Table1[[#This Row],[Unit price]]*Table1[[#This Row],[Quantity]]</f>
        <v>30.61</v>
      </c>
      <c r="I240" s="29">
        <f>Table1[[#This Row],[Total Revenue]]/$H$5056*100</f>
        <v>3.2475908175616229E-3</v>
      </c>
      <c r="J240" s="3" t="s">
        <v>17</v>
      </c>
      <c r="K240" s="4">
        <v>5.2</v>
      </c>
      <c r="M240"/>
    </row>
    <row r="241" spans="1:13" x14ac:dyDescent="0.25">
      <c r="A241" s="3" t="s">
        <v>32</v>
      </c>
      <c r="B241" s="3" t="s">
        <v>245</v>
      </c>
      <c r="C241" s="3" t="s">
        <v>13</v>
      </c>
      <c r="D241" s="3" t="s">
        <v>19</v>
      </c>
      <c r="E241" s="5" t="s">
        <v>14</v>
      </c>
      <c r="F241" s="17">
        <v>83.08</v>
      </c>
      <c r="G241" s="3">
        <v>1</v>
      </c>
      <c r="H241" s="17">
        <f>Table1[[#This Row],[Unit price]]*Table1[[#This Row],[Quantity]]</f>
        <v>83.08</v>
      </c>
      <c r="I241" s="29">
        <f>Table1[[#This Row],[Total Revenue]]/$H$5056*100</f>
        <v>8.8144346658941414E-3</v>
      </c>
      <c r="J241" s="3" t="s">
        <v>17</v>
      </c>
      <c r="K241" s="4">
        <v>6.4</v>
      </c>
      <c r="M241"/>
    </row>
    <row r="242" spans="1:13" x14ac:dyDescent="0.25">
      <c r="A242" s="3" t="s">
        <v>32</v>
      </c>
      <c r="B242" s="3" t="s">
        <v>245</v>
      </c>
      <c r="C242" s="3" t="s">
        <v>13</v>
      </c>
      <c r="D242" s="3" t="s">
        <v>19</v>
      </c>
      <c r="E242" s="5" t="s">
        <v>11</v>
      </c>
      <c r="F242" s="17">
        <v>19.25</v>
      </c>
      <c r="G242" s="3">
        <v>8</v>
      </c>
      <c r="H242" s="17">
        <f>Table1[[#This Row],[Unit price]]*Table1[[#This Row],[Quantity]]</f>
        <v>154</v>
      </c>
      <c r="I242" s="29">
        <f>Table1[[#This Row],[Total Revenue]]/$H$5056*100</f>
        <v>1.6338745047516822E-2</v>
      </c>
      <c r="J242" s="3" t="s">
        <v>17</v>
      </c>
      <c r="K242" s="4">
        <v>6.6</v>
      </c>
      <c r="M242"/>
    </row>
    <row r="243" spans="1:13" x14ac:dyDescent="0.25">
      <c r="A243" s="3" t="s">
        <v>32</v>
      </c>
      <c r="B243" s="3" t="s">
        <v>243</v>
      </c>
      <c r="C243" s="3" t="s">
        <v>9</v>
      </c>
      <c r="D243" s="3" t="s">
        <v>19</v>
      </c>
      <c r="E243" s="5" t="s">
        <v>11</v>
      </c>
      <c r="F243" s="17">
        <v>98.53</v>
      </c>
      <c r="G243" s="3">
        <v>6</v>
      </c>
      <c r="H243" s="17">
        <f>Table1[[#This Row],[Unit price]]*Table1[[#This Row],[Quantity]]</f>
        <v>591.18000000000006</v>
      </c>
      <c r="I243" s="29">
        <f>Table1[[#This Row],[Total Revenue]]/$H$5056*100</f>
        <v>6.2721683747993487E-2</v>
      </c>
      <c r="J243" s="3" t="s">
        <v>12</v>
      </c>
      <c r="K243" s="4">
        <v>4</v>
      </c>
      <c r="M243"/>
    </row>
    <row r="244" spans="1:13" x14ac:dyDescent="0.25">
      <c r="A244" s="3" t="s">
        <v>33</v>
      </c>
      <c r="B244" s="3" t="s">
        <v>245</v>
      </c>
      <c r="C244" s="3" t="s">
        <v>9</v>
      </c>
      <c r="D244" s="3" t="s">
        <v>19</v>
      </c>
      <c r="E244" s="5" t="s">
        <v>20</v>
      </c>
      <c r="F244" s="17">
        <v>85.72</v>
      </c>
      <c r="G244" s="3">
        <v>3</v>
      </c>
      <c r="H244" s="17">
        <f>Table1[[#This Row],[Unit price]]*Table1[[#This Row],[Quantity]]</f>
        <v>257.15999999999997</v>
      </c>
      <c r="I244" s="29">
        <f>Table1[[#This Row],[Total Revenue]]/$H$5056*100</f>
        <v>2.7283582314411855E-2</v>
      </c>
      <c r="J244" s="3" t="s">
        <v>17</v>
      </c>
      <c r="K244" s="4">
        <v>5.0999999999999996</v>
      </c>
      <c r="M244"/>
    </row>
    <row r="245" spans="1:13" x14ac:dyDescent="0.25">
      <c r="A245" s="3" t="s">
        <v>33</v>
      </c>
      <c r="B245" s="3" t="s">
        <v>243</v>
      </c>
      <c r="C245" s="3" t="s">
        <v>9</v>
      </c>
      <c r="D245" s="3" t="s">
        <v>19</v>
      </c>
      <c r="E245" s="5" t="s">
        <v>18</v>
      </c>
      <c r="F245" s="17">
        <v>86.68</v>
      </c>
      <c r="G245" s="3">
        <v>8</v>
      </c>
      <c r="H245" s="17">
        <f>Table1[[#This Row],[Unit price]]*Table1[[#This Row],[Quantity]]</f>
        <v>693.44</v>
      </c>
      <c r="I245" s="29">
        <f>Table1[[#This Row],[Total Revenue]]/$H$5056*100</f>
        <v>7.3571034842532912E-2</v>
      </c>
      <c r="J245" s="3" t="s">
        <v>12</v>
      </c>
      <c r="K245" s="4">
        <v>7.2</v>
      </c>
      <c r="M245"/>
    </row>
    <row r="246" spans="1:13" x14ac:dyDescent="0.25">
      <c r="A246" s="3" t="s">
        <v>33</v>
      </c>
      <c r="B246" s="3" t="s">
        <v>243</v>
      </c>
      <c r="C246" s="3" t="s">
        <v>9</v>
      </c>
      <c r="D246" s="3" t="s">
        <v>10</v>
      </c>
      <c r="E246" s="5" t="s">
        <v>14</v>
      </c>
      <c r="F246" s="17">
        <v>48.62</v>
      </c>
      <c r="G246" s="3">
        <v>8</v>
      </c>
      <c r="H246" s="17">
        <f>Table1[[#This Row],[Unit price]]*Table1[[#This Row],[Quantity]]</f>
        <v>388.96</v>
      </c>
      <c r="I246" s="29">
        <f>Table1[[#This Row],[Total Revenue]]/$H$5056*100</f>
        <v>4.1267001777156774E-2</v>
      </c>
      <c r="J246" s="3" t="s">
        <v>15</v>
      </c>
      <c r="K246" s="4">
        <v>5</v>
      </c>
      <c r="M246"/>
    </row>
    <row r="247" spans="1:13" x14ac:dyDescent="0.25">
      <c r="A247" s="3" t="s">
        <v>33</v>
      </c>
      <c r="B247" s="3" t="s">
        <v>245</v>
      </c>
      <c r="C247" s="3" t="s">
        <v>9</v>
      </c>
      <c r="D247" s="3" t="s">
        <v>10</v>
      </c>
      <c r="E247" s="5" t="s">
        <v>20</v>
      </c>
      <c r="F247" s="17">
        <v>60.87</v>
      </c>
      <c r="G247" s="3">
        <v>1</v>
      </c>
      <c r="H247" s="17">
        <f>Table1[[#This Row],[Unit price]]*Table1[[#This Row],[Quantity]]</f>
        <v>60.87</v>
      </c>
      <c r="I247" s="29">
        <f>Table1[[#This Row],[Total Revenue]]/$H$5056*100</f>
        <v>6.4580481236516168E-3</v>
      </c>
      <c r="J247" s="3" t="s">
        <v>15</v>
      </c>
      <c r="K247" s="4">
        <v>5.5</v>
      </c>
      <c r="M247"/>
    </row>
    <row r="248" spans="1:13" x14ac:dyDescent="0.25">
      <c r="A248" s="3" t="s">
        <v>33</v>
      </c>
      <c r="B248" s="3" t="s">
        <v>244</v>
      </c>
      <c r="C248" s="3" t="s">
        <v>13</v>
      </c>
      <c r="D248" s="3" t="s">
        <v>19</v>
      </c>
      <c r="E248" s="5" t="s">
        <v>20</v>
      </c>
      <c r="F248" s="17">
        <v>73.28</v>
      </c>
      <c r="G248" s="3">
        <v>5</v>
      </c>
      <c r="H248" s="17">
        <f>Table1[[#This Row],[Unit price]]*Table1[[#This Row],[Quantity]]</f>
        <v>366.4</v>
      </c>
      <c r="I248" s="29">
        <f>Table1[[#This Row],[Total Revenue]]/$H$5056*100</f>
        <v>3.887348172344262E-2</v>
      </c>
      <c r="J248" s="3" t="s">
        <v>17</v>
      </c>
      <c r="K248" s="4">
        <v>8.4</v>
      </c>
      <c r="M248"/>
    </row>
    <row r="249" spans="1:13" x14ac:dyDescent="0.25">
      <c r="A249" s="3" t="s">
        <v>33</v>
      </c>
      <c r="B249" s="3" t="s">
        <v>243</v>
      </c>
      <c r="C249" s="3" t="s">
        <v>13</v>
      </c>
      <c r="D249" s="3" t="s">
        <v>10</v>
      </c>
      <c r="E249" s="5" t="s">
        <v>21</v>
      </c>
      <c r="F249" s="17">
        <v>77.5</v>
      </c>
      <c r="G249" s="3">
        <v>5</v>
      </c>
      <c r="H249" s="17">
        <f>Table1[[#This Row],[Unit price]]*Table1[[#This Row],[Quantity]]</f>
        <v>387.5</v>
      </c>
      <c r="I249" s="29">
        <f>Table1[[#This Row],[Total Revenue]]/$H$5056*100</f>
        <v>4.1112101986446548E-2</v>
      </c>
      <c r="J249" s="3" t="s">
        <v>17</v>
      </c>
      <c r="K249" s="4">
        <v>4.3</v>
      </c>
      <c r="M249"/>
    </row>
    <row r="250" spans="1:13" x14ac:dyDescent="0.25">
      <c r="A250" s="3" t="s">
        <v>33</v>
      </c>
      <c r="B250" s="3" t="s">
        <v>243</v>
      </c>
      <c r="C250" s="3" t="s">
        <v>13</v>
      </c>
      <c r="D250" s="3" t="s">
        <v>19</v>
      </c>
      <c r="E250" s="5" t="s">
        <v>16</v>
      </c>
      <c r="F250" s="17">
        <v>78.77</v>
      </c>
      <c r="G250" s="3">
        <v>10</v>
      </c>
      <c r="H250" s="17">
        <f>Table1[[#This Row],[Unit price]]*Table1[[#This Row],[Quantity]]</f>
        <v>787.69999999999993</v>
      </c>
      <c r="I250" s="29">
        <f>Table1[[#This Row],[Total Revenue]]/$H$5056*100</f>
        <v>8.3571619960577936E-2</v>
      </c>
      <c r="J250" s="3" t="s">
        <v>15</v>
      </c>
      <c r="K250" s="4">
        <v>6.4</v>
      </c>
      <c r="M250"/>
    </row>
    <row r="251" spans="1:13" x14ac:dyDescent="0.25">
      <c r="A251" s="3" t="s">
        <v>33</v>
      </c>
      <c r="B251" s="3" t="s">
        <v>244</v>
      </c>
      <c r="C251" s="3" t="s">
        <v>13</v>
      </c>
      <c r="D251" s="3" t="s">
        <v>10</v>
      </c>
      <c r="E251" s="5" t="s">
        <v>16</v>
      </c>
      <c r="F251" s="17">
        <v>76.599999999999994</v>
      </c>
      <c r="G251" s="3">
        <v>10</v>
      </c>
      <c r="H251" s="17">
        <f>Table1[[#This Row],[Unit price]]*Table1[[#This Row],[Quantity]]</f>
        <v>766</v>
      </c>
      <c r="I251" s="29">
        <f>Table1[[#This Row],[Total Revenue]]/$H$5056*100</f>
        <v>8.1269342249336921E-2</v>
      </c>
      <c r="J251" s="3" t="s">
        <v>17</v>
      </c>
      <c r="K251" s="4">
        <v>6</v>
      </c>
      <c r="M251"/>
    </row>
    <row r="252" spans="1:13" x14ac:dyDescent="0.25">
      <c r="A252" s="3" t="s">
        <v>33</v>
      </c>
      <c r="B252" s="3" t="s">
        <v>243</v>
      </c>
      <c r="C252" s="3" t="s">
        <v>13</v>
      </c>
      <c r="D252" s="3" t="s">
        <v>19</v>
      </c>
      <c r="E252" s="5" t="s">
        <v>14</v>
      </c>
      <c r="F252" s="17">
        <v>10.56</v>
      </c>
      <c r="G252" s="3">
        <v>8</v>
      </c>
      <c r="H252" s="17">
        <f>Table1[[#This Row],[Unit price]]*Table1[[#This Row],[Quantity]]</f>
        <v>84.48</v>
      </c>
      <c r="I252" s="29">
        <f>Table1[[#This Row],[Total Revenue]]/$H$5056*100</f>
        <v>8.962968711780657E-3</v>
      </c>
      <c r="J252" s="3" t="s">
        <v>15</v>
      </c>
      <c r="K252" s="4">
        <v>7.6</v>
      </c>
      <c r="M252"/>
    </row>
    <row r="253" spans="1:13" x14ac:dyDescent="0.25">
      <c r="A253" s="3" t="s">
        <v>33</v>
      </c>
      <c r="B253" s="3" t="s">
        <v>244</v>
      </c>
      <c r="C253" s="3" t="s">
        <v>9</v>
      </c>
      <c r="D253" s="3" t="s">
        <v>19</v>
      </c>
      <c r="E253" s="5" t="s">
        <v>14</v>
      </c>
      <c r="F253" s="17">
        <v>40.299999999999997</v>
      </c>
      <c r="G253" s="3">
        <v>10</v>
      </c>
      <c r="H253" s="17">
        <f>Table1[[#This Row],[Unit price]]*Table1[[#This Row],[Quantity]]</f>
        <v>403</v>
      </c>
      <c r="I253" s="29">
        <f>Table1[[#This Row],[Total Revenue]]/$H$5056*100</f>
        <v>4.2756586065904413E-2</v>
      </c>
      <c r="J253" s="3" t="s">
        <v>12</v>
      </c>
      <c r="K253" s="4">
        <v>7</v>
      </c>
      <c r="M253"/>
    </row>
    <row r="254" spans="1:13" x14ac:dyDescent="0.25">
      <c r="A254" s="3" t="s">
        <v>33</v>
      </c>
      <c r="B254" s="3" t="s">
        <v>244</v>
      </c>
      <c r="C254" s="3" t="s">
        <v>9</v>
      </c>
      <c r="D254" s="3" t="s">
        <v>10</v>
      </c>
      <c r="E254" s="5" t="s">
        <v>16</v>
      </c>
      <c r="F254" s="17">
        <v>23.08</v>
      </c>
      <c r="G254" s="3">
        <v>6</v>
      </c>
      <c r="H254" s="17">
        <f>Table1[[#This Row],[Unit price]]*Table1[[#This Row],[Quantity]]</f>
        <v>138.47999999999999</v>
      </c>
      <c r="I254" s="29">
        <f>Table1[[#This Row],[Total Revenue]]/$H$5056*100</f>
        <v>1.4692139053117725E-2</v>
      </c>
      <c r="J254" s="3" t="s">
        <v>17</v>
      </c>
      <c r="K254" s="4">
        <v>4.9000000000000004</v>
      </c>
      <c r="M254"/>
    </row>
    <row r="255" spans="1:13" x14ac:dyDescent="0.25">
      <c r="A255" s="3" t="s">
        <v>33</v>
      </c>
      <c r="B255" s="3" t="s">
        <v>244</v>
      </c>
      <c r="C255" s="3" t="s">
        <v>9</v>
      </c>
      <c r="D255" s="3" t="s">
        <v>19</v>
      </c>
      <c r="E255" s="5" t="s">
        <v>18</v>
      </c>
      <c r="F255" s="17">
        <v>93.22</v>
      </c>
      <c r="G255" s="3">
        <v>3</v>
      </c>
      <c r="H255" s="17">
        <f>Table1[[#This Row],[Unit price]]*Table1[[#This Row],[Quantity]]</f>
        <v>279.65999999999997</v>
      </c>
      <c r="I255" s="29">
        <f>Table1[[#This Row],[Total Revenue]]/$H$5056*100</f>
        <v>2.9670736623302302E-2</v>
      </c>
      <c r="J255" s="3" t="s">
        <v>15</v>
      </c>
      <c r="K255" s="4">
        <v>7.2</v>
      </c>
      <c r="M255"/>
    </row>
    <row r="256" spans="1:13" x14ac:dyDescent="0.25">
      <c r="A256" s="3" t="s">
        <v>33</v>
      </c>
      <c r="B256" s="3" t="s">
        <v>244</v>
      </c>
      <c r="C256" s="3" t="s">
        <v>13</v>
      </c>
      <c r="D256" s="3" t="s">
        <v>19</v>
      </c>
      <c r="E256" s="5" t="s">
        <v>14</v>
      </c>
      <c r="F256" s="17">
        <v>75.88</v>
      </c>
      <c r="G256" s="3">
        <v>7</v>
      </c>
      <c r="H256" s="17">
        <f>Table1[[#This Row],[Unit price]]*Table1[[#This Row],[Quantity]]</f>
        <v>531.16</v>
      </c>
      <c r="I256" s="29">
        <f>Table1[[#This Row],[Total Revenue]]/$H$5056*100</f>
        <v>5.635381700934438E-2</v>
      </c>
      <c r="J256" s="3" t="s">
        <v>17</v>
      </c>
      <c r="K256" s="4">
        <v>8.9</v>
      </c>
      <c r="M256"/>
    </row>
    <row r="257" spans="1:13" x14ac:dyDescent="0.25">
      <c r="A257" s="3" t="s">
        <v>34</v>
      </c>
      <c r="B257" s="3" t="s">
        <v>244</v>
      </c>
      <c r="C257" s="3" t="s">
        <v>13</v>
      </c>
      <c r="D257" s="3" t="s">
        <v>10</v>
      </c>
      <c r="E257" s="5" t="s">
        <v>18</v>
      </c>
      <c r="F257" s="17">
        <v>60.96</v>
      </c>
      <c r="G257" s="3">
        <v>2</v>
      </c>
      <c r="H257" s="17">
        <f>Table1[[#This Row],[Unit price]]*Table1[[#This Row],[Quantity]]</f>
        <v>121.92</v>
      </c>
      <c r="I257" s="29">
        <f>Table1[[#This Row],[Total Revenue]]/$H$5056*100</f>
        <v>1.2935193481774358E-2</v>
      </c>
      <c r="J257" s="3" t="s">
        <v>12</v>
      </c>
      <c r="K257" s="4">
        <v>4.9000000000000004</v>
      </c>
      <c r="M257"/>
    </row>
    <row r="258" spans="1:13" x14ac:dyDescent="0.25">
      <c r="A258" s="3" t="s">
        <v>34</v>
      </c>
      <c r="B258" s="3" t="s">
        <v>244</v>
      </c>
      <c r="C258" s="3" t="s">
        <v>13</v>
      </c>
      <c r="D258" s="3" t="s">
        <v>10</v>
      </c>
      <c r="E258" s="5" t="s">
        <v>11</v>
      </c>
      <c r="F258" s="17">
        <v>48.51</v>
      </c>
      <c r="G258" s="3">
        <v>7</v>
      </c>
      <c r="H258" s="17">
        <f>Table1[[#This Row],[Unit price]]*Table1[[#This Row],[Quantity]]</f>
        <v>339.57</v>
      </c>
      <c r="I258" s="29">
        <f>Table1[[#This Row],[Total Revenue]]/$H$5056*100</f>
        <v>3.6026932829774594E-2</v>
      </c>
      <c r="J258" s="3" t="s">
        <v>12</v>
      </c>
      <c r="K258" s="4">
        <v>5.2</v>
      </c>
      <c r="M258"/>
    </row>
    <row r="259" spans="1:13" x14ac:dyDescent="0.25">
      <c r="A259" s="3" t="s">
        <v>34</v>
      </c>
      <c r="B259" s="3" t="s">
        <v>243</v>
      </c>
      <c r="C259" s="3" t="s">
        <v>9</v>
      </c>
      <c r="D259" s="3" t="s">
        <v>19</v>
      </c>
      <c r="E259" s="5" t="s">
        <v>20</v>
      </c>
      <c r="F259" s="17">
        <v>60.01</v>
      </c>
      <c r="G259" s="3">
        <v>4</v>
      </c>
      <c r="H259" s="17">
        <f>Table1[[#This Row],[Unit price]]*Table1[[#This Row],[Quantity]]</f>
        <v>240.04</v>
      </c>
      <c r="I259" s="29">
        <f>Table1[[#This Row],[Total Revenue]]/$H$5056*100</f>
        <v>2.5467223124713886E-2</v>
      </c>
      <c r="J259" s="3" t="s">
        <v>15</v>
      </c>
      <c r="K259" s="4">
        <v>4.5</v>
      </c>
      <c r="M259"/>
    </row>
    <row r="260" spans="1:13" x14ac:dyDescent="0.25">
      <c r="A260" s="3" t="s">
        <v>34</v>
      </c>
      <c r="B260" s="3" t="s">
        <v>244</v>
      </c>
      <c r="C260" s="3" t="s">
        <v>13</v>
      </c>
      <c r="D260" s="3" t="s">
        <v>19</v>
      </c>
      <c r="E260" s="5" t="s">
        <v>21</v>
      </c>
      <c r="F260" s="17">
        <v>96.11</v>
      </c>
      <c r="G260" s="3">
        <v>1</v>
      </c>
      <c r="H260" s="17">
        <f>Table1[[#This Row],[Unit price]]*Table1[[#This Row],[Quantity]]</f>
        <v>96.11</v>
      </c>
      <c r="I260" s="29">
        <f>Table1[[#This Row],[Total Revenue]]/$H$5056*100</f>
        <v>1.0196862250109363E-2</v>
      </c>
      <c r="J260" s="3" t="s">
        <v>17</v>
      </c>
      <c r="K260" s="4">
        <v>7.8</v>
      </c>
      <c r="M260"/>
    </row>
    <row r="261" spans="1:13" x14ac:dyDescent="0.25">
      <c r="A261" s="3" t="s">
        <v>34</v>
      </c>
      <c r="B261" s="3" t="s">
        <v>244</v>
      </c>
      <c r="C261" s="3" t="s">
        <v>9</v>
      </c>
      <c r="D261" s="3" t="s">
        <v>19</v>
      </c>
      <c r="E261" s="5" t="s">
        <v>21</v>
      </c>
      <c r="F261" s="17">
        <v>51.13</v>
      </c>
      <c r="G261" s="3">
        <v>4</v>
      </c>
      <c r="H261" s="17">
        <f>Table1[[#This Row],[Unit price]]*Table1[[#This Row],[Quantity]]</f>
        <v>204.52</v>
      </c>
      <c r="I261" s="29">
        <f>Table1[[#This Row],[Total Revenue]]/$H$5056*100</f>
        <v>2.1698702189078836E-2</v>
      </c>
      <c r="J261" s="3" t="s">
        <v>12</v>
      </c>
      <c r="K261" s="4">
        <v>4</v>
      </c>
      <c r="M261"/>
    </row>
    <row r="262" spans="1:13" x14ac:dyDescent="0.25">
      <c r="A262" s="3" t="s">
        <v>34</v>
      </c>
      <c r="B262" s="3" t="s">
        <v>243</v>
      </c>
      <c r="C262" s="3" t="s">
        <v>9</v>
      </c>
      <c r="D262" s="3" t="s">
        <v>10</v>
      </c>
      <c r="E262" s="5" t="s">
        <v>16</v>
      </c>
      <c r="F262" s="17">
        <v>40.049999999999997</v>
      </c>
      <c r="G262" s="3">
        <v>4</v>
      </c>
      <c r="H262" s="17">
        <f>Table1[[#This Row],[Unit price]]*Table1[[#This Row],[Quantity]]</f>
        <v>160.19999999999999</v>
      </c>
      <c r="I262" s="29">
        <f>Table1[[#This Row],[Total Revenue]]/$H$5056*100</f>
        <v>1.6996538679299969E-2</v>
      </c>
      <c r="J262" s="3" t="s">
        <v>15</v>
      </c>
      <c r="K262" s="4">
        <v>9.6999999999999993</v>
      </c>
      <c r="M262"/>
    </row>
    <row r="263" spans="1:13" x14ac:dyDescent="0.25">
      <c r="A263" s="3" t="s">
        <v>34</v>
      </c>
      <c r="B263" s="3" t="s">
        <v>244</v>
      </c>
      <c r="C263" s="3" t="s">
        <v>13</v>
      </c>
      <c r="D263" s="3" t="s">
        <v>19</v>
      </c>
      <c r="E263" s="5" t="s">
        <v>16</v>
      </c>
      <c r="F263" s="17">
        <v>21.87</v>
      </c>
      <c r="G263" s="3">
        <v>2</v>
      </c>
      <c r="H263" s="17">
        <f>Table1[[#This Row],[Unit price]]*Table1[[#This Row],[Quantity]]</f>
        <v>43.74</v>
      </c>
      <c r="I263" s="29">
        <f>Table1[[#This Row],[Total Revenue]]/$H$5056*100</f>
        <v>4.640627976483026E-3</v>
      </c>
      <c r="J263" s="3" t="s">
        <v>17</v>
      </c>
      <c r="K263" s="4">
        <v>6.9</v>
      </c>
      <c r="M263"/>
    </row>
    <row r="264" spans="1:13" x14ac:dyDescent="0.25">
      <c r="A264" s="3" t="s">
        <v>34</v>
      </c>
      <c r="B264" s="3" t="s">
        <v>245</v>
      </c>
      <c r="C264" s="3" t="s">
        <v>9</v>
      </c>
      <c r="D264" s="3" t="s">
        <v>19</v>
      </c>
      <c r="E264" s="5" t="s">
        <v>18</v>
      </c>
      <c r="F264" s="17">
        <v>15.43</v>
      </c>
      <c r="G264" s="3">
        <v>1</v>
      </c>
      <c r="H264" s="17">
        <f>Table1[[#This Row],[Unit price]]*Table1[[#This Row],[Quantity]]</f>
        <v>15.43</v>
      </c>
      <c r="I264" s="29">
        <f>Table1[[#This Row],[Total Revenue]]/$H$5056*100</f>
        <v>1.6370573771635362E-3</v>
      </c>
      <c r="J264" s="3" t="s">
        <v>12</v>
      </c>
      <c r="K264" s="4">
        <v>6.1</v>
      </c>
      <c r="M264"/>
    </row>
    <row r="265" spans="1:13" x14ac:dyDescent="0.25">
      <c r="A265" s="3" t="s">
        <v>34</v>
      </c>
      <c r="B265" s="3" t="s">
        <v>243</v>
      </c>
      <c r="C265" s="3" t="s">
        <v>9</v>
      </c>
      <c r="D265" s="3" t="s">
        <v>19</v>
      </c>
      <c r="E265" s="5" t="s">
        <v>20</v>
      </c>
      <c r="F265" s="17">
        <v>53.3</v>
      </c>
      <c r="G265" s="3">
        <v>3</v>
      </c>
      <c r="H265" s="17">
        <f>Table1[[#This Row],[Unit price]]*Table1[[#This Row],[Quantity]]</f>
        <v>159.89999999999998</v>
      </c>
      <c r="I265" s="29">
        <f>Table1[[#This Row],[Total Revenue]]/$H$5056*100</f>
        <v>1.6964709955181425E-2</v>
      </c>
      <c r="J265" s="3" t="s">
        <v>17</v>
      </c>
      <c r="K265" s="4">
        <v>7.5</v>
      </c>
      <c r="M265"/>
    </row>
    <row r="266" spans="1:13" x14ac:dyDescent="0.25">
      <c r="A266" s="3" t="s">
        <v>34</v>
      </c>
      <c r="B266" s="3" t="s">
        <v>244</v>
      </c>
      <c r="C266" s="3" t="s">
        <v>13</v>
      </c>
      <c r="D266" s="3" t="s">
        <v>10</v>
      </c>
      <c r="E266" s="5" t="s">
        <v>18</v>
      </c>
      <c r="F266" s="17">
        <v>39.619999999999997</v>
      </c>
      <c r="G266" s="3">
        <v>7</v>
      </c>
      <c r="H266" s="17">
        <f>Table1[[#This Row],[Unit price]]*Table1[[#This Row],[Quantity]]</f>
        <v>277.33999999999997</v>
      </c>
      <c r="I266" s="29">
        <f>Table1[[#This Row],[Total Revenue]]/$H$5056*100</f>
        <v>2.942459449011893E-2</v>
      </c>
      <c r="J266" s="3" t="s">
        <v>15</v>
      </c>
      <c r="K266" s="4">
        <v>7.5</v>
      </c>
      <c r="M266"/>
    </row>
    <row r="267" spans="1:13" x14ac:dyDescent="0.25">
      <c r="A267" s="3" t="s">
        <v>34</v>
      </c>
      <c r="B267" s="3" t="s">
        <v>245</v>
      </c>
      <c r="C267" s="3" t="s">
        <v>9</v>
      </c>
      <c r="D267" s="3" t="s">
        <v>10</v>
      </c>
      <c r="E267" s="5" t="s">
        <v>18</v>
      </c>
      <c r="F267" s="17">
        <v>84.87</v>
      </c>
      <c r="G267" s="3">
        <v>3</v>
      </c>
      <c r="H267" s="17">
        <f>Table1[[#This Row],[Unit price]]*Table1[[#This Row],[Quantity]]</f>
        <v>254.61</v>
      </c>
      <c r="I267" s="29">
        <f>Table1[[#This Row],[Total Revenue]]/$H$5056*100</f>
        <v>2.7013038159404278E-2</v>
      </c>
      <c r="J267" s="3" t="s">
        <v>17</v>
      </c>
      <c r="K267" s="4">
        <v>7.4</v>
      </c>
      <c r="M267"/>
    </row>
    <row r="268" spans="1:13" x14ac:dyDescent="0.25">
      <c r="A268" s="3" t="s">
        <v>34</v>
      </c>
      <c r="B268" s="3" t="s">
        <v>245</v>
      </c>
      <c r="C268" s="3" t="s">
        <v>9</v>
      </c>
      <c r="D268" s="3" t="s">
        <v>19</v>
      </c>
      <c r="E268" s="5" t="s">
        <v>21</v>
      </c>
      <c r="F268" s="17">
        <v>90.5</v>
      </c>
      <c r="G268" s="3">
        <v>10</v>
      </c>
      <c r="H268" s="17">
        <f>Table1[[#This Row],[Unit price]]*Table1[[#This Row],[Quantity]]</f>
        <v>905</v>
      </c>
      <c r="I268" s="29">
        <f>Table1[[#This Row],[Total Revenue]]/$H$5056*100</f>
        <v>9.6016651090926788E-2</v>
      </c>
      <c r="J268" s="3" t="s">
        <v>15</v>
      </c>
      <c r="K268" s="4">
        <v>8.1</v>
      </c>
      <c r="M268"/>
    </row>
    <row r="269" spans="1:13" x14ac:dyDescent="0.25">
      <c r="A269" s="3" t="s">
        <v>34</v>
      </c>
      <c r="B269" s="3" t="s">
        <v>243</v>
      </c>
      <c r="C269" s="3" t="s">
        <v>13</v>
      </c>
      <c r="D269" s="3" t="s">
        <v>19</v>
      </c>
      <c r="E269" s="5" t="s">
        <v>14</v>
      </c>
      <c r="F269" s="17">
        <v>26.23</v>
      </c>
      <c r="G269" s="3">
        <v>9</v>
      </c>
      <c r="H269" s="17">
        <f>Table1[[#This Row],[Unit price]]*Table1[[#This Row],[Quantity]]</f>
        <v>236.07</v>
      </c>
      <c r="I269" s="29">
        <f>Table1[[#This Row],[Total Revenue]]/$H$5056*100</f>
        <v>2.5046023008878548E-2</v>
      </c>
      <c r="J269" s="3" t="s">
        <v>17</v>
      </c>
      <c r="K269" s="4">
        <v>5.9</v>
      </c>
      <c r="M269"/>
    </row>
    <row r="270" spans="1:13" x14ac:dyDescent="0.25">
      <c r="A270" s="3" t="s">
        <v>34</v>
      </c>
      <c r="B270" s="3" t="s">
        <v>245</v>
      </c>
      <c r="C270" s="3" t="s">
        <v>9</v>
      </c>
      <c r="D270" s="3" t="s">
        <v>10</v>
      </c>
      <c r="E270" s="5" t="s">
        <v>16</v>
      </c>
      <c r="F270" s="17">
        <v>70.19</v>
      </c>
      <c r="G270" s="3">
        <v>9</v>
      </c>
      <c r="H270" s="17">
        <f>Table1[[#This Row],[Unit price]]*Table1[[#This Row],[Quantity]]</f>
        <v>631.71</v>
      </c>
      <c r="I270" s="29">
        <f>Table1[[#This Row],[Total Revenue]]/$H$5056*100</f>
        <v>6.7021744376408135E-2</v>
      </c>
      <c r="J270" s="3" t="s">
        <v>15</v>
      </c>
      <c r="K270" s="4">
        <v>6.7</v>
      </c>
      <c r="M270"/>
    </row>
    <row r="271" spans="1:13" x14ac:dyDescent="0.25">
      <c r="A271" s="3" t="s">
        <v>34</v>
      </c>
      <c r="B271" s="3" t="s">
        <v>245</v>
      </c>
      <c r="C271" s="3" t="s">
        <v>13</v>
      </c>
      <c r="D271" s="3" t="s">
        <v>19</v>
      </c>
      <c r="E271" s="5" t="s">
        <v>21</v>
      </c>
      <c r="F271" s="17">
        <v>34.31</v>
      </c>
      <c r="G271" s="3">
        <v>8</v>
      </c>
      <c r="H271" s="17">
        <f>Table1[[#This Row],[Unit price]]*Table1[[#This Row],[Quantity]]</f>
        <v>274.48</v>
      </c>
      <c r="I271" s="29">
        <f>Table1[[#This Row],[Total Revenue]]/$H$5056*100</f>
        <v>2.9121160653522195E-2</v>
      </c>
      <c r="J271" s="3" t="s">
        <v>17</v>
      </c>
      <c r="K271" s="4">
        <v>5.7</v>
      </c>
      <c r="M271"/>
    </row>
    <row r="272" spans="1:13" x14ac:dyDescent="0.25">
      <c r="A272" s="3" t="s">
        <v>34</v>
      </c>
      <c r="B272" s="3" t="s">
        <v>243</v>
      </c>
      <c r="C272" s="3" t="s">
        <v>13</v>
      </c>
      <c r="D272" s="3" t="s">
        <v>19</v>
      </c>
      <c r="E272" s="5" t="s">
        <v>18</v>
      </c>
      <c r="F272" s="17">
        <v>74.099999999999994</v>
      </c>
      <c r="G272" s="3">
        <v>1</v>
      </c>
      <c r="H272" s="17">
        <f>Table1[[#This Row],[Unit price]]*Table1[[#This Row],[Quantity]]</f>
        <v>74.099999999999994</v>
      </c>
      <c r="I272" s="29">
        <f>Table1[[#This Row],[Total Revenue]]/$H$5056*100</f>
        <v>7.861694857279198E-3</v>
      </c>
      <c r="J272" s="3" t="s">
        <v>15</v>
      </c>
      <c r="K272" s="4">
        <v>9.1999999999999993</v>
      </c>
      <c r="M272"/>
    </row>
    <row r="273" spans="1:13" x14ac:dyDescent="0.25">
      <c r="A273" s="3" t="s">
        <v>34</v>
      </c>
      <c r="B273" s="3" t="s">
        <v>244</v>
      </c>
      <c r="C273" s="3" t="s">
        <v>13</v>
      </c>
      <c r="D273" s="3" t="s">
        <v>10</v>
      </c>
      <c r="E273" s="5" t="s">
        <v>11</v>
      </c>
      <c r="F273" s="17">
        <v>88.36</v>
      </c>
      <c r="G273" s="3">
        <v>5</v>
      </c>
      <c r="H273" s="17">
        <f>Table1[[#This Row],[Unit price]]*Table1[[#This Row],[Quantity]]</f>
        <v>441.8</v>
      </c>
      <c r="I273" s="29">
        <f>Table1[[#This Row],[Total Revenue]]/$H$5056*100</f>
        <v>4.6873101051902157E-2</v>
      </c>
      <c r="J273" s="3" t="s">
        <v>15</v>
      </c>
      <c r="K273" s="4">
        <v>9.6</v>
      </c>
      <c r="M273"/>
    </row>
    <row r="274" spans="1:13" x14ac:dyDescent="0.25">
      <c r="A274" s="3" t="s">
        <v>35</v>
      </c>
      <c r="B274" s="3" t="s">
        <v>244</v>
      </c>
      <c r="C274" s="3" t="s">
        <v>9</v>
      </c>
      <c r="D274" s="3" t="s">
        <v>19</v>
      </c>
      <c r="E274" s="5" t="s">
        <v>11</v>
      </c>
      <c r="F274" s="17">
        <v>80.05</v>
      </c>
      <c r="G274" s="3">
        <v>5</v>
      </c>
      <c r="H274" s="17">
        <f>Table1[[#This Row],[Unit price]]*Table1[[#This Row],[Quantity]]</f>
        <v>400.25</v>
      </c>
      <c r="I274" s="29">
        <f>Table1[[#This Row],[Total Revenue]]/$H$5056*100</f>
        <v>4.2464822761484472E-2</v>
      </c>
      <c r="J274" s="3" t="s">
        <v>12</v>
      </c>
      <c r="K274" s="4">
        <v>9.4</v>
      </c>
      <c r="M274"/>
    </row>
    <row r="275" spans="1:13" x14ac:dyDescent="0.25">
      <c r="A275" s="3" t="s">
        <v>35</v>
      </c>
      <c r="B275" s="3" t="s">
        <v>244</v>
      </c>
      <c r="C275" s="3" t="s">
        <v>9</v>
      </c>
      <c r="D275" s="3" t="s">
        <v>19</v>
      </c>
      <c r="E275" s="5" t="s">
        <v>21</v>
      </c>
      <c r="F275" s="17">
        <v>69.37</v>
      </c>
      <c r="G275" s="3">
        <v>9</v>
      </c>
      <c r="H275" s="17">
        <f>Table1[[#This Row],[Unit price]]*Table1[[#This Row],[Quantity]]</f>
        <v>624.33000000000004</v>
      </c>
      <c r="I275" s="29">
        <f>Table1[[#This Row],[Total Revenue]]/$H$5056*100</f>
        <v>6.6238757763092071E-2</v>
      </c>
      <c r="J275" s="3" t="s">
        <v>17</v>
      </c>
      <c r="K275" s="4">
        <v>4</v>
      </c>
      <c r="M275"/>
    </row>
    <row r="276" spans="1:13" x14ac:dyDescent="0.25">
      <c r="A276" s="3" t="s">
        <v>35</v>
      </c>
      <c r="B276" s="3" t="s">
        <v>245</v>
      </c>
      <c r="C276" s="3" t="s">
        <v>13</v>
      </c>
      <c r="D276" s="3" t="s">
        <v>10</v>
      </c>
      <c r="E276" s="5" t="s">
        <v>18</v>
      </c>
      <c r="F276" s="17">
        <v>64.989999999999995</v>
      </c>
      <c r="G276" s="3">
        <v>1</v>
      </c>
      <c r="H276" s="17">
        <f>Table1[[#This Row],[Unit price]]*Table1[[#This Row],[Quantity]]</f>
        <v>64.989999999999995</v>
      </c>
      <c r="I276" s="29">
        <f>Table1[[#This Row],[Total Revenue]]/$H$5056*100</f>
        <v>6.8951626015462232E-3</v>
      </c>
      <c r="J276" s="3" t="s">
        <v>12</v>
      </c>
      <c r="K276" s="4">
        <v>4.5</v>
      </c>
      <c r="M276"/>
    </row>
    <row r="277" spans="1:13" x14ac:dyDescent="0.25">
      <c r="A277" s="3" t="s">
        <v>35</v>
      </c>
      <c r="B277" s="3" t="s">
        <v>243</v>
      </c>
      <c r="C277" s="3" t="s">
        <v>13</v>
      </c>
      <c r="D277" s="3" t="s">
        <v>10</v>
      </c>
      <c r="E277" s="5" t="s">
        <v>18</v>
      </c>
      <c r="F277" s="17">
        <v>12.09</v>
      </c>
      <c r="G277" s="3">
        <v>1</v>
      </c>
      <c r="H277" s="17">
        <f>Table1[[#This Row],[Unit price]]*Table1[[#This Row],[Quantity]]</f>
        <v>12.09</v>
      </c>
      <c r="I277" s="29">
        <f>Table1[[#This Row],[Total Revenue]]/$H$5056*100</f>
        <v>1.2826975819771322E-3</v>
      </c>
      <c r="J277" s="3" t="s">
        <v>12</v>
      </c>
      <c r="K277" s="4">
        <v>8.1999999999999993</v>
      </c>
      <c r="M277"/>
    </row>
    <row r="278" spans="1:13" x14ac:dyDescent="0.25">
      <c r="A278" s="3" t="s">
        <v>35</v>
      </c>
      <c r="B278" s="3" t="s">
        <v>244</v>
      </c>
      <c r="C278" s="3" t="s">
        <v>13</v>
      </c>
      <c r="D278" s="3" t="s">
        <v>19</v>
      </c>
      <c r="E278" s="5" t="s">
        <v>14</v>
      </c>
      <c r="F278" s="17">
        <v>87.08</v>
      </c>
      <c r="G278" s="3">
        <v>7</v>
      </c>
      <c r="H278" s="17">
        <f>Table1[[#This Row],[Unit price]]*Table1[[#This Row],[Quantity]]</f>
        <v>609.55999999999995</v>
      </c>
      <c r="I278" s="29">
        <f>Table1[[#This Row],[Total Revenue]]/$H$5056*100</f>
        <v>6.4671723578989315E-2</v>
      </c>
      <c r="J278" s="3" t="s">
        <v>15</v>
      </c>
      <c r="K278" s="4">
        <v>5.5</v>
      </c>
      <c r="M278"/>
    </row>
    <row r="279" spans="1:13" x14ac:dyDescent="0.25">
      <c r="A279" s="3" t="s">
        <v>35</v>
      </c>
      <c r="B279" s="3" t="s">
        <v>244</v>
      </c>
      <c r="C279" s="3" t="s">
        <v>13</v>
      </c>
      <c r="D279" s="3" t="s">
        <v>19</v>
      </c>
      <c r="E279" s="5" t="s">
        <v>20</v>
      </c>
      <c r="F279" s="17">
        <v>25.55</v>
      </c>
      <c r="G279" s="3">
        <v>4</v>
      </c>
      <c r="H279" s="17">
        <f>Table1[[#This Row],[Unit price]]*Table1[[#This Row],[Quantity]]</f>
        <v>102.2</v>
      </c>
      <c r="I279" s="29">
        <f>Table1[[#This Row],[Total Revenue]]/$H$5056*100</f>
        <v>1.0842985349715711E-2</v>
      </c>
      <c r="J279" s="3" t="s">
        <v>17</v>
      </c>
      <c r="K279" s="4">
        <v>5.7</v>
      </c>
      <c r="M279"/>
    </row>
    <row r="280" spans="1:13" x14ac:dyDescent="0.25">
      <c r="A280" s="3" t="s">
        <v>35</v>
      </c>
      <c r="B280" s="3" t="s">
        <v>244</v>
      </c>
      <c r="C280" s="3" t="s">
        <v>9</v>
      </c>
      <c r="D280" s="3" t="s">
        <v>10</v>
      </c>
      <c r="E280" s="5" t="s">
        <v>11</v>
      </c>
      <c r="F280" s="17">
        <v>78.88</v>
      </c>
      <c r="G280" s="3">
        <v>2</v>
      </c>
      <c r="H280" s="17">
        <f>Table1[[#This Row],[Unit price]]*Table1[[#This Row],[Quantity]]</f>
        <v>157.76</v>
      </c>
      <c r="I280" s="29">
        <f>Table1[[#This Row],[Total Revenue]]/$H$5056*100</f>
        <v>1.6737665056469179E-2</v>
      </c>
      <c r="J280" s="3" t="s">
        <v>15</v>
      </c>
      <c r="K280" s="4">
        <v>9.1</v>
      </c>
      <c r="M280"/>
    </row>
    <row r="281" spans="1:13" x14ac:dyDescent="0.25">
      <c r="A281" s="3" t="s">
        <v>35</v>
      </c>
      <c r="B281" s="3" t="s">
        <v>244</v>
      </c>
      <c r="C281" s="3" t="s">
        <v>13</v>
      </c>
      <c r="D281" s="3" t="s">
        <v>19</v>
      </c>
      <c r="E281" s="5" t="s">
        <v>11</v>
      </c>
      <c r="F281" s="17">
        <v>33.33</v>
      </c>
      <c r="G281" s="3">
        <v>2</v>
      </c>
      <c r="H281" s="17">
        <f>Table1[[#This Row],[Unit price]]*Table1[[#This Row],[Quantity]]</f>
        <v>66.66</v>
      </c>
      <c r="I281" s="29">
        <f>Table1[[#This Row],[Total Revenue]]/$H$5056*100</f>
        <v>7.0723424991394239E-3</v>
      </c>
      <c r="J281" s="3" t="s">
        <v>12</v>
      </c>
      <c r="K281" s="4">
        <v>6.4</v>
      </c>
      <c r="M281"/>
    </row>
    <row r="282" spans="1:13" x14ac:dyDescent="0.25">
      <c r="A282" s="3" t="s">
        <v>35</v>
      </c>
      <c r="B282" s="3" t="s">
        <v>243</v>
      </c>
      <c r="C282" s="3" t="s">
        <v>13</v>
      </c>
      <c r="D282" s="3" t="s">
        <v>19</v>
      </c>
      <c r="E282" s="5" t="s">
        <v>14</v>
      </c>
      <c r="F282" s="17">
        <v>51.69</v>
      </c>
      <c r="G282" s="3">
        <v>7</v>
      </c>
      <c r="H282" s="17">
        <f>Table1[[#This Row],[Unit price]]*Table1[[#This Row],[Quantity]]</f>
        <v>361.83</v>
      </c>
      <c r="I282" s="29">
        <f>Table1[[#This Row],[Total Revenue]]/$H$5056*100</f>
        <v>3.8388624159370208E-2</v>
      </c>
      <c r="J282" s="3" t="s">
        <v>15</v>
      </c>
      <c r="K282" s="4">
        <v>5.5</v>
      </c>
      <c r="M282"/>
    </row>
    <row r="283" spans="1:13" x14ac:dyDescent="0.25">
      <c r="A283" s="3" t="s">
        <v>35</v>
      </c>
      <c r="B283" s="3" t="s">
        <v>244</v>
      </c>
      <c r="C283" s="3" t="s">
        <v>13</v>
      </c>
      <c r="D283" s="3" t="s">
        <v>10</v>
      </c>
      <c r="E283" s="5" t="s">
        <v>16</v>
      </c>
      <c r="F283" s="17">
        <v>51.54</v>
      </c>
      <c r="G283" s="3">
        <v>5</v>
      </c>
      <c r="H283" s="17">
        <f>Table1[[#This Row],[Unit price]]*Table1[[#This Row],[Quantity]]</f>
        <v>257.7</v>
      </c>
      <c r="I283" s="29">
        <f>Table1[[#This Row],[Total Revenue]]/$H$5056*100</f>
        <v>2.7340874017825229E-2</v>
      </c>
      <c r="J283" s="3" t="s">
        <v>15</v>
      </c>
      <c r="K283" s="4">
        <v>4.2</v>
      </c>
      <c r="M283"/>
    </row>
    <row r="284" spans="1:13" x14ac:dyDescent="0.25">
      <c r="A284" s="3" t="s">
        <v>35</v>
      </c>
      <c r="B284" s="3" t="s">
        <v>244</v>
      </c>
      <c r="C284" s="3" t="s">
        <v>13</v>
      </c>
      <c r="D284" s="3" t="s">
        <v>10</v>
      </c>
      <c r="E284" s="5" t="s">
        <v>11</v>
      </c>
      <c r="F284" s="17">
        <v>96.68</v>
      </c>
      <c r="G284" s="3">
        <v>3</v>
      </c>
      <c r="H284" s="17">
        <f>Table1[[#This Row],[Unit price]]*Table1[[#This Row],[Quantity]]</f>
        <v>290.04000000000002</v>
      </c>
      <c r="I284" s="29">
        <f>Table1[[#This Row],[Total Revenue]]/$H$5056*100</f>
        <v>3.0772010477803764E-2</v>
      </c>
      <c r="J284" s="3" t="s">
        <v>17</v>
      </c>
      <c r="K284" s="4">
        <v>6.4</v>
      </c>
      <c r="M284"/>
    </row>
    <row r="285" spans="1:13" x14ac:dyDescent="0.25">
      <c r="A285" s="3" t="s">
        <v>35</v>
      </c>
      <c r="B285" s="3" t="s">
        <v>245</v>
      </c>
      <c r="C285" s="3" t="s">
        <v>9</v>
      </c>
      <c r="D285" s="3" t="s">
        <v>19</v>
      </c>
      <c r="E285" s="5" t="s">
        <v>21</v>
      </c>
      <c r="F285" s="17">
        <v>33.81</v>
      </c>
      <c r="G285" s="3">
        <v>3</v>
      </c>
      <c r="H285" s="17">
        <f>Table1[[#This Row],[Unit price]]*Table1[[#This Row],[Quantity]]</f>
        <v>101.43</v>
      </c>
      <c r="I285" s="29">
        <f>Table1[[#This Row],[Total Revenue]]/$H$5056*100</f>
        <v>1.0761291624478126E-2</v>
      </c>
      <c r="J285" s="3" t="s">
        <v>17</v>
      </c>
      <c r="K285" s="4">
        <v>7.3</v>
      </c>
      <c r="M285"/>
    </row>
    <row r="286" spans="1:13" x14ac:dyDescent="0.25">
      <c r="A286" s="3" t="s">
        <v>35</v>
      </c>
      <c r="B286" s="3" t="s">
        <v>243</v>
      </c>
      <c r="C286" s="3" t="s">
        <v>13</v>
      </c>
      <c r="D286" s="3" t="s">
        <v>19</v>
      </c>
      <c r="E286" s="5" t="s">
        <v>18</v>
      </c>
      <c r="F286" s="17">
        <v>21.32</v>
      </c>
      <c r="G286" s="3">
        <v>1</v>
      </c>
      <c r="H286" s="17">
        <f>Table1[[#This Row],[Unit price]]*Table1[[#This Row],[Quantity]]</f>
        <v>21.32</v>
      </c>
      <c r="I286" s="29">
        <f>Table1[[#This Row],[Total Revenue]]/$H$5056*100</f>
        <v>2.2619613273575237E-3</v>
      </c>
      <c r="J286" s="3" t="s">
        <v>15</v>
      </c>
      <c r="K286" s="4">
        <v>5.9</v>
      </c>
      <c r="M286"/>
    </row>
    <row r="287" spans="1:13" x14ac:dyDescent="0.25">
      <c r="A287" s="3" t="s">
        <v>35</v>
      </c>
      <c r="B287" s="3" t="s">
        <v>245</v>
      </c>
      <c r="C287" s="3" t="s">
        <v>13</v>
      </c>
      <c r="D287" s="3" t="s">
        <v>10</v>
      </c>
      <c r="E287" s="5" t="s">
        <v>16</v>
      </c>
      <c r="F287" s="17">
        <v>44.86</v>
      </c>
      <c r="G287" s="3">
        <v>10</v>
      </c>
      <c r="H287" s="17">
        <f>Table1[[#This Row],[Unit price]]*Table1[[#This Row],[Quantity]]</f>
        <v>448.6</v>
      </c>
      <c r="I287" s="29">
        <f>Table1[[#This Row],[Total Revenue]]/$H$5056*100</f>
        <v>4.7594552131922388E-2</v>
      </c>
      <c r="J287" s="3" t="s">
        <v>17</v>
      </c>
      <c r="K287" s="4">
        <v>8.1999999999999993</v>
      </c>
      <c r="M287"/>
    </row>
    <row r="288" spans="1:13" x14ac:dyDescent="0.25">
      <c r="A288" s="3" t="s">
        <v>35</v>
      </c>
      <c r="B288" s="3" t="s">
        <v>244</v>
      </c>
      <c r="C288" s="3" t="s">
        <v>13</v>
      </c>
      <c r="D288" s="3" t="s">
        <v>10</v>
      </c>
      <c r="E288" s="5" t="s">
        <v>18</v>
      </c>
      <c r="F288" s="17">
        <v>37.950000000000003</v>
      </c>
      <c r="G288" s="3">
        <v>10</v>
      </c>
      <c r="H288" s="17">
        <f>Table1[[#This Row],[Unit price]]*Table1[[#This Row],[Quantity]]</f>
        <v>379.5</v>
      </c>
      <c r="I288" s="29">
        <f>Table1[[#This Row],[Total Revenue]]/$H$5056*100</f>
        <v>4.0263336009952175E-2</v>
      </c>
      <c r="J288" s="3" t="s">
        <v>15</v>
      </c>
      <c r="K288" s="4">
        <v>9.6999999999999993</v>
      </c>
      <c r="M288"/>
    </row>
    <row r="289" spans="1:13" x14ac:dyDescent="0.25">
      <c r="A289" s="3" t="s">
        <v>35</v>
      </c>
      <c r="B289" s="3" t="s">
        <v>244</v>
      </c>
      <c r="C289" s="3" t="s">
        <v>13</v>
      </c>
      <c r="D289" s="3" t="s">
        <v>10</v>
      </c>
      <c r="E289" s="5" t="s">
        <v>18</v>
      </c>
      <c r="F289" s="17">
        <v>81.37</v>
      </c>
      <c r="G289" s="3">
        <v>2</v>
      </c>
      <c r="H289" s="17">
        <f>Table1[[#This Row],[Unit price]]*Table1[[#This Row],[Quantity]]</f>
        <v>162.74</v>
      </c>
      <c r="I289" s="29">
        <f>Table1[[#This Row],[Total Revenue]]/$H$5056*100</f>
        <v>1.7266021876836936E-2</v>
      </c>
      <c r="J289" s="3" t="s">
        <v>15</v>
      </c>
      <c r="K289" s="4">
        <v>6.5</v>
      </c>
      <c r="M289"/>
    </row>
    <row r="290" spans="1:13" x14ac:dyDescent="0.25">
      <c r="A290" s="3" t="s">
        <v>35</v>
      </c>
      <c r="B290" s="3" t="s">
        <v>245</v>
      </c>
      <c r="C290" s="3" t="s">
        <v>13</v>
      </c>
      <c r="D290" s="3" t="s">
        <v>10</v>
      </c>
      <c r="E290" s="5" t="s">
        <v>18</v>
      </c>
      <c r="F290" s="17">
        <v>36.85</v>
      </c>
      <c r="G290" s="3">
        <v>5</v>
      </c>
      <c r="H290" s="17">
        <f>Table1[[#This Row],[Unit price]]*Table1[[#This Row],[Quantity]]</f>
        <v>184.25</v>
      </c>
      <c r="I290" s="29">
        <f>Table1[[#This Row],[Total Revenue]]/$H$5056*100</f>
        <v>1.9548141396136198E-2</v>
      </c>
      <c r="J290" s="3" t="s">
        <v>15</v>
      </c>
      <c r="K290" s="4">
        <v>9.1999999999999993</v>
      </c>
      <c r="M290"/>
    </row>
    <row r="291" spans="1:13" x14ac:dyDescent="0.25">
      <c r="A291" s="3" t="s">
        <v>36</v>
      </c>
      <c r="B291" s="3" t="s">
        <v>243</v>
      </c>
      <c r="C291" s="3" t="s">
        <v>9</v>
      </c>
      <c r="D291" s="3" t="s">
        <v>19</v>
      </c>
      <c r="E291" s="5" t="s">
        <v>14</v>
      </c>
      <c r="F291" s="17">
        <v>73.260000000000005</v>
      </c>
      <c r="G291" s="3">
        <v>1</v>
      </c>
      <c r="H291" s="17">
        <f>Table1[[#This Row],[Unit price]]*Table1[[#This Row],[Quantity]]</f>
        <v>73.260000000000005</v>
      </c>
      <c r="I291" s="29">
        <f>Table1[[#This Row],[Total Revenue]]/$H$5056*100</f>
        <v>7.7725744297472889E-3</v>
      </c>
      <c r="J291" s="3" t="s">
        <v>17</v>
      </c>
      <c r="K291" s="4">
        <v>9.6999999999999993</v>
      </c>
      <c r="M291"/>
    </row>
    <row r="292" spans="1:13" x14ac:dyDescent="0.25">
      <c r="A292" s="3" t="s">
        <v>36</v>
      </c>
      <c r="B292" s="3" t="s">
        <v>245</v>
      </c>
      <c r="C292" s="3" t="s">
        <v>9</v>
      </c>
      <c r="D292" s="3" t="s">
        <v>10</v>
      </c>
      <c r="E292" s="5" t="s">
        <v>18</v>
      </c>
      <c r="F292" s="17">
        <v>54.07</v>
      </c>
      <c r="G292" s="3">
        <v>9</v>
      </c>
      <c r="H292" s="17">
        <f>Table1[[#This Row],[Unit price]]*Table1[[#This Row],[Quantity]]</f>
        <v>486.63</v>
      </c>
      <c r="I292" s="29">
        <f>Table1[[#This Row],[Total Revenue]]/$H$5056*100</f>
        <v>5.1629373392682545E-2</v>
      </c>
      <c r="J292" s="3" t="s">
        <v>17</v>
      </c>
      <c r="K292" s="4">
        <v>9.5</v>
      </c>
      <c r="M292"/>
    </row>
    <row r="293" spans="1:13" x14ac:dyDescent="0.25">
      <c r="A293" s="3" t="s">
        <v>36</v>
      </c>
      <c r="B293" s="3" t="s">
        <v>245</v>
      </c>
      <c r="C293" s="3" t="s">
        <v>13</v>
      </c>
      <c r="D293" s="3" t="s">
        <v>10</v>
      </c>
      <c r="E293" s="5" t="s">
        <v>16</v>
      </c>
      <c r="F293" s="17">
        <v>14.36</v>
      </c>
      <c r="G293" s="3">
        <v>10</v>
      </c>
      <c r="H293" s="17">
        <f>Table1[[#This Row],[Unit price]]*Table1[[#This Row],[Quantity]]</f>
        <v>143.6</v>
      </c>
      <c r="I293" s="29">
        <f>Table1[[#This Row],[Total Revenue]]/$H$5056*100</f>
        <v>1.5235349278074127E-2</v>
      </c>
      <c r="J293" s="3" t="s">
        <v>15</v>
      </c>
      <c r="K293" s="4">
        <v>5.4</v>
      </c>
      <c r="M293"/>
    </row>
    <row r="294" spans="1:13" x14ac:dyDescent="0.25">
      <c r="A294" s="3" t="s">
        <v>36</v>
      </c>
      <c r="B294" s="3" t="s">
        <v>245</v>
      </c>
      <c r="C294" s="3" t="s">
        <v>13</v>
      </c>
      <c r="D294" s="3" t="s">
        <v>10</v>
      </c>
      <c r="E294" s="5" t="s">
        <v>11</v>
      </c>
      <c r="F294" s="17">
        <v>90.24</v>
      </c>
      <c r="G294" s="3">
        <v>6</v>
      </c>
      <c r="H294" s="17">
        <f>Table1[[#This Row],[Unit price]]*Table1[[#This Row],[Quantity]]</f>
        <v>541.43999999999994</v>
      </c>
      <c r="I294" s="29">
        <f>Table1[[#This Row],[Total Revenue]]/$H$5056*100</f>
        <v>5.7444481289139655E-2</v>
      </c>
      <c r="J294" s="3" t="s">
        <v>15</v>
      </c>
      <c r="K294" s="4">
        <v>6.2</v>
      </c>
      <c r="M294"/>
    </row>
    <row r="295" spans="1:13" x14ac:dyDescent="0.25">
      <c r="A295" s="3" t="s">
        <v>36</v>
      </c>
      <c r="B295" s="3" t="s">
        <v>245</v>
      </c>
      <c r="C295" s="3" t="s">
        <v>9</v>
      </c>
      <c r="D295" s="3" t="s">
        <v>10</v>
      </c>
      <c r="E295" s="5" t="s">
        <v>14</v>
      </c>
      <c r="F295" s="17">
        <v>46.57</v>
      </c>
      <c r="G295" s="3">
        <v>10</v>
      </c>
      <c r="H295" s="17">
        <f>Table1[[#This Row],[Unit price]]*Table1[[#This Row],[Quantity]]</f>
        <v>465.7</v>
      </c>
      <c r="I295" s="29">
        <f>Table1[[#This Row],[Total Revenue]]/$H$5056*100</f>
        <v>4.9408789406679123E-2</v>
      </c>
      <c r="J295" s="3" t="s">
        <v>15</v>
      </c>
      <c r="K295" s="4">
        <v>7.6</v>
      </c>
      <c r="M295"/>
    </row>
    <row r="296" spans="1:13" x14ac:dyDescent="0.25">
      <c r="A296" s="3" t="s">
        <v>36</v>
      </c>
      <c r="B296" s="3" t="s">
        <v>244</v>
      </c>
      <c r="C296" s="3" t="s">
        <v>13</v>
      </c>
      <c r="D296" s="3" t="s">
        <v>10</v>
      </c>
      <c r="E296" s="5" t="s">
        <v>20</v>
      </c>
      <c r="F296" s="17">
        <v>49.01</v>
      </c>
      <c r="G296" s="3">
        <v>10</v>
      </c>
      <c r="H296" s="17">
        <f>Table1[[#This Row],[Unit price]]*Table1[[#This Row],[Quantity]]</f>
        <v>490.09999999999997</v>
      </c>
      <c r="I296" s="29">
        <f>Table1[[#This Row],[Total Revenue]]/$H$5056*100</f>
        <v>5.1997525634986982E-2</v>
      </c>
      <c r="J296" s="3" t="s">
        <v>12</v>
      </c>
      <c r="K296" s="4">
        <v>4.2</v>
      </c>
      <c r="M296"/>
    </row>
    <row r="297" spans="1:13" x14ac:dyDescent="0.25">
      <c r="A297" s="3" t="s">
        <v>36</v>
      </c>
      <c r="B297" s="3" t="s">
        <v>243</v>
      </c>
      <c r="C297" s="3" t="s">
        <v>9</v>
      </c>
      <c r="D297" s="3" t="s">
        <v>19</v>
      </c>
      <c r="E297" s="5" t="s">
        <v>21</v>
      </c>
      <c r="F297" s="17">
        <v>58.22</v>
      </c>
      <c r="G297" s="3">
        <v>8</v>
      </c>
      <c r="H297" s="17">
        <f>Table1[[#This Row],[Unit price]]*Table1[[#This Row],[Quantity]]</f>
        <v>465.76</v>
      </c>
      <c r="I297" s="29">
        <f>Table1[[#This Row],[Total Revenue]]/$H$5056*100</f>
        <v>4.9415155151502826E-2</v>
      </c>
      <c r="J297" s="3" t="s">
        <v>17</v>
      </c>
      <c r="K297" s="4">
        <v>8.4</v>
      </c>
      <c r="M297"/>
    </row>
    <row r="298" spans="1:13" x14ac:dyDescent="0.25">
      <c r="A298" s="3" t="s">
        <v>36</v>
      </c>
      <c r="B298" s="3" t="s">
        <v>243</v>
      </c>
      <c r="C298" s="3" t="s">
        <v>13</v>
      </c>
      <c r="D298" s="3" t="s">
        <v>10</v>
      </c>
      <c r="E298" s="5" t="s">
        <v>16</v>
      </c>
      <c r="F298" s="17">
        <v>32.25</v>
      </c>
      <c r="G298" s="3">
        <v>5</v>
      </c>
      <c r="H298" s="17">
        <f>Table1[[#This Row],[Unit price]]*Table1[[#This Row],[Quantity]]</f>
        <v>161.25</v>
      </c>
      <c r="I298" s="29">
        <f>Table1[[#This Row],[Total Revenue]]/$H$5056*100</f>
        <v>1.7107939213714854E-2</v>
      </c>
      <c r="J298" s="3" t="s">
        <v>15</v>
      </c>
      <c r="K298" s="4">
        <v>9</v>
      </c>
      <c r="M298"/>
    </row>
    <row r="299" spans="1:13" x14ac:dyDescent="0.25">
      <c r="A299" s="3" t="s">
        <v>36</v>
      </c>
      <c r="B299" s="3" t="s">
        <v>244</v>
      </c>
      <c r="C299" s="3" t="s">
        <v>9</v>
      </c>
      <c r="D299" s="3" t="s">
        <v>19</v>
      </c>
      <c r="E299" s="5" t="s">
        <v>21</v>
      </c>
      <c r="F299" s="17">
        <v>96.16</v>
      </c>
      <c r="G299" s="3">
        <v>4</v>
      </c>
      <c r="H299" s="17">
        <f>Table1[[#This Row],[Unit price]]*Table1[[#This Row],[Quantity]]</f>
        <v>384.64</v>
      </c>
      <c r="I299" s="29">
        <f>Table1[[#This Row],[Total Revenue]]/$H$5056*100</f>
        <v>4.0808668149849812E-2</v>
      </c>
      <c r="J299" s="3" t="s">
        <v>12</v>
      </c>
      <c r="K299" s="4">
        <v>8.4</v>
      </c>
      <c r="M299"/>
    </row>
    <row r="300" spans="1:13" x14ac:dyDescent="0.25">
      <c r="A300" s="3" t="s">
        <v>36</v>
      </c>
      <c r="B300" s="3" t="s">
        <v>245</v>
      </c>
      <c r="C300" s="3" t="s">
        <v>13</v>
      </c>
      <c r="D300" s="3" t="s">
        <v>19</v>
      </c>
      <c r="E300" s="5" t="s">
        <v>20</v>
      </c>
      <c r="F300" s="17">
        <v>69.400000000000006</v>
      </c>
      <c r="G300" s="3">
        <v>2</v>
      </c>
      <c r="H300" s="17">
        <f>Table1[[#This Row],[Unit price]]*Table1[[#This Row],[Quantity]]</f>
        <v>138.80000000000001</v>
      </c>
      <c r="I300" s="29">
        <f>Table1[[#This Row],[Total Revenue]]/$H$5056*100</f>
        <v>1.4726089692177502E-2</v>
      </c>
      <c r="J300" s="3" t="s">
        <v>17</v>
      </c>
      <c r="K300" s="4">
        <v>9</v>
      </c>
      <c r="M300"/>
    </row>
    <row r="301" spans="1:13" x14ac:dyDescent="0.25">
      <c r="A301" s="3" t="s">
        <v>36</v>
      </c>
      <c r="B301" s="3" t="s">
        <v>243</v>
      </c>
      <c r="C301" s="3" t="s">
        <v>13</v>
      </c>
      <c r="D301" s="3" t="s">
        <v>10</v>
      </c>
      <c r="E301" s="5" t="s">
        <v>20</v>
      </c>
      <c r="F301" s="17">
        <v>12.03</v>
      </c>
      <c r="G301" s="3">
        <v>2</v>
      </c>
      <c r="H301" s="17">
        <f>Table1[[#This Row],[Unit price]]*Table1[[#This Row],[Quantity]]</f>
        <v>24.06</v>
      </c>
      <c r="I301" s="29">
        <f>Table1[[#This Row],[Total Revenue]]/$H$5056*100</f>
        <v>2.5526636743068492E-3</v>
      </c>
      <c r="J301" s="3" t="s">
        <v>15</v>
      </c>
      <c r="K301" s="4">
        <v>5.0999999999999996</v>
      </c>
      <c r="M301"/>
    </row>
    <row r="302" spans="1:13" x14ac:dyDescent="0.25">
      <c r="A302" s="3" t="s">
        <v>36</v>
      </c>
      <c r="B302" s="3" t="s">
        <v>243</v>
      </c>
      <c r="C302" s="3" t="s">
        <v>13</v>
      </c>
      <c r="D302" s="3" t="s">
        <v>19</v>
      </c>
      <c r="E302" s="5" t="s">
        <v>11</v>
      </c>
      <c r="F302" s="17">
        <v>81.709999999999994</v>
      </c>
      <c r="G302" s="3">
        <v>6</v>
      </c>
      <c r="H302" s="17">
        <f>Table1[[#This Row],[Unit price]]*Table1[[#This Row],[Quantity]]</f>
        <v>490.26</v>
      </c>
      <c r="I302" s="29">
        <f>Table1[[#This Row],[Total Revenue]]/$H$5056*100</f>
        <v>5.2014500954516867E-2</v>
      </c>
      <c r="J302" s="3" t="s">
        <v>12</v>
      </c>
      <c r="K302" s="4">
        <v>8</v>
      </c>
      <c r="M302"/>
    </row>
    <row r="303" spans="1:13" x14ac:dyDescent="0.25">
      <c r="A303" s="3" t="s">
        <v>36</v>
      </c>
      <c r="B303" s="3" t="s">
        <v>245</v>
      </c>
      <c r="C303" s="3" t="s">
        <v>9</v>
      </c>
      <c r="D303" s="3" t="s">
        <v>10</v>
      </c>
      <c r="E303" s="5" t="s">
        <v>20</v>
      </c>
      <c r="F303" s="17">
        <v>24.24</v>
      </c>
      <c r="G303" s="3">
        <v>7</v>
      </c>
      <c r="H303" s="17">
        <f>Table1[[#This Row],[Unit price]]*Table1[[#This Row],[Quantity]]</f>
        <v>169.67999999999998</v>
      </c>
      <c r="I303" s="29">
        <f>Table1[[#This Row],[Total Revenue]]/$H$5056*100</f>
        <v>1.8002326361445806E-2</v>
      </c>
      <c r="J303" s="3" t="s">
        <v>17</v>
      </c>
      <c r="K303" s="4">
        <v>9.4</v>
      </c>
      <c r="M303"/>
    </row>
    <row r="304" spans="1:13" x14ac:dyDescent="0.25">
      <c r="A304" s="3" t="s">
        <v>36</v>
      </c>
      <c r="B304" s="3" t="s">
        <v>243</v>
      </c>
      <c r="C304" s="3" t="s">
        <v>13</v>
      </c>
      <c r="D304" s="3" t="s">
        <v>10</v>
      </c>
      <c r="E304" s="5" t="s">
        <v>18</v>
      </c>
      <c r="F304" s="17">
        <v>54.28</v>
      </c>
      <c r="G304" s="3">
        <v>7</v>
      </c>
      <c r="H304" s="17">
        <f>Table1[[#This Row],[Unit price]]*Table1[[#This Row],[Quantity]]</f>
        <v>379.96000000000004</v>
      </c>
      <c r="I304" s="29">
        <f>Table1[[#This Row],[Total Revenue]]/$H$5056*100</f>
        <v>4.0312140053600606E-2</v>
      </c>
      <c r="J304" s="3" t="s">
        <v>17</v>
      </c>
      <c r="K304" s="4">
        <v>9.3000000000000007</v>
      </c>
      <c r="M304"/>
    </row>
    <row r="305" spans="1:13" x14ac:dyDescent="0.25">
      <c r="A305" s="3" t="s">
        <v>37</v>
      </c>
      <c r="B305" s="3" t="s">
        <v>245</v>
      </c>
      <c r="C305" s="3" t="s">
        <v>13</v>
      </c>
      <c r="D305" s="3" t="s">
        <v>10</v>
      </c>
      <c r="E305" s="5" t="s">
        <v>20</v>
      </c>
      <c r="F305" s="17">
        <v>69.81</v>
      </c>
      <c r="G305" s="3">
        <v>4</v>
      </c>
      <c r="H305" s="17">
        <f>Table1[[#This Row],[Unit price]]*Table1[[#This Row],[Quantity]]</f>
        <v>279.24</v>
      </c>
      <c r="I305" s="29">
        <f>Table1[[#This Row],[Total Revenue]]/$H$5056*100</f>
        <v>2.962617640953635E-2</v>
      </c>
      <c r="J305" s="3" t="s">
        <v>12</v>
      </c>
      <c r="K305" s="4">
        <v>5.9</v>
      </c>
      <c r="M305"/>
    </row>
    <row r="306" spans="1:13" x14ac:dyDescent="0.25">
      <c r="A306" s="3" t="s">
        <v>37</v>
      </c>
      <c r="B306" s="3" t="s">
        <v>244</v>
      </c>
      <c r="C306" s="3" t="s">
        <v>13</v>
      </c>
      <c r="D306" s="3" t="s">
        <v>19</v>
      </c>
      <c r="E306" s="5" t="s">
        <v>21</v>
      </c>
      <c r="F306" s="17">
        <v>99.16</v>
      </c>
      <c r="G306" s="3">
        <v>8</v>
      </c>
      <c r="H306" s="17">
        <f>Table1[[#This Row],[Unit price]]*Table1[[#This Row],[Quantity]]</f>
        <v>793.28</v>
      </c>
      <c r="I306" s="29">
        <f>Table1[[#This Row],[Total Revenue]]/$H$5056*100</f>
        <v>8.4163634229182757E-2</v>
      </c>
      <c r="J306" s="3" t="s">
        <v>12</v>
      </c>
      <c r="K306" s="4">
        <v>4.2</v>
      </c>
      <c r="M306"/>
    </row>
    <row r="307" spans="1:13" x14ac:dyDescent="0.25">
      <c r="A307" s="3" t="s">
        <v>37</v>
      </c>
      <c r="B307" s="3" t="s">
        <v>244</v>
      </c>
      <c r="C307" s="3" t="s">
        <v>9</v>
      </c>
      <c r="D307" s="3" t="s">
        <v>10</v>
      </c>
      <c r="E307" s="5" t="s">
        <v>21</v>
      </c>
      <c r="F307" s="17">
        <v>19.149999999999999</v>
      </c>
      <c r="G307" s="3">
        <v>1</v>
      </c>
      <c r="H307" s="17">
        <f>Table1[[#This Row],[Unit price]]*Table1[[#This Row],[Quantity]]</f>
        <v>19.149999999999999</v>
      </c>
      <c r="I307" s="29">
        <f>Table1[[#This Row],[Total Revenue]]/$H$5056*100</f>
        <v>2.031733556233423E-3</v>
      </c>
      <c r="J307" s="3" t="s">
        <v>12</v>
      </c>
      <c r="K307" s="4">
        <v>9.5</v>
      </c>
      <c r="M307"/>
    </row>
    <row r="308" spans="1:13" x14ac:dyDescent="0.25">
      <c r="A308" s="3" t="s">
        <v>37</v>
      </c>
      <c r="B308" s="3" t="s">
        <v>245</v>
      </c>
      <c r="C308" s="3" t="s">
        <v>13</v>
      </c>
      <c r="D308" s="3" t="s">
        <v>10</v>
      </c>
      <c r="E308" s="5" t="s">
        <v>16</v>
      </c>
      <c r="F308" s="17">
        <v>80.97</v>
      </c>
      <c r="G308" s="3">
        <v>8</v>
      </c>
      <c r="H308" s="17">
        <f>Table1[[#This Row],[Unit price]]*Table1[[#This Row],[Quantity]]</f>
        <v>647.76</v>
      </c>
      <c r="I308" s="29">
        <f>Table1[[#This Row],[Total Revenue]]/$H$5056*100</f>
        <v>6.8724581116749978E-2</v>
      </c>
      <c r="J308" s="3" t="s">
        <v>15</v>
      </c>
      <c r="K308" s="4">
        <v>9.3000000000000007</v>
      </c>
      <c r="M308"/>
    </row>
    <row r="309" spans="1:13" x14ac:dyDescent="0.25">
      <c r="A309" s="3" t="s">
        <v>37</v>
      </c>
      <c r="B309" s="3" t="s">
        <v>243</v>
      </c>
      <c r="C309" s="3" t="s">
        <v>13</v>
      </c>
      <c r="D309" s="3" t="s">
        <v>19</v>
      </c>
      <c r="E309" s="5" t="s">
        <v>11</v>
      </c>
      <c r="F309" s="17">
        <v>11.53</v>
      </c>
      <c r="G309" s="3">
        <v>7</v>
      </c>
      <c r="H309" s="17">
        <f>Table1[[#This Row],[Unit price]]*Table1[[#This Row],[Quantity]]</f>
        <v>80.709999999999994</v>
      </c>
      <c r="I309" s="29">
        <f>Table1[[#This Row],[Total Revenue]]/$H$5056*100</f>
        <v>8.5629877453576794E-3</v>
      </c>
      <c r="J309" s="3" t="s">
        <v>15</v>
      </c>
      <c r="K309" s="4">
        <v>8.1</v>
      </c>
      <c r="M309"/>
    </row>
    <row r="310" spans="1:13" x14ac:dyDescent="0.25">
      <c r="A310" s="3" t="s">
        <v>37</v>
      </c>
      <c r="B310" s="3" t="s">
        <v>245</v>
      </c>
      <c r="C310" s="3" t="s">
        <v>13</v>
      </c>
      <c r="D310" s="3" t="s">
        <v>10</v>
      </c>
      <c r="E310" s="5" t="s">
        <v>18</v>
      </c>
      <c r="F310" s="17">
        <v>23.82</v>
      </c>
      <c r="G310" s="3">
        <v>5</v>
      </c>
      <c r="H310" s="17">
        <f>Table1[[#This Row],[Unit price]]*Table1[[#This Row],[Quantity]]</f>
        <v>119.1</v>
      </c>
      <c r="I310" s="29">
        <f>Table1[[#This Row],[Total Revenue]]/$H$5056*100</f>
        <v>1.2636003475060088E-2</v>
      </c>
      <c r="J310" s="3" t="s">
        <v>17</v>
      </c>
      <c r="K310" s="4">
        <v>5.4</v>
      </c>
      <c r="M310"/>
    </row>
    <row r="311" spans="1:13" x14ac:dyDescent="0.25">
      <c r="A311" s="3" t="s">
        <v>37</v>
      </c>
      <c r="B311" s="3" t="s">
        <v>244</v>
      </c>
      <c r="C311" s="3" t="s">
        <v>9</v>
      </c>
      <c r="D311" s="3" t="s">
        <v>10</v>
      </c>
      <c r="E311" s="5" t="s">
        <v>14</v>
      </c>
      <c r="F311" s="17">
        <v>21.43</v>
      </c>
      <c r="G311" s="3">
        <v>10</v>
      </c>
      <c r="H311" s="17">
        <f>Table1[[#This Row],[Unit price]]*Table1[[#This Row],[Quantity]]</f>
        <v>214.3</v>
      </c>
      <c r="I311" s="29">
        <f>Table1[[#This Row],[Total Revenue]]/$H$5056*100</f>
        <v>2.2736318595343218E-2</v>
      </c>
      <c r="J311" s="3" t="s">
        <v>15</v>
      </c>
      <c r="K311" s="4">
        <v>6.2</v>
      </c>
      <c r="M311"/>
    </row>
    <row r="312" spans="1:13" x14ac:dyDescent="0.25">
      <c r="A312" s="3" t="s">
        <v>37</v>
      </c>
      <c r="B312" s="3" t="s">
        <v>245</v>
      </c>
      <c r="C312" s="3" t="s">
        <v>13</v>
      </c>
      <c r="D312" s="3" t="s">
        <v>19</v>
      </c>
      <c r="E312" s="5" t="s">
        <v>21</v>
      </c>
      <c r="F312" s="17">
        <v>17.41</v>
      </c>
      <c r="G312" s="3">
        <v>5</v>
      </c>
      <c r="H312" s="17">
        <f>Table1[[#This Row],[Unit price]]*Table1[[#This Row],[Quantity]]</f>
        <v>87.05</v>
      </c>
      <c r="I312" s="29">
        <f>Table1[[#This Row],[Total Revenue]]/$H$5056*100</f>
        <v>9.2356347817294758E-3</v>
      </c>
      <c r="J312" s="3" t="s">
        <v>12</v>
      </c>
      <c r="K312" s="4">
        <v>4.9000000000000004</v>
      </c>
      <c r="M312"/>
    </row>
    <row r="313" spans="1:13" x14ac:dyDescent="0.25">
      <c r="A313" s="3" t="s">
        <v>37</v>
      </c>
      <c r="B313" s="3" t="s">
        <v>244</v>
      </c>
      <c r="C313" s="3" t="s">
        <v>9</v>
      </c>
      <c r="D313" s="3" t="s">
        <v>19</v>
      </c>
      <c r="E313" s="5" t="s">
        <v>16</v>
      </c>
      <c r="F313" s="17">
        <v>78.069999999999993</v>
      </c>
      <c r="G313" s="3">
        <v>9</v>
      </c>
      <c r="H313" s="17">
        <f>Table1[[#This Row],[Unit price]]*Table1[[#This Row],[Quantity]]</f>
        <v>702.62999999999988</v>
      </c>
      <c r="I313" s="29">
        <f>Table1[[#This Row],[Total Revenue]]/$H$5056*100</f>
        <v>7.4546054758030805E-2</v>
      </c>
      <c r="J313" s="3" t="s">
        <v>15</v>
      </c>
      <c r="K313" s="4">
        <v>4.5</v>
      </c>
      <c r="M313"/>
    </row>
    <row r="314" spans="1:13" x14ac:dyDescent="0.25">
      <c r="A314" s="3" t="s">
        <v>37</v>
      </c>
      <c r="B314" s="3" t="s">
        <v>244</v>
      </c>
      <c r="C314" s="3" t="s">
        <v>9</v>
      </c>
      <c r="D314" s="3" t="s">
        <v>19</v>
      </c>
      <c r="E314" s="5" t="s">
        <v>21</v>
      </c>
      <c r="F314" s="17">
        <v>75.37</v>
      </c>
      <c r="G314" s="3">
        <v>8</v>
      </c>
      <c r="H314" s="17">
        <f>Table1[[#This Row],[Unit price]]*Table1[[#This Row],[Quantity]]</f>
        <v>602.96</v>
      </c>
      <c r="I314" s="29">
        <f>Table1[[#This Row],[Total Revenue]]/$H$5056*100</f>
        <v>6.3971491648381465E-2</v>
      </c>
      <c r="J314" s="3" t="s">
        <v>12</v>
      </c>
      <c r="K314" s="4">
        <v>8.4</v>
      </c>
      <c r="M314"/>
    </row>
    <row r="315" spans="1:13" x14ac:dyDescent="0.25">
      <c r="A315" s="3" t="s">
        <v>37</v>
      </c>
      <c r="B315" s="3" t="s">
        <v>245</v>
      </c>
      <c r="C315" s="3" t="s">
        <v>9</v>
      </c>
      <c r="D315" s="3" t="s">
        <v>19</v>
      </c>
      <c r="E315" s="5" t="s">
        <v>14</v>
      </c>
      <c r="F315" s="17">
        <v>18.77</v>
      </c>
      <c r="G315" s="3">
        <v>6</v>
      </c>
      <c r="H315" s="17">
        <f>Table1[[#This Row],[Unit price]]*Table1[[#This Row],[Quantity]]</f>
        <v>112.62</v>
      </c>
      <c r="I315" s="29">
        <f>Table1[[#This Row],[Total Revenue]]/$H$5056*100</f>
        <v>1.1948503034099641E-2</v>
      </c>
      <c r="J315" s="3" t="s">
        <v>12</v>
      </c>
      <c r="K315" s="4">
        <v>5.5</v>
      </c>
      <c r="M315"/>
    </row>
    <row r="316" spans="1:13" x14ac:dyDescent="0.25">
      <c r="A316" s="3" t="s">
        <v>37</v>
      </c>
      <c r="B316" s="3" t="s">
        <v>244</v>
      </c>
      <c r="C316" s="3" t="s">
        <v>9</v>
      </c>
      <c r="D316" s="3" t="s">
        <v>10</v>
      </c>
      <c r="E316" s="5" t="s">
        <v>21</v>
      </c>
      <c r="F316" s="17">
        <v>72.11</v>
      </c>
      <c r="G316" s="3">
        <v>9</v>
      </c>
      <c r="H316" s="17">
        <f>Table1[[#This Row],[Unit price]]*Table1[[#This Row],[Quantity]]</f>
        <v>648.99</v>
      </c>
      <c r="I316" s="29">
        <f>Table1[[#This Row],[Total Revenue]]/$H$5056*100</f>
        <v>6.8855078885635995E-2</v>
      </c>
      <c r="J316" s="3" t="s">
        <v>12</v>
      </c>
      <c r="K316" s="4">
        <v>7.7</v>
      </c>
      <c r="M316"/>
    </row>
    <row r="317" spans="1:13" x14ac:dyDescent="0.25">
      <c r="A317" s="3" t="s">
        <v>37</v>
      </c>
      <c r="B317" s="3" t="s">
        <v>243</v>
      </c>
      <c r="C317" s="3" t="s">
        <v>9</v>
      </c>
      <c r="D317" s="3" t="s">
        <v>19</v>
      </c>
      <c r="E317" s="5" t="s">
        <v>14</v>
      </c>
      <c r="F317" s="17">
        <v>24.18</v>
      </c>
      <c r="G317" s="3">
        <v>8</v>
      </c>
      <c r="H317" s="17">
        <f>Table1[[#This Row],[Unit price]]*Table1[[#This Row],[Quantity]]</f>
        <v>193.44</v>
      </c>
      <c r="I317" s="29">
        <f>Table1[[#This Row],[Total Revenue]]/$H$5056*100</f>
        <v>2.0523161311634116E-2</v>
      </c>
      <c r="J317" s="3" t="s">
        <v>17</v>
      </c>
      <c r="K317" s="4">
        <v>9.8000000000000007</v>
      </c>
      <c r="M317"/>
    </row>
    <row r="318" spans="1:13" x14ac:dyDescent="0.25">
      <c r="A318" s="3" t="s">
        <v>37</v>
      </c>
      <c r="B318" s="3" t="s">
        <v>245</v>
      </c>
      <c r="C318" s="3" t="s">
        <v>9</v>
      </c>
      <c r="D318" s="3" t="s">
        <v>19</v>
      </c>
      <c r="E318" s="5" t="s">
        <v>21</v>
      </c>
      <c r="F318" s="17">
        <v>86.8</v>
      </c>
      <c r="G318" s="3">
        <v>3</v>
      </c>
      <c r="H318" s="17">
        <f>Table1[[#This Row],[Unit price]]*Table1[[#This Row],[Quantity]]</f>
        <v>260.39999999999998</v>
      </c>
      <c r="I318" s="29">
        <f>Table1[[#This Row],[Total Revenue]]/$H$5056*100</f>
        <v>2.7627332534892083E-2</v>
      </c>
      <c r="J318" s="3" t="s">
        <v>17</v>
      </c>
      <c r="K318" s="4">
        <v>9.9</v>
      </c>
      <c r="M318"/>
    </row>
    <row r="319" spans="1:13" x14ac:dyDescent="0.25">
      <c r="A319" s="3" t="s">
        <v>38</v>
      </c>
      <c r="B319" s="3" t="s">
        <v>244</v>
      </c>
      <c r="C319" s="3" t="s">
        <v>9</v>
      </c>
      <c r="D319" s="3" t="s">
        <v>19</v>
      </c>
      <c r="E319" s="5" t="s">
        <v>18</v>
      </c>
      <c r="F319" s="17">
        <v>32.619999999999997</v>
      </c>
      <c r="G319" s="3">
        <v>4</v>
      </c>
      <c r="H319" s="17">
        <f>Table1[[#This Row],[Unit price]]*Table1[[#This Row],[Quantity]]</f>
        <v>130.47999999999999</v>
      </c>
      <c r="I319" s="29">
        <f>Table1[[#This Row],[Total Revenue]]/$H$5056*100</f>
        <v>1.3843373076623346E-2</v>
      </c>
      <c r="J319" s="3" t="s">
        <v>15</v>
      </c>
      <c r="K319" s="4">
        <v>9</v>
      </c>
      <c r="M319"/>
    </row>
    <row r="320" spans="1:13" x14ac:dyDescent="0.25">
      <c r="A320" s="3" t="s">
        <v>38</v>
      </c>
      <c r="B320" s="3" t="s">
        <v>245</v>
      </c>
      <c r="C320" s="3" t="s">
        <v>13</v>
      </c>
      <c r="D320" s="3" t="s">
        <v>19</v>
      </c>
      <c r="E320" s="5" t="s">
        <v>14</v>
      </c>
      <c r="F320" s="17">
        <v>58.76</v>
      </c>
      <c r="G320" s="3">
        <v>10</v>
      </c>
      <c r="H320" s="17">
        <f>Table1[[#This Row],[Unit price]]*Table1[[#This Row],[Quantity]]</f>
        <v>587.6</v>
      </c>
      <c r="I320" s="29">
        <f>Table1[[#This Row],[Total Revenue]]/$H$5056*100</f>
        <v>6.2341860973512249E-2</v>
      </c>
      <c r="J320" s="3" t="s">
        <v>17</v>
      </c>
      <c r="K320" s="4">
        <v>9</v>
      </c>
      <c r="M320"/>
    </row>
    <row r="321" spans="1:13" x14ac:dyDescent="0.25">
      <c r="A321" s="3" t="s">
        <v>38</v>
      </c>
      <c r="B321" s="3" t="s">
        <v>243</v>
      </c>
      <c r="C321" s="3" t="s">
        <v>9</v>
      </c>
      <c r="D321" s="3" t="s">
        <v>10</v>
      </c>
      <c r="E321" s="5" t="s">
        <v>16</v>
      </c>
      <c r="F321" s="17">
        <v>22.01</v>
      </c>
      <c r="G321" s="3">
        <v>4</v>
      </c>
      <c r="H321" s="17">
        <f>Table1[[#This Row],[Unit price]]*Table1[[#This Row],[Quantity]]</f>
        <v>88.04</v>
      </c>
      <c r="I321" s="29">
        <f>Table1[[#This Row],[Total Revenue]]/$H$5056*100</f>
        <v>9.3406695713206568E-3</v>
      </c>
      <c r="J321" s="3" t="s">
        <v>12</v>
      </c>
      <c r="K321" s="4">
        <v>6.6</v>
      </c>
      <c r="M321"/>
    </row>
    <row r="322" spans="1:13" x14ac:dyDescent="0.25">
      <c r="A322" s="3" t="s">
        <v>38</v>
      </c>
      <c r="B322" s="3" t="s">
        <v>243</v>
      </c>
      <c r="C322" s="3" t="s">
        <v>13</v>
      </c>
      <c r="D322" s="3" t="s">
        <v>19</v>
      </c>
      <c r="E322" s="5" t="s">
        <v>14</v>
      </c>
      <c r="F322" s="17">
        <v>38.6</v>
      </c>
      <c r="G322" s="3">
        <v>1</v>
      </c>
      <c r="H322" s="17">
        <f>Table1[[#This Row],[Unit price]]*Table1[[#This Row],[Quantity]]</f>
        <v>38.6</v>
      </c>
      <c r="I322" s="29">
        <f>Table1[[#This Row],[Total Revenue]]/$H$5056*100</f>
        <v>4.0952958365853857E-3</v>
      </c>
      <c r="J322" s="3" t="s">
        <v>17</v>
      </c>
      <c r="K322" s="4">
        <v>6.7</v>
      </c>
      <c r="M322"/>
    </row>
    <row r="323" spans="1:13" x14ac:dyDescent="0.25">
      <c r="A323" s="3" t="s">
        <v>38</v>
      </c>
      <c r="B323" s="3" t="s">
        <v>245</v>
      </c>
      <c r="C323" s="3" t="s">
        <v>13</v>
      </c>
      <c r="D323" s="3" t="s">
        <v>19</v>
      </c>
      <c r="E323" s="5" t="s">
        <v>21</v>
      </c>
      <c r="F323" s="17">
        <v>40.35</v>
      </c>
      <c r="G323" s="3">
        <v>1</v>
      </c>
      <c r="H323" s="17">
        <f>Table1[[#This Row],[Unit price]]*Table1[[#This Row],[Quantity]]</f>
        <v>40.35</v>
      </c>
      <c r="I323" s="29">
        <f>Table1[[#This Row],[Total Revenue]]/$H$5056*100</f>
        <v>4.2809633939435311E-3</v>
      </c>
      <c r="J323" s="3" t="s">
        <v>17</v>
      </c>
      <c r="K323" s="4">
        <v>6.2</v>
      </c>
      <c r="M323"/>
    </row>
    <row r="324" spans="1:13" x14ac:dyDescent="0.25">
      <c r="A324" s="3" t="s">
        <v>38</v>
      </c>
      <c r="B324" s="3" t="s">
        <v>243</v>
      </c>
      <c r="C324" s="3" t="s">
        <v>9</v>
      </c>
      <c r="D324" s="3" t="s">
        <v>10</v>
      </c>
      <c r="E324" s="5" t="s">
        <v>16</v>
      </c>
      <c r="F324" s="17">
        <v>27.93</v>
      </c>
      <c r="G324" s="3">
        <v>5</v>
      </c>
      <c r="H324" s="17">
        <f>Table1[[#This Row],[Unit price]]*Table1[[#This Row],[Quantity]]</f>
        <v>139.65</v>
      </c>
      <c r="I324" s="29">
        <f>Table1[[#This Row],[Total Revenue]]/$H$5056*100</f>
        <v>1.481627107718003E-2</v>
      </c>
      <c r="J324" s="3" t="s">
        <v>15</v>
      </c>
      <c r="K324" s="4">
        <v>5.9</v>
      </c>
      <c r="M324"/>
    </row>
    <row r="325" spans="1:13" x14ac:dyDescent="0.25">
      <c r="A325" s="3" t="s">
        <v>38</v>
      </c>
      <c r="B325" s="3" t="s">
        <v>245</v>
      </c>
      <c r="C325" s="3" t="s">
        <v>13</v>
      </c>
      <c r="D325" s="3" t="s">
        <v>19</v>
      </c>
      <c r="E325" s="5" t="s">
        <v>18</v>
      </c>
      <c r="F325" s="17">
        <v>42.08</v>
      </c>
      <c r="G325" s="3">
        <v>6</v>
      </c>
      <c r="H325" s="17">
        <f>Table1[[#This Row],[Unit price]]*Table1[[#This Row],[Quantity]]</f>
        <v>252.48</v>
      </c>
      <c r="I325" s="29">
        <f>Table1[[#This Row],[Total Revenue]]/$H$5056*100</f>
        <v>2.6787054218162645E-2</v>
      </c>
      <c r="J325" s="3" t="s">
        <v>15</v>
      </c>
      <c r="K325" s="4">
        <v>8.9</v>
      </c>
      <c r="M325"/>
    </row>
    <row r="326" spans="1:13" x14ac:dyDescent="0.25">
      <c r="A326" s="3" t="s">
        <v>38</v>
      </c>
      <c r="B326" s="3" t="s">
        <v>244</v>
      </c>
      <c r="C326" s="3" t="s">
        <v>13</v>
      </c>
      <c r="D326" s="3" t="s">
        <v>10</v>
      </c>
      <c r="E326" s="5" t="s">
        <v>11</v>
      </c>
      <c r="F326" s="17">
        <v>84.05</v>
      </c>
      <c r="G326" s="3">
        <v>6</v>
      </c>
      <c r="H326" s="17">
        <f>Table1[[#This Row],[Unit price]]*Table1[[#This Row],[Quantity]]</f>
        <v>504.29999999999995</v>
      </c>
      <c r="I326" s="29">
        <f>Table1[[#This Row],[Total Revenue]]/$H$5056*100</f>
        <v>5.3504085243264506E-2</v>
      </c>
      <c r="J326" s="3" t="s">
        <v>12</v>
      </c>
      <c r="K326" s="4">
        <v>7.7</v>
      </c>
      <c r="M326"/>
    </row>
    <row r="327" spans="1:13" x14ac:dyDescent="0.25">
      <c r="A327" s="3" t="s">
        <v>38</v>
      </c>
      <c r="B327" s="3" t="s">
        <v>245</v>
      </c>
      <c r="C327" s="3" t="s">
        <v>9</v>
      </c>
      <c r="D327" s="3" t="s">
        <v>10</v>
      </c>
      <c r="E327" s="5" t="s">
        <v>16</v>
      </c>
      <c r="F327" s="17">
        <v>19.149999999999999</v>
      </c>
      <c r="G327" s="3">
        <v>6</v>
      </c>
      <c r="H327" s="17">
        <f>Table1[[#This Row],[Unit price]]*Table1[[#This Row],[Quantity]]</f>
        <v>114.89999999999999</v>
      </c>
      <c r="I327" s="29">
        <f>Table1[[#This Row],[Total Revenue]]/$H$5056*100</f>
        <v>1.2190401337400538E-2</v>
      </c>
      <c r="J327" s="3" t="s">
        <v>12</v>
      </c>
      <c r="K327" s="4">
        <v>6.8</v>
      </c>
      <c r="M327"/>
    </row>
    <row r="328" spans="1:13" x14ac:dyDescent="0.25">
      <c r="A328" s="3" t="s">
        <v>38</v>
      </c>
      <c r="B328" s="3" t="s">
        <v>244</v>
      </c>
      <c r="C328" s="3" t="s">
        <v>9</v>
      </c>
      <c r="D328" s="3" t="s">
        <v>19</v>
      </c>
      <c r="E328" s="5" t="s">
        <v>16</v>
      </c>
      <c r="F328" s="17">
        <v>26.67</v>
      </c>
      <c r="G328" s="3">
        <v>10</v>
      </c>
      <c r="H328" s="17">
        <f>Table1[[#This Row],[Unit price]]*Table1[[#This Row],[Quantity]]</f>
        <v>266.70000000000005</v>
      </c>
      <c r="I328" s="29">
        <f>Table1[[#This Row],[Total Revenue]]/$H$5056*100</f>
        <v>2.829573574138141E-2</v>
      </c>
      <c r="J328" s="3" t="s">
        <v>15</v>
      </c>
      <c r="K328" s="4">
        <v>8.6</v>
      </c>
      <c r="M328"/>
    </row>
    <row r="329" spans="1:13" x14ac:dyDescent="0.25">
      <c r="A329" s="3" t="s">
        <v>38</v>
      </c>
      <c r="B329" s="3" t="s">
        <v>243</v>
      </c>
      <c r="C329" s="3" t="s">
        <v>9</v>
      </c>
      <c r="D329" s="3" t="s">
        <v>10</v>
      </c>
      <c r="E329" s="5" t="s">
        <v>20</v>
      </c>
      <c r="F329" s="17">
        <v>87.37</v>
      </c>
      <c r="G329" s="3">
        <v>5</v>
      </c>
      <c r="H329" s="17">
        <f>Table1[[#This Row],[Unit price]]*Table1[[#This Row],[Quantity]]</f>
        <v>436.85</v>
      </c>
      <c r="I329" s="29">
        <f>Table1[[#This Row],[Total Revenue]]/$H$5056*100</f>
        <v>4.6347927103946258E-2</v>
      </c>
      <c r="J329" s="3" t="s">
        <v>15</v>
      </c>
      <c r="K329" s="4">
        <v>6.6</v>
      </c>
      <c r="M329"/>
    </row>
    <row r="330" spans="1:13" x14ac:dyDescent="0.25">
      <c r="A330" s="3" t="s">
        <v>38</v>
      </c>
      <c r="B330" s="3" t="s">
        <v>243</v>
      </c>
      <c r="C330" s="3" t="s">
        <v>13</v>
      </c>
      <c r="D330" s="3" t="s">
        <v>19</v>
      </c>
      <c r="E330" s="5" t="s">
        <v>18</v>
      </c>
      <c r="F330" s="17">
        <v>83.24</v>
      </c>
      <c r="G330" s="3">
        <v>9</v>
      </c>
      <c r="H330" s="17">
        <f>Table1[[#This Row],[Unit price]]*Table1[[#This Row],[Quantity]]</f>
        <v>749.16</v>
      </c>
      <c r="I330" s="29">
        <f>Table1[[#This Row],[Total Revenue]]/$H$5056*100</f>
        <v>7.948268986881625E-2</v>
      </c>
      <c r="J330" s="3" t="s">
        <v>12</v>
      </c>
      <c r="K330" s="4">
        <v>7.4</v>
      </c>
      <c r="M330"/>
    </row>
    <row r="331" spans="1:13" x14ac:dyDescent="0.25">
      <c r="A331" s="3" t="s">
        <v>39</v>
      </c>
      <c r="B331" s="3" t="s">
        <v>245</v>
      </c>
      <c r="C331" s="3" t="s">
        <v>13</v>
      </c>
      <c r="D331" s="3" t="s">
        <v>19</v>
      </c>
      <c r="E331" s="5" t="s">
        <v>20</v>
      </c>
      <c r="F331" s="17">
        <v>22.96</v>
      </c>
      <c r="G331" s="3">
        <v>1</v>
      </c>
      <c r="H331" s="17">
        <f>Table1[[#This Row],[Unit price]]*Table1[[#This Row],[Quantity]]</f>
        <v>22.96</v>
      </c>
      <c r="I331" s="29">
        <f>Table1[[#This Row],[Total Revenue]]/$H$5056*100</f>
        <v>2.435958352538872E-3</v>
      </c>
      <c r="J331" s="3" t="s">
        <v>15</v>
      </c>
      <c r="K331" s="4">
        <v>4.3</v>
      </c>
      <c r="M331"/>
    </row>
    <row r="332" spans="1:13" x14ac:dyDescent="0.25">
      <c r="A332" s="3" t="s">
        <v>39</v>
      </c>
      <c r="B332" s="3" t="s">
        <v>244</v>
      </c>
      <c r="C332" s="3" t="s">
        <v>13</v>
      </c>
      <c r="D332" s="3" t="s">
        <v>10</v>
      </c>
      <c r="E332" s="5" t="s">
        <v>14</v>
      </c>
      <c r="F332" s="17">
        <v>23.65</v>
      </c>
      <c r="G332" s="3">
        <v>4</v>
      </c>
      <c r="H332" s="17">
        <f>Table1[[#This Row],[Unit price]]*Table1[[#This Row],[Quantity]]</f>
        <v>94.6</v>
      </c>
      <c r="I332" s="29">
        <f>Table1[[#This Row],[Total Revenue]]/$H$5056*100</f>
        <v>1.0036657672046048E-2</v>
      </c>
      <c r="J332" s="3" t="s">
        <v>12</v>
      </c>
      <c r="K332" s="4">
        <v>4</v>
      </c>
      <c r="M332"/>
    </row>
    <row r="333" spans="1:13" x14ac:dyDescent="0.25">
      <c r="A333" s="3" t="s">
        <v>39</v>
      </c>
      <c r="B333" s="3" t="s">
        <v>243</v>
      </c>
      <c r="C333" s="3" t="s">
        <v>9</v>
      </c>
      <c r="D333" s="3" t="s">
        <v>19</v>
      </c>
      <c r="E333" s="5" t="s">
        <v>14</v>
      </c>
      <c r="F333" s="17">
        <v>93.78</v>
      </c>
      <c r="G333" s="3">
        <v>3</v>
      </c>
      <c r="H333" s="17">
        <f>Table1[[#This Row],[Unit price]]*Table1[[#This Row],[Quantity]]</f>
        <v>281.34000000000003</v>
      </c>
      <c r="I333" s="29">
        <f>Table1[[#This Row],[Total Revenue]]/$H$5056*100</f>
        <v>2.9848977478366127E-2</v>
      </c>
      <c r="J333" s="3" t="s">
        <v>12</v>
      </c>
      <c r="K333" s="4">
        <v>5.9</v>
      </c>
      <c r="M333"/>
    </row>
    <row r="334" spans="1:13" x14ac:dyDescent="0.25">
      <c r="A334" s="3" t="s">
        <v>39</v>
      </c>
      <c r="B334" s="3" t="s">
        <v>245</v>
      </c>
      <c r="C334" s="3" t="s">
        <v>9</v>
      </c>
      <c r="D334" s="3" t="s">
        <v>10</v>
      </c>
      <c r="E334" s="5" t="s">
        <v>11</v>
      </c>
      <c r="F334" s="17">
        <v>98.52</v>
      </c>
      <c r="G334" s="3">
        <v>10</v>
      </c>
      <c r="H334" s="17">
        <f>Table1[[#This Row],[Unit price]]*Table1[[#This Row],[Quantity]]</f>
        <v>985.19999999999993</v>
      </c>
      <c r="I334" s="29">
        <f>Table1[[#This Row],[Total Revenue]]/$H$5056*100</f>
        <v>0.10452553000528295</v>
      </c>
      <c r="J334" s="3" t="s">
        <v>17</v>
      </c>
      <c r="K334" s="4">
        <v>4.5</v>
      </c>
      <c r="M334"/>
    </row>
    <row r="335" spans="1:13" x14ac:dyDescent="0.25">
      <c r="A335" s="3" t="s">
        <v>39</v>
      </c>
      <c r="B335" s="3" t="s">
        <v>245</v>
      </c>
      <c r="C335" s="3" t="s">
        <v>13</v>
      </c>
      <c r="D335" s="3" t="s">
        <v>10</v>
      </c>
      <c r="E335" s="5" t="s">
        <v>16</v>
      </c>
      <c r="F335" s="17">
        <v>22.38</v>
      </c>
      <c r="G335" s="3">
        <v>1</v>
      </c>
      <c r="H335" s="17">
        <f>Table1[[#This Row],[Unit price]]*Table1[[#This Row],[Quantity]]</f>
        <v>22.38</v>
      </c>
      <c r="I335" s="29">
        <f>Table1[[#This Row],[Total Revenue]]/$H$5056*100</f>
        <v>2.374422819243029E-3</v>
      </c>
      <c r="J335" s="3" t="s">
        <v>12</v>
      </c>
      <c r="K335" s="4">
        <v>8.6</v>
      </c>
      <c r="M335"/>
    </row>
    <row r="336" spans="1:13" x14ac:dyDescent="0.25">
      <c r="A336" s="3" t="s">
        <v>39</v>
      </c>
      <c r="B336" s="3" t="s">
        <v>245</v>
      </c>
      <c r="C336" s="3" t="s">
        <v>13</v>
      </c>
      <c r="D336" s="3" t="s">
        <v>10</v>
      </c>
      <c r="E336" s="5" t="s">
        <v>11</v>
      </c>
      <c r="F336" s="17">
        <v>97.03</v>
      </c>
      <c r="G336" s="3">
        <v>5</v>
      </c>
      <c r="H336" s="17">
        <f>Table1[[#This Row],[Unit price]]*Table1[[#This Row],[Quantity]]</f>
        <v>485.15</v>
      </c>
      <c r="I336" s="29">
        <f>Table1[[#This Row],[Total Revenue]]/$H$5056*100</f>
        <v>5.1472351687031077E-2</v>
      </c>
      <c r="J336" s="3" t="s">
        <v>17</v>
      </c>
      <c r="K336" s="4">
        <v>9.3000000000000007</v>
      </c>
      <c r="M336"/>
    </row>
    <row r="337" spans="1:13" x14ac:dyDescent="0.25">
      <c r="A337" s="3" t="s">
        <v>39</v>
      </c>
      <c r="B337" s="3" t="s">
        <v>245</v>
      </c>
      <c r="C337" s="3" t="s">
        <v>9</v>
      </c>
      <c r="D337" s="3" t="s">
        <v>10</v>
      </c>
      <c r="E337" s="5" t="s">
        <v>20</v>
      </c>
      <c r="F337" s="17">
        <v>10.53</v>
      </c>
      <c r="G337" s="3">
        <v>5</v>
      </c>
      <c r="H337" s="17">
        <f>Table1[[#This Row],[Unit price]]*Table1[[#This Row],[Quantity]]</f>
        <v>52.65</v>
      </c>
      <c r="I337" s="29">
        <f>Table1[[#This Row],[Total Revenue]]/$H$5056*100</f>
        <v>5.5859410828036412E-3</v>
      </c>
      <c r="J337" s="3" t="s">
        <v>12</v>
      </c>
      <c r="K337" s="4">
        <v>5.8</v>
      </c>
      <c r="M337"/>
    </row>
    <row r="338" spans="1:13" x14ac:dyDescent="0.25">
      <c r="A338" s="3" t="s">
        <v>39</v>
      </c>
      <c r="B338" s="3" t="s">
        <v>245</v>
      </c>
      <c r="C338" s="3" t="s">
        <v>13</v>
      </c>
      <c r="D338" s="3" t="s">
        <v>19</v>
      </c>
      <c r="E338" s="5" t="s">
        <v>16</v>
      </c>
      <c r="F338" s="17">
        <v>76.400000000000006</v>
      </c>
      <c r="G338" s="3">
        <v>2</v>
      </c>
      <c r="H338" s="17">
        <f>Table1[[#This Row],[Unit price]]*Table1[[#This Row],[Quantity]]</f>
        <v>152.80000000000001</v>
      </c>
      <c r="I338" s="29">
        <f>Table1[[#This Row],[Total Revenue]]/$H$5056*100</f>
        <v>1.6211430151042667E-2</v>
      </c>
      <c r="J338" s="3" t="s">
        <v>17</v>
      </c>
      <c r="K338" s="4">
        <v>6.5</v>
      </c>
      <c r="M338"/>
    </row>
    <row r="339" spans="1:13" x14ac:dyDescent="0.25">
      <c r="A339" s="3" t="s">
        <v>39</v>
      </c>
      <c r="B339" s="3" t="s">
        <v>244</v>
      </c>
      <c r="C339" s="3" t="s">
        <v>13</v>
      </c>
      <c r="D339" s="3" t="s">
        <v>10</v>
      </c>
      <c r="E339" s="5" t="s">
        <v>14</v>
      </c>
      <c r="F339" s="17">
        <v>42.42</v>
      </c>
      <c r="G339" s="3">
        <v>8</v>
      </c>
      <c r="H339" s="17">
        <f>Table1[[#This Row],[Unit price]]*Table1[[#This Row],[Quantity]]</f>
        <v>339.36</v>
      </c>
      <c r="I339" s="29">
        <f>Table1[[#This Row],[Total Revenue]]/$H$5056*100</f>
        <v>3.600465272289162E-2</v>
      </c>
      <c r="J339" s="3" t="s">
        <v>17</v>
      </c>
      <c r="K339" s="4">
        <v>5.7</v>
      </c>
      <c r="M339"/>
    </row>
    <row r="340" spans="1:13" x14ac:dyDescent="0.25">
      <c r="A340" s="3" t="s">
        <v>40</v>
      </c>
      <c r="B340" s="3" t="s">
        <v>245</v>
      </c>
      <c r="C340" s="3" t="s">
        <v>13</v>
      </c>
      <c r="D340" s="3" t="s">
        <v>10</v>
      </c>
      <c r="E340" s="5" t="s">
        <v>16</v>
      </c>
      <c r="F340" s="17">
        <v>23.75</v>
      </c>
      <c r="G340" s="3">
        <v>9</v>
      </c>
      <c r="H340" s="17">
        <f>Table1[[#This Row],[Unit price]]*Table1[[#This Row],[Quantity]]</f>
        <v>213.75</v>
      </c>
      <c r="I340" s="29">
        <f>Table1[[#This Row],[Total Revenue]]/$H$5056*100</f>
        <v>2.2677965934459227E-2</v>
      </c>
      <c r="J340" s="3" t="s">
        <v>15</v>
      </c>
      <c r="K340" s="4">
        <v>9.5</v>
      </c>
      <c r="M340"/>
    </row>
    <row r="341" spans="1:13" x14ac:dyDescent="0.25">
      <c r="A341" s="3" t="s">
        <v>40</v>
      </c>
      <c r="B341" s="3" t="s">
        <v>243</v>
      </c>
      <c r="C341" s="3" t="s">
        <v>9</v>
      </c>
      <c r="D341" s="3" t="s">
        <v>19</v>
      </c>
      <c r="E341" s="5" t="s">
        <v>14</v>
      </c>
      <c r="F341" s="17">
        <v>20.77</v>
      </c>
      <c r="G341" s="3">
        <v>4</v>
      </c>
      <c r="H341" s="17">
        <f>Table1[[#This Row],[Unit price]]*Table1[[#This Row],[Quantity]]</f>
        <v>83.08</v>
      </c>
      <c r="I341" s="29">
        <f>Table1[[#This Row],[Total Revenue]]/$H$5056*100</f>
        <v>8.8144346658941414E-3</v>
      </c>
      <c r="J341" s="3" t="s">
        <v>15</v>
      </c>
      <c r="K341" s="4">
        <v>4.7</v>
      </c>
      <c r="M341"/>
    </row>
    <row r="342" spans="1:13" x14ac:dyDescent="0.25">
      <c r="A342" s="3" t="s">
        <v>40</v>
      </c>
      <c r="B342" s="3" t="s">
        <v>245</v>
      </c>
      <c r="C342" s="3" t="s">
        <v>9</v>
      </c>
      <c r="D342" s="3" t="s">
        <v>19</v>
      </c>
      <c r="E342" s="5" t="s">
        <v>18</v>
      </c>
      <c r="F342" s="17">
        <v>98.7</v>
      </c>
      <c r="G342" s="3">
        <v>8</v>
      </c>
      <c r="H342" s="17">
        <f>Table1[[#This Row],[Unit price]]*Table1[[#This Row],[Quantity]]</f>
        <v>789.6</v>
      </c>
      <c r="I342" s="29">
        <f>Table1[[#This Row],[Total Revenue]]/$H$5056*100</f>
        <v>8.377320187999536E-2</v>
      </c>
      <c r="J342" s="3" t="s">
        <v>17</v>
      </c>
      <c r="K342" s="4">
        <v>8.5</v>
      </c>
      <c r="M342"/>
    </row>
    <row r="343" spans="1:13" x14ac:dyDescent="0.25">
      <c r="A343" s="3" t="s">
        <v>40</v>
      </c>
      <c r="B343" s="3" t="s">
        <v>244</v>
      </c>
      <c r="C343" s="3" t="s">
        <v>13</v>
      </c>
      <c r="D343" s="3" t="s">
        <v>10</v>
      </c>
      <c r="E343" s="5" t="s">
        <v>14</v>
      </c>
      <c r="F343" s="17">
        <v>43</v>
      </c>
      <c r="G343" s="3">
        <v>4</v>
      </c>
      <c r="H343" s="17">
        <f>Table1[[#This Row],[Unit price]]*Table1[[#This Row],[Quantity]]</f>
        <v>172</v>
      </c>
      <c r="I343" s="29">
        <f>Table1[[#This Row],[Total Revenue]]/$H$5056*100</f>
        <v>1.8248468494629178E-2</v>
      </c>
      <c r="J343" s="3" t="s">
        <v>17</v>
      </c>
      <c r="K343" s="4">
        <v>7.6</v>
      </c>
      <c r="M343"/>
    </row>
    <row r="344" spans="1:13" x14ac:dyDescent="0.25">
      <c r="A344" s="3" t="s">
        <v>40</v>
      </c>
      <c r="B344" s="3" t="s">
        <v>244</v>
      </c>
      <c r="C344" s="3" t="s">
        <v>13</v>
      </c>
      <c r="D344" s="3" t="s">
        <v>19</v>
      </c>
      <c r="E344" s="5" t="s">
        <v>14</v>
      </c>
      <c r="F344" s="17">
        <v>72.13</v>
      </c>
      <c r="G344" s="3">
        <v>10</v>
      </c>
      <c r="H344" s="17">
        <f>Table1[[#This Row],[Unit price]]*Table1[[#This Row],[Quantity]]</f>
        <v>721.3</v>
      </c>
      <c r="I344" s="29">
        <f>Table1[[#This Row],[Total Revenue]]/$H$5056*100</f>
        <v>7.6526862355674574E-2</v>
      </c>
      <c r="J344" s="3" t="s">
        <v>12</v>
      </c>
      <c r="K344" s="4">
        <v>4.2</v>
      </c>
      <c r="M344"/>
    </row>
    <row r="345" spans="1:13" x14ac:dyDescent="0.25">
      <c r="A345" s="3" t="s">
        <v>40</v>
      </c>
      <c r="B345" s="3" t="s">
        <v>243</v>
      </c>
      <c r="C345" s="3" t="s">
        <v>9</v>
      </c>
      <c r="D345" s="3" t="s">
        <v>19</v>
      </c>
      <c r="E345" s="5" t="s">
        <v>18</v>
      </c>
      <c r="F345" s="17">
        <v>51.34</v>
      </c>
      <c r="G345" s="3">
        <v>8</v>
      </c>
      <c r="H345" s="17">
        <f>Table1[[#This Row],[Unit price]]*Table1[[#This Row],[Quantity]]</f>
        <v>410.72</v>
      </c>
      <c r="I345" s="29">
        <f>Table1[[#This Row],[Total Revenue]]/$H$5056*100</f>
        <v>4.3575645233221494E-2</v>
      </c>
      <c r="J345" s="3" t="s">
        <v>17</v>
      </c>
      <c r="K345" s="4">
        <v>7.6</v>
      </c>
      <c r="M345"/>
    </row>
    <row r="346" spans="1:13" x14ac:dyDescent="0.25">
      <c r="A346" s="3" t="s">
        <v>40</v>
      </c>
      <c r="B346" s="3" t="s">
        <v>244</v>
      </c>
      <c r="C346" s="3" t="s">
        <v>9</v>
      </c>
      <c r="D346" s="3" t="s">
        <v>19</v>
      </c>
      <c r="E346" s="5" t="s">
        <v>16</v>
      </c>
      <c r="F346" s="17">
        <v>75.819999999999993</v>
      </c>
      <c r="G346" s="3">
        <v>1</v>
      </c>
      <c r="H346" s="17">
        <f>Table1[[#This Row],[Unit price]]*Table1[[#This Row],[Quantity]]</f>
        <v>75.819999999999993</v>
      </c>
      <c r="I346" s="29">
        <f>Table1[[#This Row],[Total Revenue]]/$H$5056*100</f>
        <v>8.0441795422254905E-3</v>
      </c>
      <c r="J346" s="3" t="s">
        <v>15</v>
      </c>
      <c r="K346" s="4">
        <v>5.8</v>
      </c>
      <c r="M346"/>
    </row>
    <row r="347" spans="1:13" x14ac:dyDescent="0.25">
      <c r="A347" s="3" t="s">
        <v>40</v>
      </c>
      <c r="B347" s="3" t="s">
        <v>245</v>
      </c>
      <c r="C347" s="3" t="s">
        <v>13</v>
      </c>
      <c r="D347" s="3" t="s">
        <v>10</v>
      </c>
      <c r="E347" s="5" t="s">
        <v>18</v>
      </c>
      <c r="F347" s="17">
        <v>62.18</v>
      </c>
      <c r="G347" s="3">
        <v>10</v>
      </c>
      <c r="H347" s="17">
        <f>Table1[[#This Row],[Unit price]]*Table1[[#This Row],[Quantity]]</f>
        <v>621.79999999999995</v>
      </c>
      <c r="I347" s="29">
        <f>Table1[[#This Row],[Total Revenue]]/$H$5056*100</f>
        <v>6.5970335523025725E-2</v>
      </c>
      <c r="J347" s="3" t="s">
        <v>17</v>
      </c>
      <c r="K347" s="4">
        <v>6</v>
      </c>
      <c r="M347"/>
    </row>
    <row r="348" spans="1:13" x14ac:dyDescent="0.25">
      <c r="A348" s="3" t="s">
        <v>40</v>
      </c>
      <c r="B348" s="3" t="s">
        <v>245</v>
      </c>
      <c r="C348" s="3" t="s">
        <v>9</v>
      </c>
      <c r="D348" s="3" t="s">
        <v>19</v>
      </c>
      <c r="E348" s="5" t="s">
        <v>14</v>
      </c>
      <c r="F348" s="17">
        <v>37.06</v>
      </c>
      <c r="G348" s="3">
        <v>4</v>
      </c>
      <c r="H348" s="17">
        <f>Table1[[#This Row],[Unit price]]*Table1[[#This Row],[Quantity]]</f>
        <v>148.24</v>
      </c>
      <c r="I348" s="29">
        <f>Table1[[#This Row],[Total Revenue]]/$H$5056*100</f>
        <v>1.5727633544440869E-2</v>
      </c>
      <c r="J348" s="3" t="s">
        <v>17</v>
      </c>
      <c r="K348" s="4">
        <v>9.6999999999999993</v>
      </c>
      <c r="M348"/>
    </row>
    <row r="349" spans="1:13" x14ac:dyDescent="0.25">
      <c r="A349" s="3" t="s">
        <v>40</v>
      </c>
      <c r="B349" s="3" t="s">
        <v>244</v>
      </c>
      <c r="C349" s="3" t="s">
        <v>9</v>
      </c>
      <c r="D349" s="3" t="s">
        <v>19</v>
      </c>
      <c r="E349" s="5" t="s">
        <v>16</v>
      </c>
      <c r="F349" s="17">
        <v>79.930000000000007</v>
      </c>
      <c r="G349" s="3">
        <v>6</v>
      </c>
      <c r="H349" s="17">
        <f>Table1[[#This Row],[Unit price]]*Table1[[#This Row],[Quantity]]</f>
        <v>479.58000000000004</v>
      </c>
      <c r="I349" s="29">
        <f>Table1[[#This Row],[Total Revenue]]/$H$5056*100</f>
        <v>5.088139837589687E-2</v>
      </c>
      <c r="J349" s="3" t="s">
        <v>15</v>
      </c>
      <c r="K349" s="4">
        <v>5.5</v>
      </c>
      <c r="M349"/>
    </row>
    <row r="350" spans="1:13" x14ac:dyDescent="0.25">
      <c r="A350" s="3" t="s">
        <v>40</v>
      </c>
      <c r="B350" s="3" t="s">
        <v>244</v>
      </c>
      <c r="C350" s="3" t="s">
        <v>9</v>
      </c>
      <c r="D350" s="3" t="s">
        <v>19</v>
      </c>
      <c r="E350" s="5" t="s">
        <v>14</v>
      </c>
      <c r="F350" s="17">
        <v>87.87</v>
      </c>
      <c r="G350" s="3">
        <v>9</v>
      </c>
      <c r="H350" s="17">
        <f>Table1[[#This Row],[Unit price]]*Table1[[#This Row],[Quantity]]</f>
        <v>790.83</v>
      </c>
      <c r="I350" s="29">
        <f>Table1[[#This Row],[Total Revenue]]/$H$5056*100</f>
        <v>8.3903699648881364E-2</v>
      </c>
      <c r="J350" s="3" t="s">
        <v>17</v>
      </c>
      <c r="K350" s="4">
        <v>5.6</v>
      </c>
      <c r="M350"/>
    </row>
    <row r="351" spans="1:13" x14ac:dyDescent="0.25">
      <c r="A351" s="3" t="s">
        <v>40</v>
      </c>
      <c r="B351" s="3" t="s">
        <v>244</v>
      </c>
      <c r="C351" s="3" t="s">
        <v>13</v>
      </c>
      <c r="D351" s="3" t="s">
        <v>19</v>
      </c>
      <c r="E351" s="5" t="s">
        <v>18</v>
      </c>
      <c r="F351" s="17">
        <v>69.08</v>
      </c>
      <c r="G351" s="3">
        <v>2</v>
      </c>
      <c r="H351" s="17">
        <f>Table1[[#This Row],[Unit price]]*Table1[[#This Row],[Quantity]]</f>
        <v>138.16</v>
      </c>
      <c r="I351" s="29">
        <f>Table1[[#This Row],[Total Revenue]]/$H$5056*100</f>
        <v>1.465818841405795E-2</v>
      </c>
      <c r="J351" s="3" t="s">
        <v>12</v>
      </c>
      <c r="K351" s="4">
        <v>6.9</v>
      </c>
      <c r="M351"/>
    </row>
    <row r="352" spans="1:13" x14ac:dyDescent="0.25">
      <c r="A352" s="3" t="s">
        <v>40</v>
      </c>
      <c r="B352" s="3" t="s">
        <v>244</v>
      </c>
      <c r="C352" s="3" t="s">
        <v>13</v>
      </c>
      <c r="D352" s="3" t="s">
        <v>19</v>
      </c>
      <c r="E352" s="5" t="s">
        <v>14</v>
      </c>
      <c r="F352" s="17">
        <v>45.35</v>
      </c>
      <c r="G352" s="3">
        <v>6</v>
      </c>
      <c r="H352" s="17">
        <f>Table1[[#This Row],[Unit price]]*Table1[[#This Row],[Quantity]]</f>
        <v>272.10000000000002</v>
      </c>
      <c r="I352" s="29">
        <f>Table1[[#This Row],[Total Revenue]]/$H$5056*100</f>
        <v>2.8868652775515119E-2</v>
      </c>
      <c r="J352" s="3" t="s">
        <v>17</v>
      </c>
      <c r="K352" s="4">
        <v>6.1</v>
      </c>
      <c r="M352"/>
    </row>
    <row r="353" spans="1:13" x14ac:dyDescent="0.25">
      <c r="A353" s="3" t="s">
        <v>40</v>
      </c>
      <c r="B353" s="3" t="s">
        <v>243</v>
      </c>
      <c r="C353" s="3" t="s">
        <v>9</v>
      </c>
      <c r="D353" s="3" t="s">
        <v>19</v>
      </c>
      <c r="E353" s="5" t="s">
        <v>14</v>
      </c>
      <c r="F353" s="17">
        <v>66.349999999999994</v>
      </c>
      <c r="G353" s="3">
        <v>1</v>
      </c>
      <c r="H353" s="17">
        <f>Table1[[#This Row],[Unit price]]*Table1[[#This Row],[Quantity]]</f>
        <v>66.349999999999994</v>
      </c>
      <c r="I353" s="29">
        <f>Table1[[#This Row],[Total Revenue]]/$H$5056*100</f>
        <v>7.0394528175502669E-3</v>
      </c>
      <c r="J353" s="3" t="s">
        <v>12</v>
      </c>
      <c r="K353" s="4">
        <v>9.6999999999999993</v>
      </c>
      <c r="M353"/>
    </row>
    <row r="354" spans="1:13" x14ac:dyDescent="0.25">
      <c r="A354" s="2">
        <v>45293</v>
      </c>
      <c r="B354" s="3" t="s">
        <v>245</v>
      </c>
      <c r="C354" s="3" t="s">
        <v>9</v>
      </c>
      <c r="D354" s="3" t="s">
        <v>10</v>
      </c>
      <c r="E354" s="5" t="s">
        <v>11</v>
      </c>
      <c r="F354" s="17">
        <v>87.48</v>
      </c>
      <c r="G354" s="3">
        <v>6</v>
      </c>
      <c r="H354" s="17">
        <f>Table1[[#This Row],[Unit price]]*Table1[[#This Row],[Quantity]]</f>
        <v>524.88</v>
      </c>
      <c r="I354" s="29">
        <f>Table1[[#This Row],[Total Revenue]]/$H$5056*100</f>
        <v>5.5687535717796298E-2</v>
      </c>
      <c r="J354" s="3" t="s">
        <v>17</v>
      </c>
      <c r="K354" s="4">
        <v>5.0999999999999996</v>
      </c>
      <c r="M354"/>
    </row>
    <row r="355" spans="1:13" x14ac:dyDescent="0.25">
      <c r="A355" s="2">
        <v>45293</v>
      </c>
      <c r="B355" s="3" t="s">
        <v>243</v>
      </c>
      <c r="C355" s="3" t="s">
        <v>9</v>
      </c>
      <c r="D355" s="3" t="s">
        <v>10</v>
      </c>
      <c r="E355" s="5" t="s">
        <v>11</v>
      </c>
      <c r="F355" s="17">
        <v>14.23</v>
      </c>
      <c r="G355" s="3">
        <v>5</v>
      </c>
      <c r="H355" s="17">
        <f>Table1[[#This Row],[Unit price]]*Table1[[#This Row],[Quantity]]</f>
        <v>71.150000000000006</v>
      </c>
      <c r="I355" s="29">
        <f>Table1[[#This Row],[Total Revenue]]/$H$5056*100</f>
        <v>7.5487124034468965E-3</v>
      </c>
      <c r="J355" s="3" t="s">
        <v>12</v>
      </c>
      <c r="K355" s="4">
        <v>4.4000000000000004</v>
      </c>
      <c r="M355"/>
    </row>
    <row r="356" spans="1:13" x14ac:dyDescent="0.25">
      <c r="A356" s="2">
        <v>45293</v>
      </c>
      <c r="B356" s="3" t="s">
        <v>243</v>
      </c>
      <c r="C356" s="3" t="s">
        <v>9</v>
      </c>
      <c r="D356" s="3" t="s">
        <v>19</v>
      </c>
      <c r="E356" s="5" t="s">
        <v>16</v>
      </c>
      <c r="F356" s="17">
        <v>69.52</v>
      </c>
      <c r="G356" s="3">
        <v>7</v>
      </c>
      <c r="H356" s="17">
        <f>Table1[[#This Row],[Unit price]]*Table1[[#This Row],[Quantity]]</f>
        <v>486.64</v>
      </c>
      <c r="I356" s="29">
        <f>Table1[[#This Row],[Total Revenue]]/$H$5056*100</f>
        <v>5.1630434350153159E-2</v>
      </c>
      <c r="J356" s="3" t="s">
        <v>12</v>
      </c>
      <c r="K356" s="4">
        <v>8.5</v>
      </c>
      <c r="M356"/>
    </row>
    <row r="357" spans="1:13" x14ac:dyDescent="0.25">
      <c r="A357" s="2">
        <v>45293</v>
      </c>
      <c r="B357" s="3" t="s">
        <v>245</v>
      </c>
      <c r="C357" s="3" t="s">
        <v>13</v>
      </c>
      <c r="D357" s="3" t="s">
        <v>10</v>
      </c>
      <c r="E357" s="5" t="s">
        <v>14</v>
      </c>
      <c r="F357" s="17">
        <v>23.07</v>
      </c>
      <c r="G357" s="3">
        <v>9</v>
      </c>
      <c r="H357" s="17">
        <f>Table1[[#This Row],[Unit price]]*Table1[[#This Row],[Quantity]]</f>
        <v>207.63</v>
      </c>
      <c r="I357" s="29">
        <f>Table1[[#This Row],[Total Revenue]]/$H$5056*100</f>
        <v>2.2028659962441025E-2</v>
      </c>
      <c r="J357" s="3" t="s">
        <v>15</v>
      </c>
      <c r="K357" s="4">
        <v>4.9000000000000004</v>
      </c>
      <c r="M357"/>
    </row>
    <row r="358" spans="1:13" x14ac:dyDescent="0.25">
      <c r="A358" s="2">
        <v>45293</v>
      </c>
      <c r="B358" s="3" t="s">
        <v>245</v>
      </c>
      <c r="C358" s="3" t="s">
        <v>9</v>
      </c>
      <c r="D358" s="3" t="s">
        <v>10</v>
      </c>
      <c r="E358" s="5" t="s">
        <v>20</v>
      </c>
      <c r="F358" s="17">
        <v>80.790000000000006</v>
      </c>
      <c r="G358" s="3">
        <v>9</v>
      </c>
      <c r="H358" s="17">
        <f>Table1[[#This Row],[Unit price]]*Table1[[#This Row],[Quantity]]</f>
        <v>727.11</v>
      </c>
      <c r="I358" s="29">
        <f>Table1[[#This Row],[Total Revenue]]/$H$5056*100</f>
        <v>7.7143278646103625E-2</v>
      </c>
      <c r="J358" s="3" t="s">
        <v>12</v>
      </c>
      <c r="K358" s="4">
        <v>9.5</v>
      </c>
      <c r="M358"/>
    </row>
    <row r="359" spans="1:13" x14ac:dyDescent="0.25">
      <c r="A359" s="2">
        <v>45293</v>
      </c>
      <c r="B359" s="3" t="s">
        <v>243</v>
      </c>
      <c r="C359" s="3" t="s">
        <v>9</v>
      </c>
      <c r="D359" s="3" t="s">
        <v>10</v>
      </c>
      <c r="E359" s="5" t="s">
        <v>21</v>
      </c>
      <c r="F359" s="17">
        <v>77.680000000000007</v>
      </c>
      <c r="G359" s="3">
        <v>4</v>
      </c>
      <c r="H359" s="17">
        <f>Table1[[#This Row],[Unit price]]*Table1[[#This Row],[Quantity]]</f>
        <v>310.72000000000003</v>
      </c>
      <c r="I359" s="29">
        <f>Table1[[#This Row],[Total Revenue]]/$H$5056*100</f>
        <v>3.2966070527041737E-2</v>
      </c>
      <c r="J359" s="3" t="s">
        <v>15</v>
      </c>
      <c r="K359" s="4">
        <v>8.4</v>
      </c>
      <c r="M359"/>
    </row>
    <row r="360" spans="1:13" x14ac:dyDescent="0.25">
      <c r="A360" s="2">
        <v>45324</v>
      </c>
      <c r="B360" s="3" t="s">
        <v>244</v>
      </c>
      <c r="C360" s="3" t="s">
        <v>9</v>
      </c>
      <c r="D360" s="3" t="s">
        <v>10</v>
      </c>
      <c r="E360" s="5" t="s">
        <v>14</v>
      </c>
      <c r="F360" s="17">
        <v>26.26</v>
      </c>
      <c r="G360" s="3">
        <v>7</v>
      </c>
      <c r="H360" s="17">
        <f>Table1[[#This Row],[Unit price]]*Table1[[#This Row],[Quantity]]</f>
        <v>183.82000000000002</v>
      </c>
      <c r="I360" s="29">
        <f>Table1[[#This Row],[Total Revenue]]/$H$5056*100</f>
        <v>1.9502520224899629E-2</v>
      </c>
      <c r="J360" s="3" t="s">
        <v>15</v>
      </c>
      <c r="K360" s="4">
        <v>9.9</v>
      </c>
      <c r="M360"/>
    </row>
    <row r="361" spans="1:13" x14ac:dyDescent="0.25">
      <c r="A361" s="2">
        <v>45324</v>
      </c>
      <c r="B361" s="3" t="s">
        <v>243</v>
      </c>
      <c r="C361" s="3" t="s">
        <v>9</v>
      </c>
      <c r="D361" s="3" t="s">
        <v>19</v>
      </c>
      <c r="E361" s="5" t="s">
        <v>18</v>
      </c>
      <c r="F361" s="17">
        <v>43.13</v>
      </c>
      <c r="G361" s="3">
        <v>10</v>
      </c>
      <c r="H361" s="17">
        <f>Table1[[#This Row],[Unit price]]*Table1[[#This Row],[Quantity]]</f>
        <v>431.3</v>
      </c>
      <c r="I361" s="29">
        <f>Table1[[#This Row],[Total Revenue]]/$H$5056*100</f>
        <v>4.5759095707753286E-2</v>
      </c>
      <c r="J361" s="3" t="s">
        <v>12</v>
      </c>
      <c r="K361" s="4">
        <v>5.5</v>
      </c>
      <c r="M361"/>
    </row>
    <row r="362" spans="1:13" x14ac:dyDescent="0.25">
      <c r="A362" s="2">
        <v>45324</v>
      </c>
      <c r="B362" s="3" t="s">
        <v>244</v>
      </c>
      <c r="C362" s="3" t="s">
        <v>13</v>
      </c>
      <c r="D362" s="3" t="s">
        <v>10</v>
      </c>
      <c r="E362" s="5" t="s">
        <v>18</v>
      </c>
      <c r="F362" s="17">
        <v>25.56</v>
      </c>
      <c r="G362" s="3">
        <v>7</v>
      </c>
      <c r="H362" s="17">
        <f>Table1[[#This Row],[Unit price]]*Table1[[#This Row],[Quantity]]</f>
        <v>178.92</v>
      </c>
      <c r="I362" s="29">
        <f>Table1[[#This Row],[Total Revenue]]/$H$5056*100</f>
        <v>1.8982651064296814E-2</v>
      </c>
      <c r="J362" s="3" t="s">
        <v>15</v>
      </c>
      <c r="K362" s="4">
        <v>7.1</v>
      </c>
      <c r="M362"/>
    </row>
    <row r="363" spans="1:13" x14ac:dyDescent="0.25">
      <c r="A363" s="2">
        <v>45324</v>
      </c>
      <c r="B363" s="3" t="s">
        <v>245</v>
      </c>
      <c r="C363" s="3" t="s">
        <v>9</v>
      </c>
      <c r="D363" s="3" t="s">
        <v>10</v>
      </c>
      <c r="E363" s="5" t="s">
        <v>11</v>
      </c>
      <c r="F363" s="17">
        <v>38.42</v>
      </c>
      <c r="G363" s="3">
        <v>1</v>
      </c>
      <c r="H363" s="17">
        <f>Table1[[#This Row],[Unit price]]*Table1[[#This Row],[Quantity]]</f>
        <v>38.42</v>
      </c>
      <c r="I363" s="29">
        <f>Table1[[#This Row],[Total Revenue]]/$H$5056*100</f>
        <v>4.0761986021142626E-3</v>
      </c>
      <c r="J363" s="3" t="s">
        <v>15</v>
      </c>
      <c r="K363" s="4">
        <v>8.6</v>
      </c>
      <c r="M363"/>
    </row>
    <row r="364" spans="1:13" x14ac:dyDescent="0.25">
      <c r="A364" s="2">
        <v>45324</v>
      </c>
      <c r="B364" s="3" t="s">
        <v>245</v>
      </c>
      <c r="C364" s="3" t="s">
        <v>13</v>
      </c>
      <c r="D364" s="3" t="s">
        <v>19</v>
      </c>
      <c r="E364" s="5" t="s">
        <v>11</v>
      </c>
      <c r="F364" s="17">
        <v>65.97</v>
      </c>
      <c r="G364" s="3">
        <v>8</v>
      </c>
      <c r="H364" s="17">
        <f>Table1[[#This Row],[Unit price]]*Table1[[#This Row],[Quantity]]</f>
        <v>527.76</v>
      </c>
      <c r="I364" s="29">
        <f>Table1[[#This Row],[Total Revenue]]/$H$5056*100</f>
        <v>5.5993091469334282E-2</v>
      </c>
      <c r="J364" s="3" t="s">
        <v>15</v>
      </c>
      <c r="K364" s="4">
        <v>8.4</v>
      </c>
      <c r="M364"/>
    </row>
    <row r="365" spans="1:13" x14ac:dyDescent="0.25">
      <c r="A365" s="2">
        <v>45324</v>
      </c>
      <c r="B365" s="3" t="s">
        <v>243</v>
      </c>
      <c r="C365" s="3" t="s">
        <v>9</v>
      </c>
      <c r="D365" s="3" t="s">
        <v>10</v>
      </c>
      <c r="E365" s="5" t="s">
        <v>16</v>
      </c>
      <c r="F365" s="17">
        <v>51.52</v>
      </c>
      <c r="G365" s="3">
        <v>8</v>
      </c>
      <c r="H365" s="17">
        <f>Table1[[#This Row],[Unit price]]*Table1[[#This Row],[Quantity]]</f>
        <v>412.16</v>
      </c>
      <c r="I365" s="29">
        <f>Table1[[#This Row],[Total Revenue]]/$H$5056*100</f>
        <v>4.3728423108990486E-2</v>
      </c>
      <c r="J365" s="3" t="s">
        <v>15</v>
      </c>
      <c r="K365" s="4">
        <v>9.6</v>
      </c>
      <c r="M365"/>
    </row>
    <row r="366" spans="1:13" x14ac:dyDescent="0.25">
      <c r="A366" s="2">
        <v>45324</v>
      </c>
      <c r="B366" s="3" t="s">
        <v>245</v>
      </c>
      <c r="C366" s="3" t="s">
        <v>13</v>
      </c>
      <c r="D366" s="3" t="s">
        <v>10</v>
      </c>
      <c r="E366" s="5" t="s">
        <v>14</v>
      </c>
      <c r="F366" s="17">
        <v>35.49</v>
      </c>
      <c r="G366" s="3">
        <v>6</v>
      </c>
      <c r="H366" s="17">
        <f>Table1[[#This Row],[Unit price]]*Table1[[#This Row],[Quantity]]</f>
        <v>212.94</v>
      </c>
      <c r="I366" s="29">
        <f>Table1[[#This Row],[Total Revenue]]/$H$5056*100</f>
        <v>2.2592028379339171E-2</v>
      </c>
      <c r="J366" s="3" t="s">
        <v>15</v>
      </c>
      <c r="K366" s="4">
        <v>4.0999999999999996</v>
      </c>
      <c r="M366"/>
    </row>
    <row r="367" spans="1:13" x14ac:dyDescent="0.25">
      <c r="A367" s="2">
        <v>45324</v>
      </c>
      <c r="B367" s="3" t="s">
        <v>245</v>
      </c>
      <c r="C367" s="3" t="s">
        <v>9</v>
      </c>
      <c r="D367" s="3" t="s">
        <v>10</v>
      </c>
      <c r="E367" s="5" t="s">
        <v>18</v>
      </c>
      <c r="F367" s="17">
        <v>83.35</v>
      </c>
      <c r="G367" s="3">
        <v>2</v>
      </c>
      <c r="H367" s="17">
        <f>Table1[[#This Row],[Unit price]]*Table1[[#This Row],[Quantity]]</f>
        <v>166.7</v>
      </c>
      <c r="I367" s="29">
        <f>Table1[[#This Row],[Total Revenue]]/$H$5056*100</f>
        <v>1.7686161035201653E-2</v>
      </c>
      <c r="J367" s="3" t="s">
        <v>12</v>
      </c>
      <c r="K367" s="4">
        <v>9.5</v>
      </c>
      <c r="M367"/>
    </row>
    <row r="368" spans="1:13" x14ac:dyDescent="0.25">
      <c r="A368" s="2">
        <v>45324</v>
      </c>
      <c r="B368" s="3" t="s">
        <v>245</v>
      </c>
      <c r="C368" s="3" t="s">
        <v>9</v>
      </c>
      <c r="D368" s="3" t="s">
        <v>19</v>
      </c>
      <c r="E368" s="5" t="s">
        <v>20</v>
      </c>
      <c r="F368" s="17">
        <v>56.11</v>
      </c>
      <c r="G368" s="3">
        <v>2</v>
      </c>
      <c r="H368" s="17">
        <f>Table1[[#This Row],[Unit price]]*Table1[[#This Row],[Quantity]]</f>
        <v>112.22</v>
      </c>
      <c r="I368" s="29">
        <f>Table1[[#This Row],[Total Revenue]]/$H$5056*100</f>
        <v>1.190606473527492E-2</v>
      </c>
      <c r="J368" s="3" t="s">
        <v>15</v>
      </c>
      <c r="K368" s="4">
        <v>6.3</v>
      </c>
      <c r="M368"/>
    </row>
    <row r="369" spans="1:13" x14ac:dyDescent="0.25">
      <c r="A369" s="2">
        <v>45324</v>
      </c>
      <c r="B369" s="3" t="s">
        <v>244</v>
      </c>
      <c r="C369" s="3" t="s">
        <v>9</v>
      </c>
      <c r="D369" s="3" t="s">
        <v>19</v>
      </c>
      <c r="E369" s="5" t="s">
        <v>11</v>
      </c>
      <c r="F369" s="17">
        <v>46.55</v>
      </c>
      <c r="G369" s="3">
        <v>9</v>
      </c>
      <c r="H369" s="17">
        <f>Table1[[#This Row],[Unit price]]*Table1[[#This Row],[Quantity]]</f>
        <v>418.95</v>
      </c>
      <c r="I369" s="29">
        <f>Table1[[#This Row],[Total Revenue]]/$H$5056*100</f>
        <v>4.4448813231540082E-2</v>
      </c>
      <c r="J369" s="3" t="s">
        <v>17</v>
      </c>
      <c r="K369" s="4">
        <v>6.4</v>
      </c>
      <c r="M369"/>
    </row>
    <row r="370" spans="1:13" x14ac:dyDescent="0.25">
      <c r="A370" s="2">
        <v>45324</v>
      </c>
      <c r="B370" s="3" t="s">
        <v>244</v>
      </c>
      <c r="C370" s="3" t="s">
        <v>13</v>
      </c>
      <c r="D370" s="3" t="s">
        <v>19</v>
      </c>
      <c r="E370" s="5" t="s">
        <v>20</v>
      </c>
      <c r="F370" s="17">
        <v>93.87</v>
      </c>
      <c r="G370" s="3">
        <v>8</v>
      </c>
      <c r="H370" s="17">
        <f>Table1[[#This Row],[Unit price]]*Table1[[#This Row],[Quantity]]</f>
        <v>750.96</v>
      </c>
      <c r="I370" s="29">
        <f>Table1[[#This Row],[Total Revenue]]/$H$5056*100</f>
        <v>7.9673662213527494E-2</v>
      </c>
      <c r="J370" s="3" t="s">
        <v>12</v>
      </c>
      <c r="K370" s="4">
        <v>8.3000000000000007</v>
      </c>
      <c r="M370"/>
    </row>
    <row r="371" spans="1:13" x14ac:dyDescent="0.25">
      <c r="A371" s="2">
        <v>45324</v>
      </c>
      <c r="B371" s="3" t="s">
        <v>243</v>
      </c>
      <c r="C371" s="3" t="s">
        <v>13</v>
      </c>
      <c r="D371" s="3" t="s">
        <v>10</v>
      </c>
      <c r="E371" s="5" t="s">
        <v>11</v>
      </c>
      <c r="F371" s="17">
        <v>10.96</v>
      </c>
      <c r="G371" s="3">
        <v>10</v>
      </c>
      <c r="H371" s="17">
        <f>Table1[[#This Row],[Unit price]]*Table1[[#This Row],[Quantity]]</f>
        <v>109.60000000000001</v>
      </c>
      <c r="I371" s="29">
        <f>Table1[[#This Row],[Total Revenue]]/$H$5056*100</f>
        <v>1.1628093877973013E-2</v>
      </c>
      <c r="J371" s="3" t="s">
        <v>17</v>
      </c>
      <c r="K371" s="4">
        <v>6</v>
      </c>
      <c r="M371"/>
    </row>
    <row r="372" spans="1:13" x14ac:dyDescent="0.25">
      <c r="A372" s="2">
        <v>45324</v>
      </c>
      <c r="B372" s="3" t="s">
        <v>245</v>
      </c>
      <c r="C372" s="3" t="s">
        <v>13</v>
      </c>
      <c r="D372" s="3" t="s">
        <v>10</v>
      </c>
      <c r="E372" s="5" t="s">
        <v>18</v>
      </c>
      <c r="F372" s="17">
        <v>95.42</v>
      </c>
      <c r="G372" s="3">
        <v>4</v>
      </c>
      <c r="H372" s="17">
        <f>Table1[[#This Row],[Unit price]]*Table1[[#This Row],[Quantity]]</f>
        <v>381.68</v>
      </c>
      <c r="I372" s="29">
        <f>Table1[[#This Row],[Total Revenue]]/$H$5056*100</f>
        <v>4.049462473854689E-2</v>
      </c>
      <c r="J372" s="3" t="s">
        <v>17</v>
      </c>
      <c r="K372" s="4">
        <v>6.4</v>
      </c>
      <c r="M372"/>
    </row>
    <row r="373" spans="1:13" x14ac:dyDescent="0.25">
      <c r="A373" s="2">
        <v>45324</v>
      </c>
      <c r="B373" s="3" t="s">
        <v>243</v>
      </c>
      <c r="C373" s="3" t="s">
        <v>9</v>
      </c>
      <c r="D373" s="3" t="s">
        <v>10</v>
      </c>
      <c r="E373" s="5" t="s">
        <v>21</v>
      </c>
      <c r="F373" s="17">
        <v>18.329999999999998</v>
      </c>
      <c r="G373" s="3">
        <v>1</v>
      </c>
      <c r="H373" s="17">
        <f>Table1[[#This Row],[Unit price]]*Table1[[#This Row],[Quantity]]</f>
        <v>18.329999999999998</v>
      </c>
      <c r="I373" s="29">
        <f>Table1[[#This Row],[Total Revenue]]/$H$5056*100</f>
        <v>1.9447350436427491E-3</v>
      </c>
      <c r="J373" s="3" t="s">
        <v>15</v>
      </c>
      <c r="K373" s="4">
        <v>4.3</v>
      </c>
      <c r="M373"/>
    </row>
    <row r="374" spans="1:13" x14ac:dyDescent="0.25">
      <c r="A374" s="2">
        <v>45353</v>
      </c>
      <c r="B374" s="3" t="s">
        <v>243</v>
      </c>
      <c r="C374" s="3" t="s">
        <v>13</v>
      </c>
      <c r="D374" s="3" t="s">
        <v>10</v>
      </c>
      <c r="E374" s="5" t="s">
        <v>11</v>
      </c>
      <c r="F374" s="17">
        <v>27.28</v>
      </c>
      <c r="G374" s="3">
        <v>5</v>
      </c>
      <c r="H374" s="17">
        <f>Table1[[#This Row],[Unit price]]*Table1[[#This Row],[Quantity]]</f>
        <v>136.4</v>
      </c>
      <c r="I374" s="29">
        <f>Table1[[#This Row],[Total Revenue]]/$H$5056*100</f>
        <v>1.4471459899229188E-2</v>
      </c>
      <c r="J374" s="3" t="s">
        <v>12</v>
      </c>
      <c r="K374" s="4">
        <v>8.6</v>
      </c>
      <c r="M374"/>
    </row>
    <row r="375" spans="1:13" x14ac:dyDescent="0.25">
      <c r="A375" s="2">
        <v>45353</v>
      </c>
      <c r="B375" s="3" t="s">
        <v>244</v>
      </c>
      <c r="C375" s="3" t="s">
        <v>9</v>
      </c>
      <c r="D375" s="3" t="s">
        <v>19</v>
      </c>
      <c r="E375" s="5" t="s">
        <v>11</v>
      </c>
      <c r="F375" s="17">
        <v>47.16</v>
      </c>
      <c r="G375" s="3">
        <v>5</v>
      </c>
      <c r="H375" s="17">
        <f>Table1[[#This Row],[Unit price]]*Table1[[#This Row],[Quantity]]</f>
        <v>235.79999999999998</v>
      </c>
      <c r="I375" s="29">
        <f>Table1[[#This Row],[Total Revenue]]/$H$5056*100</f>
        <v>2.5017377157171859E-2</v>
      </c>
      <c r="J375" s="3" t="s">
        <v>12</v>
      </c>
      <c r="K375" s="4">
        <v>6</v>
      </c>
      <c r="M375"/>
    </row>
    <row r="376" spans="1:13" x14ac:dyDescent="0.25">
      <c r="A376" s="2">
        <v>45353</v>
      </c>
      <c r="B376" s="3" t="s">
        <v>243</v>
      </c>
      <c r="C376" s="3" t="s">
        <v>9</v>
      </c>
      <c r="D376" s="3" t="s">
        <v>10</v>
      </c>
      <c r="E376" s="5" t="s">
        <v>20</v>
      </c>
      <c r="F376" s="17">
        <v>94.88</v>
      </c>
      <c r="G376" s="3">
        <v>7</v>
      </c>
      <c r="H376" s="17">
        <f>Table1[[#This Row],[Unit price]]*Table1[[#This Row],[Quantity]]</f>
        <v>664.16</v>
      </c>
      <c r="I376" s="29">
        <f>Table1[[#This Row],[Total Revenue]]/$H$5056*100</f>
        <v>7.0464551368563458E-2</v>
      </c>
      <c r="J376" s="3" t="s">
        <v>15</v>
      </c>
      <c r="K376" s="4">
        <v>4.2</v>
      </c>
      <c r="M376"/>
    </row>
    <row r="377" spans="1:13" x14ac:dyDescent="0.25">
      <c r="A377" s="2">
        <v>45353</v>
      </c>
      <c r="B377" s="3" t="s">
        <v>245</v>
      </c>
      <c r="C377" s="3" t="s">
        <v>9</v>
      </c>
      <c r="D377" s="3" t="s">
        <v>19</v>
      </c>
      <c r="E377" s="5" t="s">
        <v>11</v>
      </c>
      <c r="F377" s="17">
        <v>91.4</v>
      </c>
      <c r="G377" s="3">
        <v>7</v>
      </c>
      <c r="H377" s="17">
        <f>Table1[[#This Row],[Unit price]]*Table1[[#This Row],[Quantity]]</f>
        <v>639.80000000000007</v>
      </c>
      <c r="I377" s="29">
        <f>Table1[[#This Row],[Total Revenue]]/$H$5056*100</f>
        <v>6.7880058970138088E-2</v>
      </c>
      <c r="J377" s="3" t="s">
        <v>15</v>
      </c>
      <c r="K377" s="4">
        <v>9.5</v>
      </c>
      <c r="M377"/>
    </row>
    <row r="378" spans="1:13" x14ac:dyDescent="0.25">
      <c r="A378" s="2">
        <v>45353</v>
      </c>
      <c r="B378" s="3" t="s">
        <v>244</v>
      </c>
      <c r="C378" s="3" t="s">
        <v>9</v>
      </c>
      <c r="D378" s="3" t="s">
        <v>10</v>
      </c>
      <c r="E378" s="5" t="s">
        <v>16</v>
      </c>
      <c r="F378" s="17">
        <v>55.07</v>
      </c>
      <c r="G378" s="3">
        <v>9</v>
      </c>
      <c r="H378" s="17">
        <f>Table1[[#This Row],[Unit price]]*Table1[[#This Row],[Quantity]]</f>
        <v>495.63</v>
      </c>
      <c r="I378" s="29">
        <f>Table1[[#This Row],[Total Revenue]]/$H$5056*100</f>
        <v>5.2584235116238727E-2</v>
      </c>
      <c r="J378" s="3" t="s">
        <v>17</v>
      </c>
      <c r="K378" s="4">
        <v>10</v>
      </c>
      <c r="M378"/>
    </row>
    <row r="379" spans="1:13" x14ac:dyDescent="0.25">
      <c r="A379" s="2">
        <v>45353</v>
      </c>
      <c r="B379" s="3" t="s">
        <v>244</v>
      </c>
      <c r="C379" s="3" t="s">
        <v>13</v>
      </c>
      <c r="D379" s="3" t="s">
        <v>10</v>
      </c>
      <c r="E379" s="5" t="s">
        <v>16</v>
      </c>
      <c r="F379" s="17">
        <v>42.97</v>
      </c>
      <c r="G379" s="3">
        <v>3</v>
      </c>
      <c r="H379" s="17">
        <f>Table1[[#This Row],[Unit price]]*Table1[[#This Row],[Quantity]]</f>
        <v>128.91</v>
      </c>
      <c r="I379" s="29">
        <f>Table1[[#This Row],[Total Revenue]]/$H$5056*100</f>
        <v>1.3676802753736323E-2</v>
      </c>
      <c r="J379" s="3" t="s">
        <v>15</v>
      </c>
      <c r="K379" s="4">
        <v>9.3000000000000007</v>
      </c>
      <c r="M379"/>
    </row>
    <row r="380" spans="1:13" x14ac:dyDescent="0.25">
      <c r="A380" s="2">
        <v>45353</v>
      </c>
      <c r="B380" s="3" t="s">
        <v>243</v>
      </c>
      <c r="C380" s="3" t="s">
        <v>9</v>
      </c>
      <c r="D380" s="3" t="s">
        <v>19</v>
      </c>
      <c r="E380" s="5" t="s">
        <v>20</v>
      </c>
      <c r="F380" s="17">
        <v>72.78</v>
      </c>
      <c r="G380" s="3">
        <v>10</v>
      </c>
      <c r="H380" s="17">
        <f>Table1[[#This Row],[Unit price]]*Table1[[#This Row],[Quantity]]</f>
        <v>727.8</v>
      </c>
      <c r="I380" s="29">
        <f>Table1[[#This Row],[Total Revenue]]/$H$5056*100</f>
        <v>7.7216484711576244E-2</v>
      </c>
      <c r="J380" s="3" t="s">
        <v>15</v>
      </c>
      <c r="K380" s="4">
        <v>7.3</v>
      </c>
      <c r="M380"/>
    </row>
    <row r="381" spans="1:13" x14ac:dyDescent="0.25">
      <c r="A381" s="2">
        <v>45353</v>
      </c>
      <c r="B381" s="3" t="s">
        <v>244</v>
      </c>
      <c r="C381" s="3" t="s">
        <v>9</v>
      </c>
      <c r="D381" s="3" t="s">
        <v>19</v>
      </c>
      <c r="E381" s="5" t="s">
        <v>18</v>
      </c>
      <c r="F381" s="17">
        <v>53.78</v>
      </c>
      <c r="G381" s="3">
        <v>1</v>
      </c>
      <c r="H381" s="17">
        <f>Table1[[#This Row],[Unit price]]*Table1[[#This Row],[Quantity]]</f>
        <v>53.78</v>
      </c>
      <c r="I381" s="29">
        <f>Table1[[#This Row],[Total Revenue]]/$H$5056*100</f>
        <v>5.7058292769834726E-3</v>
      </c>
      <c r="J381" s="3" t="s">
        <v>17</v>
      </c>
      <c r="K381" s="4">
        <v>4.7</v>
      </c>
      <c r="M381"/>
    </row>
    <row r="382" spans="1:13" x14ac:dyDescent="0.25">
      <c r="A382" s="2">
        <v>45353</v>
      </c>
      <c r="B382" s="3" t="s">
        <v>243</v>
      </c>
      <c r="C382" s="3" t="s">
        <v>13</v>
      </c>
      <c r="D382" s="3" t="s">
        <v>19</v>
      </c>
      <c r="E382" s="5" t="s">
        <v>18</v>
      </c>
      <c r="F382" s="17">
        <v>77.02</v>
      </c>
      <c r="G382" s="3">
        <v>5</v>
      </c>
      <c r="H382" s="17">
        <f>Table1[[#This Row],[Unit price]]*Table1[[#This Row],[Quantity]]</f>
        <v>385.09999999999997</v>
      </c>
      <c r="I382" s="29">
        <f>Table1[[#This Row],[Total Revenue]]/$H$5056*100</f>
        <v>4.085747219349823E-2</v>
      </c>
      <c r="J382" s="3" t="s">
        <v>15</v>
      </c>
      <c r="K382" s="4">
        <v>5.5</v>
      </c>
      <c r="M382"/>
    </row>
    <row r="383" spans="1:13" x14ac:dyDescent="0.25">
      <c r="A383" s="2">
        <v>45353</v>
      </c>
      <c r="B383" s="3" t="s">
        <v>243</v>
      </c>
      <c r="C383" s="3" t="s">
        <v>9</v>
      </c>
      <c r="D383" s="3" t="s">
        <v>19</v>
      </c>
      <c r="E383" s="5" t="s">
        <v>11</v>
      </c>
      <c r="F383" s="17">
        <v>67.45</v>
      </c>
      <c r="G383" s="3">
        <v>10</v>
      </c>
      <c r="H383" s="17">
        <f>Table1[[#This Row],[Unit price]]*Table1[[#This Row],[Quantity]]</f>
        <v>674.5</v>
      </c>
      <c r="I383" s="29">
        <f>Table1[[#This Row],[Total Revenue]]/$H$5056*100</f>
        <v>7.1561581393182444E-2</v>
      </c>
      <c r="J383" s="3" t="s">
        <v>17</v>
      </c>
      <c r="K383" s="4">
        <v>4.2</v>
      </c>
      <c r="M383"/>
    </row>
    <row r="384" spans="1:13" x14ac:dyDescent="0.25">
      <c r="A384" s="2">
        <v>45353</v>
      </c>
      <c r="B384" s="3" t="s">
        <v>245</v>
      </c>
      <c r="C384" s="3" t="s">
        <v>13</v>
      </c>
      <c r="D384" s="3" t="s">
        <v>19</v>
      </c>
      <c r="E384" s="5" t="s">
        <v>11</v>
      </c>
      <c r="F384" s="17">
        <v>40.520000000000003</v>
      </c>
      <c r="G384" s="3">
        <v>5</v>
      </c>
      <c r="H384" s="17">
        <f>Table1[[#This Row],[Unit price]]*Table1[[#This Row],[Quantity]]</f>
        <v>202.60000000000002</v>
      </c>
      <c r="I384" s="29">
        <f>Table1[[#This Row],[Total Revenue]]/$H$5056*100</f>
        <v>2.1494998354720185E-2</v>
      </c>
      <c r="J384" s="3" t="s">
        <v>15</v>
      </c>
      <c r="K384" s="4">
        <v>4.5</v>
      </c>
      <c r="M384"/>
    </row>
    <row r="385" spans="1:13" x14ac:dyDescent="0.25">
      <c r="A385" s="2">
        <v>45353</v>
      </c>
      <c r="B385" s="3" t="s">
        <v>245</v>
      </c>
      <c r="C385" s="3" t="s">
        <v>13</v>
      </c>
      <c r="D385" s="3" t="s">
        <v>10</v>
      </c>
      <c r="E385" s="5" t="s">
        <v>16</v>
      </c>
      <c r="F385" s="17">
        <v>73.95</v>
      </c>
      <c r="G385" s="3">
        <v>4</v>
      </c>
      <c r="H385" s="17">
        <f>Table1[[#This Row],[Unit price]]*Table1[[#This Row],[Quantity]]</f>
        <v>295.8</v>
      </c>
      <c r="I385" s="29">
        <f>Table1[[#This Row],[Total Revenue]]/$H$5056*100</f>
        <v>3.1383121980879718E-2</v>
      </c>
      <c r="J385" s="3" t="s">
        <v>15</v>
      </c>
      <c r="K385" s="4">
        <v>6.1</v>
      </c>
      <c r="M385"/>
    </row>
    <row r="386" spans="1:13" x14ac:dyDescent="0.25">
      <c r="A386" s="2">
        <v>45353</v>
      </c>
      <c r="B386" s="3" t="s">
        <v>245</v>
      </c>
      <c r="C386" s="3" t="s">
        <v>13</v>
      </c>
      <c r="D386" s="3" t="s">
        <v>10</v>
      </c>
      <c r="E386" s="5" t="s">
        <v>16</v>
      </c>
      <c r="F386" s="17">
        <v>49.33</v>
      </c>
      <c r="G386" s="3">
        <v>10</v>
      </c>
      <c r="H386" s="17">
        <f>Table1[[#This Row],[Unit price]]*Table1[[#This Row],[Quantity]]</f>
        <v>493.29999999999995</v>
      </c>
      <c r="I386" s="29">
        <f>Table1[[#This Row],[Total Revenue]]/$H$5056*100</f>
        <v>5.233703202558472E-2</v>
      </c>
      <c r="J386" s="3" t="s">
        <v>12</v>
      </c>
      <c r="K386" s="4">
        <v>9.4</v>
      </c>
      <c r="M386"/>
    </row>
    <row r="387" spans="1:13" x14ac:dyDescent="0.25">
      <c r="A387" s="2">
        <v>45353</v>
      </c>
      <c r="B387" s="3" t="s">
        <v>244</v>
      </c>
      <c r="C387" s="3" t="s">
        <v>9</v>
      </c>
      <c r="D387" s="3" t="s">
        <v>19</v>
      </c>
      <c r="E387" s="5" t="s">
        <v>16</v>
      </c>
      <c r="F387" s="17">
        <v>73.97</v>
      </c>
      <c r="G387" s="3">
        <v>1</v>
      </c>
      <c r="H387" s="17">
        <f>Table1[[#This Row],[Unit price]]*Table1[[#This Row],[Quantity]]</f>
        <v>73.97</v>
      </c>
      <c r="I387" s="29">
        <f>Table1[[#This Row],[Total Revenue]]/$H$5056*100</f>
        <v>7.8479024101611641E-3</v>
      </c>
      <c r="J387" s="3" t="s">
        <v>12</v>
      </c>
      <c r="K387" s="4">
        <v>5.4</v>
      </c>
      <c r="M387"/>
    </row>
    <row r="388" spans="1:13" x14ac:dyDescent="0.25">
      <c r="A388" s="2">
        <v>45384</v>
      </c>
      <c r="B388" s="3" t="s">
        <v>245</v>
      </c>
      <c r="C388" s="3" t="s">
        <v>13</v>
      </c>
      <c r="D388" s="3" t="s">
        <v>10</v>
      </c>
      <c r="E388" s="5" t="s">
        <v>21</v>
      </c>
      <c r="F388" s="17">
        <v>13.85</v>
      </c>
      <c r="G388" s="3">
        <v>9</v>
      </c>
      <c r="H388" s="17">
        <f>Table1[[#This Row],[Unit price]]*Table1[[#This Row],[Quantity]]</f>
        <v>124.64999999999999</v>
      </c>
      <c r="I388" s="29">
        <f>Table1[[#This Row],[Total Revenue]]/$H$5056*100</f>
        <v>1.3224834871253066E-2</v>
      </c>
      <c r="J388" s="3" t="s">
        <v>17</v>
      </c>
      <c r="K388" s="4">
        <v>6</v>
      </c>
      <c r="M388"/>
    </row>
    <row r="389" spans="1:13" x14ac:dyDescent="0.25">
      <c r="A389" s="2">
        <v>45384</v>
      </c>
      <c r="B389" s="3" t="s">
        <v>243</v>
      </c>
      <c r="C389" s="3" t="s">
        <v>9</v>
      </c>
      <c r="D389" s="3" t="s">
        <v>10</v>
      </c>
      <c r="E389" s="5" t="s">
        <v>14</v>
      </c>
      <c r="F389" s="17">
        <v>25.22</v>
      </c>
      <c r="G389" s="3">
        <v>7</v>
      </c>
      <c r="H389" s="17">
        <f>Table1[[#This Row],[Unit price]]*Table1[[#This Row],[Quantity]]</f>
        <v>176.54</v>
      </c>
      <c r="I389" s="29">
        <f>Table1[[#This Row],[Total Revenue]]/$H$5056*100</f>
        <v>1.8730143186289738E-2</v>
      </c>
      <c r="J389" s="3" t="s">
        <v>15</v>
      </c>
      <c r="K389" s="4">
        <v>8.1999999999999993</v>
      </c>
      <c r="M389"/>
    </row>
    <row r="390" spans="1:13" x14ac:dyDescent="0.25">
      <c r="A390" s="2">
        <v>45384</v>
      </c>
      <c r="B390" s="3" t="s">
        <v>244</v>
      </c>
      <c r="C390" s="3" t="s">
        <v>13</v>
      </c>
      <c r="D390" s="3" t="s">
        <v>10</v>
      </c>
      <c r="E390" s="5" t="s">
        <v>11</v>
      </c>
      <c r="F390" s="17">
        <v>67.77</v>
      </c>
      <c r="G390" s="3">
        <v>1</v>
      </c>
      <c r="H390" s="17">
        <f>Table1[[#This Row],[Unit price]]*Table1[[#This Row],[Quantity]]</f>
        <v>67.77</v>
      </c>
      <c r="I390" s="29">
        <f>Table1[[#This Row],[Total Revenue]]/$H$5056*100</f>
        <v>7.1901087783780189E-3</v>
      </c>
      <c r="J390" s="3" t="s">
        <v>12</v>
      </c>
      <c r="K390" s="4">
        <v>6.5</v>
      </c>
      <c r="M390"/>
    </row>
    <row r="391" spans="1:13" x14ac:dyDescent="0.25">
      <c r="A391" s="2">
        <v>45384</v>
      </c>
      <c r="B391" s="3" t="s">
        <v>244</v>
      </c>
      <c r="C391" s="3" t="s">
        <v>9</v>
      </c>
      <c r="D391" s="3" t="s">
        <v>19</v>
      </c>
      <c r="E391" s="5" t="s">
        <v>11</v>
      </c>
      <c r="F391" s="17">
        <v>23.34</v>
      </c>
      <c r="G391" s="3">
        <v>4</v>
      </c>
      <c r="H391" s="17">
        <f>Table1[[#This Row],[Unit price]]*Table1[[#This Row],[Quantity]]</f>
        <v>93.36</v>
      </c>
      <c r="I391" s="29">
        <f>Table1[[#This Row],[Total Revenue]]/$H$5056*100</f>
        <v>9.9050989456894202E-3</v>
      </c>
      <c r="J391" s="3" t="s">
        <v>17</v>
      </c>
      <c r="K391" s="4">
        <v>7.4</v>
      </c>
      <c r="M391"/>
    </row>
    <row r="392" spans="1:13" x14ac:dyDescent="0.25">
      <c r="A392" s="2">
        <v>45384</v>
      </c>
      <c r="B392" s="3" t="s">
        <v>245</v>
      </c>
      <c r="C392" s="3" t="s">
        <v>9</v>
      </c>
      <c r="D392" s="3" t="s">
        <v>19</v>
      </c>
      <c r="E392" s="5" t="s">
        <v>20</v>
      </c>
      <c r="F392" s="17">
        <v>13.98</v>
      </c>
      <c r="G392" s="3">
        <v>1</v>
      </c>
      <c r="H392" s="17">
        <f>Table1[[#This Row],[Unit price]]*Table1[[#This Row],[Quantity]]</f>
        <v>13.98</v>
      </c>
      <c r="I392" s="29">
        <f>Table1[[#This Row],[Total Revenue]]/$H$5056*100</f>
        <v>1.4832185439239299E-3</v>
      </c>
      <c r="J392" s="3" t="s">
        <v>17</v>
      </c>
      <c r="K392" s="4">
        <v>9.8000000000000007</v>
      </c>
      <c r="M392"/>
    </row>
    <row r="393" spans="1:13" x14ac:dyDescent="0.25">
      <c r="A393" s="2">
        <v>45384</v>
      </c>
      <c r="B393" s="3" t="s">
        <v>243</v>
      </c>
      <c r="C393" s="3" t="s">
        <v>9</v>
      </c>
      <c r="D393" s="3" t="s">
        <v>19</v>
      </c>
      <c r="E393" s="5" t="s">
        <v>14</v>
      </c>
      <c r="F393" s="17">
        <v>71.95</v>
      </c>
      <c r="G393" s="3">
        <v>1</v>
      </c>
      <c r="H393" s="17">
        <f>Table1[[#This Row],[Unit price]]*Table1[[#This Row],[Quantity]]</f>
        <v>71.95</v>
      </c>
      <c r="I393" s="29">
        <f>Table1[[#This Row],[Total Revenue]]/$H$5056*100</f>
        <v>7.6335890010963345E-3</v>
      </c>
      <c r="J393" s="3" t="s">
        <v>15</v>
      </c>
      <c r="K393" s="4">
        <v>7.3</v>
      </c>
      <c r="M393"/>
    </row>
    <row r="394" spans="1:13" x14ac:dyDescent="0.25">
      <c r="A394" s="2">
        <v>45384</v>
      </c>
      <c r="B394" s="3" t="s">
        <v>243</v>
      </c>
      <c r="C394" s="3" t="s">
        <v>13</v>
      </c>
      <c r="D394" s="3" t="s">
        <v>10</v>
      </c>
      <c r="E394" s="5" t="s">
        <v>16</v>
      </c>
      <c r="F394" s="17">
        <v>43.06</v>
      </c>
      <c r="G394" s="3">
        <v>5</v>
      </c>
      <c r="H394" s="17">
        <f>Table1[[#This Row],[Unit price]]*Table1[[#This Row],[Quantity]]</f>
        <v>215.3</v>
      </c>
      <c r="I394" s="29">
        <f>Table1[[#This Row],[Total Revenue]]/$H$5056*100</f>
        <v>2.2842414342405012E-2</v>
      </c>
      <c r="J394" s="3" t="s">
        <v>17</v>
      </c>
      <c r="K394" s="4">
        <v>7.7</v>
      </c>
      <c r="M394"/>
    </row>
    <row r="395" spans="1:13" x14ac:dyDescent="0.25">
      <c r="A395" s="2">
        <v>45384</v>
      </c>
      <c r="B395" s="3" t="s">
        <v>243</v>
      </c>
      <c r="C395" s="3" t="s">
        <v>13</v>
      </c>
      <c r="D395" s="3" t="s">
        <v>19</v>
      </c>
      <c r="E395" s="5" t="s">
        <v>14</v>
      </c>
      <c r="F395" s="17">
        <v>74.58</v>
      </c>
      <c r="G395" s="3">
        <v>7</v>
      </c>
      <c r="H395" s="17">
        <f>Table1[[#This Row],[Unit price]]*Table1[[#This Row],[Quantity]]</f>
        <v>522.05999999999995</v>
      </c>
      <c r="I395" s="29">
        <f>Table1[[#This Row],[Total Revenue]]/$H$5056*100</f>
        <v>5.5388345711082025E-2</v>
      </c>
      <c r="J395" s="3" t="s">
        <v>12</v>
      </c>
      <c r="K395" s="4">
        <v>9</v>
      </c>
      <c r="M395"/>
    </row>
    <row r="396" spans="1:13" x14ac:dyDescent="0.25">
      <c r="A396" s="2">
        <v>45384</v>
      </c>
      <c r="B396" s="3" t="s">
        <v>244</v>
      </c>
      <c r="C396" s="3" t="s">
        <v>9</v>
      </c>
      <c r="D396" s="3" t="s">
        <v>10</v>
      </c>
      <c r="E396" s="5" t="s">
        <v>18</v>
      </c>
      <c r="F396" s="17">
        <v>72.040000000000006</v>
      </c>
      <c r="G396" s="3">
        <v>2</v>
      </c>
      <c r="H396" s="17">
        <f>Table1[[#This Row],[Unit price]]*Table1[[#This Row],[Quantity]]</f>
        <v>144.08000000000001</v>
      </c>
      <c r="I396" s="29">
        <f>Table1[[#This Row],[Total Revenue]]/$H$5056*100</f>
        <v>1.5286275236663793E-2</v>
      </c>
      <c r="J396" s="3" t="s">
        <v>15</v>
      </c>
      <c r="K396" s="4">
        <v>9.5</v>
      </c>
      <c r="M396"/>
    </row>
    <row r="397" spans="1:13" x14ac:dyDescent="0.25">
      <c r="A397" s="2">
        <v>45384</v>
      </c>
      <c r="B397" s="3" t="s">
        <v>243</v>
      </c>
      <c r="C397" s="3" t="s">
        <v>13</v>
      </c>
      <c r="D397" s="3" t="s">
        <v>10</v>
      </c>
      <c r="E397" s="5" t="s">
        <v>18</v>
      </c>
      <c r="F397" s="17">
        <v>48.63</v>
      </c>
      <c r="G397" s="3">
        <v>4</v>
      </c>
      <c r="H397" s="17">
        <f>Table1[[#This Row],[Unit price]]*Table1[[#This Row],[Quantity]]</f>
        <v>194.52</v>
      </c>
      <c r="I397" s="29">
        <f>Table1[[#This Row],[Total Revenue]]/$H$5056*100</f>
        <v>2.0637744718460863E-2</v>
      </c>
      <c r="J397" s="3" t="s">
        <v>17</v>
      </c>
      <c r="K397" s="4">
        <v>7.6</v>
      </c>
      <c r="M397"/>
    </row>
    <row r="398" spans="1:13" x14ac:dyDescent="0.25">
      <c r="A398" s="2">
        <v>45384</v>
      </c>
      <c r="B398" s="3" t="s">
        <v>244</v>
      </c>
      <c r="C398" s="3" t="s">
        <v>9</v>
      </c>
      <c r="D398" s="3" t="s">
        <v>10</v>
      </c>
      <c r="E398" s="5" t="s">
        <v>20</v>
      </c>
      <c r="F398" s="17">
        <v>77.680000000000007</v>
      </c>
      <c r="G398" s="3">
        <v>9</v>
      </c>
      <c r="H398" s="17">
        <f>Table1[[#This Row],[Unit price]]*Table1[[#This Row],[Quantity]]</f>
        <v>699.12000000000012</v>
      </c>
      <c r="I398" s="29">
        <f>Table1[[#This Row],[Total Revenue]]/$H$5056*100</f>
        <v>7.4173658685843927E-2</v>
      </c>
      <c r="J398" s="3" t="s">
        <v>17</v>
      </c>
      <c r="K398" s="4">
        <v>9.8000000000000007</v>
      </c>
      <c r="M398"/>
    </row>
    <row r="399" spans="1:13" x14ac:dyDescent="0.25">
      <c r="A399" s="2">
        <v>45414</v>
      </c>
      <c r="B399" s="3" t="s">
        <v>243</v>
      </c>
      <c r="C399" s="3" t="s">
        <v>9</v>
      </c>
      <c r="D399" s="3" t="s">
        <v>10</v>
      </c>
      <c r="E399" s="5" t="s">
        <v>18</v>
      </c>
      <c r="F399" s="17">
        <v>30.62</v>
      </c>
      <c r="G399" s="3">
        <v>1</v>
      </c>
      <c r="H399" s="17">
        <f>Table1[[#This Row],[Unit price]]*Table1[[#This Row],[Quantity]]</f>
        <v>30.62</v>
      </c>
      <c r="I399" s="29">
        <f>Table1[[#This Row],[Total Revenue]]/$H$5056*100</f>
        <v>3.2486517750322415E-3</v>
      </c>
      <c r="J399" s="3" t="s">
        <v>12</v>
      </c>
      <c r="K399" s="4">
        <v>4.0999999999999996</v>
      </c>
      <c r="M399"/>
    </row>
    <row r="400" spans="1:13" x14ac:dyDescent="0.25">
      <c r="A400" s="2">
        <v>45414</v>
      </c>
      <c r="B400" s="3" t="s">
        <v>244</v>
      </c>
      <c r="C400" s="3" t="s">
        <v>9</v>
      </c>
      <c r="D400" s="3" t="s">
        <v>10</v>
      </c>
      <c r="E400" s="5" t="s">
        <v>11</v>
      </c>
      <c r="F400" s="17">
        <v>42.82</v>
      </c>
      <c r="G400" s="3">
        <v>9</v>
      </c>
      <c r="H400" s="17">
        <f>Table1[[#This Row],[Unit price]]*Table1[[#This Row],[Quantity]]</f>
        <v>385.38</v>
      </c>
      <c r="I400" s="29">
        <f>Table1[[#This Row],[Total Revenue]]/$H$5056*100</f>
        <v>4.0887179002675536E-2</v>
      </c>
      <c r="J400" s="3" t="s">
        <v>12</v>
      </c>
      <c r="K400" s="4">
        <v>8.9</v>
      </c>
      <c r="M400"/>
    </row>
    <row r="401" spans="1:13" x14ac:dyDescent="0.25">
      <c r="A401" s="2">
        <v>45414</v>
      </c>
      <c r="B401" s="3" t="s">
        <v>245</v>
      </c>
      <c r="C401" s="3" t="s">
        <v>9</v>
      </c>
      <c r="D401" s="3" t="s">
        <v>10</v>
      </c>
      <c r="E401" s="5" t="s">
        <v>11</v>
      </c>
      <c r="F401" s="17">
        <v>47.27</v>
      </c>
      <c r="G401" s="3">
        <v>6</v>
      </c>
      <c r="H401" s="17">
        <f>Table1[[#This Row],[Unit price]]*Table1[[#This Row],[Quantity]]</f>
        <v>283.62</v>
      </c>
      <c r="I401" s="29">
        <f>Table1[[#This Row],[Total Revenue]]/$H$5056*100</f>
        <v>3.0090875781667022E-2</v>
      </c>
      <c r="J401" s="3" t="s">
        <v>15</v>
      </c>
      <c r="K401" s="4">
        <v>8.8000000000000007</v>
      </c>
      <c r="M401"/>
    </row>
    <row r="402" spans="1:13" x14ac:dyDescent="0.25">
      <c r="A402" s="2">
        <v>45414</v>
      </c>
      <c r="B402" s="3" t="s">
        <v>244</v>
      </c>
      <c r="C402" s="3" t="s">
        <v>9</v>
      </c>
      <c r="D402" s="3" t="s">
        <v>10</v>
      </c>
      <c r="E402" s="5" t="s">
        <v>16</v>
      </c>
      <c r="F402" s="17">
        <v>16.489999999999998</v>
      </c>
      <c r="G402" s="3">
        <v>2</v>
      </c>
      <c r="H402" s="17">
        <f>Table1[[#This Row],[Unit price]]*Table1[[#This Row],[Quantity]]</f>
        <v>32.979999999999997</v>
      </c>
      <c r="I402" s="29">
        <f>Table1[[#This Row],[Total Revenue]]/$H$5056*100</f>
        <v>3.4990377380980831E-3</v>
      </c>
      <c r="J402" s="3" t="s">
        <v>17</v>
      </c>
      <c r="K402" s="4">
        <v>4.5999999999999996</v>
      </c>
      <c r="M402"/>
    </row>
    <row r="403" spans="1:13" x14ac:dyDescent="0.25">
      <c r="A403" s="2">
        <v>45414</v>
      </c>
      <c r="B403" s="3" t="s">
        <v>243</v>
      </c>
      <c r="C403" s="3" t="s">
        <v>9</v>
      </c>
      <c r="D403" s="3" t="s">
        <v>19</v>
      </c>
      <c r="E403" s="5" t="s">
        <v>14</v>
      </c>
      <c r="F403" s="17">
        <v>20.89</v>
      </c>
      <c r="G403" s="3">
        <v>2</v>
      </c>
      <c r="H403" s="17">
        <f>Table1[[#This Row],[Unit price]]*Table1[[#This Row],[Quantity]]</f>
        <v>41.78</v>
      </c>
      <c r="I403" s="29">
        <f>Table1[[#This Row],[Total Revenue]]/$H$5056*100</f>
        <v>4.4326803122419021E-3</v>
      </c>
      <c r="J403" s="3" t="s">
        <v>15</v>
      </c>
      <c r="K403" s="4">
        <v>9.8000000000000007</v>
      </c>
      <c r="M403"/>
    </row>
    <row r="404" spans="1:13" x14ac:dyDescent="0.25">
      <c r="A404" s="2">
        <v>45414</v>
      </c>
      <c r="B404" s="3" t="s">
        <v>245</v>
      </c>
      <c r="C404" s="3" t="s">
        <v>9</v>
      </c>
      <c r="D404" s="3" t="s">
        <v>19</v>
      </c>
      <c r="E404" s="5" t="s">
        <v>18</v>
      </c>
      <c r="F404" s="17">
        <v>69.33</v>
      </c>
      <c r="G404" s="3">
        <v>2</v>
      </c>
      <c r="H404" s="17">
        <f>Table1[[#This Row],[Unit price]]*Table1[[#This Row],[Quantity]]</f>
        <v>138.66</v>
      </c>
      <c r="I404" s="29">
        <f>Table1[[#This Row],[Total Revenue]]/$H$5056*100</f>
        <v>1.4711236287588849E-2</v>
      </c>
      <c r="J404" s="3" t="s">
        <v>17</v>
      </c>
      <c r="K404" s="4">
        <v>9.6999999999999993</v>
      </c>
      <c r="M404"/>
    </row>
    <row r="405" spans="1:13" x14ac:dyDescent="0.25">
      <c r="A405" s="2">
        <v>45414</v>
      </c>
      <c r="B405" s="3" t="s">
        <v>244</v>
      </c>
      <c r="C405" s="3" t="s">
        <v>13</v>
      </c>
      <c r="D405" s="3" t="s">
        <v>10</v>
      </c>
      <c r="E405" s="5" t="s">
        <v>21</v>
      </c>
      <c r="F405" s="17">
        <v>58.24</v>
      </c>
      <c r="G405" s="3">
        <v>9</v>
      </c>
      <c r="H405" s="17">
        <f>Table1[[#This Row],[Unit price]]*Table1[[#This Row],[Quantity]]</f>
        <v>524.16</v>
      </c>
      <c r="I405" s="29">
        <f>Table1[[#This Row],[Total Revenue]]/$H$5056*100</f>
        <v>5.5611146779911802E-2</v>
      </c>
      <c r="J405" s="3" t="s">
        <v>15</v>
      </c>
      <c r="K405" s="4">
        <v>9.6999999999999993</v>
      </c>
      <c r="M405"/>
    </row>
    <row r="406" spans="1:13" x14ac:dyDescent="0.25">
      <c r="A406" s="2">
        <v>45414</v>
      </c>
      <c r="B406" s="3" t="s">
        <v>243</v>
      </c>
      <c r="C406" s="3" t="s">
        <v>9</v>
      </c>
      <c r="D406" s="3" t="s">
        <v>19</v>
      </c>
      <c r="E406" s="5" t="s">
        <v>11</v>
      </c>
      <c r="F406" s="17">
        <v>87.9</v>
      </c>
      <c r="G406" s="3">
        <v>1</v>
      </c>
      <c r="H406" s="17">
        <f>Table1[[#This Row],[Unit price]]*Table1[[#This Row],[Quantity]]</f>
        <v>87.9</v>
      </c>
      <c r="I406" s="29">
        <f>Table1[[#This Row],[Total Revenue]]/$H$5056*100</f>
        <v>9.3258161667320056E-3</v>
      </c>
      <c r="J406" s="3" t="s">
        <v>17</v>
      </c>
      <c r="K406" s="4">
        <v>6.7</v>
      </c>
      <c r="M406"/>
    </row>
    <row r="407" spans="1:13" x14ac:dyDescent="0.25">
      <c r="A407" s="2">
        <v>45414</v>
      </c>
      <c r="B407" s="3" t="s">
        <v>243</v>
      </c>
      <c r="C407" s="3" t="s">
        <v>9</v>
      </c>
      <c r="D407" s="3" t="s">
        <v>10</v>
      </c>
      <c r="E407" s="5" t="s">
        <v>16</v>
      </c>
      <c r="F407" s="17">
        <v>75.2</v>
      </c>
      <c r="G407" s="3">
        <v>3</v>
      </c>
      <c r="H407" s="17">
        <f>Table1[[#This Row],[Unit price]]*Table1[[#This Row],[Quantity]]</f>
        <v>225.60000000000002</v>
      </c>
      <c r="I407" s="29">
        <f>Table1[[#This Row],[Total Revenue]]/$H$5056*100</f>
        <v>2.3935200537141529E-2</v>
      </c>
      <c r="J407" s="3" t="s">
        <v>17</v>
      </c>
      <c r="K407" s="4">
        <v>4.8</v>
      </c>
      <c r="M407"/>
    </row>
    <row r="408" spans="1:13" x14ac:dyDescent="0.25">
      <c r="A408" s="2">
        <v>45414</v>
      </c>
      <c r="B408" s="3" t="s">
        <v>245</v>
      </c>
      <c r="C408" s="3" t="s">
        <v>9</v>
      </c>
      <c r="D408" s="3" t="s">
        <v>10</v>
      </c>
      <c r="E408" s="5" t="s">
        <v>21</v>
      </c>
      <c r="F408" s="17">
        <v>68.599999999999994</v>
      </c>
      <c r="G408" s="3">
        <v>10</v>
      </c>
      <c r="H408" s="17">
        <f>Table1[[#This Row],[Unit price]]*Table1[[#This Row],[Quantity]]</f>
        <v>686</v>
      </c>
      <c r="I408" s="29">
        <f>Table1[[#This Row],[Total Revenue]]/$H$5056*100</f>
        <v>7.2781682484393123E-2</v>
      </c>
      <c r="J408" s="3" t="s">
        <v>15</v>
      </c>
      <c r="K408" s="4">
        <v>9.1</v>
      </c>
      <c r="M408"/>
    </row>
    <row r="409" spans="1:13" x14ac:dyDescent="0.25">
      <c r="A409" s="2">
        <v>45414</v>
      </c>
      <c r="B409" s="3" t="s">
        <v>245</v>
      </c>
      <c r="C409" s="3" t="s">
        <v>9</v>
      </c>
      <c r="D409" s="3" t="s">
        <v>10</v>
      </c>
      <c r="E409" s="5" t="s">
        <v>21</v>
      </c>
      <c r="F409" s="17">
        <v>98.21</v>
      </c>
      <c r="G409" s="3">
        <v>3</v>
      </c>
      <c r="H409" s="17">
        <f>Table1[[#This Row],[Unit price]]*Table1[[#This Row],[Quantity]]</f>
        <v>294.63</v>
      </c>
      <c r="I409" s="29">
        <f>Table1[[#This Row],[Total Revenue]]/$H$5056*100</f>
        <v>3.1258989956817411E-2</v>
      </c>
      <c r="J409" s="3" t="s">
        <v>12</v>
      </c>
      <c r="K409" s="4">
        <v>7.8</v>
      </c>
      <c r="M409"/>
    </row>
    <row r="410" spans="1:13" x14ac:dyDescent="0.25">
      <c r="A410" s="2">
        <v>45414</v>
      </c>
      <c r="B410" s="3" t="s">
        <v>243</v>
      </c>
      <c r="C410" s="3" t="s">
        <v>9</v>
      </c>
      <c r="D410" s="3" t="s">
        <v>19</v>
      </c>
      <c r="E410" s="5" t="s">
        <v>20</v>
      </c>
      <c r="F410" s="17">
        <v>25.91</v>
      </c>
      <c r="G410" s="3">
        <v>6</v>
      </c>
      <c r="H410" s="17">
        <f>Table1[[#This Row],[Unit price]]*Table1[[#This Row],[Quantity]]</f>
        <v>155.46</v>
      </c>
      <c r="I410" s="29">
        <f>Table1[[#This Row],[Total Revenue]]/$H$5056*100</f>
        <v>1.6493644838227049E-2</v>
      </c>
      <c r="J410" s="3" t="s">
        <v>17</v>
      </c>
      <c r="K410" s="4">
        <v>8.6999999999999993</v>
      </c>
      <c r="M410"/>
    </row>
    <row r="411" spans="1:13" x14ac:dyDescent="0.25">
      <c r="A411" s="2">
        <v>45445</v>
      </c>
      <c r="B411" s="3" t="s">
        <v>245</v>
      </c>
      <c r="C411" s="3" t="s">
        <v>13</v>
      </c>
      <c r="D411" s="3" t="s">
        <v>19</v>
      </c>
      <c r="E411" s="5" t="s">
        <v>21</v>
      </c>
      <c r="F411" s="17">
        <v>89.75</v>
      </c>
      <c r="G411" s="3">
        <v>1</v>
      </c>
      <c r="H411" s="17">
        <f>Table1[[#This Row],[Unit price]]*Table1[[#This Row],[Quantity]]</f>
        <v>89.75</v>
      </c>
      <c r="I411" s="29">
        <f>Table1[[#This Row],[Total Revenue]]/$H$5056*100</f>
        <v>9.5220932987963303E-3</v>
      </c>
      <c r="J411" s="3" t="s">
        <v>12</v>
      </c>
      <c r="K411" s="4">
        <v>6.6</v>
      </c>
      <c r="M411"/>
    </row>
    <row r="412" spans="1:13" x14ac:dyDescent="0.25">
      <c r="A412" s="2">
        <v>45445</v>
      </c>
      <c r="B412" s="3" t="s">
        <v>245</v>
      </c>
      <c r="C412" s="3" t="s">
        <v>9</v>
      </c>
      <c r="D412" s="3" t="s">
        <v>19</v>
      </c>
      <c r="E412" s="5" t="s">
        <v>18</v>
      </c>
      <c r="F412" s="17">
        <v>96.98</v>
      </c>
      <c r="G412" s="3">
        <v>4</v>
      </c>
      <c r="H412" s="17">
        <f>Table1[[#This Row],[Unit price]]*Table1[[#This Row],[Quantity]]</f>
        <v>387.92</v>
      </c>
      <c r="I412" s="29">
        <f>Table1[[#This Row],[Total Revenue]]/$H$5056*100</f>
        <v>4.115666220021251E-2</v>
      </c>
      <c r="J412" s="3" t="s">
        <v>17</v>
      </c>
      <c r="K412" s="4">
        <v>9.4</v>
      </c>
      <c r="M412"/>
    </row>
    <row r="413" spans="1:13" x14ac:dyDescent="0.25">
      <c r="A413" s="2">
        <v>45445</v>
      </c>
      <c r="B413" s="3" t="s">
        <v>244</v>
      </c>
      <c r="C413" s="3" t="s">
        <v>13</v>
      </c>
      <c r="D413" s="3" t="s">
        <v>19</v>
      </c>
      <c r="E413" s="5" t="s">
        <v>14</v>
      </c>
      <c r="F413" s="17">
        <v>22.95</v>
      </c>
      <c r="G413" s="3">
        <v>10</v>
      </c>
      <c r="H413" s="17">
        <f>Table1[[#This Row],[Unit price]]*Table1[[#This Row],[Quantity]]</f>
        <v>229.5</v>
      </c>
      <c r="I413" s="29">
        <f>Table1[[#This Row],[Total Revenue]]/$H$5056*100</f>
        <v>2.4348973950682539E-2</v>
      </c>
      <c r="J413" s="3" t="s">
        <v>17</v>
      </c>
      <c r="K413" s="4">
        <v>8.1999999999999993</v>
      </c>
      <c r="M413"/>
    </row>
    <row r="414" spans="1:13" x14ac:dyDescent="0.25">
      <c r="A414" s="2">
        <v>45445</v>
      </c>
      <c r="B414" s="3" t="s">
        <v>244</v>
      </c>
      <c r="C414" s="3" t="s">
        <v>9</v>
      </c>
      <c r="D414" s="3" t="s">
        <v>10</v>
      </c>
      <c r="E414" s="5" t="s">
        <v>11</v>
      </c>
      <c r="F414" s="17">
        <v>20.010000000000002</v>
      </c>
      <c r="G414" s="3">
        <v>9</v>
      </c>
      <c r="H414" s="17">
        <f>Table1[[#This Row],[Unit price]]*Table1[[#This Row],[Quantity]]</f>
        <v>180.09</v>
      </c>
      <c r="I414" s="29">
        <f>Table1[[#This Row],[Total Revenue]]/$H$5056*100</f>
        <v>1.9106783088359121E-2</v>
      </c>
      <c r="J414" s="3" t="s">
        <v>17</v>
      </c>
      <c r="K414" s="4">
        <v>4.0999999999999996</v>
      </c>
      <c r="M414"/>
    </row>
    <row r="415" spans="1:13" x14ac:dyDescent="0.25">
      <c r="A415" s="2">
        <v>45445</v>
      </c>
      <c r="B415" s="3" t="s">
        <v>245</v>
      </c>
      <c r="C415" s="3" t="s">
        <v>9</v>
      </c>
      <c r="D415" s="3" t="s">
        <v>19</v>
      </c>
      <c r="E415" s="5" t="s">
        <v>20</v>
      </c>
      <c r="F415" s="17">
        <v>35.81</v>
      </c>
      <c r="G415" s="3">
        <v>5</v>
      </c>
      <c r="H415" s="17">
        <f>Table1[[#This Row],[Unit price]]*Table1[[#This Row],[Quantity]]</f>
        <v>179.05</v>
      </c>
      <c r="I415" s="29">
        <f>Table1[[#This Row],[Total Revenue]]/$H$5056*100</f>
        <v>1.8996443511414853E-2</v>
      </c>
      <c r="J415" s="3" t="s">
        <v>17</v>
      </c>
      <c r="K415" s="4">
        <v>7.9</v>
      </c>
      <c r="M415"/>
    </row>
    <row r="416" spans="1:13" x14ac:dyDescent="0.25">
      <c r="A416" s="2">
        <v>45445</v>
      </c>
      <c r="B416" s="3" t="s">
        <v>245</v>
      </c>
      <c r="C416" s="3" t="s">
        <v>9</v>
      </c>
      <c r="D416" s="3" t="s">
        <v>10</v>
      </c>
      <c r="E416" s="5" t="s">
        <v>11</v>
      </c>
      <c r="F416" s="17">
        <v>99.42</v>
      </c>
      <c r="G416" s="3">
        <v>4</v>
      </c>
      <c r="H416" s="17">
        <f>Table1[[#This Row],[Unit price]]*Table1[[#This Row],[Quantity]]</f>
        <v>397.68</v>
      </c>
      <c r="I416" s="29">
        <f>Table1[[#This Row],[Total Revenue]]/$H$5056*100</f>
        <v>4.219215669153565E-2</v>
      </c>
      <c r="J416" s="3" t="s">
        <v>17</v>
      </c>
      <c r="K416" s="4">
        <v>7.5</v>
      </c>
      <c r="M416"/>
    </row>
    <row r="417" spans="1:13" x14ac:dyDescent="0.25">
      <c r="A417" s="2">
        <v>45445</v>
      </c>
      <c r="B417" s="3" t="s">
        <v>244</v>
      </c>
      <c r="C417" s="3" t="s">
        <v>9</v>
      </c>
      <c r="D417" s="3" t="s">
        <v>19</v>
      </c>
      <c r="E417" s="5" t="s">
        <v>21</v>
      </c>
      <c r="F417" s="17">
        <v>25.9</v>
      </c>
      <c r="G417" s="3">
        <v>10</v>
      </c>
      <c r="H417" s="17">
        <f>Table1[[#This Row],[Unit price]]*Table1[[#This Row],[Quantity]]</f>
        <v>259</v>
      </c>
      <c r="I417" s="29">
        <f>Table1[[#This Row],[Total Revenue]]/$H$5056*100</f>
        <v>2.7478798489005564E-2</v>
      </c>
      <c r="J417" s="3" t="s">
        <v>17</v>
      </c>
      <c r="K417" s="4">
        <v>8.6999999999999993</v>
      </c>
      <c r="M417"/>
    </row>
    <row r="418" spans="1:13" x14ac:dyDescent="0.25">
      <c r="A418" s="2">
        <v>45445</v>
      </c>
      <c r="B418" s="3" t="s">
        <v>243</v>
      </c>
      <c r="C418" s="3" t="s">
        <v>9</v>
      </c>
      <c r="D418" s="3" t="s">
        <v>10</v>
      </c>
      <c r="E418" s="5" t="s">
        <v>20</v>
      </c>
      <c r="F418" s="17">
        <v>37.44</v>
      </c>
      <c r="G418" s="3">
        <v>6</v>
      </c>
      <c r="H418" s="17">
        <f>Table1[[#This Row],[Unit price]]*Table1[[#This Row],[Quantity]]</f>
        <v>224.64</v>
      </c>
      <c r="I418" s="29">
        <f>Table1[[#This Row],[Total Revenue]]/$H$5056*100</f>
        <v>2.38333486199622E-2</v>
      </c>
      <c r="J418" s="3" t="s">
        <v>12</v>
      </c>
      <c r="K418" s="4">
        <v>5.9</v>
      </c>
      <c r="M418"/>
    </row>
    <row r="419" spans="1:13" x14ac:dyDescent="0.25">
      <c r="A419" s="2">
        <v>45445</v>
      </c>
      <c r="B419" s="3" t="s">
        <v>244</v>
      </c>
      <c r="C419" s="3" t="s">
        <v>9</v>
      </c>
      <c r="D419" s="3" t="s">
        <v>10</v>
      </c>
      <c r="E419" s="5" t="s">
        <v>18</v>
      </c>
      <c r="F419" s="17">
        <v>14.48</v>
      </c>
      <c r="G419" s="3">
        <v>4</v>
      </c>
      <c r="H419" s="17">
        <f>Table1[[#This Row],[Unit price]]*Table1[[#This Row],[Quantity]]</f>
        <v>57.92</v>
      </c>
      <c r="I419" s="29">
        <f>Table1[[#This Row],[Total Revenue]]/$H$5056*100</f>
        <v>6.1450656698193145E-3</v>
      </c>
      <c r="J419" s="3" t="s">
        <v>17</v>
      </c>
      <c r="K419" s="4">
        <v>4.5</v>
      </c>
      <c r="M419"/>
    </row>
    <row r="420" spans="1:13" x14ac:dyDescent="0.25">
      <c r="A420" s="2">
        <v>45445</v>
      </c>
      <c r="B420" s="3" t="s">
        <v>245</v>
      </c>
      <c r="C420" s="3" t="s">
        <v>9</v>
      </c>
      <c r="D420" s="3" t="s">
        <v>10</v>
      </c>
      <c r="E420" s="5" t="s">
        <v>21</v>
      </c>
      <c r="F420" s="17">
        <v>28.5</v>
      </c>
      <c r="G420" s="3">
        <v>8</v>
      </c>
      <c r="H420" s="17">
        <f>Table1[[#This Row],[Unit price]]*Table1[[#This Row],[Quantity]]</f>
        <v>228</v>
      </c>
      <c r="I420" s="29">
        <f>Table1[[#This Row],[Total Revenue]]/$H$5056*100</f>
        <v>2.418983033008984E-2</v>
      </c>
      <c r="J420" s="3" t="s">
        <v>15</v>
      </c>
      <c r="K420" s="4">
        <v>6.6</v>
      </c>
      <c r="M420"/>
    </row>
    <row r="421" spans="1:13" x14ac:dyDescent="0.25">
      <c r="A421" s="2">
        <v>45445</v>
      </c>
      <c r="B421" s="3" t="s">
        <v>245</v>
      </c>
      <c r="C421" s="3" t="s">
        <v>13</v>
      </c>
      <c r="D421" s="3" t="s">
        <v>10</v>
      </c>
      <c r="E421" s="5" t="s">
        <v>11</v>
      </c>
      <c r="F421" s="17">
        <v>52.42</v>
      </c>
      <c r="G421" s="3">
        <v>1</v>
      </c>
      <c r="H421" s="17">
        <f>Table1[[#This Row],[Unit price]]*Table1[[#This Row],[Quantity]]</f>
        <v>52.42</v>
      </c>
      <c r="I421" s="29">
        <f>Table1[[#This Row],[Total Revenue]]/$H$5056*100</f>
        <v>5.561539060979428E-3</v>
      </c>
      <c r="J421" s="3" t="s">
        <v>12</v>
      </c>
      <c r="K421" s="4">
        <v>6.3</v>
      </c>
      <c r="M421"/>
    </row>
    <row r="422" spans="1:13" x14ac:dyDescent="0.25">
      <c r="A422" s="2">
        <v>45445</v>
      </c>
      <c r="B422" s="3" t="s">
        <v>244</v>
      </c>
      <c r="C422" s="3" t="s">
        <v>9</v>
      </c>
      <c r="D422" s="3" t="s">
        <v>19</v>
      </c>
      <c r="E422" s="5" t="s">
        <v>14</v>
      </c>
      <c r="F422" s="17">
        <v>50.45</v>
      </c>
      <c r="G422" s="3">
        <v>6</v>
      </c>
      <c r="H422" s="17">
        <f>Table1[[#This Row],[Unit price]]*Table1[[#This Row],[Quantity]]</f>
        <v>302.70000000000005</v>
      </c>
      <c r="I422" s="29">
        <f>Table1[[#This Row],[Total Revenue]]/$H$5056*100</f>
        <v>3.2115182635606129E-2</v>
      </c>
      <c r="J422" s="3" t="s">
        <v>12</v>
      </c>
      <c r="K422" s="4">
        <v>8.9</v>
      </c>
      <c r="M422"/>
    </row>
    <row r="423" spans="1:13" x14ac:dyDescent="0.25">
      <c r="A423" s="2">
        <v>45445</v>
      </c>
      <c r="B423" s="3" t="s">
        <v>243</v>
      </c>
      <c r="C423" s="3" t="s">
        <v>13</v>
      </c>
      <c r="D423" s="3" t="s">
        <v>10</v>
      </c>
      <c r="E423" s="5" t="s">
        <v>21</v>
      </c>
      <c r="F423" s="17">
        <v>35.68</v>
      </c>
      <c r="G423" s="3">
        <v>5</v>
      </c>
      <c r="H423" s="17">
        <f>Table1[[#This Row],[Unit price]]*Table1[[#This Row],[Quantity]]</f>
        <v>178.4</v>
      </c>
      <c r="I423" s="29">
        <f>Table1[[#This Row],[Total Revenue]]/$H$5056*100</f>
        <v>1.8927481275824685E-2</v>
      </c>
      <c r="J423" s="3" t="s">
        <v>12</v>
      </c>
      <c r="K423" s="4">
        <v>6.6</v>
      </c>
      <c r="M423"/>
    </row>
    <row r="424" spans="1:13" x14ac:dyDescent="0.25">
      <c r="A424" s="2">
        <v>45475</v>
      </c>
      <c r="B424" s="3" t="s">
        <v>243</v>
      </c>
      <c r="C424" s="3" t="s">
        <v>13</v>
      </c>
      <c r="D424" s="3" t="s">
        <v>10</v>
      </c>
      <c r="E424" s="5" t="s">
        <v>14</v>
      </c>
      <c r="F424" s="17">
        <v>28.96</v>
      </c>
      <c r="G424" s="3">
        <v>1</v>
      </c>
      <c r="H424" s="17">
        <f>Table1[[#This Row],[Unit price]]*Table1[[#This Row],[Quantity]]</f>
        <v>28.96</v>
      </c>
      <c r="I424" s="29">
        <f>Table1[[#This Row],[Total Revenue]]/$H$5056*100</f>
        <v>3.0725328349096572E-3</v>
      </c>
      <c r="J424" s="3" t="s">
        <v>12</v>
      </c>
      <c r="K424" s="4">
        <v>6.2</v>
      </c>
      <c r="M424"/>
    </row>
    <row r="425" spans="1:13" x14ac:dyDescent="0.25">
      <c r="A425" s="2">
        <v>45475</v>
      </c>
      <c r="B425" s="3" t="s">
        <v>245</v>
      </c>
      <c r="C425" s="3" t="s">
        <v>13</v>
      </c>
      <c r="D425" s="3" t="s">
        <v>10</v>
      </c>
      <c r="E425" s="5" t="s">
        <v>18</v>
      </c>
      <c r="F425" s="17">
        <v>60.41</v>
      </c>
      <c r="G425" s="3">
        <v>8</v>
      </c>
      <c r="H425" s="17">
        <f>Table1[[#This Row],[Unit price]]*Table1[[#This Row],[Quantity]]</f>
        <v>483.28</v>
      </c>
      <c r="I425" s="29">
        <f>Table1[[#This Row],[Total Revenue]]/$H$5056*100</f>
        <v>5.1273952640025523E-2</v>
      </c>
      <c r="J425" s="3" t="s">
        <v>17</v>
      </c>
      <c r="K425" s="4">
        <v>9.6</v>
      </c>
      <c r="M425"/>
    </row>
    <row r="426" spans="1:13" x14ac:dyDescent="0.25">
      <c r="A426" s="2">
        <v>45475</v>
      </c>
      <c r="B426" s="3" t="s">
        <v>243</v>
      </c>
      <c r="C426" s="3" t="s">
        <v>13</v>
      </c>
      <c r="D426" s="3" t="s">
        <v>19</v>
      </c>
      <c r="E426" s="5" t="s">
        <v>21</v>
      </c>
      <c r="F426" s="17">
        <v>89.6</v>
      </c>
      <c r="G426" s="3">
        <v>8</v>
      </c>
      <c r="H426" s="17">
        <f>Table1[[#This Row],[Unit price]]*Table1[[#This Row],[Quantity]]</f>
        <v>716.8</v>
      </c>
      <c r="I426" s="29">
        <f>Table1[[#This Row],[Total Revenue]]/$H$5056*100</f>
        <v>7.604943149389648E-2</v>
      </c>
      <c r="J426" s="3" t="s">
        <v>17</v>
      </c>
      <c r="K426" s="4">
        <v>6.6</v>
      </c>
      <c r="M426"/>
    </row>
    <row r="427" spans="1:13" x14ac:dyDescent="0.25">
      <c r="A427" s="2">
        <v>45475</v>
      </c>
      <c r="B427" s="3" t="s">
        <v>245</v>
      </c>
      <c r="C427" s="3" t="s">
        <v>13</v>
      </c>
      <c r="D427" s="3" t="s">
        <v>10</v>
      </c>
      <c r="E427" s="5" t="s">
        <v>14</v>
      </c>
      <c r="F427" s="17">
        <v>40.86</v>
      </c>
      <c r="G427" s="3">
        <v>8</v>
      </c>
      <c r="H427" s="17">
        <f>Table1[[#This Row],[Unit price]]*Table1[[#This Row],[Quantity]]</f>
        <v>326.88</v>
      </c>
      <c r="I427" s="29">
        <f>Table1[[#This Row],[Total Revenue]]/$H$5056*100</f>
        <v>3.4680577799560387E-2</v>
      </c>
      <c r="J427" s="3" t="s">
        <v>12</v>
      </c>
      <c r="K427" s="4">
        <v>6.5</v>
      </c>
      <c r="M427"/>
    </row>
    <row r="428" spans="1:13" x14ac:dyDescent="0.25">
      <c r="A428" s="2">
        <v>45475</v>
      </c>
      <c r="B428" s="3" t="s">
        <v>243</v>
      </c>
      <c r="C428" s="3" t="s">
        <v>9</v>
      </c>
      <c r="D428" s="3" t="s">
        <v>10</v>
      </c>
      <c r="E428" s="5" t="s">
        <v>16</v>
      </c>
      <c r="F428" s="17">
        <v>45.58</v>
      </c>
      <c r="G428" s="3">
        <v>1</v>
      </c>
      <c r="H428" s="17">
        <f>Table1[[#This Row],[Unit price]]*Table1[[#This Row],[Quantity]]</f>
        <v>45.58</v>
      </c>
      <c r="I428" s="29">
        <f>Table1[[#This Row],[Total Revenue]]/$H$5056*100</f>
        <v>4.8358441510767325E-3</v>
      </c>
      <c r="J428" s="3" t="s">
        <v>15</v>
      </c>
      <c r="K428" s="4">
        <v>9.8000000000000007</v>
      </c>
      <c r="M428"/>
    </row>
    <row r="429" spans="1:13" x14ac:dyDescent="0.25">
      <c r="A429" s="2">
        <v>45475</v>
      </c>
      <c r="B429" s="3" t="s">
        <v>245</v>
      </c>
      <c r="C429" s="3" t="s">
        <v>9</v>
      </c>
      <c r="D429" s="3" t="s">
        <v>19</v>
      </c>
      <c r="E429" s="5" t="s">
        <v>16</v>
      </c>
      <c r="F429" s="17">
        <v>10.17</v>
      </c>
      <c r="G429" s="3">
        <v>1</v>
      </c>
      <c r="H429" s="17">
        <f>Table1[[#This Row],[Unit price]]*Table1[[#This Row],[Quantity]]</f>
        <v>10.17</v>
      </c>
      <c r="I429" s="29">
        <f>Table1[[#This Row],[Total Revenue]]/$H$5056*100</f>
        <v>1.0789937476184811E-3</v>
      </c>
      <c r="J429" s="3" t="s">
        <v>15</v>
      </c>
      <c r="K429" s="4">
        <v>5.9</v>
      </c>
      <c r="M429"/>
    </row>
    <row r="430" spans="1:13" x14ac:dyDescent="0.25">
      <c r="A430" s="2">
        <v>45475</v>
      </c>
      <c r="B430" s="3" t="s">
        <v>245</v>
      </c>
      <c r="C430" s="3" t="s">
        <v>9</v>
      </c>
      <c r="D430" s="3" t="s">
        <v>10</v>
      </c>
      <c r="E430" s="5" t="s">
        <v>18</v>
      </c>
      <c r="F430" s="17">
        <v>43.46</v>
      </c>
      <c r="G430" s="3">
        <v>6</v>
      </c>
      <c r="H430" s="17">
        <f>Table1[[#This Row],[Unit price]]*Table1[[#This Row],[Quantity]]</f>
        <v>260.76</v>
      </c>
      <c r="I430" s="29">
        <f>Table1[[#This Row],[Total Revenue]]/$H$5056*100</f>
        <v>2.7665527003834331E-2</v>
      </c>
      <c r="J430" s="3" t="s">
        <v>17</v>
      </c>
      <c r="K430" s="4">
        <v>8.5</v>
      </c>
      <c r="M430"/>
    </row>
    <row r="431" spans="1:13" x14ac:dyDescent="0.25">
      <c r="A431" s="2">
        <v>45475</v>
      </c>
      <c r="B431" s="3" t="s">
        <v>245</v>
      </c>
      <c r="C431" s="3" t="s">
        <v>9</v>
      </c>
      <c r="D431" s="3" t="s">
        <v>19</v>
      </c>
      <c r="E431" s="5" t="s">
        <v>14</v>
      </c>
      <c r="F431" s="17">
        <v>65.94</v>
      </c>
      <c r="G431" s="3">
        <v>4</v>
      </c>
      <c r="H431" s="17">
        <f>Table1[[#This Row],[Unit price]]*Table1[[#This Row],[Quantity]]</f>
        <v>263.76</v>
      </c>
      <c r="I431" s="29">
        <f>Table1[[#This Row],[Total Revenue]]/$H$5056*100</f>
        <v>2.7983814245019722E-2</v>
      </c>
      <c r="J431" s="3" t="s">
        <v>12</v>
      </c>
      <c r="K431" s="4">
        <v>6.9</v>
      </c>
      <c r="M431"/>
    </row>
    <row r="432" spans="1:13" x14ac:dyDescent="0.25">
      <c r="A432" s="2">
        <v>45475</v>
      </c>
      <c r="B432" s="3" t="s">
        <v>244</v>
      </c>
      <c r="C432" s="3" t="s">
        <v>13</v>
      </c>
      <c r="D432" s="3" t="s">
        <v>19</v>
      </c>
      <c r="E432" s="5" t="s">
        <v>14</v>
      </c>
      <c r="F432" s="17">
        <v>79.39</v>
      </c>
      <c r="G432" s="3">
        <v>10</v>
      </c>
      <c r="H432" s="17">
        <f>Table1[[#This Row],[Unit price]]*Table1[[#This Row],[Quantity]]</f>
        <v>793.9</v>
      </c>
      <c r="I432" s="29">
        <f>Table1[[#This Row],[Total Revenue]]/$H$5056*100</f>
        <v>8.422941359236108E-2</v>
      </c>
      <c r="J432" s="3" t="s">
        <v>15</v>
      </c>
      <c r="K432" s="4">
        <v>6.2</v>
      </c>
      <c r="M432"/>
    </row>
    <row r="433" spans="1:13" x14ac:dyDescent="0.25">
      <c r="A433" s="2">
        <v>45475</v>
      </c>
      <c r="B433" s="3" t="s">
        <v>245</v>
      </c>
      <c r="C433" s="3" t="s">
        <v>13</v>
      </c>
      <c r="D433" s="3" t="s">
        <v>10</v>
      </c>
      <c r="E433" s="5" t="s">
        <v>11</v>
      </c>
      <c r="F433" s="17">
        <v>16.48</v>
      </c>
      <c r="G433" s="3">
        <v>6</v>
      </c>
      <c r="H433" s="17">
        <f>Table1[[#This Row],[Unit price]]*Table1[[#This Row],[Quantity]]</f>
        <v>98.88</v>
      </c>
      <c r="I433" s="29">
        <f>Table1[[#This Row],[Total Revenue]]/$H$5056*100</f>
        <v>1.0490747469470542E-2</v>
      </c>
      <c r="J433" s="3" t="s">
        <v>17</v>
      </c>
      <c r="K433" s="4">
        <v>9.9</v>
      </c>
      <c r="M433"/>
    </row>
    <row r="434" spans="1:13" x14ac:dyDescent="0.25">
      <c r="A434" s="2">
        <v>45475</v>
      </c>
      <c r="B434" s="3" t="s">
        <v>245</v>
      </c>
      <c r="C434" s="3" t="s">
        <v>13</v>
      </c>
      <c r="D434" s="3" t="s">
        <v>19</v>
      </c>
      <c r="E434" s="5" t="s">
        <v>21</v>
      </c>
      <c r="F434" s="17">
        <v>58.95</v>
      </c>
      <c r="G434" s="3">
        <v>10</v>
      </c>
      <c r="H434" s="17">
        <f>Table1[[#This Row],[Unit price]]*Table1[[#This Row],[Quantity]]</f>
        <v>589.5</v>
      </c>
      <c r="I434" s="29">
        <f>Table1[[#This Row],[Total Revenue]]/$H$5056*100</f>
        <v>6.2543442892929665E-2</v>
      </c>
      <c r="J434" s="3" t="s">
        <v>17</v>
      </c>
      <c r="K434" s="4">
        <v>8.1</v>
      </c>
      <c r="M434"/>
    </row>
    <row r="435" spans="1:13" x14ac:dyDescent="0.25">
      <c r="A435" s="2">
        <v>45475</v>
      </c>
      <c r="B435" s="3" t="s">
        <v>244</v>
      </c>
      <c r="C435" s="3" t="s">
        <v>13</v>
      </c>
      <c r="D435" s="3" t="s">
        <v>10</v>
      </c>
      <c r="E435" s="5" t="s">
        <v>18</v>
      </c>
      <c r="F435" s="17">
        <v>63.71</v>
      </c>
      <c r="G435" s="3">
        <v>5</v>
      </c>
      <c r="H435" s="17">
        <f>Table1[[#This Row],[Unit price]]*Table1[[#This Row],[Quantity]]</f>
        <v>318.55</v>
      </c>
      <c r="I435" s="29">
        <f>Table1[[#This Row],[Total Revenue]]/$H$5056*100</f>
        <v>3.3796800226535612E-2</v>
      </c>
      <c r="J435" s="3" t="s">
        <v>17</v>
      </c>
      <c r="K435" s="4">
        <v>8.5</v>
      </c>
      <c r="M435"/>
    </row>
    <row r="436" spans="1:13" x14ac:dyDescent="0.25">
      <c r="A436" s="2">
        <v>45475</v>
      </c>
      <c r="B436" s="3" t="s">
        <v>244</v>
      </c>
      <c r="C436" s="3" t="s">
        <v>13</v>
      </c>
      <c r="D436" s="3" t="s">
        <v>10</v>
      </c>
      <c r="E436" s="5" t="s">
        <v>14</v>
      </c>
      <c r="F436" s="17">
        <v>57.91</v>
      </c>
      <c r="G436" s="3">
        <v>8</v>
      </c>
      <c r="H436" s="17">
        <f>Table1[[#This Row],[Unit price]]*Table1[[#This Row],[Quantity]]</f>
        <v>463.28</v>
      </c>
      <c r="I436" s="29">
        <f>Table1[[#This Row],[Total Revenue]]/$H$5056*100</f>
        <v>4.915203769878957E-2</v>
      </c>
      <c r="J436" s="3" t="s">
        <v>15</v>
      </c>
      <c r="K436" s="4">
        <v>8.1</v>
      </c>
      <c r="M436"/>
    </row>
    <row r="437" spans="1:13" x14ac:dyDescent="0.25">
      <c r="A437" s="2">
        <v>45475</v>
      </c>
      <c r="B437" s="3" t="s">
        <v>243</v>
      </c>
      <c r="C437" s="3" t="s">
        <v>13</v>
      </c>
      <c r="D437" s="3" t="s">
        <v>10</v>
      </c>
      <c r="E437" s="5" t="s">
        <v>20</v>
      </c>
      <c r="F437" s="17">
        <v>93.12</v>
      </c>
      <c r="G437" s="3">
        <v>8</v>
      </c>
      <c r="H437" s="17">
        <f>Table1[[#This Row],[Unit price]]*Table1[[#This Row],[Quantity]]</f>
        <v>744.96</v>
      </c>
      <c r="I437" s="29">
        <f>Table1[[#This Row],[Total Revenue]]/$H$5056*100</f>
        <v>7.903708773115671E-2</v>
      </c>
      <c r="J437" s="3" t="s">
        <v>15</v>
      </c>
      <c r="K437" s="4">
        <v>6.8</v>
      </c>
      <c r="M437"/>
    </row>
    <row r="438" spans="1:13" x14ac:dyDescent="0.25">
      <c r="A438" s="2">
        <v>45475</v>
      </c>
      <c r="B438" s="3" t="s">
        <v>245</v>
      </c>
      <c r="C438" s="3" t="s">
        <v>13</v>
      </c>
      <c r="D438" s="3" t="s">
        <v>19</v>
      </c>
      <c r="E438" s="5" t="s">
        <v>18</v>
      </c>
      <c r="F438" s="17">
        <v>86.13</v>
      </c>
      <c r="G438" s="3">
        <v>2</v>
      </c>
      <c r="H438" s="17">
        <f>Table1[[#This Row],[Unit price]]*Table1[[#This Row],[Quantity]]</f>
        <v>172.26</v>
      </c>
      <c r="I438" s="29">
        <f>Table1[[#This Row],[Total Revenue]]/$H$5056*100</f>
        <v>1.8276053388865246E-2</v>
      </c>
      <c r="J438" s="3" t="s">
        <v>15</v>
      </c>
      <c r="K438" s="4">
        <v>8.1999999999999993</v>
      </c>
      <c r="M438"/>
    </row>
    <row r="439" spans="1:13" x14ac:dyDescent="0.25">
      <c r="A439" s="2">
        <v>45475</v>
      </c>
      <c r="B439" s="3" t="s">
        <v>243</v>
      </c>
      <c r="C439" s="3" t="s">
        <v>13</v>
      </c>
      <c r="D439" s="3" t="s">
        <v>19</v>
      </c>
      <c r="E439" s="5" t="s">
        <v>11</v>
      </c>
      <c r="F439" s="17">
        <v>43.19</v>
      </c>
      <c r="G439" s="3">
        <v>10</v>
      </c>
      <c r="H439" s="17">
        <f>Table1[[#This Row],[Unit price]]*Table1[[#This Row],[Quantity]]</f>
        <v>431.9</v>
      </c>
      <c r="I439" s="29">
        <f>Table1[[#This Row],[Total Revenue]]/$H$5056*100</f>
        <v>4.582275315599036E-2</v>
      </c>
      <c r="J439" s="3" t="s">
        <v>17</v>
      </c>
      <c r="K439" s="4">
        <v>8.1999999999999993</v>
      </c>
      <c r="M439"/>
    </row>
    <row r="440" spans="1:13" x14ac:dyDescent="0.25">
      <c r="A440" s="2">
        <v>45475</v>
      </c>
      <c r="B440" s="3" t="s">
        <v>244</v>
      </c>
      <c r="C440" s="3" t="s">
        <v>13</v>
      </c>
      <c r="D440" s="3" t="s">
        <v>19</v>
      </c>
      <c r="E440" s="5" t="s">
        <v>20</v>
      </c>
      <c r="F440" s="17">
        <v>22.02</v>
      </c>
      <c r="G440" s="3">
        <v>9</v>
      </c>
      <c r="H440" s="17">
        <f>Table1[[#This Row],[Unit price]]*Table1[[#This Row],[Quantity]]</f>
        <v>198.18</v>
      </c>
      <c r="I440" s="29">
        <f>Table1[[#This Row],[Total Revenue]]/$H$5056*100</f>
        <v>2.102605515270704E-2</v>
      </c>
      <c r="J440" s="3" t="s">
        <v>15</v>
      </c>
      <c r="K440" s="4">
        <v>6.8</v>
      </c>
      <c r="M440"/>
    </row>
    <row r="441" spans="1:13" x14ac:dyDescent="0.25">
      <c r="A441" s="2">
        <v>45475</v>
      </c>
      <c r="B441" s="3" t="s">
        <v>245</v>
      </c>
      <c r="C441" s="3" t="s">
        <v>13</v>
      </c>
      <c r="D441" s="3" t="s">
        <v>19</v>
      </c>
      <c r="E441" s="5" t="s">
        <v>20</v>
      </c>
      <c r="F441" s="17">
        <v>16.670000000000002</v>
      </c>
      <c r="G441" s="3">
        <v>7</v>
      </c>
      <c r="H441" s="17">
        <f>Table1[[#This Row],[Unit price]]*Table1[[#This Row],[Quantity]]</f>
        <v>116.69000000000001</v>
      </c>
      <c r="I441" s="29">
        <f>Table1[[#This Row],[Total Revenue]]/$H$5056*100</f>
        <v>1.2380312724641159E-2</v>
      </c>
      <c r="J441" s="3" t="s">
        <v>17</v>
      </c>
      <c r="K441" s="4">
        <v>7.4</v>
      </c>
      <c r="M441"/>
    </row>
    <row r="442" spans="1:13" x14ac:dyDescent="0.25">
      <c r="A442" s="2">
        <v>45475</v>
      </c>
      <c r="B442" s="3" t="s">
        <v>244</v>
      </c>
      <c r="C442" s="3" t="s">
        <v>13</v>
      </c>
      <c r="D442" s="3" t="s">
        <v>19</v>
      </c>
      <c r="E442" s="5" t="s">
        <v>14</v>
      </c>
      <c r="F442" s="17">
        <v>46.02</v>
      </c>
      <c r="G442" s="3">
        <v>6</v>
      </c>
      <c r="H442" s="17">
        <f>Table1[[#This Row],[Unit price]]*Table1[[#This Row],[Quantity]]</f>
        <v>276.12</v>
      </c>
      <c r="I442" s="29">
        <f>Table1[[#This Row],[Total Revenue]]/$H$5056*100</f>
        <v>2.929515767870354E-2</v>
      </c>
      <c r="J442" s="3" t="s">
        <v>15</v>
      </c>
      <c r="K442" s="4">
        <v>7.1</v>
      </c>
      <c r="M442"/>
    </row>
    <row r="443" spans="1:13" x14ac:dyDescent="0.25">
      <c r="A443" s="2">
        <v>45475</v>
      </c>
      <c r="B443" s="3" t="s">
        <v>244</v>
      </c>
      <c r="C443" s="3" t="s">
        <v>9</v>
      </c>
      <c r="D443" s="3" t="s">
        <v>10</v>
      </c>
      <c r="E443" s="5" t="s">
        <v>11</v>
      </c>
      <c r="F443" s="17">
        <v>54.36</v>
      </c>
      <c r="G443" s="3">
        <v>10</v>
      </c>
      <c r="H443" s="17">
        <f>Table1[[#This Row],[Unit price]]*Table1[[#This Row],[Quantity]]</f>
        <v>543.6</v>
      </c>
      <c r="I443" s="29">
        <f>Table1[[#This Row],[Total Revenue]]/$H$5056*100</f>
        <v>5.7673648102793157E-2</v>
      </c>
      <c r="J443" s="3" t="s">
        <v>12</v>
      </c>
      <c r="K443" s="4">
        <v>6.1</v>
      </c>
      <c r="M443"/>
    </row>
    <row r="444" spans="1:13" x14ac:dyDescent="0.25">
      <c r="A444" s="2">
        <v>45506</v>
      </c>
      <c r="B444" s="3" t="s">
        <v>244</v>
      </c>
      <c r="C444" s="3" t="s">
        <v>13</v>
      </c>
      <c r="D444" s="3" t="s">
        <v>19</v>
      </c>
      <c r="E444" s="5" t="s">
        <v>18</v>
      </c>
      <c r="F444" s="17">
        <v>33.520000000000003</v>
      </c>
      <c r="G444" s="3">
        <v>1</v>
      </c>
      <c r="H444" s="17">
        <f>Table1[[#This Row],[Unit price]]*Table1[[#This Row],[Quantity]]</f>
        <v>33.520000000000003</v>
      </c>
      <c r="I444" s="29">
        <f>Table1[[#This Row],[Total Revenue]]/$H$5056*100</f>
        <v>3.5563294415114546E-3</v>
      </c>
      <c r="J444" s="3" t="s">
        <v>15</v>
      </c>
      <c r="K444" s="4">
        <v>6.7</v>
      </c>
      <c r="M444"/>
    </row>
    <row r="445" spans="1:13" x14ac:dyDescent="0.25">
      <c r="A445" s="2">
        <v>45506</v>
      </c>
      <c r="B445" s="3" t="s">
        <v>243</v>
      </c>
      <c r="C445" s="3" t="s">
        <v>13</v>
      </c>
      <c r="D445" s="3" t="s">
        <v>19</v>
      </c>
      <c r="E445" s="5" t="s">
        <v>16</v>
      </c>
      <c r="F445" s="17">
        <v>86.31</v>
      </c>
      <c r="G445" s="3">
        <v>7</v>
      </c>
      <c r="H445" s="17">
        <f>Table1[[#This Row],[Unit price]]*Table1[[#This Row],[Quantity]]</f>
        <v>604.17000000000007</v>
      </c>
      <c r="I445" s="29">
        <f>Table1[[#This Row],[Total Revenue]]/$H$5056*100</f>
        <v>6.4099867502326241E-2</v>
      </c>
      <c r="J445" s="3" t="s">
        <v>17</v>
      </c>
      <c r="K445" s="4">
        <v>5.3</v>
      </c>
      <c r="M445"/>
    </row>
    <row r="446" spans="1:13" x14ac:dyDescent="0.25">
      <c r="A446" s="2">
        <v>45506</v>
      </c>
      <c r="B446" s="3" t="s">
        <v>244</v>
      </c>
      <c r="C446" s="3" t="s">
        <v>13</v>
      </c>
      <c r="D446" s="3" t="s">
        <v>10</v>
      </c>
      <c r="E446" s="5" t="s">
        <v>16</v>
      </c>
      <c r="F446" s="17">
        <v>90.28</v>
      </c>
      <c r="G446" s="3">
        <v>9</v>
      </c>
      <c r="H446" s="17">
        <f>Table1[[#This Row],[Unit price]]*Table1[[#This Row],[Quantity]]</f>
        <v>812.52</v>
      </c>
      <c r="I446" s="29">
        <f>Table1[[#This Row],[Total Revenue]]/$H$5056*100</f>
        <v>8.6204916402651752E-2</v>
      </c>
      <c r="J446" s="3" t="s">
        <v>17</v>
      </c>
      <c r="K446" s="4">
        <v>7.2</v>
      </c>
      <c r="M446"/>
    </row>
    <row r="447" spans="1:13" x14ac:dyDescent="0.25">
      <c r="A447" s="2">
        <v>45506</v>
      </c>
      <c r="B447" s="3" t="s">
        <v>245</v>
      </c>
      <c r="C447" s="3" t="s">
        <v>9</v>
      </c>
      <c r="D447" s="3" t="s">
        <v>10</v>
      </c>
      <c r="E447" s="5" t="s">
        <v>16</v>
      </c>
      <c r="F447" s="17">
        <v>64.97</v>
      </c>
      <c r="G447" s="3">
        <v>5</v>
      </c>
      <c r="H447" s="17">
        <f>Table1[[#This Row],[Unit price]]*Table1[[#This Row],[Quantity]]</f>
        <v>324.85000000000002</v>
      </c>
      <c r="I447" s="29">
        <f>Table1[[#This Row],[Total Revenue]]/$H$5056*100</f>
        <v>3.4465203433024942E-2</v>
      </c>
      <c r="J447" s="3" t="s">
        <v>12</v>
      </c>
      <c r="K447" s="4">
        <v>6.5</v>
      </c>
      <c r="M447"/>
    </row>
    <row r="448" spans="1:13" x14ac:dyDescent="0.25">
      <c r="A448" s="2">
        <v>45506</v>
      </c>
      <c r="B448" s="3" t="s">
        <v>243</v>
      </c>
      <c r="C448" s="3" t="s">
        <v>9</v>
      </c>
      <c r="D448" s="3" t="s">
        <v>19</v>
      </c>
      <c r="E448" s="5" t="s">
        <v>18</v>
      </c>
      <c r="F448" s="17">
        <v>19.7</v>
      </c>
      <c r="G448" s="3">
        <v>1</v>
      </c>
      <c r="H448" s="17">
        <f>Table1[[#This Row],[Unit price]]*Table1[[#This Row],[Quantity]]</f>
        <v>19.7</v>
      </c>
      <c r="I448" s="29">
        <f>Table1[[#This Row],[Total Revenue]]/$H$5056*100</f>
        <v>2.0900862171174118E-3</v>
      </c>
      <c r="J448" s="3" t="s">
        <v>17</v>
      </c>
      <c r="K448" s="4">
        <v>9.5</v>
      </c>
      <c r="M448"/>
    </row>
    <row r="449" spans="1:13" x14ac:dyDescent="0.25">
      <c r="A449" s="2">
        <v>45506</v>
      </c>
      <c r="B449" s="3" t="s">
        <v>245</v>
      </c>
      <c r="C449" s="3" t="s">
        <v>9</v>
      </c>
      <c r="D449" s="3" t="s">
        <v>10</v>
      </c>
      <c r="E449" s="5" t="s">
        <v>18</v>
      </c>
      <c r="F449" s="17">
        <v>97.21</v>
      </c>
      <c r="G449" s="3">
        <v>10</v>
      </c>
      <c r="H449" s="17">
        <f>Table1[[#This Row],[Unit price]]*Table1[[#This Row],[Quantity]]</f>
        <v>972.09999999999991</v>
      </c>
      <c r="I449" s="29">
        <f>Table1[[#This Row],[Total Revenue]]/$H$5056*100</f>
        <v>0.1031356757187734</v>
      </c>
      <c r="J449" s="3" t="s">
        <v>12</v>
      </c>
      <c r="K449" s="4">
        <v>8.6999999999999993</v>
      </c>
      <c r="M449"/>
    </row>
    <row r="450" spans="1:13" x14ac:dyDescent="0.25">
      <c r="A450" s="2">
        <v>45506</v>
      </c>
      <c r="B450" s="3" t="s">
        <v>245</v>
      </c>
      <c r="C450" s="3" t="s">
        <v>9</v>
      </c>
      <c r="D450" s="3" t="s">
        <v>10</v>
      </c>
      <c r="E450" s="5" t="s">
        <v>21</v>
      </c>
      <c r="F450" s="17">
        <v>37.15</v>
      </c>
      <c r="G450" s="3">
        <v>7</v>
      </c>
      <c r="H450" s="17">
        <f>Table1[[#This Row],[Unit price]]*Table1[[#This Row],[Quantity]]</f>
        <v>260.05</v>
      </c>
      <c r="I450" s="29">
        <f>Table1[[#This Row],[Total Revenue]]/$H$5056*100</f>
        <v>2.7590199023420452E-2</v>
      </c>
      <c r="J450" s="3" t="s">
        <v>12</v>
      </c>
      <c r="K450" s="4">
        <v>7.7</v>
      </c>
      <c r="M450"/>
    </row>
    <row r="451" spans="1:13" x14ac:dyDescent="0.25">
      <c r="A451" s="2">
        <v>45506</v>
      </c>
      <c r="B451" s="3" t="s">
        <v>244</v>
      </c>
      <c r="C451" s="3" t="s">
        <v>9</v>
      </c>
      <c r="D451" s="3" t="s">
        <v>10</v>
      </c>
      <c r="E451" s="5" t="s">
        <v>16</v>
      </c>
      <c r="F451" s="17">
        <v>69.12</v>
      </c>
      <c r="G451" s="3">
        <v>6</v>
      </c>
      <c r="H451" s="17">
        <f>Table1[[#This Row],[Unit price]]*Table1[[#This Row],[Quantity]]</f>
        <v>414.72</v>
      </c>
      <c r="I451" s="29">
        <f>Table1[[#This Row],[Total Revenue]]/$H$5056*100</f>
        <v>4.4000028221468687E-2</v>
      </c>
      <c r="J451" s="3" t="s">
        <v>15</v>
      </c>
      <c r="K451" s="4">
        <v>5.6</v>
      </c>
      <c r="M451"/>
    </row>
    <row r="452" spans="1:13" x14ac:dyDescent="0.25">
      <c r="A452" s="2">
        <v>45506</v>
      </c>
      <c r="B452" s="3" t="s">
        <v>243</v>
      </c>
      <c r="C452" s="3" t="s">
        <v>13</v>
      </c>
      <c r="D452" s="3" t="s">
        <v>19</v>
      </c>
      <c r="E452" s="5" t="s">
        <v>18</v>
      </c>
      <c r="F452" s="17">
        <v>98.98</v>
      </c>
      <c r="G452" s="3">
        <v>10</v>
      </c>
      <c r="H452" s="17">
        <f>Table1[[#This Row],[Unit price]]*Table1[[#This Row],[Quantity]]</f>
        <v>989.80000000000007</v>
      </c>
      <c r="I452" s="29">
        <f>Table1[[#This Row],[Total Revenue]]/$H$5056*100</f>
        <v>0.10501357044176722</v>
      </c>
      <c r="J452" s="3" t="s">
        <v>12</v>
      </c>
      <c r="K452" s="4">
        <v>8.6999999999999993</v>
      </c>
      <c r="M452"/>
    </row>
    <row r="453" spans="1:13" x14ac:dyDescent="0.25">
      <c r="A453" s="2">
        <v>45506</v>
      </c>
      <c r="B453" s="3" t="s">
        <v>244</v>
      </c>
      <c r="C453" s="3" t="s">
        <v>9</v>
      </c>
      <c r="D453" s="3" t="s">
        <v>19</v>
      </c>
      <c r="E453" s="5" t="s">
        <v>20</v>
      </c>
      <c r="F453" s="17">
        <v>46.47</v>
      </c>
      <c r="G453" s="3">
        <v>4</v>
      </c>
      <c r="H453" s="17">
        <f>Table1[[#This Row],[Unit price]]*Table1[[#This Row],[Quantity]]</f>
        <v>185.88</v>
      </c>
      <c r="I453" s="29">
        <f>Table1[[#This Row],[Total Revenue]]/$H$5056*100</f>
        <v>1.972107746384693E-2</v>
      </c>
      <c r="J453" s="3" t="s">
        <v>15</v>
      </c>
      <c r="K453" s="4">
        <v>7</v>
      </c>
      <c r="M453"/>
    </row>
    <row r="454" spans="1:13" x14ac:dyDescent="0.25">
      <c r="A454" s="2">
        <v>45506</v>
      </c>
      <c r="B454" s="3" t="s">
        <v>244</v>
      </c>
      <c r="C454" s="3" t="s">
        <v>13</v>
      </c>
      <c r="D454" s="3" t="s">
        <v>19</v>
      </c>
      <c r="E454" s="5" t="s">
        <v>20</v>
      </c>
      <c r="F454" s="17">
        <v>31.75</v>
      </c>
      <c r="G454" s="3">
        <v>4</v>
      </c>
      <c r="H454" s="17">
        <f>Table1[[#This Row],[Unit price]]*Table1[[#This Row],[Quantity]]</f>
        <v>127</v>
      </c>
      <c r="I454" s="29">
        <f>Table1[[#This Row],[Total Revenue]]/$H$5056*100</f>
        <v>1.347415987684829E-2</v>
      </c>
      <c r="J454" s="3" t="s">
        <v>15</v>
      </c>
      <c r="K454" s="4">
        <v>8.6</v>
      </c>
      <c r="M454"/>
    </row>
    <row r="455" spans="1:13" x14ac:dyDescent="0.25">
      <c r="A455" s="2">
        <v>45506</v>
      </c>
      <c r="B455" s="3" t="s">
        <v>244</v>
      </c>
      <c r="C455" s="3" t="s">
        <v>13</v>
      </c>
      <c r="D455" s="3" t="s">
        <v>10</v>
      </c>
      <c r="E455" s="5" t="s">
        <v>20</v>
      </c>
      <c r="F455" s="17">
        <v>16.37</v>
      </c>
      <c r="G455" s="3">
        <v>6</v>
      </c>
      <c r="H455" s="17">
        <f>Table1[[#This Row],[Unit price]]*Table1[[#This Row],[Quantity]]</f>
        <v>98.22</v>
      </c>
      <c r="I455" s="29">
        <f>Table1[[#This Row],[Total Revenue]]/$H$5056*100</f>
        <v>1.0420724276409755E-2</v>
      </c>
      <c r="J455" s="3" t="s">
        <v>15</v>
      </c>
      <c r="K455" s="4">
        <v>7</v>
      </c>
      <c r="M455"/>
    </row>
    <row r="456" spans="1:13" x14ac:dyDescent="0.25">
      <c r="A456" s="2">
        <v>45537</v>
      </c>
      <c r="B456" s="3" t="s">
        <v>244</v>
      </c>
      <c r="C456" s="3" t="s">
        <v>13</v>
      </c>
      <c r="D456" s="3" t="s">
        <v>19</v>
      </c>
      <c r="E456" s="5" t="s">
        <v>20</v>
      </c>
      <c r="F456" s="17">
        <v>45.97</v>
      </c>
      <c r="G456" s="3">
        <v>4</v>
      </c>
      <c r="H456" s="17">
        <f>Table1[[#This Row],[Unit price]]*Table1[[#This Row],[Quantity]]</f>
        <v>183.88</v>
      </c>
      <c r="I456" s="29">
        <f>Table1[[#This Row],[Total Revenue]]/$H$5056*100</f>
        <v>1.9508885969723333E-2</v>
      </c>
      <c r="J456" s="3" t="s">
        <v>17</v>
      </c>
      <c r="K456" s="4">
        <v>5.0999999999999996</v>
      </c>
      <c r="M456"/>
    </row>
    <row r="457" spans="1:13" x14ac:dyDescent="0.25">
      <c r="A457" s="2">
        <v>45537</v>
      </c>
      <c r="B457" s="3" t="s">
        <v>243</v>
      </c>
      <c r="C457" s="3" t="s">
        <v>9</v>
      </c>
      <c r="D457" s="3" t="s">
        <v>19</v>
      </c>
      <c r="E457" s="5" t="s">
        <v>11</v>
      </c>
      <c r="F457" s="17">
        <v>35.04</v>
      </c>
      <c r="G457" s="3">
        <v>9</v>
      </c>
      <c r="H457" s="17">
        <f>Table1[[#This Row],[Unit price]]*Table1[[#This Row],[Quantity]]</f>
        <v>315.36</v>
      </c>
      <c r="I457" s="29">
        <f>Table1[[#This Row],[Total Revenue]]/$H$5056*100</f>
        <v>3.345835479340848E-2</v>
      </c>
      <c r="J457" s="3" t="s">
        <v>17</v>
      </c>
      <c r="K457" s="4">
        <v>4.5999999999999996</v>
      </c>
      <c r="M457"/>
    </row>
    <row r="458" spans="1:13" x14ac:dyDescent="0.25">
      <c r="A458" s="2">
        <v>45537</v>
      </c>
      <c r="B458" s="3" t="s">
        <v>245</v>
      </c>
      <c r="C458" s="3" t="s">
        <v>13</v>
      </c>
      <c r="D458" s="3" t="s">
        <v>19</v>
      </c>
      <c r="E458" s="5" t="s">
        <v>21</v>
      </c>
      <c r="F458" s="17">
        <v>84.61</v>
      </c>
      <c r="G458" s="3">
        <v>10</v>
      </c>
      <c r="H458" s="17">
        <f>Table1[[#This Row],[Unit price]]*Table1[[#This Row],[Quantity]]</f>
        <v>846.1</v>
      </c>
      <c r="I458" s="29">
        <f>Table1[[#This Row],[Total Revenue]]/$H$5056*100</f>
        <v>8.9767611588986912E-2</v>
      </c>
      <c r="J458" s="3" t="s">
        <v>12</v>
      </c>
      <c r="K458" s="4">
        <v>8.8000000000000007</v>
      </c>
      <c r="M458"/>
    </row>
    <row r="459" spans="1:13" x14ac:dyDescent="0.25">
      <c r="A459" s="2">
        <v>45537</v>
      </c>
      <c r="B459" s="3" t="s">
        <v>245</v>
      </c>
      <c r="C459" s="3" t="s">
        <v>13</v>
      </c>
      <c r="D459" s="3" t="s">
        <v>19</v>
      </c>
      <c r="E459" s="5" t="s">
        <v>11</v>
      </c>
      <c r="F459" s="17">
        <v>21.58</v>
      </c>
      <c r="G459" s="3">
        <v>1</v>
      </c>
      <c r="H459" s="17">
        <f>Table1[[#This Row],[Unit price]]*Table1[[#This Row],[Quantity]]</f>
        <v>21.58</v>
      </c>
      <c r="I459" s="29">
        <f>Table1[[#This Row],[Total Revenue]]/$H$5056*100</f>
        <v>2.2895462215935911E-3</v>
      </c>
      <c r="J459" s="3" t="s">
        <v>17</v>
      </c>
      <c r="K459" s="4">
        <v>7.2</v>
      </c>
      <c r="M459"/>
    </row>
    <row r="460" spans="1:13" x14ac:dyDescent="0.25">
      <c r="A460" s="2">
        <v>45537</v>
      </c>
      <c r="B460" s="3" t="s">
        <v>244</v>
      </c>
      <c r="C460" s="3" t="s">
        <v>13</v>
      </c>
      <c r="D460" s="3" t="s">
        <v>19</v>
      </c>
      <c r="E460" s="5" t="s">
        <v>18</v>
      </c>
      <c r="F460" s="17">
        <v>57.27</v>
      </c>
      <c r="G460" s="3">
        <v>3</v>
      </c>
      <c r="H460" s="17">
        <f>Table1[[#This Row],[Unit price]]*Table1[[#This Row],[Quantity]]</f>
        <v>171.81</v>
      </c>
      <c r="I460" s="29">
        <f>Table1[[#This Row],[Total Revenue]]/$H$5056*100</f>
        <v>1.8228310302687439E-2</v>
      </c>
      <c r="J460" s="3" t="s">
        <v>17</v>
      </c>
      <c r="K460" s="4">
        <v>6.5</v>
      </c>
      <c r="M460"/>
    </row>
    <row r="461" spans="1:13" x14ac:dyDescent="0.25">
      <c r="A461" s="2">
        <v>45537</v>
      </c>
      <c r="B461" s="3" t="s">
        <v>244</v>
      </c>
      <c r="C461" s="3" t="s">
        <v>9</v>
      </c>
      <c r="D461" s="3" t="s">
        <v>10</v>
      </c>
      <c r="E461" s="5" t="s">
        <v>14</v>
      </c>
      <c r="F461" s="17">
        <v>81.400000000000006</v>
      </c>
      <c r="G461" s="3">
        <v>3</v>
      </c>
      <c r="H461" s="17">
        <f>Table1[[#This Row],[Unit price]]*Table1[[#This Row],[Quantity]]</f>
        <v>244.20000000000002</v>
      </c>
      <c r="I461" s="29">
        <f>Table1[[#This Row],[Total Revenue]]/$H$5056*100</f>
        <v>2.5908581432490963E-2</v>
      </c>
      <c r="J461" s="3" t="s">
        <v>15</v>
      </c>
      <c r="K461" s="4">
        <v>4.8</v>
      </c>
      <c r="M461"/>
    </row>
    <row r="462" spans="1:13" x14ac:dyDescent="0.25">
      <c r="A462" s="2">
        <v>45537</v>
      </c>
      <c r="B462" s="3" t="s">
        <v>243</v>
      </c>
      <c r="C462" s="3" t="s">
        <v>9</v>
      </c>
      <c r="D462" s="3" t="s">
        <v>19</v>
      </c>
      <c r="E462" s="5" t="s">
        <v>11</v>
      </c>
      <c r="F462" s="17">
        <v>31.84</v>
      </c>
      <c r="G462" s="3">
        <v>1</v>
      </c>
      <c r="H462" s="17">
        <f>Table1[[#This Row],[Unit price]]*Table1[[#This Row],[Quantity]]</f>
        <v>31.84</v>
      </c>
      <c r="I462" s="29">
        <f>Table1[[#This Row],[Total Revenue]]/$H$5056*100</f>
        <v>3.3780885864476344E-3</v>
      </c>
      <c r="J462" s="3" t="s">
        <v>15</v>
      </c>
      <c r="K462" s="4">
        <v>7.7</v>
      </c>
      <c r="M462"/>
    </row>
    <row r="463" spans="1:13" x14ac:dyDescent="0.25">
      <c r="A463" s="2">
        <v>45537</v>
      </c>
      <c r="B463" s="3" t="s">
        <v>245</v>
      </c>
      <c r="C463" s="3" t="s">
        <v>9</v>
      </c>
      <c r="D463" s="3" t="s">
        <v>10</v>
      </c>
      <c r="E463" s="5" t="s">
        <v>11</v>
      </c>
      <c r="F463" s="17">
        <v>21.08</v>
      </c>
      <c r="G463" s="3">
        <v>3</v>
      </c>
      <c r="H463" s="17">
        <f>Table1[[#This Row],[Unit price]]*Table1[[#This Row],[Quantity]]</f>
        <v>63.239999999999995</v>
      </c>
      <c r="I463" s="29">
        <f>Table1[[#This Row],[Total Revenue]]/$H$5056*100</f>
        <v>6.7094950441880762E-3</v>
      </c>
      <c r="J463" s="3" t="s">
        <v>15</v>
      </c>
      <c r="K463" s="4">
        <v>7.3</v>
      </c>
      <c r="M463"/>
    </row>
    <row r="464" spans="1:13" x14ac:dyDescent="0.25">
      <c r="A464" s="2">
        <v>45537</v>
      </c>
      <c r="B464" s="3" t="s">
        <v>245</v>
      </c>
      <c r="C464" s="3" t="s">
        <v>9</v>
      </c>
      <c r="D464" s="3" t="s">
        <v>10</v>
      </c>
      <c r="E464" s="5" t="s">
        <v>20</v>
      </c>
      <c r="F464" s="17">
        <v>15.95</v>
      </c>
      <c r="G464" s="3">
        <v>6</v>
      </c>
      <c r="H464" s="17">
        <f>Table1[[#This Row],[Unit price]]*Table1[[#This Row],[Quantity]]</f>
        <v>95.699999999999989</v>
      </c>
      <c r="I464" s="29">
        <f>Table1[[#This Row],[Total Revenue]]/$H$5056*100</f>
        <v>1.0153362993814025E-2</v>
      </c>
      <c r="J464" s="3" t="s">
        <v>12</v>
      </c>
      <c r="K464" s="4">
        <v>5.0999999999999996</v>
      </c>
      <c r="M464"/>
    </row>
    <row r="465" spans="1:13" x14ac:dyDescent="0.25">
      <c r="A465" s="2">
        <v>45537</v>
      </c>
      <c r="B465" s="3" t="s">
        <v>243</v>
      </c>
      <c r="C465" s="3" t="s">
        <v>9</v>
      </c>
      <c r="D465" s="3" t="s">
        <v>10</v>
      </c>
      <c r="E465" s="5" t="s">
        <v>16</v>
      </c>
      <c r="F465" s="17">
        <v>22.24</v>
      </c>
      <c r="G465" s="3">
        <v>10</v>
      </c>
      <c r="H465" s="17">
        <f>Table1[[#This Row],[Unit price]]*Table1[[#This Row],[Quantity]]</f>
        <v>222.39999999999998</v>
      </c>
      <c r="I465" s="29">
        <f>Table1[[#This Row],[Total Revenue]]/$H$5056*100</f>
        <v>2.3595694146543774E-2</v>
      </c>
      <c r="J465" s="3" t="s">
        <v>15</v>
      </c>
      <c r="K465" s="4">
        <v>4.2</v>
      </c>
      <c r="M465"/>
    </row>
    <row r="466" spans="1:13" x14ac:dyDescent="0.25">
      <c r="A466" s="2">
        <v>45537</v>
      </c>
      <c r="B466" s="3" t="s">
        <v>245</v>
      </c>
      <c r="C466" s="3" t="s">
        <v>13</v>
      </c>
      <c r="D466" s="3" t="s">
        <v>10</v>
      </c>
      <c r="E466" s="5" t="s">
        <v>14</v>
      </c>
      <c r="F466" s="17">
        <v>12.45</v>
      </c>
      <c r="G466" s="3">
        <v>6</v>
      </c>
      <c r="H466" s="17">
        <f>Table1[[#This Row],[Unit price]]*Table1[[#This Row],[Quantity]]</f>
        <v>74.699999999999989</v>
      </c>
      <c r="I466" s="29">
        <f>Table1[[#This Row],[Total Revenue]]/$H$5056*100</f>
        <v>7.9253523055162756E-3</v>
      </c>
      <c r="J466" s="3" t="s">
        <v>15</v>
      </c>
      <c r="K466" s="4">
        <v>4.0999999999999996</v>
      </c>
      <c r="M466"/>
    </row>
    <row r="467" spans="1:13" x14ac:dyDescent="0.25">
      <c r="A467" s="2">
        <v>45537</v>
      </c>
      <c r="B467" s="3" t="s">
        <v>245</v>
      </c>
      <c r="C467" s="3" t="s">
        <v>13</v>
      </c>
      <c r="D467" s="3" t="s">
        <v>19</v>
      </c>
      <c r="E467" s="5" t="s">
        <v>18</v>
      </c>
      <c r="F467" s="17">
        <v>64.260000000000005</v>
      </c>
      <c r="G467" s="3">
        <v>7</v>
      </c>
      <c r="H467" s="17">
        <f>Table1[[#This Row],[Unit price]]*Table1[[#This Row],[Quantity]]</f>
        <v>449.82000000000005</v>
      </c>
      <c r="I467" s="29">
        <f>Table1[[#This Row],[Total Revenue]]/$H$5056*100</f>
        <v>4.7723988943337785E-2</v>
      </c>
      <c r="J467" s="3" t="s">
        <v>15</v>
      </c>
      <c r="K467" s="4">
        <v>5.7</v>
      </c>
      <c r="M467"/>
    </row>
    <row r="468" spans="1:13" x14ac:dyDescent="0.25">
      <c r="A468" s="2">
        <v>45537</v>
      </c>
      <c r="B468" s="3" t="s">
        <v>244</v>
      </c>
      <c r="C468" s="3" t="s">
        <v>9</v>
      </c>
      <c r="D468" s="3" t="s">
        <v>19</v>
      </c>
      <c r="E468" s="5" t="s">
        <v>20</v>
      </c>
      <c r="F468" s="17">
        <v>65.91</v>
      </c>
      <c r="G468" s="3">
        <v>6</v>
      </c>
      <c r="H468" s="17">
        <f>Table1[[#This Row],[Unit price]]*Table1[[#This Row],[Quantity]]</f>
        <v>395.46</v>
      </c>
      <c r="I468" s="29">
        <f>Table1[[#This Row],[Total Revenue]]/$H$5056*100</f>
        <v>4.1956624133058458E-2</v>
      </c>
      <c r="J468" s="3" t="s">
        <v>15</v>
      </c>
      <c r="K468" s="4">
        <v>5.7</v>
      </c>
      <c r="M468"/>
    </row>
    <row r="469" spans="1:13" x14ac:dyDescent="0.25">
      <c r="A469" s="2">
        <v>45567</v>
      </c>
      <c r="B469" s="3" t="s">
        <v>243</v>
      </c>
      <c r="C469" s="3" t="s">
        <v>9</v>
      </c>
      <c r="D469" s="3" t="s">
        <v>10</v>
      </c>
      <c r="E469" s="5" t="s">
        <v>18</v>
      </c>
      <c r="F469" s="17">
        <v>53.65</v>
      </c>
      <c r="G469" s="3">
        <v>7</v>
      </c>
      <c r="H469" s="17">
        <f>Table1[[#This Row],[Unit price]]*Table1[[#This Row],[Quantity]]</f>
        <v>375.55</v>
      </c>
      <c r="I469" s="29">
        <f>Table1[[#This Row],[Total Revenue]]/$H$5056*100</f>
        <v>3.9844257809058072E-2</v>
      </c>
      <c r="J469" s="3" t="s">
        <v>17</v>
      </c>
      <c r="K469" s="4">
        <v>5.2</v>
      </c>
      <c r="M469"/>
    </row>
    <row r="470" spans="1:13" x14ac:dyDescent="0.25">
      <c r="A470" s="2">
        <v>45567</v>
      </c>
      <c r="B470" s="3" t="s">
        <v>244</v>
      </c>
      <c r="C470" s="3" t="s">
        <v>13</v>
      </c>
      <c r="D470" s="3" t="s">
        <v>10</v>
      </c>
      <c r="E470" s="5" t="s">
        <v>16</v>
      </c>
      <c r="F470" s="17">
        <v>34.840000000000003</v>
      </c>
      <c r="G470" s="3">
        <v>4</v>
      </c>
      <c r="H470" s="17">
        <f>Table1[[#This Row],[Unit price]]*Table1[[#This Row],[Quantity]]</f>
        <v>139.36000000000001</v>
      </c>
      <c r="I470" s="29">
        <f>Table1[[#This Row],[Total Revenue]]/$H$5056*100</f>
        <v>1.4785503310532109E-2</v>
      </c>
      <c r="J470" s="3" t="s">
        <v>15</v>
      </c>
      <c r="K470" s="4">
        <v>7.4</v>
      </c>
      <c r="M470"/>
    </row>
    <row r="471" spans="1:13" x14ac:dyDescent="0.25">
      <c r="A471" s="2">
        <v>45567</v>
      </c>
      <c r="B471" s="3" t="s">
        <v>243</v>
      </c>
      <c r="C471" s="3" t="s">
        <v>9</v>
      </c>
      <c r="D471" s="3" t="s">
        <v>10</v>
      </c>
      <c r="E471" s="5" t="s">
        <v>11</v>
      </c>
      <c r="F471" s="17">
        <v>44.59</v>
      </c>
      <c r="G471" s="3">
        <v>5</v>
      </c>
      <c r="H471" s="17">
        <f>Table1[[#This Row],[Unit price]]*Table1[[#This Row],[Quantity]]</f>
        <v>222.95000000000002</v>
      </c>
      <c r="I471" s="29">
        <f>Table1[[#This Row],[Total Revenue]]/$H$5056*100</f>
        <v>2.3654046807427768E-2</v>
      </c>
      <c r="J471" s="3" t="s">
        <v>15</v>
      </c>
      <c r="K471" s="4">
        <v>8.5</v>
      </c>
      <c r="M471"/>
    </row>
    <row r="472" spans="1:13" x14ac:dyDescent="0.25">
      <c r="A472" s="2">
        <v>45567</v>
      </c>
      <c r="B472" s="3" t="s">
        <v>243</v>
      </c>
      <c r="C472" s="3" t="s">
        <v>13</v>
      </c>
      <c r="D472" s="3" t="s">
        <v>19</v>
      </c>
      <c r="E472" s="5" t="s">
        <v>20</v>
      </c>
      <c r="F472" s="17">
        <v>74.069999999999993</v>
      </c>
      <c r="G472" s="3">
        <v>1</v>
      </c>
      <c r="H472" s="17">
        <f>Table1[[#This Row],[Unit price]]*Table1[[#This Row],[Quantity]]</f>
        <v>74.069999999999993</v>
      </c>
      <c r="I472" s="29">
        <f>Table1[[#This Row],[Total Revenue]]/$H$5056*100</f>
        <v>7.8585119848673442E-3</v>
      </c>
      <c r="J472" s="3" t="s">
        <v>17</v>
      </c>
      <c r="K472" s="4">
        <v>9.9</v>
      </c>
      <c r="M472"/>
    </row>
    <row r="473" spans="1:13" x14ac:dyDescent="0.25">
      <c r="A473" s="2">
        <v>45567</v>
      </c>
      <c r="B473" s="3" t="s">
        <v>244</v>
      </c>
      <c r="C473" s="3" t="s">
        <v>9</v>
      </c>
      <c r="D473" s="3" t="s">
        <v>19</v>
      </c>
      <c r="E473" s="5" t="s">
        <v>14</v>
      </c>
      <c r="F473" s="17">
        <v>48.09</v>
      </c>
      <c r="G473" s="3">
        <v>3</v>
      </c>
      <c r="H473" s="17">
        <f>Table1[[#This Row],[Unit price]]*Table1[[#This Row],[Quantity]]</f>
        <v>144.27000000000001</v>
      </c>
      <c r="I473" s="29">
        <f>Table1[[#This Row],[Total Revenue]]/$H$5056*100</f>
        <v>1.5306433428605534E-2</v>
      </c>
      <c r="J473" s="3" t="s">
        <v>12</v>
      </c>
      <c r="K473" s="4">
        <v>7.8</v>
      </c>
      <c r="M473"/>
    </row>
    <row r="474" spans="1:13" x14ac:dyDescent="0.25">
      <c r="A474" s="2">
        <v>45567</v>
      </c>
      <c r="B474" s="3" t="s">
        <v>245</v>
      </c>
      <c r="C474" s="3" t="s">
        <v>9</v>
      </c>
      <c r="D474" s="3" t="s">
        <v>10</v>
      </c>
      <c r="E474" s="5" t="s">
        <v>14</v>
      </c>
      <c r="F474" s="17">
        <v>78.13</v>
      </c>
      <c r="G474" s="3">
        <v>10</v>
      </c>
      <c r="H474" s="17">
        <f>Table1[[#This Row],[Unit price]]*Table1[[#This Row],[Quantity]]</f>
        <v>781.3</v>
      </c>
      <c r="I474" s="29">
        <f>Table1[[#This Row],[Total Revenue]]/$H$5056*100</f>
        <v>8.2892607179382433E-2</v>
      </c>
      <c r="J474" s="3" t="s">
        <v>15</v>
      </c>
      <c r="K474" s="4">
        <v>4.4000000000000004</v>
      </c>
      <c r="M474"/>
    </row>
    <row r="475" spans="1:13" x14ac:dyDescent="0.25">
      <c r="A475" s="2">
        <v>45567</v>
      </c>
      <c r="B475" s="3" t="s">
        <v>243</v>
      </c>
      <c r="C475" s="3" t="s">
        <v>9</v>
      </c>
      <c r="D475" s="3" t="s">
        <v>10</v>
      </c>
      <c r="E475" s="5" t="s">
        <v>18</v>
      </c>
      <c r="F475" s="17">
        <v>30.14</v>
      </c>
      <c r="G475" s="3">
        <v>10</v>
      </c>
      <c r="H475" s="17">
        <f>Table1[[#This Row],[Unit price]]*Table1[[#This Row],[Quantity]]</f>
        <v>301.39999999999998</v>
      </c>
      <c r="I475" s="29">
        <f>Table1[[#This Row],[Total Revenue]]/$H$5056*100</f>
        <v>3.197725816442578E-2</v>
      </c>
      <c r="J475" s="3" t="s">
        <v>17</v>
      </c>
      <c r="K475" s="4">
        <v>9.1999999999999993</v>
      </c>
      <c r="M475"/>
    </row>
    <row r="476" spans="1:13" x14ac:dyDescent="0.25">
      <c r="A476" s="2">
        <v>45567</v>
      </c>
      <c r="B476" s="3" t="s">
        <v>244</v>
      </c>
      <c r="C476" s="3" t="s">
        <v>9</v>
      </c>
      <c r="D476" s="3" t="s">
        <v>19</v>
      </c>
      <c r="E476" s="5" t="s">
        <v>20</v>
      </c>
      <c r="F476" s="17">
        <v>36.909999999999997</v>
      </c>
      <c r="G476" s="3">
        <v>7</v>
      </c>
      <c r="H476" s="17">
        <f>Table1[[#This Row],[Unit price]]*Table1[[#This Row],[Quantity]]</f>
        <v>258.37</v>
      </c>
      <c r="I476" s="29">
        <f>Table1[[#This Row],[Total Revenue]]/$H$5056*100</f>
        <v>2.7411958168356634E-2</v>
      </c>
      <c r="J476" s="3" t="s">
        <v>17</v>
      </c>
      <c r="K476" s="4">
        <v>6.7</v>
      </c>
      <c r="M476"/>
    </row>
    <row r="477" spans="1:13" x14ac:dyDescent="0.25">
      <c r="A477" s="2">
        <v>45567</v>
      </c>
      <c r="B477" s="3" t="s">
        <v>245</v>
      </c>
      <c r="C477" s="3" t="s">
        <v>13</v>
      </c>
      <c r="D477" s="3" t="s">
        <v>10</v>
      </c>
      <c r="E477" s="5" t="s">
        <v>21</v>
      </c>
      <c r="F477" s="17">
        <v>33.47</v>
      </c>
      <c r="G477" s="3">
        <v>2</v>
      </c>
      <c r="H477" s="17">
        <f>Table1[[#This Row],[Unit price]]*Table1[[#This Row],[Quantity]]</f>
        <v>66.94</v>
      </c>
      <c r="I477" s="29">
        <f>Table1[[#This Row],[Total Revenue]]/$H$5056*100</f>
        <v>7.1020493083167281E-3</v>
      </c>
      <c r="J477" s="3" t="s">
        <v>17</v>
      </c>
      <c r="K477" s="4">
        <v>6.7</v>
      </c>
      <c r="M477"/>
    </row>
    <row r="478" spans="1:13" x14ac:dyDescent="0.25">
      <c r="A478" s="2">
        <v>45567</v>
      </c>
      <c r="B478" s="3" t="s">
        <v>244</v>
      </c>
      <c r="C478" s="3" t="s">
        <v>9</v>
      </c>
      <c r="D478" s="3" t="s">
        <v>19</v>
      </c>
      <c r="E478" s="5" t="s">
        <v>14</v>
      </c>
      <c r="F478" s="17">
        <v>18.93</v>
      </c>
      <c r="G478" s="3">
        <v>6</v>
      </c>
      <c r="H478" s="17">
        <f>Table1[[#This Row],[Unit price]]*Table1[[#This Row],[Quantity]]</f>
        <v>113.58</v>
      </c>
      <c r="I478" s="29">
        <f>Table1[[#This Row],[Total Revenue]]/$H$5056*100</f>
        <v>1.2050354951278966E-2</v>
      </c>
      <c r="J478" s="3" t="s">
        <v>12</v>
      </c>
      <c r="K478" s="4">
        <v>8.1</v>
      </c>
      <c r="M478"/>
    </row>
    <row r="479" spans="1:13" x14ac:dyDescent="0.25">
      <c r="A479" s="2">
        <v>45567</v>
      </c>
      <c r="B479" s="3" t="s">
        <v>245</v>
      </c>
      <c r="C479" s="3" t="s">
        <v>9</v>
      </c>
      <c r="D479" s="3" t="s">
        <v>10</v>
      </c>
      <c r="E479" s="5" t="s">
        <v>18</v>
      </c>
      <c r="F479" s="17">
        <v>73.38</v>
      </c>
      <c r="G479" s="3">
        <v>7</v>
      </c>
      <c r="H479" s="17">
        <f>Table1[[#This Row],[Unit price]]*Table1[[#This Row],[Quantity]]</f>
        <v>513.66</v>
      </c>
      <c r="I479" s="29">
        <f>Table1[[#This Row],[Total Revenue]]/$H$5056*100</f>
        <v>5.4497141435762925E-2</v>
      </c>
      <c r="J479" s="3" t="s">
        <v>15</v>
      </c>
      <c r="K479" s="4">
        <v>9.5</v>
      </c>
      <c r="M479"/>
    </row>
    <row r="480" spans="1:13" x14ac:dyDescent="0.25">
      <c r="A480" s="2">
        <v>45598</v>
      </c>
      <c r="B480" s="3" t="s">
        <v>245</v>
      </c>
      <c r="C480" s="3" t="s">
        <v>9</v>
      </c>
      <c r="D480" s="3" t="s">
        <v>19</v>
      </c>
      <c r="E480" s="5" t="s">
        <v>20</v>
      </c>
      <c r="F480" s="17">
        <v>86.69</v>
      </c>
      <c r="G480" s="3">
        <v>5</v>
      </c>
      <c r="H480" s="17">
        <f>Table1[[#This Row],[Unit price]]*Table1[[#This Row],[Quantity]]</f>
        <v>433.45</v>
      </c>
      <c r="I480" s="29">
        <f>Table1[[#This Row],[Total Revenue]]/$H$5056*100</f>
        <v>4.5987201563936153E-2</v>
      </c>
      <c r="J480" s="3" t="s">
        <v>17</v>
      </c>
      <c r="K480" s="4">
        <v>9.4</v>
      </c>
      <c r="M480"/>
    </row>
    <row r="481" spans="1:13" x14ac:dyDescent="0.25">
      <c r="A481" s="2">
        <v>45598</v>
      </c>
      <c r="B481" s="3" t="s">
        <v>245</v>
      </c>
      <c r="C481" s="3" t="s">
        <v>13</v>
      </c>
      <c r="D481" s="3" t="s">
        <v>19</v>
      </c>
      <c r="E481" s="5" t="s">
        <v>11</v>
      </c>
      <c r="F481" s="17">
        <v>89.2</v>
      </c>
      <c r="G481" s="3">
        <v>10</v>
      </c>
      <c r="H481" s="17">
        <f>Table1[[#This Row],[Unit price]]*Table1[[#This Row],[Quantity]]</f>
        <v>892</v>
      </c>
      <c r="I481" s="29">
        <f>Table1[[#This Row],[Total Revenue]]/$H$5056*100</f>
        <v>9.463740637912342E-2</v>
      </c>
      <c r="J481" s="3" t="s">
        <v>12</v>
      </c>
      <c r="K481" s="4">
        <v>4.4000000000000004</v>
      </c>
      <c r="M481"/>
    </row>
    <row r="482" spans="1:13" x14ac:dyDescent="0.25">
      <c r="A482" s="2">
        <v>45598</v>
      </c>
      <c r="B482" s="3" t="s">
        <v>244</v>
      </c>
      <c r="C482" s="3" t="s">
        <v>13</v>
      </c>
      <c r="D482" s="3" t="s">
        <v>10</v>
      </c>
      <c r="E482" s="5" t="s">
        <v>21</v>
      </c>
      <c r="F482" s="17">
        <v>84.09</v>
      </c>
      <c r="G482" s="3">
        <v>9</v>
      </c>
      <c r="H482" s="17">
        <f>Table1[[#This Row],[Unit price]]*Table1[[#This Row],[Quantity]]</f>
        <v>756.81000000000006</v>
      </c>
      <c r="I482" s="29">
        <f>Table1[[#This Row],[Total Revenue]]/$H$5056*100</f>
        <v>8.0294322333839013E-2</v>
      </c>
      <c r="J482" s="3" t="s">
        <v>15</v>
      </c>
      <c r="K482" s="4">
        <v>8</v>
      </c>
      <c r="M482"/>
    </row>
    <row r="483" spans="1:13" x14ac:dyDescent="0.25">
      <c r="A483" s="2">
        <v>45598</v>
      </c>
      <c r="B483" s="3" t="s">
        <v>244</v>
      </c>
      <c r="C483" s="3" t="s">
        <v>9</v>
      </c>
      <c r="D483" s="3" t="s">
        <v>10</v>
      </c>
      <c r="E483" s="5" t="s">
        <v>11</v>
      </c>
      <c r="F483" s="17">
        <v>77.2</v>
      </c>
      <c r="G483" s="3">
        <v>10</v>
      </c>
      <c r="H483" s="17">
        <f>Table1[[#This Row],[Unit price]]*Table1[[#This Row],[Quantity]]</f>
        <v>772</v>
      </c>
      <c r="I483" s="29">
        <f>Table1[[#This Row],[Total Revenue]]/$H$5056*100</f>
        <v>8.1905916731707704E-2</v>
      </c>
      <c r="J483" s="3" t="s">
        <v>12</v>
      </c>
      <c r="K483" s="4">
        <v>5.6</v>
      </c>
      <c r="M483"/>
    </row>
    <row r="484" spans="1:13" x14ac:dyDescent="0.25">
      <c r="A484" s="2">
        <v>45598</v>
      </c>
      <c r="B484" s="3" t="s">
        <v>244</v>
      </c>
      <c r="C484" s="3" t="s">
        <v>13</v>
      </c>
      <c r="D484" s="3" t="s">
        <v>10</v>
      </c>
      <c r="E484" s="5" t="s">
        <v>20</v>
      </c>
      <c r="F484" s="17">
        <v>77.040000000000006</v>
      </c>
      <c r="G484" s="3">
        <v>3</v>
      </c>
      <c r="H484" s="17">
        <f>Table1[[#This Row],[Unit price]]*Table1[[#This Row],[Quantity]]</f>
        <v>231.12</v>
      </c>
      <c r="I484" s="29">
        <f>Table1[[#This Row],[Total Revenue]]/$H$5056*100</f>
        <v>2.452084906092265E-2</v>
      </c>
      <c r="J484" s="3" t="s">
        <v>12</v>
      </c>
      <c r="K484" s="4">
        <v>7.2</v>
      </c>
      <c r="M484"/>
    </row>
    <row r="485" spans="1:13" x14ac:dyDescent="0.25">
      <c r="A485" s="2">
        <v>45598</v>
      </c>
      <c r="B485" s="3" t="s">
        <v>243</v>
      </c>
      <c r="C485" s="3" t="s">
        <v>13</v>
      </c>
      <c r="D485" s="3" t="s">
        <v>19</v>
      </c>
      <c r="E485" s="5" t="s">
        <v>20</v>
      </c>
      <c r="F485" s="17">
        <v>80.08</v>
      </c>
      <c r="G485" s="3">
        <v>3</v>
      </c>
      <c r="H485" s="17">
        <f>Table1[[#This Row],[Unit price]]*Table1[[#This Row],[Quantity]]</f>
        <v>240.24</v>
      </c>
      <c r="I485" s="29">
        <f>Table1[[#This Row],[Total Revenue]]/$H$5056*100</f>
        <v>2.5488442274126243E-2</v>
      </c>
      <c r="J485" s="3" t="s">
        <v>15</v>
      </c>
      <c r="K485" s="4">
        <v>5.4</v>
      </c>
      <c r="M485"/>
    </row>
    <row r="486" spans="1:13" x14ac:dyDescent="0.25">
      <c r="A486" s="2">
        <v>45598</v>
      </c>
      <c r="B486" s="3" t="s">
        <v>245</v>
      </c>
      <c r="C486" s="3" t="s">
        <v>13</v>
      </c>
      <c r="D486" s="3" t="s">
        <v>19</v>
      </c>
      <c r="E486" s="5" t="s">
        <v>18</v>
      </c>
      <c r="F486" s="17">
        <v>62.12</v>
      </c>
      <c r="G486" s="3">
        <v>10</v>
      </c>
      <c r="H486" s="17">
        <f>Table1[[#This Row],[Unit price]]*Table1[[#This Row],[Quantity]]</f>
        <v>621.19999999999993</v>
      </c>
      <c r="I486" s="29">
        <f>Table1[[#This Row],[Total Revenue]]/$H$5056*100</f>
        <v>6.590667807478863E-2</v>
      </c>
      <c r="J486" s="3" t="s">
        <v>15</v>
      </c>
      <c r="K486" s="4">
        <v>5.9</v>
      </c>
      <c r="M486"/>
    </row>
    <row r="487" spans="1:13" x14ac:dyDescent="0.25">
      <c r="A487" s="2">
        <v>45598</v>
      </c>
      <c r="B487" s="3" t="s">
        <v>243</v>
      </c>
      <c r="C487" s="3" t="s">
        <v>13</v>
      </c>
      <c r="D487" s="3" t="s">
        <v>10</v>
      </c>
      <c r="E487" s="5" t="s">
        <v>16</v>
      </c>
      <c r="F487" s="17">
        <v>94.76</v>
      </c>
      <c r="G487" s="3">
        <v>4</v>
      </c>
      <c r="H487" s="17">
        <f>Table1[[#This Row],[Unit price]]*Table1[[#This Row],[Quantity]]</f>
        <v>379.04</v>
      </c>
      <c r="I487" s="29">
        <f>Table1[[#This Row],[Total Revenue]]/$H$5056*100</f>
        <v>4.021453196630375E-2</v>
      </c>
      <c r="J487" s="3" t="s">
        <v>17</v>
      </c>
      <c r="K487" s="4">
        <v>7.8</v>
      </c>
      <c r="M487"/>
    </row>
    <row r="488" spans="1:13" x14ac:dyDescent="0.25">
      <c r="A488" s="2">
        <v>45628</v>
      </c>
      <c r="B488" s="3" t="s">
        <v>244</v>
      </c>
      <c r="C488" s="3" t="s">
        <v>9</v>
      </c>
      <c r="D488" s="3" t="s">
        <v>10</v>
      </c>
      <c r="E488" s="5" t="s">
        <v>14</v>
      </c>
      <c r="F488" s="17">
        <v>39.479999999999997</v>
      </c>
      <c r="G488" s="3">
        <v>1</v>
      </c>
      <c r="H488" s="17">
        <f>Table1[[#This Row],[Unit price]]*Table1[[#This Row],[Quantity]]</f>
        <v>39.479999999999997</v>
      </c>
      <c r="I488" s="29">
        <f>Table1[[#This Row],[Total Revenue]]/$H$5056*100</f>
        <v>4.1886600939997675E-3</v>
      </c>
      <c r="J488" s="3" t="s">
        <v>15</v>
      </c>
      <c r="K488" s="4">
        <v>6.5</v>
      </c>
      <c r="M488"/>
    </row>
    <row r="489" spans="1:13" x14ac:dyDescent="0.25">
      <c r="A489" s="2">
        <v>45628</v>
      </c>
      <c r="B489" s="3" t="s">
        <v>245</v>
      </c>
      <c r="C489" s="3" t="s">
        <v>9</v>
      </c>
      <c r="D489" s="3" t="s">
        <v>10</v>
      </c>
      <c r="E489" s="5" t="s">
        <v>11</v>
      </c>
      <c r="F489" s="17">
        <v>87.1</v>
      </c>
      <c r="G489" s="3">
        <v>10</v>
      </c>
      <c r="H489" s="17">
        <f>Table1[[#This Row],[Unit price]]*Table1[[#This Row],[Quantity]]</f>
        <v>871</v>
      </c>
      <c r="I489" s="29">
        <f>Table1[[#This Row],[Total Revenue]]/$H$5056*100</f>
        <v>9.2409395690825666E-2</v>
      </c>
      <c r="J489" s="3" t="s">
        <v>12</v>
      </c>
      <c r="K489" s="4">
        <v>9.9</v>
      </c>
      <c r="M489"/>
    </row>
    <row r="490" spans="1:13" x14ac:dyDescent="0.25">
      <c r="A490" s="2">
        <v>45628</v>
      </c>
      <c r="B490" s="3" t="s">
        <v>245</v>
      </c>
      <c r="C490" s="3" t="s">
        <v>9</v>
      </c>
      <c r="D490" s="3" t="s">
        <v>19</v>
      </c>
      <c r="E490" s="5" t="s">
        <v>18</v>
      </c>
      <c r="F490" s="17">
        <v>52.35</v>
      </c>
      <c r="G490" s="3">
        <v>1</v>
      </c>
      <c r="H490" s="17">
        <f>Table1[[#This Row],[Unit price]]*Table1[[#This Row],[Quantity]]</f>
        <v>52.35</v>
      </c>
      <c r="I490" s="29">
        <f>Table1[[#This Row],[Total Revenue]]/$H$5056*100</f>
        <v>5.5541123586851024E-3</v>
      </c>
      <c r="J490" s="3" t="s">
        <v>15</v>
      </c>
      <c r="K490" s="4">
        <v>4</v>
      </c>
      <c r="M490"/>
    </row>
    <row r="491" spans="1:13" x14ac:dyDescent="0.25">
      <c r="A491" s="2">
        <v>45628</v>
      </c>
      <c r="B491" s="3" t="s">
        <v>244</v>
      </c>
      <c r="C491" s="3" t="s">
        <v>13</v>
      </c>
      <c r="D491" s="3" t="s">
        <v>19</v>
      </c>
      <c r="E491" s="5" t="s">
        <v>18</v>
      </c>
      <c r="F491" s="17">
        <v>94.87</v>
      </c>
      <c r="G491" s="3">
        <v>8</v>
      </c>
      <c r="H491" s="17">
        <f>Table1[[#This Row],[Unit price]]*Table1[[#This Row],[Quantity]]</f>
        <v>758.96</v>
      </c>
      <c r="I491" s="29">
        <f>Table1[[#This Row],[Total Revenue]]/$H$5056*100</f>
        <v>8.052242819002188E-2</v>
      </c>
      <c r="J491" s="3" t="s">
        <v>17</v>
      </c>
      <c r="K491" s="4">
        <v>8.6999999999999993</v>
      </c>
      <c r="M491"/>
    </row>
    <row r="492" spans="1:13" x14ac:dyDescent="0.25">
      <c r="A492" s="2">
        <v>45628</v>
      </c>
      <c r="B492" s="3" t="s">
        <v>244</v>
      </c>
      <c r="C492" s="3" t="s">
        <v>9</v>
      </c>
      <c r="D492" s="3" t="s">
        <v>19</v>
      </c>
      <c r="E492" s="5" t="s">
        <v>20</v>
      </c>
      <c r="F492" s="17">
        <v>60.38</v>
      </c>
      <c r="G492" s="3">
        <v>10</v>
      </c>
      <c r="H492" s="17">
        <f>Table1[[#This Row],[Unit price]]*Table1[[#This Row],[Quantity]]</f>
        <v>603.80000000000007</v>
      </c>
      <c r="I492" s="29">
        <f>Table1[[#This Row],[Total Revenue]]/$H$5056*100</f>
        <v>6.4060612075913362E-2</v>
      </c>
      <c r="J492" s="3" t="s">
        <v>15</v>
      </c>
      <c r="K492" s="4">
        <v>6</v>
      </c>
      <c r="M492"/>
    </row>
    <row r="493" spans="1:13" x14ac:dyDescent="0.25">
      <c r="A493" s="2">
        <v>45628</v>
      </c>
      <c r="B493" s="3" t="s">
        <v>243</v>
      </c>
      <c r="C493" s="3" t="s">
        <v>13</v>
      </c>
      <c r="D493" s="3" t="s">
        <v>10</v>
      </c>
      <c r="E493" s="5" t="s">
        <v>14</v>
      </c>
      <c r="F493" s="17">
        <v>46.95</v>
      </c>
      <c r="G493" s="3">
        <v>5</v>
      </c>
      <c r="H493" s="17">
        <f>Table1[[#This Row],[Unit price]]*Table1[[#This Row],[Quantity]]</f>
        <v>234.75</v>
      </c>
      <c r="I493" s="29">
        <f>Table1[[#This Row],[Total Revenue]]/$H$5056*100</f>
        <v>2.4905976622756978E-2</v>
      </c>
      <c r="J493" s="3" t="s">
        <v>17</v>
      </c>
      <c r="K493" s="4">
        <v>7.1</v>
      </c>
      <c r="M493"/>
    </row>
    <row r="494" spans="1:13" x14ac:dyDescent="0.25">
      <c r="A494" s="2">
        <v>45628</v>
      </c>
      <c r="B494" s="3" t="s">
        <v>243</v>
      </c>
      <c r="C494" s="3" t="s">
        <v>13</v>
      </c>
      <c r="D494" s="3" t="s">
        <v>19</v>
      </c>
      <c r="E494" s="5" t="s">
        <v>21</v>
      </c>
      <c r="F494" s="17">
        <v>25.43</v>
      </c>
      <c r="G494" s="3">
        <v>6</v>
      </c>
      <c r="H494" s="17">
        <f>Table1[[#This Row],[Unit price]]*Table1[[#This Row],[Quantity]]</f>
        <v>152.57999999999998</v>
      </c>
      <c r="I494" s="29">
        <f>Table1[[#This Row],[Total Revenue]]/$H$5056*100</f>
        <v>1.6188089086689068E-2</v>
      </c>
      <c r="J494" s="3" t="s">
        <v>17</v>
      </c>
      <c r="K494" s="4">
        <v>7</v>
      </c>
      <c r="M494"/>
    </row>
    <row r="495" spans="1:13" x14ac:dyDescent="0.25">
      <c r="A495" s="2">
        <v>45628</v>
      </c>
      <c r="B495" s="3" t="s">
        <v>243</v>
      </c>
      <c r="C495" s="3" t="s">
        <v>9</v>
      </c>
      <c r="D495" s="3" t="s">
        <v>10</v>
      </c>
      <c r="E495" s="5" t="s">
        <v>16</v>
      </c>
      <c r="F495" s="17">
        <v>71.63</v>
      </c>
      <c r="G495" s="3">
        <v>2</v>
      </c>
      <c r="H495" s="17">
        <f>Table1[[#This Row],[Unit price]]*Table1[[#This Row],[Quantity]]</f>
        <v>143.26</v>
      </c>
      <c r="I495" s="29">
        <f>Table1[[#This Row],[Total Revenue]]/$H$5056*100</f>
        <v>1.5199276724073117E-2</v>
      </c>
      <c r="J495" s="3" t="s">
        <v>17</v>
      </c>
      <c r="K495" s="4">
        <v>8.8000000000000007</v>
      </c>
      <c r="M495"/>
    </row>
    <row r="496" spans="1:13" x14ac:dyDescent="0.25">
      <c r="A496" s="3" t="s">
        <v>41</v>
      </c>
      <c r="B496" s="3" t="s">
        <v>243</v>
      </c>
      <c r="C496" s="3" t="s">
        <v>9</v>
      </c>
      <c r="D496" s="3" t="s">
        <v>19</v>
      </c>
      <c r="E496" s="5" t="s">
        <v>14</v>
      </c>
      <c r="F496" s="17">
        <v>76.819999999999993</v>
      </c>
      <c r="G496" s="3">
        <v>1</v>
      </c>
      <c r="H496" s="17">
        <f>Table1[[#This Row],[Unit price]]*Table1[[#This Row],[Quantity]]</f>
        <v>76.819999999999993</v>
      </c>
      <c r="I496" s="29">
        <f>Table1[[#This Row],[Total Revenue]]/$H$5056*100</f>
        <v>8.1502752892872871E-3</v>
      </c>
      <c r="J496" s="3" t="s">
        <v>17</v>
      </c>
      <c r="K496" s="4">
        <v>7.2</v>
      </c>
      <c r="M496"/>
    </row>
    <row r="497" spans="1:13" x14ac:dyDescent="0.25">
      <c r="A497" s="3" t="s">
        <v>41</v>
      </c>
      <c r="B497" s="3" t="s">
        <v>244</v>
      </c>
      <c r="C497" s="3" t="s">
        <v>9</v>
      </c>
      <c r="D497" s="3" t="s">
        <v>10</v>
      </c>
      <c r="E497" s="5" t="s">
        <v>16</v>
      </c>
      <c r="F497" s="17">
        <v>20.18</v>
      </c>
      <c r="G497" s="3">
        <v>4</v>
      </c>
      <c r="H497" s="17">
        <f>Table1[[#This Row],[Unit price]]*Table1[[#This Row],[Quantity]]</f>
        <v>80.72</v>
      </c>
      <c r="I497" s="29">
        <f>Table1[[#This Row],[Total Revenue]]/$H$5056*100</f>
        <v>8.5640487028282985E-3</v>
      </c>
      <c r="J497" s="3" t="s">
        <v>12</v>
      </c>
      <c r="K497" s="4">
        <v>5</v>
      </c>
      <c r="M497"/>
    </row>
    <row r="498" spans="1:13" x14ac:dyDescent="0.25">
      <c r="A498" s="3" t="s">
        <v>41</v>
      </c>
      <c r="B498" s="3" t="s">
        <v>245</v>
      </c>
      <c r="C498" s="3" t="s">
        <v>9</v>
      </c>
      <c r="D498" s="3" t="s">
        <v>10</v>
      </c>
      <c r="E498" s="5" t="s">
        <v>18</v>
      </c>
      <c r="F498" s="17">
        <v>92.98</v>
      </c>
      <c r="G498" s="3">
        <v>2</v>
      </c>
      <c r="H498" s="17">
        <f>Table1[[#This Row],[Unit price]]*Table1[[#This Row],[Quantity]]</f>
        <v>185.96</v>
      </c>
      <c r="I498" s="29">
        <f>Table1[[#This Row],[Total Revenue]]/$H$5056*100</f>
        <v>1.9729565123611875E-2</v>
      </c>
      <c r="J498" s="3" t="s">
        <v>12</v>
      </c>
      <c r="K498" s="4">
        <v>8</v>
      </c>
      <c r="M498"/>
    </row>
    <row r="499" spans="1:13" x14ac:dyDescent="0.25">
      <c r="A499" s="3" t="s">
        <v>41</v>
      </c>
      <c r="B499" s="3" t="s">
        <v>244</v>
      </c>
      <c r="C499" s="3" t="s">
        <v>9</v>
      </c>
      <c r="D499" s="3" t="s">
        <v>10</v>
      </c>
      <c r="E499" s="5" t="s">
        <v>18</v>
      </c>
      <c r="F499" s="17">
        <v>29.56</v>
      </c>
      <c r="G499" s="3">
        <v>5</v>
      </c>
      <c r="H499" s="17">
        <f>Table1[[#This Row],[Unit price]]*Table1[[#This Row],[Quantity]]</f>
        <v>147.79999999999998</v>
      </c>
      <c r="I499" s="29">
        <f>Table1[[#This Row],[Total Revenue]]/$H$5056*100</f>
        <v>1.5680951415733675E-2</v>
      </c>
      <c r="J499" s="3" t="s">
        <v>15</v>
      </c>
      <c r="K499" s="4">
        <v>6.9</v>
      </c>
      <c r="M499"/>
    </row>
    <row r="500" spans="1:13" x14ac:dyDescent="0.25">
      <c r="A500" s="3" t="s">
        <v>41</v>
      </c>
      <c r="B500" s="3" t="s">
        <v>245</v>
      </c>
      <c r="C500" s="3" t="s">
        <v>13</v>
      </c>
      <c r="D500" s="3" t="s">
        <v>10</v>
      </c>
      <c r="E500" s="5" t="s">
        <v>18</v>
      </c>
      <c r="F500" s="17">
        <v>22.51</v>
      </c>
      <c r="G500" s="3">
        <v>7</v>
      </c>
      <c r="H500" s="17">
        <f>Table1[[#This Row],[Unit price]]*Table1[[#This Row],[Quantity]]</f>
        <v>157.57000000000002</v>
      </c>
      <c r="I500" s="29">
        <f>Table1[[#This Row],[Total Revenue]]/$H$5056*100</f>
        <v>1.6717506864527443E-2</v>
      </c>
      <c r="J500" s="3" t="s">
        <v>12</v>
      </c>
      <c r="K500" s="4">
        <v>4.8</v>
      </c>
      <c r="M500"/>
    </row>
    <row r="501" spans="1:13" x14ac:dyDescent="0.25">
      <c r="A501" s="3" t="s">
        <v>41</v>
      </c>
      <c r="B501" s="3" t="s">
        <v>245</v>
      </c>
      <c r="C501" s="3" t="s">
        <v>9</v>
      </c>
      <c r="D501" s="3" t="s">
        <v>10</v>
      </c>
      <c r="E501" s="5" t="s">
        <v>11</v>
      </c>
      <c r="F501" s="17">
        <v>14.87</v>
      </c>
      <c r="G501" s="3">
        <v>2</v>
      </c>
      <c r="H501" s="17">
        <f>Table1[[#This Row],[Unit price]]*Table1[[#This Row],[Quantity]]</f>
        <v>29.74</v>
      </c>
      <c r="I501" s="29">
        <f>Table1[[#This Row],[Total Revenue]]/$H$5056*100</f>
        <v>3.1552875176178588E-3</v>
      </c>
      <c r="J501" s="3" t="s">
        <v>12</v>
      </c>
      <c r="K501" s="4">
        <v>8.9</v>
      </c>
      <c r="M501"/>
    </row>
    <row r="502" spans="1:13" x14ac:dyDescent="0.25">
      <c r="A502" s="3" t="s">
        <v>41</v>
      </c>
      <c r="B502" s="3" t="s">
        <v>243</v>
      </c>
      <c r="C502" s="3" t="s">
        <v>9</v>
      </c>
      <c r="D502" s="3" t="s">
        <v>19</v>
      </c>
      <c r="E502" s="5" t="s">
        <v>14</v>
      </c>
      <c r="F502" s="17">
        <v>32.25</v>
      </c>
      <c r="G502" s="3">
        <v>4</v>
      </c>
      <c r="H502" s="17">
        <f>Table1[[#This Row],[Unit price]]*Table1[[#This Row],[Quantity]]</f>
        <v>129</v>
      </c>
      <c r="I502" s="29">
        <f>Table1[[#This Row],[Total Revenue]]/$H$5056*100</f>
        <v>1.3686351370971885E-2</v>
      </c>
      <c r="J502" s="3" t="s">
        <v>17</v>
      </c>
      <c r="K502" s="4">
        <v>6.5</v>
      </c>
      <c r="M502"/>
    </row>
    <row r="503" spans="1:13" x14ac:dyDescent="0.25">
      <c r="A503" s="3" t="s">
        <v>41</v>
      </c>
      <c r="B503" s="3" t="s">
        <v>244</v>
      </c>
      <c r="C503" s="3" t="s">
        <v>13</v>
      </c>
      <c r="D503" s="3" t="s">
        <v>19</v>
      </c>
      <c r="E503" s="5" t="s">
        <v>16</v>
      </c>
      <c r="F503" s="17">
        <v>13.69</v>
      </c>
      <c r="G503" s="3">
        <v>6</v>
      </c>
      <c r="H503" s="17">
        <f>Table1[[#This Row],[Unit price]]*Table1[[#This Row],[Quantity]]</f>
        <v>82.14</v>
      </c>
      <c r="I503" s="29">
        <f>Table1[[#This Row],[Total Revenue]]/$H$5056*100</f>
        <v>8.7147046636560505E-3</v>
      </c>
      <c r="J503" s="3" t="s">
        <v>15</v>
      </c>
      <c r="K503" s="4">
        <v>6.3</v>
      </c>
      <c r="M503"/>
    </row>
    <row r="504" spans="1:13" x14ac:dyDescent="0.25">
      <c r="A504" s="3" t="s">
        <v>42</v>
      </c>
      <c r="B504" s="3" t="s">
        <v>243</v>
      </c>
      <c r="C504" s="3" t="s">
        <v>9</v>
      </c>
      <c r="D504" s="3" t="s">
        <v>19</v>
      </c>
      <c r="E504" s="5" t="s">
        <v>21</v>
      </c>
      <c r="F504" s="17">
        <v>91.3</v>
      </c>
      <c r="G504" s="3">
        <v>1</v>
      </c>
      <c r="H504" s="17">
        <f>Table1[[#This Row],[Unit price]]*Table1[[#This Row],[Quantity]]</f>
        <v>91.3</v>
      </c>
      <c r="I504" s="29">
        <f>Table1[[#This Row],[Total Revenue]]/$H$5056*100</f>
        <v>9.6865417067421161E-3</v>
      </c>
      <c r="J504" s="3" t="s">
        <v>17</v>
      </c>
      <c r="K504" s="4">
        <v>9.1999999999999993</v>
      </c>
      <c r="M504"/>
    </row>
    <row r="505" spans="1:13" x14ac:dyDescent="0.25">
      <c r="A505" s="3" t="s">
        <v>42</v>
      </c>
      <c r="B505" s="3" t="s">
        <v>243</v>
      </c>
      <c r="C505" s="3" t="s">
        <v>13</v>
      </c>
      <c r="D505" s="3" t="s">
        <v>19</v>
      </c>
      <c r="E505" s="5" t="s">
        <v>16</v>
      </c>
      <c r="F505" s="17">
        <v>44.65</v>
      </c>
      <c r="G505" s="3">
        <v>3</v>
      </c>
      <c r="H505" s="17">
        <f>Table1[[#This Row],[Unit price]]*Table1[[#This Row],[Quantity]]</f>
        <v>133.94999999999999</v>
      </c>
      <c r="I505" s="29">
        <f>Table1[[#This Row],[Total Revenue]]/$H$5056*100</f>
        <v>1.4211525318927781E-2</v>
      </c>
      <c r="J505" s="3" t="s">
        <v>15</v>
      </c>
      <c r="K505" s="4">
        <v>6.2</v>
      </c>
      <c r="M505"/>
    </row>
    <row r="506" spans="1:13" x14ac:dyDescent="0.25">
      <c r="A506" s="3" t="s">
        <v>42</v>
      </c>
      <c r="B506" s="3" t="s">
        <v>244</v>
      </c>
      <c r="C506" s="3" t="s">
        <v>9</v>
      </c>
      <c r="D506" s="3" t="s">
        <v>19</v>
      </c>
      <c r="E506" s="5" t="s">
        <v>21</v>
      </c>
      <c r="F506" s="17">
        <v>75.739999999999995</v>
      </c>
      <c r="G506" s="3">
        <v>4</v>
      </c>
      <c r="H506" s="17">
        <f>Table1[[#This Row],[Unit price]]*Table1[[#This Row],[Quantity]]</f>
        <v>302.95999999999998</v>
      </c>
      <c r="I506" s="29">
        <f>Table1[[#This Row],[Total Revenue]]/$H$5056*100</f>
        <v>3.2142767529842187E-2</v>
      </c>
      <c r="J506" s="3" t="s">
        <v>15</v>
      </c>
      <c r="K506" s="4">
        <v>7.6</v>
      </c>
      <c r="M506"/>
    </row>
    <row r="507" spans="1:13" x14ac:dyDescent="0.25">
      <c r="A507" s="3" t="s">
        <v>42</v>
      </c>
      <c r="B507" s="3" t="s">
        <v>244</v>
      </c>
      <c r="C507" s="3" t="s">
        <v>9</v>
      </c>
      <c r="D507" s="3" t="s">
        <v>10</v>
      </c>
      <c r="E507" s="5" t="s">
        <v>16</v>
      </c>
      <c r="F507" s="17">
        <v>60.08</v>
      </c>
      <c r="G507" s="3">
        <v>7</v>
      </c>
      <c r="H507" s="17">
        <f>Table1[[#This Row],[Unit price]]*Table1[[#This Row],[Quantity]]</f>
        <v>420.56</v>
      </c>
      <c r="I507" s="29">
        <f>Table1[[#This Row],[Total Revenue]]/$H$5056*100</f>
        <v>4.4619627384309579E-2</v>
      </c>
      <c r="J507" s="3" t="s">
        <v>12</v>
      </c>
      <c r="K507" s="4">
        <v>4.5</v>
      </c>
      <c r="M507"/>
    </row>
    <row r="508" spans="1:13" x14ac:dyDescent="0.25">
      <c r="A508" s="3" t="s">
        <v>42</v>
      </c>
      <c r="B508" s="3" t="s">
        <v>245</v>
      </c>
      <c r="C508" s="3" t="s">
        <v>9</v>
      </c>
      <c r="D508" s="3" t="s">
        <v>19</v>
      </c>
      <c r="E508" s="5" t="s">
        <v>11</v>
      </c>
      <c r="F508" s="17">
        <v>27.66</v>
      </c>
      <c r="G508" s="3">
        <v>10</v>
      </c>
      <c r="H508" s="17">
        <f>Table1[[#This Row],[Unit price]]*Table1[[#This Row],[Quantity]]</f>
        <v>276.60000000000002</v>
      </c>
      <c r="I508" s="29">
        <f>Table1[[#This Row],[Total Revenue]]/$H$5056*100</f>
        <v>2.9346083637293206E-2</v>
      </c>
      <c r="J508" s="3" t="s">
        <v>12</v>
      </c>
      <c r="K508" s="4">
        <v>8.9</v>
      </c>
      <c r="M508"/>
    </row>
    <row r="509" spans="1:13" x14ac:dyDescent="0.25">
      <c r="A509" s="3" t="s">
        <v>42</v>
      </c>
      <c r="B509" s="3" t="s">
        <v>245</v>
      </c>
      <c r="C509" s="3" t="s">
        <v>9</v>
      </c>
      <c r="D509" s="3" t="s">
        <v>19</v>
      </c>
      <c r="E509" s="5" t="s">
        <v>11</v>
      </c>
      <c r="F509" s="17">
        <v>99.37</v>
      </c>
      <c r="G509" s="3">
        <v>2</v>
      </c>
      <c r="H509" s="17">
        <f>Table1[[#This Row],[Unit price]]*Table1[[#This Row],[Quantity]]</f>
        <v>198.74</v>
      </c>
      <c r="I509" s="29">
        <f>Table1[[#This Row],[Total Revenue]]/$H$5056*100</f>
        <v>2.1085468771061648E-2</v>
      </c>
      <c r="J509" s="3" t="s">
        <v>15</v>
      </c>
      <c r="K509" s="4">
        <v>5.2</v>
      </c>
      <c r="M509"/>
    </row>
    <row r="510" spans="1:13" x14ac:dyDescent="0.25">
      <c r="A510" s="3" t="s">
        <v>42</v>
      </c>
      <c r="B510" s="3" t="s">
        <v>245</v>
      </c>
      <c r="C510" s="3" t="s">
        <v>13</v>
      </c>
      <c r="D510" s="3" t="s">
        <v>10</v>
      </c>
      <c r="E510" s="5" t="s">
        <v>21</v>
      </c>
      <c r="F510" s="17">
        <v>58.32</v>
      </c>
      <c r="G510" s="3">
        <v>2</v>
      </c>
      <c r="H510" s="17">
        <f>Table1[[#This Row],[Unit price]]*Table1[[#This Row],[Quantity]]</f>
        <v>116.64</v>
      </c>
      <c r="I510" s="29">
        <f>Table1[[#This Row],[Total Revenue]]/$H$5056*100</f>
        <v>1.2375007937288067E-2</v>
      </c>
      <c r="J510" s="3" t="s">
        <v>17</v>
      </c>
      <c r="K510" s="4">
        <v>6</v>
      </c>
      <c r="M510"/>
    </row>
    <row r="511" spans="1:13" x14ac:dyDescent="0.25">
      <c r="A511" s="3" t="s">
        <v>42</v>
      </c>
      <c r="B511" s="3" t="s">
        <v>243</v>
      </c>
      <c r="C511" s="3" t="s">
        <v>13</v>
      </c>
      <c r="D511" s="3" t="s">
        <v>10</v>
      </c>
      <c r="E511" s="5" t="s">
        <v>14</v>
      </c>
      <c r="F511" s="17">
        <v>99.56</v>
      </c>
      <c r="G511" s="3">
        <v>8</v>
      </c>
      <c r="H511" s="17">
        <f>Table1[[#This Row],[Unit price]]*Table1[[#This Row],[Quantity]]</f>
        <v>796.48</v>
      </c>
      <c r="I511" s="29">
        <f>Table1[[#This Row],[Total Revenue]]/$H$5056*100</f>
        <v>8.4503140619780523E-2</v>
      </c>
      <c r="J511" s="3" t="s">
        <v>12</v>
      </c>
      <c r="K511" s="4">
        <v>5.2</v>
      </c>
      <c r="M511"/>
    </row>
    <row r="512" spans="1:13" x14ac:dyDescent="0.25">
      <c r="A512" s="3" t="s">
        <v>43</v>
      </c>
      <c r="B512" s="3" t="s">
        <v>245</v>
      </c>
      <c r="C512" s="3" t="s">
        <v>13</v>
      </c>
      <c r="D512" s="3" t="s">
        <v>10</v>
      </c>
      <c r="E512" s="5" t="s">
        <v>14</v>
      </c>
      <c r="F512" s="17">
        <v>32.799999999999997</v>
      </c>
      <c r="G512" s="3">
        <v>10</v>
      </c>
      <c r="H512" s="17">
        <f>Table1[[#This Row],[Unit price]]*Table1[[#This Row],[Quantity]]</f>
        <v>328</v>
      </c>
      <c r="I512" s="29">
        <f>Table1[[#This Row],[Total Revenue]]/$H$5056*100</f>
        <v>3.4799405036269597E-2</v>
      </c>
      <c r="J512" s="3" t="s">
        <v>15</v>
      </c>
      <c r="K512" s="4">
        <v>6.2</v>
      </c>
      <c r="M512"/>
    </row>
    <row r="513" spans="1:13" x14ac:dyDescent="0.25">
      <c r="A513" s="3" t="s">
        <v>43</v>
      </c>
      <c r="B513" s="3" t="s">
        <v>243</v>
      </c>
      <c r="C513" s="3" t="s">
        <v>13</v>
      </c>
      <c r="D513" s="3" t="s">
        <v>19</v>
      </c>
      <c r="E513" s="5" t="s">
        <v>11</v>
      </c>
      <c r="F513" s="17">
        <v>52.2</v>
      </c>
      <c r="G513" s="3">
        <v>3</v>
      </c>
      <c r="H513" s="17">
        <f>Table1[[#This Row],[Unit price]]*Table1[[#This Row],[Quantity]]</f>
        <v>156.60000000000002</v>
      </c>
      <c r="I513" s="29">
        <f>Table1[[#This Row],[Total Revenue]]/$H$5056*100</f>
        <v>1.66145939898775E-2</v>
      </c>
      <c r="J513" s="3" t="s">
        <v>12</v>
      </c>
      <c r="K513" s="4">
        <v>9.5</v>
      </c>
      <c r="M513"/>
    </row>
    <row r="514" spans="1:13" x14ac:dyDescent="0.25">
      <c r="A514" s="3" t="s">
        <v>43</v>
      </c>
      <c r="B514" s="3" t="s">
        <v>243</v>
      </c>
      <c r="C514" s="3" t="s">
        <v>13</v>
      </c>
      <c r="D514" s="3" t="s">
        <v>10</v>
      </c>
      <c r="E514" s="5" t="s">
        <v>20</v>
      </c>
      <c r="F514" s="17">
        <v>69.959999999999994</v>
      </c>
      <c r="G514" s="3">
        <v>8</v>
      </c>
      <c r="H514" s="17">
        <f>Table1[[#This Row],[Unit price]]*Table1[[#This Row],[Quantity]]</f>
        <v>559.67999999999995</v>
      </c>
      <c r="I514" s="29">
        <f>Table1[[#This Row],[Total Revenue]]/$H$5056*100</f>
        <v>5.9379667715546848E-2</v>
      </c>
      <c r="J514" s="3" t="s">
        <v>12</v>
      </c>
      <c r="K514" s="4">
        <v>6.4</v>
      </c>
      <c r="M514"/>
    </row>
    <row r="515" spans="1:13" x14ac:dyDescent="0.25">
      <c r="A515" s="3" t="s">
        <v>43</v>
      </c>
      <c r="B515" s="3" t="s">
        <v>244</v>
      </c>
      <c r="C515" s="3" t="s">
        <v>13</v>
      </c>
      <c r="D515" s="3" t="s">
        <v>10</v>
      </c>
      <c r="E515" s="5" t="s">
        <v>18</v>
      </c>
      <c r="F515" s="17">
        <v>72.84</v>
      </c>
      <c r="G515" s="3">
        <v>7</v>
      </c>
      <c r="H515" s="17">
        <f>Table1[[#This Row],[Unit price]]*Table1[[#This Row],[Quantity]]</f>
        <v>509.88</v>
      </c>
      <c r="I515" s="29">
        <f>Table1[[#This Row],[Total Revenue]]/$H$5056*100</f>
        <v>5.4096099511869333E-2</v>
      </c>
      <c r="J515" s="3" t="s">
        <v>15</v>
      </c>
      <c r="K515" s="4">
        <v>8.4</v>
      </c>
      <c r="M515"/>
    </row>
    <row r="516" spans="1:13" x14ac:dyDescent="0.25">
      <c r="A516" s="3" t="s">
        <v>43</v>
      </c>
      <c r="B516" s="3" t="s">
        <v>245</v>
      </c>
      <c r="C516" s="3" t="s">
        <v>9</v>
      </c>
      <c r="D516" s="3" t="s">
        <v>10</v>
      </c>
      <c r="E516" s="5" t="s">
        <v>14</v>
      </c>
      <c r="F516" s="17">
        <v>98.84</v>
      </c>
      <c r="G516" s="3">
        <v>1</v>
      </c>
      <c r="H516" s="17">
        <f>Table1[[#This Row],[Unit price]]*Table1[[#This Row],[Quantity]]</f>
        <v>98.84</v>
      </c>
      <c r="I516" s="29">
        <f>Table1[[#This Row],[Total Revenue]]/$H$5056*100</f>
        <v>1.0486503639588069E-2</v>
      </c>
      <c r="J516" s="3" t="s">
        <v>15</v>
      </c>
      <c r="K516" s="4">
        <v>8.4</v>
      </c>
      <c r="M516"/>
    </row>
    <row r="517" spans="1:13" x14ac:dyDescent="0.25">
      <c r="A517" s="3" t="s">
        <v>43</v>
      </c>
      <c r="B517" s="3" t="s">
        <v>244</v>
      </c>
      <c r="C517" s="3" t="s">
        <v>9</v>
      </c>
      <c r="D517" s="3" t="s">
        <v>10</v>
      </c>
      <c r="E517" s="5" t="s">
        <v>21</v>
      </c>
      <c r="F517" s="17">
        <v>76.900000000000006</v>
      </c>
      <c r="G517" s="3">
        <v>7</v>
      </c>
      <c r="H517" s="17">
        <f>Table1[[#This Row],[Unit price]]*Table1[[#This Row],[Quantity]]</f>
        <v>538.30000000000007</v>
      </c>
      <c r="I517" s="29">
        <f>Table1[[#This Row],[Total Revenue]]/$H$5056*100</f>
        <v>5.7111340643365628E-2</v>
      </c>
      <c r="J517" s="3" t="s">
        <v>15</v>
      </c>
      <c r="K517" s="4">
        <v>7.7</v>
      </c>
      <c r="M517"/>
    </row>
    <row r="518" spans="1:13" x14ac:dyDescent="0.25">
      <c r="A518" s="3" t="s">
        <v>43</v>
      </c>
      <c r="B518" s="3" t="s">
        <v>244</v>
      </c>
      <c r="C518" s="3" t="s">
        <v>9</v>
      </c>
      <c r="D518" s="3" t="s">
        <v>10</v>
      </c>
      <c r="E518" s="5" t="s">
        <v>11</v>
      </c>
      <c r="F518" s="17">
        <v>77.400000000000006</v>
      </c>
      <c r="G518" s="3">
        <v>9</v>
      </c>
      <c r="H518" s="17">
        <f>Table1[[#This Row],[Unit price]]*Table1[[#This Row],[Quantity]]</f>
        <v>696.6</v>
      </c>
      <c r="I518" s="29">
        <f>Table1[[#This Row],[Total Revenue]]/$H$5056*100</f>
        <v>7.3906297403248181E-2</v>
      </c>
      <c r="J518" s="3" t="s">
        <v>12</v>
      </c>
      <c r="K518" s="4">
        <v>4.5</v>
      </c>
      <c r="M518"/>
    </row>
    <row r="519" spans="1:13" x14ac:dyDescent="0.25">
      <c r="A519" s="3" t="s">
        <v>43</v>
      </c>
      <c r="B519" s="3" t="s">
        <v>243</v>
      </c>
      <c r="C519" s="3" t="s">
        <v>13</v>
      </c>
      <c r="D519" s="3" t="s">
        <v>10</v>
      </c>
      <c r="E519" s="5" t="s">
        <v>11</v>
      </c>
      <c r="F519" s="17">
        <v>67.099999999999994</v>
      </c>
      <c r="G519" s="3">
        <v>3</v>
      </c>
      <c r="H519" s="17">
        <f>Table1[[#This Row],[Unit price]]*Table1[[#This Row],[Quantity]]</f>
        <v>201.29999999999998</v>
      </c>
      <c r="I519" s="29">
        <f>Table1[[#This Row],[Total Revenue]]/$H$5056*100</f>
        <v>2.1357073883539846E-2</v>
      </c>
      <c r="J519" s="3" t="s">
        <v>15</v>
      </c>
      <c r="K519" s="4">
        <v>7.5</v>
      </c>
      <c r="M519"/>
    </row>
    <row r="520" spans="1:13" x14ac:dyDescent="0.25">
      <c r="A520" s="3" t="s">
        <v>43</v>
      </c>
      <c r="B520" s="3" t="s">
        <v>245</v>
      </c>
      <c r="C520" s="3" t="s">
        <v>13</v>
      </c>
      <c r="D520" s="3" t="s">
        <v>19</v>
      </c>
      <c r="E520" s="5" t="s">
        <v>21</v>
      </c>
      <c r="F520" s="17">
        <v>33.64</v>
      </c>
      <c r="G520" s="3">
        <v>8</v>
      </c>
      <c r="H520" s="17">
        <f>Table1[[#This Row],[Unit price]]*Table1[[#This Row],[Quantity]]</f>
        <v>269.12</v>
      </c>
      <c r="I520" s="29">
        <f>Table1[[#This Row],[Total Revenue]]/$H$5056*100</f>
        <v>2.8552487449270959E-2</v>
      </c>
      <c r="J520" s="3" t="s">
        <v>12</v>
      </c>
      <c r="K520" s="4">
        <v>9.3000000000000007</v>
      </c>
      <c r="M520"/>
    </row>
    <row r="521" spans="1:13" x14ac:dyDescent="0.25">
      <c r="A521" s="3" t="s">
        <v>43</v>
      </c>
      <c r="B521" s="3" t="s">
        <v>245</v>
      </c>
      <c r="C521" s="3" t="s">
        <v>9</v>
      </c>
      <c r="D521" s="3" t="s">
        <v>19</v>
      </c>
      <c r="E521" s="5" t="s">
        <v>21</v>
      </c>
      <c r="F521" s="17">
        <v>68.55</v>
      </c>
      <c r="G521" s="3">
        <v>4</v>
      </c>
      <c r="H521" s="17">
        <f>Table1[[#This Row],[Unit price]]*Table1[[#This Row],[Quantity]]</f>
        <v>274.2</v>
      </c>
      <c r="I521" s="29">
        <f>Table1[[#This Row],[Total Revenue]]/$H$5056*100</f>
        <v>2.9091453844344889E-2</v>
      </c>
      <c r="J521" s="3" t="s">
        <v>12</v>
      </c>
      <c r="K521" s="4">
        <v>9.1999999999999993</v>
      </c>
      <c r="M521"/>
    </row>
    <row r="522" spans="1:13" x14ac:dyDescent="0.25">
      <c r="A522" s="3" t="s">
        <v>43</v>
      </c>
      <c r="B522" s="3" t="s">
        <v>245</v>
      </c>
      <c r="C522" s="3" t="s">
        <v>9</v>
      </c>
      <c r="D522" s="3" t="s">
        <v>10</v>
      </c>
      <c r="E522" s="5" t="s">
        <v>16</v>
      </c>
      <c r="F522" s="17">
        <v>24.74</v>
      </c>
      <c r="G522" s="3">
        <v>3</v>
      </c>
      <c r="H522" s="17">
        <f>Table1[[#This Row],[Unit price]]*Table1[[#This Row],[Quantity]]</f>
        <v>74.22</v>
      </c>
      <c r="I522" s="29">
        <f>Table1[[#This Row],[Total Revenue]]/$H$5056*100</f>
        <v>7.8744263469266145E-3</v>
      </c>
      <c r="J522" s="3" t="s">
        <v>12</v>
      </c>
      <c r="K522" s="4">
        <v>10</v>
      </c>
      <c r="M522"/>
    </row>
    <row r="523" spans="1:13" x14ac:dyDescent="0.25">
      <c r="A523" s="3" t="s">
        <v>43</v>
      </c>
      <c r="B523" s="3" t="s">
        <v>243</v>
      </c>
      <c r="C523" s="3" t="s">
        <v>13</v>
      </c>
      <c r="D523" s="3" t="s">
        <v>19</v>
      </c>
      <c r="E523" s="5" t="s">
        <v>21</v>
      </c>
      <c r="F523" s="17">
        <v>15.26</v>
      </c>
      <c r="G523" s="3">
        <v>6</v>
      </c>
      <c r="H523" s="17">
        <f>Table1[[#This Row],[Unit price]]*Table1[[#This Row],[Quantity]]</f>
        <v>91.56</v>
      </c>
      <c r="I523" s="29">
        <f>Table1[[#This Row],[Total Revenue]]/$H$5056*100</f>
        <v>9.7141266009781839E-3</v>
      </c>
      <c r="J523" s="3" t="s">
        <v>17</v>
      </c>
      <c r="K523" s="4">
        <v>9.8000000000000007</v>
      </c>
      <c r="M523"/>
    </row>
    <row r="524" spans="1:13" x14ac:dyDescent="0.25">
      <c r="A524" s="3" t="s">
        <v>43</v>
      </c>
      <c r="B524" s="3" t="s">
        <v>244</v>
      </c>
      <c r="C524" s="3" t="s">
        <v>9</v>
      </c>
      <c r="D524" s="3" t="s">
        <v>19</v>
      </c>
      <c r="E524" s="5" t="s">
        <v>16</v>
      </c>
      <c r="F524" s="17">
        <v>88.31</v>
      </c>
      <c r="G524" s="3">
        <v>1</v>
      </c>
      <c r="H524" s="17">
        <f>Table1[[#This Row],[Unit price]]*Table1[[#This Row],[Quantity]]</f>
        <v>88.31</v>
      </c>
      <c r="I524" s="29">
        <f>Table1[[#This Row],[Total Revenue]]/$H$5056*100</f>
        <v>9.3693154230273419E-3</v>
      </c>
      <c r="J524" s="3" t="s">
        <v>12</v>
      </c>
      <c r="K524" s="4">
        <v>5.2</v>
      </c>
      <c r="M524"/>
    </row>
    <row r="525" spans="1:13" x14ac:dyDescent="0.25">
      <c r="A525" s="3" t="s">
        <v>43</v>
      </c>
      <c r="B525" s="3" t="s">
        <v>244</v>
      </c>
      <c r="C525" s="3" t="s">
        <v>13</v>
      </c>
      <c r="D525" s="3" t="s">
        <v>10</v>
      </c>
      <c r="E525" s="5" t="s">
        <v>14</v>
      </c>
      <c r="F525" s="17">
        <v>88.25</v>
      </c>
      <c r="G525" s="3">
        <v>9</v>
      </c>
      <c r="H525" s="17">
        <f>Table1[[#This Row],[Unit price]]*Table1[[#This Row],[Quantity]]</f>
        <v>794.25</v>
      </c>
      <c r="I525" s="29">
        <f>Table1[[#This Row],[Total Revenue]]/$H$5056*100</f>
        <v>8.4266547103832704E-2</v>
      </c>
      <c r="J525" s="3" t="s">
        <v>12</v>
      </c>
      <c r="K525" s="4">
        <v>7.6</v>
      </c>
      <c r="M525"/>
    </row>
    <row r="526" spans="1:13" x14ac:dyDescent="0.25">
      <c r="A526" s="3" t="s">
        <v>43</v>
      </c>
      <c r="B526" s="3" t="s">
        <v>244</v>
      </c>
      <c r="C526" s="3" t="s">
        <v>13</v>
      </c>
      <c r="D526" s="3" t="s">
        <v>19</v>
      </c>
      <c r="E526" s="5" t="s">
        <v>21</v>
      </c>
      <c r="F526" s="17">
        <v>57.59</v>
      </c>
      <c r="G526" s="3">
        <v>6</v>
      </c>
      <c r="H526" s="17">
        <f>Table1[[#This Row],[Unit price]]*Table1[[#This Row],[Quantity]]</f>
        <v>345.54</v>
      </c>
      <c r="I526" s="29">
        <f>Table1[[#This Row],[Total Revenue]]/$H$5056*100</f>
        <v>3.6660324439733528E-2</v>
      </c>
      <c r="J526" s="3" t="s">
        <v>15</v>
      </c>
      <c r="K526" s="4">
        <v>5.0999999999999996</v>
      </c>
      <c r="M526"/>
    </row>
    <row r="527" spans="1:13" x14ac:dyDescent="0.25">
      <c r="A527" s="3" t="s">
        <v>43</v>
      </c>
      <c r="B527" s="3" t="s">
        <v>245</v>
      </c>
      <c r="C527" s="3" t="s">
        <v>9</v>
      </c>
      <c r="D527" s="3" t="s">
        <v>10</v>
      </c>
      <c r="E527" s="5" t="s">
        <v>18</v>
      </c>
      <c r="F527" s="17">
        <v>80.48</v>
      </c>
      <c r="G527" s="3">
        <v>3</v>
      </c>
      <c r="H527" s="17">
        <f>Table1[[#This Row],[Unit price]]*Table1[[#This Row],[Quantity]]</f>
        <v>241.44</v>
      </c>
      <c r="I527" s="29">
        <f>Table1[[#This Row],[Total Revenue]]/$H$5056*100</f>
        <v>2.5615757170600401E-2</v>
      </c>
      <c r="J527" s="3" t="s">
        <v>15</v>
      </c>
      <c r="K527" s="4">
        <v>8.1</v>
      </c>
      <c r="M527"/>
    </row>
    <row r="528" spans="1:13" x14ac:dyDescent="0.25">
      <c r="A528" s="3" t="s">
        <v>43</v>
      </c>
      <c r="B528" s="3" t="s">
        <v>244</v>
      </c>
      <c r="C528" s="3" t="s">
        <v>9</v>
      </c>
      <c r="D528" s="3" t="s">
        <v>19</v>
      </c>
      <c r="E528" s="5" t="s">
        <v>20</v>
      </c>
      <c r="F528" s="17">
        <v>17.77</v>
      </c>
      <c r="G528" s="3">
        <v>5</v>
      </c>
      <c r="H528" s="17">
        <f>Table1[[#This Row],[Unit price]]*Table1[[#This Row],[Quantity]]</f>
        <v>88.85</v>
      </c>
      <c r="I528" s="29">
        <f>Table1[[#This Row],[Total Revenue]]/$H$5056*100</f>
        <v>9.4266071264407121E-3</v>
      </c>
      <c r="J528" s="3" t="s">
        <v>12</v>
      </c>
      <c r="K528" s="4">
        <v>5.4</v>
      </c>
      <c r="M528"/>
    </row>
    <row r="529" spans="1:13" x14ac:dyDescent="0.25">
      <c r="A529" s="3" t="s">
        <v>43</v>
      </c>
      <c r="B529" s="3" t="s">
        <v>245</v>
      </c>
      <c r="C529" s="3" t="s">
        <v>9</v>
      </c>
      <c r="D529" s="3" t="s">
        <v>10</v>
      </c>
      <c r="E529" s="5" t="s">
        <v>18</v>
      </c>
      <c r="F529" s="17">
        <v>99.3</v>
      </c>
      <c r="G529" s="3">
        <v>10</v>
      </c>
      <c r="H529" s="17">
        <f>Table1[[#This Row],[Unit price]]*Table1[[#This Row],[Quantity]]</f>
        <v>993</v>
      </c>
      <c r="I529" s="29">
        <f>Table1[[#This Row],[Total Revenue]]/$H$5056*100</f>
        <v>0.10535307683236497</v>
      </c>
      <c r="J529" s="3" t="s">
        <v>12</v>
      </c>
      <c r="K529" s="4">
        <v>6.6</v>
      </c>
      <c r="M529"/>
    </row>
    <row r="530" spans="1:13" x14ac:dyDescent="0.25">
      <c r="A530" s="3" t="s">
        <v>43</v>
      </c>
      <c r="B530" s="3" t="s">
        <v>243</v>
      </c>
      <c r="C530" s="3" t="s">
        <v>13</v>
      </c>
      <c r="D530" s="3" t="s">
        <v>19</v>
      </c>
      <c r="E530" s="5" t="s">
        <v>18</v>
      </c>
      <c r="F530" s="17">
        <v>51.94</v>
      </c>
      <c r="G530" s="3">
        <v>3</v>
      </c>
      <c r="H530" s="17">
        <f>Table1[[#This Row],[Unit price]]*Table1[[#This Row],[Quantity]]</f>
        <v>155.82</v>
      </c>
      <c r="I530" s="29">
        <f>Table1[[#This Row],[Total Revenue]]/$H$5056*100</f>
        <v>1.6531839307169293E-2</v>
      </c>
      <c r="J530" s="3" t="s">
        <v>15</v>
      </c>
      <c r="K530" s="4">
        <v>7.9</v>
      </c>
      <c r="M530"/>
    </row>
    <row r="531" spans="1:13" x14ac:dyDescent="0.25">
      <c r="A531" s="3" t="s">
        <v>44</v>
      </c>
      <c r="B531" s="3" t="s">
        <v>245</v>
      </c>
      <c r="C531" s="3" t="s">
        <v>9</v>
      </c>
      <c r="D531" s="3" t="s">
        <v>10</v>
      </c>
      <c r="E531" s="5" t="s">
        <v>21</v>
      </c>
      <c r="F531" s="17">
        <v>47.71</v>
      </c>
      <c r="G531" s="3">
        <v>6</v>
      </c>
      <c r="H531" s="17">
        <f>Table1[[#This Row],[Unit price]]*Table1[[#This Row],[Quantity]]</f>
        <v>286.26</v>
      </c>
      <c r="I531" s="29">
        <f>Table1[[#This Row],[Total Revenue]]/$H$5056*100</f>
        <v>3.0370968553910166E-2</v>
      </c>
      <c r="J531" s="3" t="s">
        <v>17</v>
      </c>
      <c r="K531" s="4">
        <v>4.4000000000000004</v>
      </c>
      <c r="M531"/>
    </row>
    <row r="532" spans="1:13" x14ac:dyDescent="0.25">
      <c r="A532" s="3" t="s">
        <v>44</v>
      </c>
      <c r="B532" s="3" t="s">
        <v>243</v>
      </c>
      <c r="C532" s="3" t="s">
        <v>9</v>
      </c>
      <c r="D532" s="3" t="s">
        <v>19</v>
      </c>
      <c r="E532" s="5" t="s">
        <v>11</v>
      </c>
      <c r="F532" s="17">
        <v>24.82</v>
      </c>
      <c r="G532" s="3">
        <v>7</v>
      </c>
      <c r="H532" s="17">
        <f>Table1[[#This Row],[Unit price]]*Table1[[#This Row],[Quantity]]</f>
        <v>173.74</v>
      </c>
      <c r="I532" s="29">
        <f>Table1[[#This Row],[Total Revenue]]/$H$5056*100</f>
        <v>1.8433075094516707E-2</v>
      </c>
      <c r="J532" s="3" t="s">
        <v>12</v>
      </c>
      <c r="K532" s="4">
        <v>7.1</v>
      </c>
      <c r="M532"/>
    </row>
    <row r="533" spans="1:13" x14ac:dyDescent="0.25">
      <c r="A533" s="3" t="s">
        <v>44</v>
      </c>
      <c r="B533" s="3" t="s">
        <v>245</v>
      </c>
      <c r="C533" s="3" t="s">
        <v>9</v>
      </c>
      <c r="D533" s="3" t="s">
        <v>19</v>
      </c>
      <c r="E533" s="5" t="s">
        <v>14</v>
      </c>
      <c r="F533" s="17">
        <v>12.05</v>
      </c>
      <c r="G533" s="3">
        <v>5</v>
      </c>
      <c r="H533" s="17">
        <f>Table1[[#This Row],[Unit price]]*Table1[[#This Row],[Quantity]]</f>
        <v>60.25</v>
      </c>
      <c r="I533" s="29">
        <f>Table1[[#This Row],[Total Revenue]]/$H$5056*100</f>
        <v>6.3922687604733028E-3</v>
      </c>
      <c r="J533" s="3" t="s">
        <v>17</v>
      </c>
      <c r="K533" s="4">
        <v>5.5</v>
      </c>
      <c r="M533"/>
    </row>
    <row r="534" spans="1:13" x14ac:dyDescent="0.25">
      <c r="A534" s="3" t="s">
        <v>44</v>
      </c>
      <c r="B534" s="3" t="s">
        <v>244</v>
      </c>
      <c r="C534" s="3" t="s">
        <v>13</v>
      </c>
      <c r="D534" s="3" t="s">
        <v>19</v>
      </c>
      <c r="E534" s="5" t="s">
        <v>16</v>
      </c>
      <c r="F534" s="17">
        <v>51.91</v>
      </c>
      <c r="G534" s="3">
        <v>10</v>
      </c>
      <c r="H534" s="17">
        <f>Table1[[#This Row],[Unit price]]*Table1[[#This Row],[Quantity]]</f>
        <v>519.09999999999991</v>
      </c>
      <c r="I534" s="29">
        <f>Table1[[#This Row],[Total Revenue]]/$H$5056*100</f>
        <v>5.5074302299779096E-2</v>
      </c>
      <c r="J534" s="3" t="s">
        <v>15</v>
      </c>
      <c r="K534" s="4">
        <v>8.1999999999999993</v>
      </c>
      <c r="M534"/>
    </row>
    <row r="535" spans="1:13" x14ac:dyDescent="0.25">
      <c r="A535" s="3" t="s">
        <v>44</v>
      </c>
      <c r="B535" s="3" t="s">
        <v>244</v>
      </c>
      <c r="C535" s="3" t="s">
        <v>13</v>
      </c>
      <c r="D535" s="3" t="s">
        <v>10</v>
      </c>
      <c r="E535" s="5" t="s">
        <v>18</v>
      </c>
      <c r="F535" s="17">
        <v>36.51</v>
      </c>
      <c r="G535" s="3">
        <v>9</v>
      </c>
      <c r="H535" s="17">
        <f>Table1[[#This Row],[Unit price]]*Table1[[#This Row],[Quantity]]</f>
        <v>328.59</v>
      </c>
      <c r="I535" s="29">
        <f>Table1[[#This Row],[Total Revenue]]/$H$5056*100</f>
        <v>3.4862001527036057E-2</v>
      </c>
      <c r="J535" s="3" t="s">
        <v>15</v>
      </c>
      <c r="K535" s="4">
        <v>4.2</v>
      </c>
      <c r="M535"/>
    </row>
    <row r="536" spans="1:13" x14ac:dyDescent="0.25">
      <c r="A536" s="3" t="s">
        <v>44</v>
      </c>
      <c r="B536" s="3" t="s">
        <v>244</v>
      </c>
      <c r="C536" s="3" t="s">
        <v>9</v>
      </c>
      <c r="D536" s="3" t="s">
        <v>19</v>
      </c>
      <c r="E536" s="5" t="s">
        <v>18</v>
      </c>
      <c r="F536" s="17">
        <v>60.18</v>
      </c>
      <c r="G536" s="3">
        <v>4</v>
      </c>
      <c r="H536" s="17">
        <f>Table1[[#This Row],[Unit price]]*Table1[[#This Row],[Quantity]]</f>
        <v>240.72</v>
      </c>
      <c r="I536" s="29">
        <f>Table1[[#This Row],[Total Revenue]]/$H$5056*100</f>
        <v>2.5539368232715905E-2</v>
      </c>
      <c r="J536" s="3" t="s">
        <v>12</v>
      </c>
      <c r="K536" s="4">
        <v>9.4</v>
      </c>
      <c r="M536"/>
    </row>
    <row r="537" spans="1:13" x14ac:dyDescent="0.25">
      <c r="A537" s="3" t="s">
        <v>44</v>
      </c>
      <c r="B537" s="3" t="s">
        <v>245</v>
      </c>
      <c r="C537" s="3" t="s">
        <v>9</v>
      </c>
      <c r="D537" s="3" t="s">
        <v>10</v>
      </c>
      <c r="E537" s="5" t="s">
        <v>18</v>
      </c>
      <c r="F537" s="17">
        <v>97.79</v>
      </c>
      <c r="G537" s="3">
        <v>7</v>
      </c>
      <c r="H537" s="17">
        <f>Table1[[#This Row],[Unit price]]*Table1[[#This Row],[Quantity]]</f>
        <v>684.53000000000009</v>
      </c>
      <c r="I537" s="29">
        <f>Table1[[#This Row],[Total Revenue]]/$H$5056*100</f>
        <v>7.262572173621229E-2</v>
      </c>
      <c r="J537" s="3" t="s">
        <v>17</v>
      </c>
      <c r="K537" s="4">
        <v>4.9000000000000004</v>
      </c>
      <c r="M537"/>
    </row>
    <row r="538" spans="1:13" x14ac:dyDescent="0.25">
      <c r="A538" s="3" t="s">
        <v>44</v>
      </c>
      <c r="B538" s="3" t="s">
        <v>244</v>
      </c>
      <c r="C538" s="3" t="s">
        <v>9</v>
      </c>
      <c r="D538" s="3" t="s">
        <v>19</v>
      </c>
      <c r="E538" s="5" t="s">
        <v>18</v>
      </c>
      <c r="F538" s="17">
        <v>91.35</v>
      </c>
      <c r="G538" s="3">
        <v>1</v>
      </c>
      <c r="H538" s="17">
        <f>Table1[[#This Row],[Unit price]]*Table1[[#This Row],[Quantity]]</f>
        <v>91.35</v>
      </c>
      <c r="I538" s="29">
        <f>Table1[[#This Row],[Total Revenue]]/$H$5056*100</f>
        <v>9.6918464940952062E-3</v>
      </c>
      <c r="J538" s="3" t="s">
        <v>15</v>
      </c>
      <c r="K538" s="4">
        <v>6.8</v>
      </c>
      <c r="M538"/>
    </row>
    <row r="539" spans="1:13" x14ac:dyDescent="0.25">
      <c r="A539" s="3" t="s">
        <v>45</v>
      </c>
      <c r="B539" s="3" t="s">
        <v>245</v>
      </c>
      <c r="C539" s="3" t="s">
        <v>13</v>
      </c>
      <c r="D539" s="3" t="s">
        <v>10</v>
      </c>
      <c r="E539" s="5" t="s">
        <v>16</v>
      </c>
      <c r="F539" s="17">
        <v>46.66</v>
      </c>
      <c r="G539" s="3">
        <v>9</v>
      </c>
      <c r="H539" s="17">
        <f>Table1[[#This Row],[Unit price]]*Table1[[#This Row],[Quantity]]</f>
        <v>419.93999999999994</v>
      </c>
      <c r="I539" s="29">
        <f>Table1[[#This Row],[Total Revenue]]/$H$5056*100</f>
        <v>4.4553848021131257E-2</v>
      </c>
      <c r="J539" s="3" t="s">
        <v>17</v>
      </c>
      <c r="K539" s="4">
        <v>5.3</v>
      </c>
      <c r="M539"/>
    </row>
    <row r="540" spans="1:13" x14ac:dyDescent="0.25">
      <c r="A540" s="3" t="s">
        <v>45</v>
      </c>
      <c r="B540" s="3" t="s">
        <v>244</v>
      </c>
      <c r="C540" s="3" t="s">
        <v>9</v>
      </c>
      <c r="D540" s="3" t="s">
        <v>10</v>
      </c>
      <c r="E540" s="5" t="s">
        <v>14</v>
      </c>
      <c r="F540" s="17">
        <v>35.74</v>
      </c>
      <c r="G540" s="3">
        <v>8</v>
      </c>
      <c r="H540" s="17">
        <f>Table1[[#This Row],[Unit price]]*Table1[[#This Row],[Quantity]]</f>
        <v>285.92</v>
      </c>
      <c r="I540" s="29">
        <f>Table1[[#This Row],[Total Revenue]]/$H$5056*100</f>
        <v>3.0334895999909156E-2</v>
      </c>
      <c r="J540" s="3" t="s">
        <v>17</v>
      </c>
      <c r="K540" s="4">
        <v>4.9000000000000004</v>
      </c>
      <c r="M540"/>
    </row>
    <row r="541" spans="1:13" x14ac:dyDescent="0.25">
      <c r="A541" s="3" t="s">
        <v>45</v>
      </c>
      <c r="B541" s="3" t="s">
        <v>245</v>
      </c>
      <c r="C541" s="3" t="s">
        <v>9</v>
      </c>
      <c r="D541" s="3" t="s">
        <v>10</v>
      </c>
      <c r="E541" s="5" t="s">
        <v>16</v>
      </c>
      <c r="F541" s="17">
        <v>67.989999999999995</v>
      </c>
      <c r="G541" s="3">
        <v>7</v>
      </c>
      <c r="H541" s="17">
        <f>Table1[[#This Row],[Unit price]]*Table1[[#This Row],[Quantity]]</f>
        <v>475.92999999999995</v>
      </c>
      <c r="I541" s="29">
        <f>Table1[[#This Row],[Total Revenue]]/$H$5056*100</f>
        <v>5.0494148899121308E-2</v>
      </c>
      <c r="J541" s="3" t="s">
        <v>17</v>
      </c>
      <c r="K541" s="4">
        <v>5.7</v>
      </c>
      <c r="M541"/>
    </row>
    <row r="542" spans="1:13" x14ac:dyDescent="0.25">
      <c r="A542" s="3" t="s">
        <v>45</v>
      </c>
      <c r="B542" s="3" t="s">
        <v>243</v>
      </c>
      <c r="C542" s="3" t="s">
        <v>9</v>
      </c>
      <c r="D542" s="3" t="s">
        <v>10</v>
      </c>
      <c r="E542" s="5" t="s">
        <v>20</v>
      </c>
      <c r="F542" s="17">
        <v>88.79</v>
      </c>
      <c r="G542" s="3">
        <v>8</v>
      </c>
      <c r="H542" s="17">
        <f>Table1[[#This Row],[Unit price]]*Table1[[#This Row],[Quantity]]</f>
        <v>710.32</v>
      </c>
      <c r="I542" s="29">
        <f>Table1[[#This Row],[Total Revenue]]/$H$5056*100</f>
        <v>7.5361931052936038E-2</v>
      </c>
      <c r="J542" s="3" t="s">
        <v>15</v>
      </c>
      <c r="K542" s="4">
        <v>4.0999999999999996</v>
      </c>
      <c r="M542"/>
    </row>
    <row r="543" spans="1:13" x14ac:dyDescent="0.25">
      <c r="A543" s="3" t="s">
        <v>45</v>
      </c>
      <c r="B543" s="3" t="s">
        <v>245</v>
      </c>
      <c r="C543" s="3" t="s">
        <v>13</v>
      </c>
      <c r="D543" s="3" t="s">
        <v>19</v>
      </c>
      <c r="E543" s="5" t="s">
        <v>14</v>
      </c>
      <c r="F543" s="17">
        <v>11.81</v>
      </c>
      <c r="G543" s="3">
        <v>5</v>
      </c>
      <c r="H543" s="17">
        <f>Table1[[#This Row],[Unit price]]*Table1[[#This Row],[Quantity]]</f>
        <v>59.050000000000004</v>
      </c>
      <c r="I543" s="29">
        <f>Table1[[#This Row],[Total Revenue]]/$H$5056*100</f>
        <v>6.2649538639991459E-3</v>
      </c>
      <c r="J543" s="3" t="s">
        <v>15</v>
      </c>
      <c r="K543" s="4">
        <v>9.4</v>
      </c>
      <c r="M543"/>
    </row>
    <row r="544" spans="1:13" x14ac:dyDescent="0.25">
      <c r="A544" s="3" t="s">
        <v>45</v>
      </c>
      <c r="B544" s="3" t="s">
        <v>243</v>
      </c>
      <c r="C544" s="3" t="s">
        <v>9</v>
      </c>
      <c r="D544" s="3" t="s">
        <v>19</v>
      </c>
      <c r="E544" s="5" t="s">
        <v>11</v>
      </c>
      <c r="F544" s="17">
        <v>80.959999999999994</v>
      </c>
      <c r="G544" s="3">
        <v>8</v>
      </c>
      <c r="H544" s="17">
        <f>Table1[[#This Row],[Unit price]]*Table1[[#This Row],[Quantity]]</f>
        <v>647.67999999999995</v>
      </c>
      <c r="I544" s="29">
        <f>Table1[[#This Row],[Total Revenue]]/$H$5056*100</f>
        <v>6.8716093456985039E-2</v>
      </c>
      <c r="J544" s="3" t="s">
        <v>12</v>
      </c>
      <c r="K544" s="4">
        <v>7.4</v>
      </c>
      <c r="M544"/>
    </row>
    <row r="545" spans="1:13" x14ac:dyDescent="0.25">
      <c r="A545" s="3" t="s">
        <v>45</v>
      </c>
      <c r="B545" s="3" t="s">
        <v>244</v>
      </c>
      <c r="C545" s="3" t="s">
        <v>9</v>
      </c>
      <c r="D545" s="3" t="s">
        <v>19</v>
      </c>
      <c r="E545" s="5" t="s">
        <v>14</v>
      </c>
      <c r="F545" s="17">
        <v>87.45</v>
      </c>
      <c r="G545" s="3">
        <v>6</v>
      </c>
      <c r="H545" s="17">
        <f>Table1[[#This Row],[Unit price]]*Table1[[#This Row],[Quantity]]</f>
        <v>524.70000000000005</v>
      </c>
      <c r="I545" s="29">
        <f>Table1[[#This Row],[Total Revenue]]/$H$5056*100</f>
        <v>5.5668438483325186E-2</v>
      </c>
      <c r="J545" s="3" t="s">
        <v>12</v>
      </c>
      <c r="K545" s="4">
        <v>8.8000000000000007</v>
      </c>
      <c r="M545"/>
    </row>
    <row r="546" spans="1:13" x14ac:dyDescent="0.25">
      <c r="A546" s="3" t="s">
        <v>45</v>
      </c>
      <c r="B546" s="3" t="s">
        <v>243</v>
      </c>
      <c r="C546" s="3" t="s">
        <v>13</v>
      </c>
      <c r="D546" s="3" t="s">
        <v>19</v>
      </c>
      <c r="E546" s="5" t="s">
        <v>14</v>
      </c>
      <c r="F546" s="17">
        <v>34.56</v>
      </c>
      <c r="G546" s="3">
        <v>5</v>
      </c>
      <c r="H546" s="17">
        <f>Table1[[#This Row],[Unit price]]*Table1[[#This Row],[Quantity]]</f>
        <v>172.8</v>
      </c>
      <c r="I546" s="29">
        <f>Table1[[#This Row],[Total Revenue]]/$H$5056*100</f>
        <v>1.833334509227862E-2</v>
      </c>
      <c r="J546" s="3" t="s">
        <v>17</v>
      </c>
      <c r="K546" s="4">
        <v>9.9</v>
      </c>
      <c r="M546"/>
    </row>
    <row r="547" spans="1:13" x14ac:dyDescent="0.25">
      <c r="A547" s="3" t="s">
        <v>45</v>
      </c>
      <c r="B547" s="3" t="s">
        <v>243</v>
      </c>
      <c r="C547" s="3" t="s">
        <v>13</v>
      </c>
      <c r="D547" s="3" t="s">
        <v>19</v>
      </c>
      <c r="E547" s="5" t="s">
        <v>11</v>
      </c>
      <c r="F547" s="17">
        <v>32.9</v>
      </c>
      <c r="G547" s="3">
        <v>3</v>
      </c>
      <c r="H547" s="17">
        <f>Table1[[#This Row],[Unit price]]*Table1[[#This Row],[Quantity]]</f>
        <v>98.699999999999989</v>
      </c>
      <c r="I547" s="29">
        <f>Table1[[#This Row],[Total Revenue]]/$H$5056*100</f>
        <v>1.0471650234999417E-2</v>
      </c>
      <c r="J547" s="3" t="s">
        <v>12</v>
      </c>
      <c r="K547" s="4">
        <v>9.1</v>
      </c>
      <c r="M547"/>
    </row>
    <row r="548" spans="1:13" x14ac:dyDescent="0.25">
      <c r="A548" s="3" t="s">
        <v>45</v>
      </c>
      <c r="B548" s="3" t="s">
        <v>245</v>
      </c>
      <c r="C548" s="3" t="s">
        <v>9</v>
      </c>
      <c r="D548" s="3" t="s">
        <v>10</v>
      </c>
      <c r="E548" s="5" t="s">
        <v>11</v>
      </c>
      <c r="F548" s="17">
        <v>71.39</v>
      </c>
      <c r="G548" s="3">
        <v>5</v>
      </c>
      <c r="H548" s="17">
        <f>Table1[[#This Row],[Unit price]]*Table1[[#This Row],[Quantity]]</f>
        <v>356.95</v>
      </c>
      <c r="I548" s="29">
        <f>Table1[[#This Row],[Total Revenue]]/$H$5056*100</f>
        <v>3.7870876913708634E-2</v>
      </c>
      <c r="J548" s="3" t="s">
        <v>12</v>
      </c>
      <c r="K548" s="4">
        <v>5.5</v>
      </c>
      <c r="M548"/>
    </row>
    <row r="549" spans="1:13" x14ac:dyDescent="0.25">
      <c r="A549" s="3" t="s">
        <v>45</v>
      </c>
      <c r="B549" s="3" t="s">
        <v>243</v>
      </c>
      <c r="C549" s="3" t="s">
        <v>13</v>
      </c>
      <c r="D549" s="3" t="s">
        <v>19</v>
      </c>
      <c r="E549" s="5" t="s">
        <v>16</v>
      </c>
      <c r="F549" s="17">
        <v>98.09</v>
      </c>
      <c r="G549" s="3">
        <v>9</v>
      </c>
      <c r="H549" s="17">
        <f>Table1[[#This Row],[Unit price]]*Table1[[#This Row],[Quantity]]</f>
        <v>882.81000000000006</v>
      </c>
      <c r="I549" s="29">
        <f>Table1[[#This Row],[Total Revenue]]/$H$5056*100</f>
        <v>9.3662386463625513E-2</v>
      </c>
      <c r="J549" s="3" t="s">
        <v>15</v>
      </c>
      <c r="K549" s="4">
        <v>9.3000000000000007</v>
      </c>
      <c r="M549"/>
    </row>
    <row r="550" spans="1:13" x14ac:dyDescent="0.25">
      <c r="A550" s="3" t="s">
        <v>45</v>
      </c>
      <c r="B550" s="3" t="s">
        <v>243</v>
      </c>
      <c r="C550" s="3" t="s">
        <v>9</v>
      </c>
      <c r="D550" s="3" t="s">
        <v>10</v>
      </c>
      <c r="E550" s="5" t="s">
        <v>21</v>
      </c>
      <c r="F550" s="17">
        <v>92.09</v>
      </c>
      <c r="G550" s="3">
        <v>3</v>
      </c>
      <c r="H550" s="17">
        <f>Table1[[#This Row],[Unit price]]*Table1[[#This Row],[Quantity]]</f>
        <v>276.27</v>
      </c>
      <c r="I550" s="29">
        <f>Table1[[#This Row],[Total Revenue]]/$H$5056*100</f>
        <v>2.931107204076281E-2</v>
      </c>
      <c r="J550" s="3" t="s">
        <v>15</v>
      </c>
      <c r="K550" s="4">
        <v>4.2</v>
      </c>
      <c r="M550"/>
    </row>
    <row r="551" spans="1:13" x14ac:dyDescent="0.25">
      <c r="A551" s="3" t="s">
        <v>45</v>
      </c>
      <c r="B551" s="3" t="s">
        <v>243</v>
      </c>
      <c r="C551" s="3" t="s">
        <v>13</v>
      </c>
      <c r="D551" s="3" t="s">
        <v>19</v>
      </c>
      <c r="E551" s="5" t="s">
        <v>18</v>
      </c>
      <c r="F551" s="17">
        <v>45.38</v>
      </c>
      <c r="G551" s="3">
        <v>3</v>
      </c>
      <c r="H551" s="17">
        <f>Table1[[#This Row],[Unit price]]*Table1[[#This Row],[Quantity]]</f>
        <v>136.14000000000001</v>
      </c>
      <c r="I551" s="29">
        <f>Table1[[#This Row],[Total Revenue]]/$H$5056*100</f>
        <v>1.4443875004993119E-2</v>
      </c>
      <c r="J551" s="3" t="s">
        <v>12</v>
      </c>
      <c r="K551" s="4">
        <v>7.2</v>
      </c>
      <c r="M551"/>
    </row>
    <row r="552" spans="1:13" x14ac:dyDescent="0.25">
      <c r="A552" s="3" t="s">
        <v>46</v>
      </c>
      <c r="B552" s="3" t="s">
        <v>243</v>
      </c>
      <c r="C552" s="3" t="s">
        <v>9</v>
      </c>
      <c r="D552" s="3" t="s">
        <v>10</v>
      </c>
      <c r="E552" s="5" t="s">
        <v>20</v>
      </c>
      <c r="F552" s="17">
        <v>34.42</v>
      </c>
      <c r="G552" s="3">
        <v>6</v>
      </c>
      <c r="H552" s="17">
        <f>Table1[[#This Row],[Unit price]]*Table1[[#This Row],[Quantity]]</f>
        <v>206.52</v>
      </c>
      <c r="I552" s="29">
        <f>Table1[[#This Row],[Total Revenue]]/$H$5056*100</f>
        <v>2.1910893683202433E-2</v>
      </c>
      <c r="J552" s="3" t="s">
        <v>15</v>
      </c>
      <c r="K552" s="4">
        <v>9.8000000000000007</v>
      </c>
      <c r="M552"/>
    </row>
    <row r="553" spans="1:13" x14ac:dyDescent="0.25">
      <c r="A553" s="3" t="s">
        <v>46</v>
      </c>
      <c r="B553" s="3" t="s">
        <v>245</v>
      </c>
      <c r="C553" s="3" t="s">
        <v>13</v>
      </c>
      <c r="D553" s="3" t="s">
        <v>19</v>
      </c>
      <c r="E553" s="5" t="s">
        <v>18</v>
      </c>
      <c r="F553" s="17">
        <v>90.22</v>
      </c>
      <c r="G553" s="3">
        <v>3</v>
      </c>
      <c r="H553" s="17">
        <f>Table1[[#This Row],[Unit price]]*Table1[[#This Row],[Quantity]]</f>
        <v>270.65999999999997</v>
      </c>
      <c r="I553" s="29">
        <f>Table1[[#This Row],[Total Revenue]]/$H$5056*100</f>
        <v>2.8715874899746124E-2</v>
      </c>
      <c r="J553" s="3" t="s">
        <v>15</v>
      </c>
      <c r="K553" s="4">
        <v>6.2</v>
      </c>
      <c r="M553"/>
    </row>
    <row r="554" spans="1:13" x14ac:dyDescent="0.25">
      <c r="A554" s="3" t="s">
        <v>46</v>
      </c>
      <c r="B554" s="3" t="s">
        <v>244</v>
      </c>
      <c r="C554" s="3" t="s">
        <v>13</v>
      </c>
      <c r="D554" s="3" t="s">
        <v>10</v>
      </c>
      <c r="E554" s="5" t="s">
        <v>21</v>
      </c>
      <c r="F554" s="17">
        <v>14.76</v>
      </c>
      <c r="G554" s="3">
        <v>2</v>
      </c>
      <c r="H554" s="17">
        <f>Table1[[#This Row],[Unit price]]*Table1[[#This Row],[Quantity]]</f>
        <v>29.52</v>
      </c>
      <c r="I554" s="29">
        <f>Table1[[#This Row],[Total Revenue]]/$H$5056*100</f>
        <v>3.1319464532642643E-3</v>
      </c>
      <c r="J554" s="3" t="s">
        <v>17</v>
      </c>
      <c r="K554" s="4">
        <v>4.3</v>
      </c>
      <c r="M554"/>
    </row>
    <row r="555" spans="1:13" x14ac:dyDescent="0.25">
      <c r="A555" s="3" t="s">
        <v>46</v>
      </c>
      <c r="B555" s="3" t="s">
        <v>245</v>
      </c>
      <c r="C555" s="3" t="s">
        <v>9</v>
      </c>
      <c r="D555" s="3" t="s">
        <v>10</v>
      </c>
      <c r="E555" s="5" t="s">
        <v>14</v>
      </c>
      <c r="F555" s="17">
        <v>60.95</v>
      </c>
      <c r="G555" s="3">
        <v>1</v>
      </c>
      <c r="H555" s="17">
        <f>Table1[[#This Row],[Unit price]]*Table1[[#This Row],[Quantity]]</f>
        <v>60.95</v>
      </c>
      <c r="I555" s="29">
        <f>Table1[[#This Row],[Total Revenue]]/$H$5056*100</f>
        <v>6.4665357834165615E-3</v>
      </c>
      <c r="J555" s="3" t="s">
        <v>17</v>
      </c>
      <c r="K555" s="4">
        <v>5.9</v>
      </c>
      <c r="M555"/>
    </row>
    <row r="556" spans="1:13" x14ac:dyDescent="0.25">
      <c r="A556" s="3" t="s">
        <v>46</v>
      </c>
      <c r="B556" s="3" t="s">
        <v>243</v>
      </c>
      <c r="C556" s="3" t="s">
        <v>9</v>
      </c>
      <c r="D556" s="3" t="s">
        <v>10</v>
      </c>
      <c r="E556" s="5" t="s">
        <v>18</v>
      </c>
      <c r="F556" s="17">
        <v>88.34</v>
      </c>
      <c r="G556" s="3">
        <v>7</v>
      </c>
      <c r="H556" s="17">
        <f>Table1[[#This Row],[Unit price]]*Table1[[#This Row],[Quantity]]</f>
        <v>618.38</v>
      </c>
      <c r="I556" s="29">
        <f>Table1[[#This Row],[Total Revenue]]/$H$5056*100</f>
        <v>6.5607488068074371E-2</v>
      </c>
      <c r="J556" s="3" t="s">
        <v>15</v>
      </c>
      <c r="K556" s="4">
        <v>6.6</v>
      </c>
      <c r="M556"/>
    </row>
    <row r="557" spans="1:13" x14ac:dyDescent="0.25">
      <c r="A557" s="3" t="s">
        <v>46</v>
      </c>
      <c r="B557" s="3" t="s">
        <v>245</v>
      </c>
      <c r="C557" s="3" t="s">
        <v>9</v>
      </c>
      <c r="D557" s="3" t="s">
        <v>19</v>
      </c>
      <c r="E557" s="5" t="s">
        <v>21</v>
      </c>
      <c r="F557" s="17">
        <v>44.07</v>
      </c>
      <c r="G557" s="3">
        <v>4</v>
      </c>
      <c r="H557" s="17">
        <f>Table1[[#This Row],[Unit price]]*Table1[[#This Row],[Quantity]]</f>
        <v>176.28</v>
      </c>
      <c r="I557" s="29">
        <f>Table1[[#This Row],[Total Revenue]]/$H$5056*100</f>
        <v>1.8702558292053671E-2</v>
      </c>
      <c r="J557" s="3" t="s">
        <v>17</v>
      </c>
      <c r="K557" s="4">
        <v>8.4</v>
      </c>
      <c r="M557"/>
    </row>
    <row r="558" spans="1:13" x14ac:dyDescent="0.25">
      <c r="A558" s="3" t="s">
        <v>46</v>
      </c>
      <c r="B558" s="3" t="s">
        <v>243</v>
      </c>
      <c r="C558" s="3" t="s">
        <v>9</v>
      </c>
      <c r="D558" s="3" t="s">
        <v>10</v>
      </c>
      <c r="E558" s="5" t="s">
        <v>14</v>
      </c>
      <c r="F558" s="17">
        <v>62.48</v>
      </c>
      <c r="G558" s="3">
        <v>1</v>
      </c>
      <c r="H558" s="17">
        <f>Table1[[#This Row],[Unit price]]*Table1[[#This Row],[Quantity]]</f>
        <v>62.48</v>
      </c>
      <c r="I558" s="29">
        <f>Table1[[#This Row],[Total Revenue]]/$H$5056*100</f>
        <v>6.6288622764211101E-3</v>
      </c>
      <c r="J558" s="3" t="s">
        <v>15</v>
      </c>
      <c r="K558" s="4">
        <v>4.7</v>
      </c>
      <c r="M558"/>
    </row>
    <row r="559" spans="1:13" x14ac:dyDescent="0.25">
      <c r="A559" s="3" t="s">
        <v>47</v>
      </c>
      <c r="B559" s="3" t="s">
        <v>243</v>
      </c>
      <c r="C559" s="3" t="s">
        <v>13</v>
      </c>
      <c r="D559" s="3" t="s">
        <v>10</v>
      </c>
      <c r="E559" s="5" t="s">
        <v>18</v>
      </c>
      <c r="F559" s="17">
        <v>98.48</v>
      </c>
      <c r="G559" s="3">
        <v>2</v>
      </c>
      <c r="H559" s="17">
        <f>Table1[[#This Row],[Unit price]]*Table1[[#This Row],[Quantity]]</f>
        <v>196.96</v>
      </c>
      <c r="I559" s="29">
        <f>Table1[[#This Row],[Total Revenue]]/$H$5056*100</f>
        <v>2.0896618341291646E-2</v>
      </c>
      <c r="J559" s="3" t="s">
        <v>17</v>
      </c>
      <c r="K559" s="4">
        <v>9.1999999999999993</v>
      </c>
      <c r="M559"/>
    </row>
    <row r="560" spans="1:13" x14ac:dyDescent="0.25">
      <c r="A560" s="3" t="s">
        <v>47</v>
      </c>
      <c r="B560" s="3" t="s">
        <v>243</v>
      </c>
      <c r="C560" s="3" t="s">
        <v>9</v>
      </c>
      <c r="D560" s="3" t="s">
        <v>10</v>
      </c>
      <c r="E560" s="5" t="s">
        <v>11</v>
      </c>
      <c r="F560" s="17">
        <v>98.66</v>
      </c>
      <c r="G560" s="3">
        <v>9</v>
      </c>
      <c r="H560" s="17">
        <f>Table1[[#This Row],[Unit price]]*Table1[[#This Row],[Quantity]]</f>
        <v>887.93999999999994</v>
      </c>
      <c r="I560" s="29">
        <f>Table1[[#This Row],[Total Revenue]]/$H$5056*100</f>
        <v>9.4206657646052516E-2</v>
      </c>
      <c r="J560" s="3" t="s">
        <v>15</v>
      </c>
      <c r="K560" s="4">
        <v>8.4</v>
      </c>
      <c r="M560"/>
    </row>
    <row r="561" spans="1:13" x14ac:dyDescent="0.25">
      <c r="A561" s="3" t="s">
        <v>47</v>
      </c>
      <c r="B561" s="3" t="s">
        <v>243</v>
      </c>
      <c r="C561" s="3" t="s">
        <v>13</v>
      </c>
      <c r="D561" s="3" t="s">
        <v>19</v>
      </c>
      <c r="E561" s="5" t="s">
        <v>21</v>
      </c>
      <c r="F561" s="17">
        <v>50.79</v>
      </c>
      <c r="G561" s="3">
        <v>5</v>
      </c>
      <c r="H561" s="17">
        <f>Table1[[#This Row],[Unit price]]*Table1[[#This Row],[Quantity]]</f>
        <v>253.95</v>
      </c>
      <c r="I561" s="29">
        <f>Table1[[#This Row],[Total Revenue]]/$H$5056*100</f>
        <v>2.6943014966343489E-2</v>
      </c>
      <c r="J561" s="3" t="s">
        <v>12</v>
      </c>
      <c r="K561" s="4">
        <v>5.3</v>
      </c>
      <c r="M561"/>
    </row>
    <row r="562" spans="1:13" x14ac:dyDescent="0.25">
      <c r="A562" s="3" t="s">
        <v>47</v>
      </c>
      <c r="B562" s="3" t="s">
        <v>245</v>
      </c>
      <c r="C562" s="3" t="s">
        <v>13</v>
      </c>
      <c r="D562" s="3" t="s">
        <v>19</v>
      </c>
      <c r="E562" s="5" t="s">
        <v>14</v>
      </c>
      <c r="F562" s="17">
        <v>71.89</v>
      </c>
      <c r="G562" s="3">
        <v>8</v>
      </c>
      <c r="H562" s="17">
        <f>Table1[[#This Row],[Unit price]]*Table1[[#This Row],[Quantity]]</f>
        <v>575.12</v>
      </c>
      <c r="I562" s="29">
        <f>Table1[[#This Row],[Total Revenue]]/$H$5056*100</f>
        <v>6.1017786050181003E-2</v>
      </c>
      <c r="J562" s="3" t="s">
        <v>17</v>
      </c>
      <c r="K562" s="4">
        <v>5.5</v>
      </c>
      <c r="M562"/>
    </row>
    <row r="563" spans="1:13" x14ac:dyDescent="0.25">
      <c r="A563" s="3" t="s">
        <v>47</v>
      </c>
      <c r="B563" s="3" t="s">
        <v>245</v>
      </c>
      <c r="C563" s="3" t="s">
        <v>13</v>
      </c>
      <c r="D563" s="3" t="s">
        <v>19</v>
      </c>
      <c r="E563" s="5" t="s">
        <v>21</v>
      </c>
      <c r="F563" s="17">
        <v>21.8</v>
      </c>
      <c r="G563" s="3">
        <v>8</v>
      </c>
      <c r="H563" s="17">
        <f>Table1[[#This Row],[Unit price]]*Table1[[#This Row],[Quantity]]</f>
        <v>174.4</v>
      </c>
      <c r="I563" s="29">
        <f>Table1[[#This Row],[Total Revenue]]/$H$5056*100</f>
        <v>1.8503098287577496E-2</v>
      </c>
      <c r="J563" s="3" t="s">
        <v>15</v>
      </c>
      <c r="K563" s="4">
        <v>8.3000000000000007</v>
      </c>
      <c r="M563"/>
    </row>
    <row r="564" spans="1:13" x14ac:dyDescent="0.25">
      <c r="A564" s="3" t="s">
        <v>47</v>
      </c>
      <c r="B564" s="3" t="s">
        <v>244</v>
      </c>
      <c r="C564" s="3" t="s">
        <v>9</v>
      </c>
      <c r="D564" s="3" t="s">
        <v>10</v>
      </c>
      <c r="E564" s="5" t="s">
        <v>16</v>
      </c>
      <c r="F564" s="17">
        <v>64.08</v>
      </c>
      <c r="G564" s="3">
        <v>7</v>
      </c>
      <c r="H564" s="17">
        <f>Table1[[#This Row],[Unit price]]*Table1[[#This Row],[Quantity]]</f>
        <v>448.56</v>
      </c>
      <c r="I564" s="29">
        <f>Table1[[#This Row],[Total Revenue]]/$H$5056*100</f>
        <v>4.7590308302039912E-2</v>
      </c>
      <c r="J564" s="3" t="s">
        <v>12</v>
      </c>
      <c r="K564" s="4">
        <v>7.3</v>
      </c>
      <c r="M564"/>
    </row>
    <row r="565" spans="1:13" x14ac:dyDescent="0.25">
      <c r="A565" s="3" t="s">
        <v>47</v>
      </c>
      <c r="B565" s="3" t="s">
        <v>245</v>
      </c>
      <c r="C565" s="3" t="s">
        <v>13</v>
      </c>
      <c r="D565" s="3" t="s">
        <v>10</v>
      </c>
      <c r="E565" s="5" t="s">
        <v>14</v>
      </c>
      <c r="F565" s="17">
        <v>77.63</v>
      </c>
      <c r="G565" s="3">
        <v>9</v>
      </c>
      <c r="H565" s="17">
        <f>Table1[[#This Row],[Unit price]]*Table1[[#This Row],[Quantity]]</f>
        <v>698.67</v>
      </c>
      <c r="I565" s="29">
        <f>Table1[[#This Row],[Total Revenue]]/$H$5056*100</f>
        <v>7.4125915599666081E-2</v>
      </c>
      <c r="J565" s="3" t="s">
        <v>17</v>
      </c>
      <c r="K565" s="4">
        <v>7.2</v>
      </c>
      <c r="M565"/>
    </row>
    <row r="566" spans="1:13" x14ac:dyDescent="0.25">
      <c r="A566" s="3" t="s">
        <v>47</v>
      </c>
      <c r="B566" s="3" t="s">
        <v>245</v>
      </c>
      <c r="C566" s="3" t="s">
        <v>13</v>
      </c>
      <c r="D566" s="3" t="s">
        <v>10</v>
      </c>
      <c r="E566" s="5" t="s">
        <v>11</v>
      </c>
      <c r="F566" s="17">
        <v>41.24</v>
      </c>
      <c r="G566" s="3">
        <v>4</v>
      </c>
      <c r="H566" s="17">
        <f>Table1[[#This Row],[Unit price]]*Table1[[#This Row],[Quantity]]</f>
        <v>164.96</v>
      </c>
      <c r="I566" s="29">
        <f>Table1[[#This Row],[Total Revenue]]/$H$5056*100</f>
        <v>1.7501554435314124E-2</v>
      </c>
      <c r="J566" s="3" t="s">
        <v>15</v>
      </c>
      <c r="K566" s="4">
        <v>7.1</v>
      </c>
      <c r="M566"/>
    </row>
    <row r="567" spans="1:13" x14ac:dyDescent="0.25">
      <c r="A567" s="3" t="s">
        <v>47</v>
      </c>
      <c r="B567" s="3" t="s">
        <v>243</v>
      </c>
      <c r="C567" s="3" t="s">
        <v>9</v>
      </c>
      <c r="D567" s="3" t="s">
        <v>19</v>
      </c>
      <c r="E567" s="5" t="s">
        <v>14</v>
      </c>
      <c r="F567" s="17">
        <v>69.58</v>
      </c>
      <c r="G567" s="3">
        <v>9</v>
      </c>
      <c r="H567" s="17">
        <f>Table1[[#This Row],[Unit price]]*Table1[[#This Row],[Quantity]]</f>
        <v>626.22</v>
      </c>
      <c r="I567" s="29">
        <f>Table1[[#This Row],[Total Revenue]]/$H$5056*100</f>
        <v>6.6439278725038867E-2</v>
      </c>
      <c r="J567" s="3" t="s">
        <v>12</v>
      </c>
      <c r="K567" s="4">
        <v>7.8</v>
      </c>
      <c r="M567"/>
    </row>
    <row r="568" spans="1:13" x14ac:dyDescent="0.25">
      <c r="A568" s="3" t="s">
        <v>48</v>
      </c>
      <c r="B568" s="3" t="s">
        <v>244</v>
      </c>
      <c r="C568" s="3" t="s">
        <v>9</v>
      </c>
      <c r="D568" s="3" t="s">
        <v>10</v>
      </c>
      <c r="E568" s="5" t="s">
        <v>11</v>
      </c>
      <c r="F568" s="17">
        <v>54.84</v>
      </c>
      <c r="G568" s="3">
        <v>3</v>
      </c>
      <c r="H568" s="17">
        <f>Table1[[#This Row],[Unit price]]*Table1[[#This Row],[Quantity]]</f>
        <v>164.52</v>
      </c>
      <c r="I568" s="29">
        <f>Table1[[#This Row],[Total Revenue]]/$H$5056*100</f>
        <v>1.7454872306606934E-2</v>
      </c>
      <c r="J568" s="3" t="s">
        <v>12</v>
      </c>
      <c r="K568" s="4">
        <v>5.9</v>
      </c>
      <c r="M568"/>
    </row>
    <row r="569" spans="1:13" x14ac:dyDescent="0.25">
      <c r="A569" s="3" t="s">
        <v>48</v>
      </c>
      <c r="B569" s="3" t="s">
        <v>244</v>
      </c>
      <c r="C569" s="3" t="s">
        <v>13</v>
      </c>
      <c r="D569" s="3" t="s">
        <v>19</v>
      </c>
      <c r="E569" s="5" t="s">
        <v>11</v>
      </c>
      <c r="F569" s="17">
        <v>39.9</v>
      </c>
      <c r="G569" s="3">
        <v>10</v>
      </c>
      <c r="H569" s="17">
        <f>Table1[[#This Row],[Unit price]]*Table1[[#This Row],[Quantity]]</f>
        <v>399</v>
      </c>
      <c r="I569" s="29">
        <f>Table1[[#This Row],[Total Revenue]]/$H$5056*100</f>
        <v>4.233220307765722E-2</v>
      </c>
      <c r="J569" s="3" t="s">
        <v>12</v>
      </c>
      <c r="K569" s="4">
        <v>5.9</v>
      </c>
      <c r="M569"/>
    </row>
    <row r="570" spans="1:13" x14ac:dyDescent="0.25">
      <c r="A570" s="3" t="s">
        <v>48</v>
      </c>
      <c r="B570" s="3" t="s">
        <v>243</v>
      </c>
      <c r="C570" s="3" t="s">
        <v>9</v>
      </c>
      <c r="D570" s="3" t="s">
        <v>19</v>
      </c>
      <c r="E570" s="5" t="s">
        <v>20</v>
      </c>
      <c r="F570" s="17">
        <v>37.69</v>
      </c>
      <c r="G570" s="3">
        <v>2</v>
      </c>
      <c r="H570" s="17">
        <f>Table1[[#This Row],[Unit price]]*Table1[[#This Row],[Quantity]]</f>
        <v>75.38</v>
      </c>
      <c r="I570" s="29">
        <f>Table1[[#This Row],[Total Revenue]]/$H$5056*100</f>
        <v>7.9974974135182987E-3</v>
      </c>
      <c r="J570" s="3" t="s">
        <v>17</v>
      </c>
      <c r="K570" s="4">
        <v>9.5</v>
      </c>
      <c r="M570"/>
    </row>
    <row r="571" spans="1:13" x14ac:dyDescent="0.25">
      <c r="A571" s="3" t="s">
        <v>48</v>
      </c>
      <c r="B571" s="3" t="s">
        <v>244</v>
      </c>
      <c r="C571" s="3" t="s">
        <v>9</v>
      </c>
      <c r="D571" s="3" t="s">
        <v>19</v>
      </c>
      <c r="E571" s="5" t="s">
        <v>16</v>
      </c>
      <c r="F571" s="17">
        <v>31.99</v>
      </c>
      <c r="G571" s="3">
        <v>10</v>
      </c>
      <c r="H571" s="17">
        <f>Table1[[#This Row],[Unit price]]*Table1[[#This Row],[Quantity]]</f>
        <v>319.89999999999998</v>
      </c>
      <c r="I571" s="29">
        <f>Table1[[#This Row],[Total Revenue]]/$H$5056*100</f>
        <v>3.3940029485069037E-2</v>
      </c>
      <c r="J571" s="3" t="s">
        <v>12</v>
      </c>
      <c r="K571" s="4">
        <v>9.9</v>
      </c>
      <c r="M571"/>
    </row>
    <row r="572" spans="1:13" x14ac:dyDescent="0.25">
      <c r="A572" s="3" t="s">
        <v>48</v>
      </c>
      <c r="B572" s="3" t="s">
        <v>244</v>
      </c>
      <c r="C572" s="3" t="s">
        <v>13</v>
      </c>
      <c r="D572" s="3" t="s">
        <v>19</v>
      </c>
      <c r="E572" s="5" t="s">
        <v>11</v>
      </c>
      <c r="F572" s="17">
        <v>60.3</v>
      </c>
      <c r="G572" s="3">
        <v>4</v>
      </c>
      <c r="H572" s="17">
        <f>Table1[[#This Row],[Unit price]]*Table1[[#This Row],[Quantity]]</f>
        <v>241.2</v>
      </c>
      <c r="I572" s="29">
        <f>Table1[[#This Row],[Total Revenue]]/$H$5056*100</f>
        <v>2.5590294191305572E-2</v>
      </c>
      <c r="J572" s="3" t="s">
        <v>15</v>
      </c>
      <c r="K572" s="4">
        <v>5.8</v>
      </c>
      <c r="M572"/>
    </row>
    <row r="573" spans="1:13" x14ac:dyDescent="0.25">
      <c r="A573" s="3" t="s">
        <v>48</v>
      </c>
      <c r="B573" s="3" t="s">
        <v>245</v>
      </c>
      <c r="C573" s="3" t="s">
        <v>9</v>
      </c>
      <c r="D573" s="3" t="s">
        <v>10</v>
      </c>
      <c r="E573" s="5" t="s">
        <v>20</v>
      </c>
      <c r="F573" s="17">
        <v>86.27</v>
      </c>
      <c r="G573" s="3">
        <v>1</v>
      </c>
      <c r="H573" s="17">
        <f>Table1[[#This Row],[Unit price]]*Table1[[#This Row],[Quantity]]</f>
        <v>86.27</v>
      </c>
      <c r="I573" s="29">
        <f>Table1[[#This Row],[Total Revenue]]/$H$5056*100</f>
        <v>9.1528800990212759E-3</v>
      </c>
      <c r="J573" s="3" t="s">
        <v>17</v>
      </c>
      <c r="K573" s="4">
        <v>7</v>
      </c>
      <c r="M573"/>
    </row>
    <row r="574" spans="1:13" x14ac:dyDescent="0.25">
      <c r="A574" s="3" t="s">
        <v>48</v>
      </c>
      <c r="B574" s="3" t="s">
        <v>243</v>
      </c>
      <c r="C574" s="3" t="s">
        <v>9</v>
      </c>
      <c r="D574" s="3" t="s">
        <v>19</v>
      </c>
      <c r="E574" s="5" t="s">
        <v>11</v>
      </c>
      <c r="F574" s="17">
        <v>92.29</v>
      </c>
      <c r="G574" s="3">
        <v>5</v>
      </c>
      <c r="H574" s="17">
        <f>Table1[[#This Row],[Unit price]]*Table1[[#This Row],[Quantity]]</f>
        <v>461.45000000000005</v>
      </c>
      <c r="I574" s="29">
        <f>Table1[[#This Row],[Total Revenue]]/$H$5056*100</f>
        <v>4.8957882481666493E-2</v>
      </c>
      <c r="J574" s="3" t="s">
        <v>12</v>
      </c>
      <c r="K574" s="4">
        <v>9</v>
      </c>
      <c r="M574"/>
    </row>
    <row r="575" spans="1:13" x14ac:dyDescent="0.25">
      <c r="A575" s="3" t="s">
        <v>48</v>
      </c>
      <c r="B575" s="3" t="s">
        <v>244</v>
      </c>
      <c r="C575" s="3" t="s">
        <v>9</v>
      </c>
      <c r="D575" s="3" t="s">
        <v>19</v>
      </c>
      <c r="E575" s="5" t="s">
        <v>11</v>
      </c>
      <c r="F575" s="17">
        <v>57.74</v>
      </c>
      <c r="G575" s="3">
        <v>3</v>
      </c>
      <c r="H575" s="17">
        <f>Table1[[#This Row],[Unit price]]*Table1[[#This Row],[Quantity]]</f>
        <v>173.22</v>
      </c>
      <c r="I575" s="29">
        <f>Table1[[#This Row],[Total Revenue]]/$H$5056*100</f>
        <v>1.8377905306044572E-2</v>
      </c>
      <c r="J575" s="3" t="s">
        <v>17</v>
      </c>
      <c r="K575" s="4">
        <v>7.7</v>
      </c>
      <c r="M575"/>
    </row>
    <row r="576" spans="1:13" x14ac:dyDescent="0.25">
      <c r="A576" s="3" t="s">
        <v>48</v>
      </c>
      <c r="B576" s="3" t="s">
        <v>244</v>
      </c>
      <c r="C576" s="3" t="s">
        <v>13</v>
      </c>
      <c r="D576" s="3" t="s">
        <v>19</v>
      </c>
      <c r="E576" s="5" t="s">
        <v>21</v>
      </c>
      <c r="F576" s="17">
        <v>66.680000000000007</v>
      </c>
      <c r="G576" s="3">
        <v>5</v>
      </c>
      <c r="H576" s="17">
        <f>Table1[[#This Row],[Unit price]]*Table1[[#This Row],[Quantity]]</f>
        <v>333.40000000000003</v>
      </c>
      <c r="I576" s="29">
        <f>Table1[[#This Row],[Total Revenue]]/$H$5056*100</f>
        <v>3.5372322070403306E-2</v>
      </c>
      <c r="J576" s="3" t="s">
        <v>15</v>
      </c>
      <c r="K576" s="4">
        <v>7.6</v>
      </c>
      <c r="M576"/>
    </row>
    <row r="577" spans="1:13" x14ac:dyDescent="0.25">
      <c r="A577" s="3" t="s">
        <v>48</v>
      </c>
      <c r="B577" s="3" t="s">
        <v>243</v>
      </c>
      <c r="C577" s="3" t="s">
        <v>13</v>
      </c>
      <c r="D577" s="3" t="s">
        <v>10</v>
      </c>
      <c r="E577" s="5" t="s">
        <v>21</v>
      </c>
      <c r="F577" s="17">
        <v>32.32</v>
      </c>
      <c r="G577" s="3">
        <v>10</v>
      </c>
      <c r="H577" s="17">
        <f>Table1[[#This Row],[Unit price]]*Table1[[#This Row],[Quantity]]</f>
        <v>323.2</v>
      </c>
      <c r="I577" s="29">
        <f>Table1[[#This Row],[Total Revenue]]/$H$5056*100</f>
        <v>3.4290145450372969E-2</v>
      </c>
      <c r="J577" s="3" t="s">
        <v>12</v>
      </c>
      <c r="K577" s="4">
        <v>10</v>
      </c>
      <c r="M577"/>
    </row>
    <row r="578" spans="1:13" x14ac:dyDescent="0.25">
      <c r="A578" s="3" t="s">
        <v>49</v>
      </c>
      <c r="B578" s="3" t="s">
        <v>244</v>
      </c>
      <c r="C578" s="3" t="s">
        <v>9</v>
      </c>
      <c r="D578" s="3" t="s">
        <v>19</v>
      </c>
      <c r="E578" s="5" t="s">
        <v>18</v>
      </c>
      <c r="F578" s="17">
        <v>73.819999999999993</v>
      </c>
      <c r="G578" s="3">
        <v>4</v>
      </c>
      <c r="H578" s="17">
        <f>Table1[[#This Row],[Unit price]]*Table1[[#This Row],[Quantity]]</f>
        <v>295.27999999999997</v>
      </c>
      <c r="I578" s="29">
        <f>Table1[[#This Row],[Total Revenue]]/$H$5056*100</f>
        <v>3.1327952192407582E-2</v>
      </c>
      <c r="J578" s="3" t="s">
        <v>15</v>
      </c>
      <c r="K578" s="4">
        <v>6.7</v>
      </c>
      <c r="M578"/>
    </row>
    <row r="579" spans="1:13" x14ac:dyDescent="0.25">
      <c r="A579" s="3" t="s">
        <v>49</v>
      </c>
      <c r="B579" s="3" t="s">
        <v>243</v>
      </c>
      <c r="C579" s="3" t="s">
        <v>9</v>
      </c>
      <c r="D579" s="3" t="s">
        <v>10</v>
      </c>
      <c r="E579" s="5" t="s">
        <v>14</v>
      </c>
      <c r="F579" s="17">
        <v>94.64</v>
      </c>
      <c r="G579" s="3">
        <v>3</v>
      </c>
      <c r="H579" s="17">
        <f>Table1[[#This Row],[Unit price]]*Table1[[#This Row],[Quantity]]</f>
        <v>283.92</v>
      </c>
      <c r="I579" s="29">
        <f>Table1[[#This Row],[Total Revenue]]/$H$5056*100</f>
        <v>3.0122704505785559E-2</v>
      </c>
      <c r="J579" s="3" t="s">
        <v>15</v>
      </c>
      <c r="K579" s="4">
        <v>5.5</v>
      </c>
      <c r="M579"/>
    </row>
    <row r="580" spans="1:13" x14ac:dyDescent="0.25">
      <c r="A580" s="3" t="s">
        <v>49</v>
      </c>
      <c r="B580" s="3" t="s">
        <v>244</v>
      </c>
      <c r="C580" s="3" t="s">
        <v>9</v>
      </c>
      <c r="D580" s="3" t="s">
        <v>19</v>
      </c>
      <c r="E580" s="5" t="s">
        <v>21</v>
      </c>
      <c r="F580" s="17">
        <v>39.909999999999997</v>
      </c>
      <c r="G580" s="3">
        <v>3</v>
      </c>
      <c r="H580" s="17">
        <f>Table1[[#This Row],[Unit price]]*Table1[[#This Row],[Quantity]]</f>
        <v>119.72999999999999</v>
      </c>
      <c r="I580" s="29">
        <f>Table1[[#This Row],[Total Revenue]]/$H$5056*100</f>
        <v>1.270284379570902E-2</v>
      </c>
      <c r="J580" s="3" t="s">
        <v>17</v>
      </c>
      <c r="K580" s="4">
        <v>9.3000000000000007</v>
      </c>
      <c r="M580"/>
    </row>
    <row r="581" spans="1:13" x14ac:dyDescent="0.25">
      <c r="A581" s="3" t="s">
        <v>49</v>
      </c>
      <c r="B581" s="3" t="s">
        <v>245</v>
      </c>
      <c r="C581" s="3" t="s">
        <v>13</v>
      </c>
      <c r="D581" s="3" t="s">
        <v>10</v>
      </c>
      <c r="E581" s="5" t="s">
        <v>21</v>
      </c>
      <c r="F581" s="17">
        <v>83.66</v>
      </c>
      <c r="G581" s="3">
        <v>5</v>
      </c>
      <c r="H581" s="17">
        <f>Table1[[#This Row],[Unit price]]*Table1[[#This Row],[Quantity]]</f>
        <v>418.29999999999995</v>
      </c>
      <c r="I581" s="29">
        <f>Table1[[#This Row],[Total Revenue]]/$H$5056*100</f>
        <v>4.4379850995949911E-2</v>
      </c>
      <c r="J581" s="3" t="s">
        <v>15</v>
      </c>
      <c r="K581" s="4">
        <v>7.2</v>
      </c>
      <c r="M581"/>
    </row>
    <row r="582" spans="1:13" x14ac:dyDescent="0.25">
      <c r="A582" s="3" t="s">
        <v>49</v>
      </c>
      <c r="B582" s="3" t="s">
        <v>245</v>
      </c>
      <c r="C582" s="3" t="s">
        <v>13</v>
      </c>
      <c r="D582" s="3" t="s">
        <v>10</v>
      </c>
      <c r="E582" s="5" t="s">
        <v>16</v>
      </c>
      <c r="F582" s="17">
        <v>98.8</v>
      </c>
      <c r="G582" s="3">
        <v>2</v>
      </c>
      <c r="H582" s="17">
        <f>Table1[[#This Row],[Unit price]]*Table1[[#This Row],[Quantity]]</f>
        <v>197.6</v>
      </c>
      <c r="I582" s="29">
        <f>Table1[[#This Row],[Total Revenue]]/$H$5056*100</f>
        <v>2.0964519619411197E-2</v>
      </c>
      <c r="J582" s="3" t="s">
        <v>15</v>
      </c>
      <c r="K582" s="4">
        <v>7.7</v>
      </c>
      <c r="M582"/>
    </row>
    <row r="583" spans="1:13" x14ac:dyDescent="0.25">
      <c r="A583" s="3" t="s">
        <v>49</v>
      </c>
      <c r="B583" s="3" t="s">
        <v>245</v>
      </c>
      <c r="C583" s="3" t="s">
        <v>9</v>
      </c>
      <c r="D583" s="3" t="s">
        <v>10</v>
      </c>
      <c r="E583" s="5" t="s">
        <v>18</v>
      </c>
      <c r="F583" s="17">
        <v>12.54</v>
      </c>
      <c r="G583" s="3">
        <v>1</v>
      </c>
      <c r="H583" s="17">
        <f>Table1[[#This Row],[Unit price]]*Table1[[#This Row],[Quantity]]</f>
        <v>12.54</v>
      </c>
      <c r="I583" s="29">
        <f>Table1[[#This Row],[Total Revenue]]/$H$5056*100</f>
        <v>1.3304406681549411E-3</v>
      </c>
      <c r="J583" s="3" t="s">
        <v>15</v>
      </c>
      <c r="K583" s="4">
        <v>8.1999999999999993</v>
      </c>
      <c r="M583"/>
    </row>
    <row r="584" spans="1:13" x14ac:dyDescent="0.25">
      <c r="A584" s="3" t="s">
        <v>50</v>
      </c>
      <c r="B584" s="3" t="s">
        <v>243</v>
      </c>
      <c r="C584" s="3" t="s">
        <v>13</v>
      </c>
      <c r="D584" s="3" t="s">
        <v>19</v>
      </c>
      <c r="E584" s="5" t="s">
        <v>20</v>
      </c>
      <c r="F584" s="17">
        <v>65.819999999999993</v>
      </c>
      <c r="G584" s="3">
        <v>1</v>
      </c>
      <c r="H584" s="17">
        <f>Table1[[#This Row],[Unit price]]*Table1[[#This Row],[Quantity]]</f>
        <v>65.819999999999993</v>
      </c>
      <c r="I584" s="29">
        <f>Table1[[#This Row],[Total Revenue]]/$H$5056*100</f>
        <v>6.9832220716075141E-3</v>
      </c>
      <c r="J584" s="3" t="s">
        <v>15</v>
      </c>
      <c r="K584" s="4">
        <v>4.0999999999999996</v>
      </c>
      <c r="M584"/>
    </row>
    <row r="585" spans="1:13" x14ac:dyDescent="0.25">
      <c r="A585" s="3" t="s">
        <v>50</v>
      </c>
      <c r="B585" s="3" t="s">
        <v>244</v>
      </c>
      <c r="C585" s="3" t="s">
        <v>13</v>
      </c>
      <c r="D585" s="3" t="s">
        <v>10</v>
      </c>
      <c r="E585" s="5" t="s">
        <v>18</v>
      </c>
      <c r="F585" s="17">
        <v>39.75</v>
      </c>
      <c r="G585" s="3">
        <v>5</v>
      </c>
      <c r="H585" s="17">
        <f>Table1[[#This Row],[Unit price]]*Table1[[#This Row],[Quantity]]</f>
        <v>198.75</v>
      </c>
      <c r="I585" s="29">
        <f>Table1[[#This Row],[Total Revenue]]/$H$5056*100</f>
        <v>2.1086529728532262E-2</v>
      </c>
      <c r="J585" s="3" t="s">
        <v>17</v>
      </c>
      <c r="K585" s="4">
        <v>9.6</v>
      </c>
      <c r="M585"/>
    </row>
    <row r="586" spans="1:13" x14ac:dyDescent="0.25">
      <c r="A586" s="3" t="s">
        <v>50</v>
      </c>
      <c r="B586" s="3" t="s">
        <v>245</v>
      </c>
      <c r="C586" s="3" t="s">
        <v>9</v>
      </c>
      <c r="D586" s="3" t="s">
        <v>10</v>
      </c>
      <c r="E586" s="5" t="s">
        <v>11</v>
      </c>
      <c r="F586" s="17">
        <v>30.41</v>
      </c>
      <c r="G586" s="3">
        <v>1</v>
      </c>
      <c r="H586" s="17">
        <f>Table1[[#This Row],[Unit price]]*Table1[[#This Row],[Quantity]]</f>
        <v>30.41</v>
      </c>
      <c r="I586" s="29">
        <f>Table1[[#This Row],[Total Revenue]]/$H$5056*100</f>
        <v>3.2263716681492634E-3</v>
      </c>
      <c r="J586" s="3" t="s">
        <v>12</v>
      </c>
      <c r="K586" s="4">
        <v>8.4</v>
      </c>
      <c r="M586"/>
    </row>
    <row r="587" spans="1:13" x14ac:dyDescent="0.25">
      <c r="A587" s="3" t="s">
        <v>50</v>
      </c>
      <c r="B587" s="3" t="s">
        <v>244</v>
      </c>
      <c r="C587" s="3" t="s">
        <v>13</v>
      </c>
      <c r="D587" s="3" t="s">
        <v>19</v>
      </c>
      <c r="E587" s="5" t="s">
        <v>18</v>
      </c>
      <c r="F587" s="17">
        <v>17.489999999999998</v>
      </c>
      <c r="G587" s="3">
        <v>10</v>
      </c>
      <c r="H587" s="17">
        <f>Table1[[#This Row],[Unit price]]*Table1[[#This Row],[Quantity]]</f>
        <v>174.89999999999998</v>
      </c>
      <c r="I587" s="29">
        <f>Table1[[#This Row],[Total Revenue]]/$H$5056*100</f>
        <v>1.855614616110839E-2</v>
      </c>
      <c r="J587" s="3" t="s">
        <v>17</v>
      </c>
      <c r="K587" s="4">
        <v>6.6</v>
      </c>
      <c r="M587"/>
    </row>
    <row r="588" spans="1:13" x14ac:dyDescent="0.25">
      <c r="A588" s="3" t="s">
        <v>50</v>
      </c>
      <c r="B588" s="3" t="s">
        <v>245</v>
      </c>
      <c r="C588" s="3" t="s">
        <v>13</v>
      </c>
      <c r="D588" s="3" t="s">
        <v>19</v>
      </c>
      <c r="E588" s="5" t="s">
        <v>16</v>
      </c>
      <c r="F588" s="17">
        <v>95.49</v>
      </c>
      <c r="G588" s="3">
        <v>7</v>
      </c>
      <c r="H588" s="17">
        <f>Table1[[#This Row],[Unit price]]*Table1[[#This Row],[Quantity]]</f>
        <v>668.43</v>
      </c>
      <c r="I588" s="29">
        <f>Table1[[#This Row],[Total Revenue]]/$H$5056*100</f>
        <v>7.0917580208517336E-2</v>
      </c>
      <c r="J588" s="3" t="s">
        <v>17</v>
      </c>
      <c r="K588" s="4">
        <v>8.6999999999999993</v>
      </c>
      <c r="M588"/>
    </row>
    <row r="589" spans="1:13" x14ac:dyDescent="0.25">
      <c r="A589" s="3" t="s">
        <v>50</v>
      </c>
      <c r="B589" s="3" t="s">
        <v>245</v>
      </c>
      <c r="C589" s="3" t="s">
        <v>9</v>
      </c>
      <c r="D589" s="3" t="s">
        <v>10</v>
      </c>
      <c r="E589" s="5" t="s">
        <v>20</v>
      </c>
      <c r="F589" s="17">
        <v>12.73</v>
      </c>
      <c r="G589" s="3">
        <v>2</v>
      </c>
      <c r="H589" s="17">
        <f>Table1[[#This Row],[Unit price]]*Table1[[#This Row],[Quantity]]</f>
        <v>25.46</v>
      </c>
      <c r="I589" s="29">
        <f>Table1[[#This Row],[Total Revenue]]/$H$5056*100</f>
        <v>2.7011977201933661E-3</v>
      </c>
      <c r="J589" s="3" t="s">
        <v>12</v>
      </c>
      <c r="K589" s="4">
        <v>5.2</v>
      </c>
      <c r="M589"/>
    </row>
    <row r="590" spans="1:13" x14ac:dyDescent="0.25">
      <c r="A590" s="3" t="s">
        <v>50</v>
      </c>
      <c r="B590" s="3" t="s">
        <v>244</v>
      </c>
      <c r="C590" s="3" t="s">
        <v>13</v>
      </c>
      <c r="D590" s="3" t="s">
        <v>19</v>
      </c>
      <c r="E590" s="5" t="s">
        <v>20</v>
      </c>
      <c r="F590" s="17">
        <v>68.97</v>
      </c>
      <c r="G590" s="3">
        <v>3</v>
      </c>
      <c r="H590" s="17">
        <f>Table1[[#This Row],[Unit price]]*Table1[[#This Row],[Quantity]]</f>
        <v>206.91</v>
      </c>
      <c r="I590" s="29">
        <f>Table1[[#This Row],[Total Revenue]]/$H$5056*100</f>
        <v>2.1952271024556533E-2</v>
      </c>
      <c r="J590" s="3" t="s">
        <v>17</v>
      </c>
      <c r="K590" s="4">
        <v>8.6999999999999993</v>
      </c>
      <c r="M590"/>
    </row>
    <row r="591" spans="1:13" x14ac:dyDescent="0.25">
      <c r="A591" s="3" t="s">
        <v>50</v>
      </c>
      <c r="B591" s="3" t="s">
        <v>244</v>
      </c>
      <c r="C591" s="3" t="s">
        <v>13</v>
      </c>
      <c r="D591" s="3" t="s">
        <v>10</v>
      </c>
      <c r="E591" s="5" t="s">
        <v>18</v>
      </c>
      <c r="F591" s="17">
        <v>47.44</v>
      </c>
      <c r="G591" s="3">
        <v>1</v>
      </c>
      <c r="H591" s="17">
        <f>Table1[[#This Row],[Unit price]]*Table1[[#This Row],[Quantity]]</f>
        <v>47.44</v>
      </c>
      <c r="I591" s="29">
        <f>Table1[[#This Row],[Total Revenue]]/$H$5056*100</f>
        <v>5.0331822406116753E-3</v>
      </c>
      <c r="J591" s="3" t="s">
        <v>12</v>
      </c>
      <c r="K591" s="4">
        <v>6.8</v>
      </c>
      <c r="M591"/>
    </row>
    <row r="592" spans="1:13" x14ac:dyDescent="0.25">
      <c r="A592" s="3" t="s">
        <v>50</v>
      </c>
      <c r="B592" s="3" t="s">
        <v>243</v>
      </c>
      <c r="C592" s="3" t="s">
        <v>9</v>
      </c>
      <c r="D592" s="3" t="s">
        <v>10</v>
      </c>
      <c r="E592" s="5" t="s">
        <v>14</v>
      </c>
      <c r="F592" s="17">
        <v>17.420000000000002</v>
      </c>
      <c r="G592" s="3">
        <v>10</v>
      </c>
      <c r="H592" s="17">
        <f>Table1[[#This Row],[Unit price]]*Table1[[#This Row],[Quantity]]</f>
        <v>174.20000000000002</v>
      </c>
      <c r="I592" s="29">
        <f>Table1[[#This Row],[Total Revenue]]/$H$5056*100</f>
        <v>1.8481879138165135E-2</v>
      </c>
      <c r="J592" s="3" t="s">
        <v>17</v>
      </c>
      <c r="K592" s="4">
        <v>7</v>
      </c>
      <c r="M592"/>
    </row>
    <row r="593" spans="1:13" x14ac:dyDescent="0.25">
      <c r="A593" s="3" t="s">
        <v>50</v>
      </c>
      <c r="B593" s="3" t="s">
        <v>244</v>
      </c>
      <c r="C593" s="3" t="s">
        <v>13</v>
      </c>
      <c r="D593" s="3" t="s">
        <v>10</v>
      </c>
      <c r="E593" s="5" t="s">
        <v>18</v>
      </c>
      <c r="F593" s="17">
        <v>54.31</v>
      </c>
      <c r="G593" s="3">
        <v>9</v>
      </c>
      <c r="H593" s="17">
        <f>Table1[[#This Row],[Unit price]]*Table1[[#This Row],[Quantity]]</f>
        <v>488.79</v>
      </c>
      <c r="I593" s="29">
        <f>Table1[[#This Row],[Total Revenue]]/$H$5056*100</f>
        <v>5.1858540206336026E-2</v>
      </c>
      <c r="J593" s="3" t="s">
        <v>15</v>
      </c>
      <c r="K593" s="4">
        <v>8.9</v>
      </c>
      <c r="M593"/>
    </row>
    <row r="594" spans="1:13" x14ac:dyDescent="0.25">
      <c r="A594" s="3" t="s">
        <v>50</v>
      </c>
      <c r="B594" s="3" t="s">
        <v>243</v>
      </c>
      <c r="C594" s="3" t="s">
        <v>9</v>
      </c>
      <c r="D594" s="3" t="s">
        <v>10</v>
      </c>
      <c r="E594" s="5" t="s">
        <v>16</v>
      </c>
      <c r="F594" s="17">
        <v>24.49</v>
      </c>
      <c r="G594" s="3">
        <v>10</v>
      </c>
      <c r="H594" s="17">
        <f>Table1[[#This Row],[Unit price]]*Table1[[#This Row],[Quantity]]</f>
        <v>244.89999999999998</v>
      </c>
      <c r="I594" s="29">
        <f>Table1[[#This Row],[Total Revenue]]/$H$5056*100</f>
        <v>2.5982848455434217E-2</v>
      </c>
      <c r="J594" s="3" t="s">
        <v>15</v>
      </c>
      <c r="K594" s="4">
        <v>8.1</v>
      </c>
      <c r="M594"/>
    </row>
    <row r="595" spans="1:13" x14ac:dyDescent="0.25">
      <c r="A595" s="3" t="s">
        <v>51</v>
      </c>
      <c r="B595" s="3" t="s">
        <v>245</v>
      </c>
      <c r="C595" s="3" t="s">
        <v>13</v>
      </c>
      <c r="D595" s="3" t="s">
        <v>19</v>
      </c>
      <c r="E595" s="5" t="s">
        <v>11</v>
      </c>
      <c r="F595" s="17">
        <v>35.89</v>
      </c>
      <c r="G595" s="3">
        <v>1</v>
      </c>
      <c r="H595" s="17">
        <f>Table1[[#This Row],[Unit price]]*Table1[[#This Row],[Quantity]]</f>
        <v>35.89</v>
      </c>
      <c r="I595" s="29">
        <f>Table1[[#This Row],[Total Revenue]]/$H$5056*100</f>
        <v>3.8077763620479139E-3</v>
      </c>
      <c r="J595" s="3" t="s">
        <v>12</v>
      </c>
      <c r="K595" s="4">
        <v>7.9</v>
      </c>
      <c r="M595"/>
    </row>
    <row r="596" spans="1:13" x14ac:dyDescent="0.25">
      <c r="A596" s="3" t="s">
        <v>51</v>
      </c>
      <c r="B596" s="3" t="s">
        <v>244</v>
      </c>
      <c r="C596" s="3" t="s">
        <v>13</v>
      </c>
      <c r="D596" s="3" t="s">
        <v>10</v>
      </c>
      <c r="E596" s="5" t="s">
        <v>21</v>
      </c>
      <c r="F596" s="17">
        <v>17.97</v>
      </c>
      <c r="G596" s="3">
        <v>4</v>
      </c>
      <c r="H596" s="17">
        <f>Table1[[#This Row],[Unit price]]*Table1[[#This Row],[Quantity]]</f>
        <v>71.88</v>
      </c>
      <c r="I596" s="29">
        <f>Table1[[#This Row],[Total Revenue]]/$H$5056*100</f>
        <v>7.626162298802008E-3</v>
      </c>
      <c r="J596" s="3" t="s">
        <v>17</v>
      </c>
      <c r="K596" s="4">
        <v>6.4</v>
      </c>
      <c r="M596"/>
    </row>
    <row r="597" spans="1:13" x14ac:dyDescent="0.25">
      <c r="A597" s="3" t="s">
        <v>51</v>
      </c>
      <c r="B597" s="3" t="s">
        <v>244</v>
      </c>
      <c r="C597" s="3" t="s">
        <v>13</v>
      </c>
      <c r="D597" s="3" t="s">
        <v>10</v>
      </c>
      <c r="E597" s="5" t="s">
        <v>14</v>
      </c>
      <c r="F597" s="17">
        <v>14.96</v>
      </c>
      <c r="G597" s="3">
        <v>8</v>
      </c>
      <c r="H597" s="17">
        <f>Table1[[#This Row],[Unit price]]*Table1[[#This Row],[Quantity]]</f>
        <v>119.68</v>
      </c>
      <c r="I597" s="29">
        <f>Table1[[#This Row],[Total Revenue]]/$H$5056*100</f>
        <v>1.2697539008355933E-2</v>
      </c>
      <c r="J597" s="3" t="s">
        <v>15</v>
      </c>
      <c r="K597" s="4">
        <v>8.6</v>
      </c>
      <c r="M597"/>
    </row>
    <row r="598" spans="1:13" x14ac:dyDescent="0.25">
      <c r="A598" s="3" t="s">
        <v>51</v>
      </c>
      <c r="B598" s="3" t="s">
        <v>244</v>
      </c>
      <c r="C598" s="3" t="s">
        <v>9</v>
      </c>
      <c r="D598" s="3" t="s">
        <v>10</v>
      </c>
      <c r="E598" s="5" t="s">
        <v>11</v>
      </c>
      <c r="F598" s="17">
        <v>98.79</v>
      </c>
      <c r="G598" s="3">
        <v>3</v>
      </c>
      <c r="H598" s="17">
        <f>Table1[[#This Row],[Unit price]]*Table1[[#This Row],[Quantity]]</f>
        <v>296.37</v>
      </c>
      <c r="I598" s="29">
        <f>Table1[[#This Row],[Total Revenue]]/$H$5056*100</f>
        <v>3.1443596556704936E-2</v>
      </c>
      <c r="J598" s="3" t="s">
        <v>17</v>
      </c>
      <c r="K598" s="4">
        <v>6.4</v>
      </c>
      <c r="M598"/>
    </row>
    <row r="599" spans="1:13" x14ac:dyDescent="0.25">
      <c r="A599" s="3" t="s">
        <v>51</v>
      </c>
      <c r="B599" s="3" t="s">
        <v>245</v>
      </c>
      <c r="C599" s="3" t="s">
        <v>9</v>
      </c>
      <c r="D599" s="3" t="s">
        <v>19</v>
      </c>
      <c r="E599" s="5" t="s">
        <v>16</v>
      </c>
      <c r="F599" s="17">
        <v>58.39</v>
      </c>
      <c r="G599" s="3">
        <v>7</v>
      </c>
      <c r="H599" s="17">
        <f>Table1[[#This Row],[Unit price]]*Table1[[#This Row],[Quantity]]</f>
        <v>408.73</v>
      </c>
      <c r="I599" s="29">
        <f>Table1[[#This Row],[Total Revenue]]/$H$5056*100</f>
        <v>4.3364514696568518E-2</v>
      </c>
      <c r="J599" s="3" t="s">
        <v>12</v>
      </c>
      <c r="K599" s="4">
        <v>8.1999999999999993</v>
      </c>
      <c r="M599"/>
    </row>
    <row r="600" spans="1:13" x14ac:dyDescent="0.25">
      <c r="A600" s="3" t="s">
        <v>51</v>
      </c>
      <c r="B600" s="3" t="s">
        <v>244</v>
      </c>
      <c r="C600" s="3" t="s">
        <v>9</v>
      </c>
      <c r="D600" s="3" t="s">
        <v>10</v>
      </c>
      <c r="E600" s="5" t="s">
        <v>14</v>
      </c>
      <c r="F600" s="17">
        <v>75.59</v>
      </c>
      <c r="G600" s="3">
        <v>9</v>
      </c>
      <c r="H600" s="17">
        <f>Table1[[#This Row],[Unit price]]*Table1[[#This Row],[Quantity]]</f>
        <v>680.31000000000006</v>
      </c>
      <c r="I600" s="29">
        <f>Table1[[#This Row],[Total Revenue]]/$H$5056*100</f>
        <v>7.2177997683611494E-2</v>
      </c>
      <c r="J600" s="3" t="s">
        <v>15</v>
      </c>
      <c r="K600" s="4">
        <v>8</v>
      </c>
      <c r="M600"/>
    </row>
    <row r="601" spans="1:13" x14ac:dyDescent="0.25">
      <c r="A601" s="3" t="s">
        <v>51</v>
      </c>
      <c r="B601" s="3" t="s">
        <v>243</v>
      </c>
      <c r="C601" s="3" t="s">
        <v>9</v>
      </c>
      <c r="D601" s="3" t="s">
        <v>10</v>
      </c>
      <c r="E601" s="5" t="s">
        <v>11</v>
      </c>
      <c r="F601" s="17">
        <v>73.47</v>
      </c>
      <c r="G601" s="3">
        <v>4</v>
      </c>
      <c r="H601" s="17">
        <f>Table1[[#This Row],[Unit price]]*Table1[[#This Row],[Quantity]]</f>
        <v>293.88</v>
      </c>
      <c r="I601" s="29">
        <f>Table1[[#This Row],[Total Revenue]]/$H$5056*100</f>
        <v>3.1179418146521063E-2</v>
      </c>
      <c r="J601" s="3" t="s">
        <v>15</v>
      </c>
      <c r="K601" s="4">
        <v>6</v>
      </c>
      <c r="M601"/>
    </row>
    <row r="602" spans="1:13" x14ac:dyDescent="0.25">
      <c r="A602" s="3" t="s">
        <v>51</v>
      </c>
      <c r="B602" s="3" t="s">
        <v>245</v>
      </c>
      <c r="C602" s="3" t="s">
        <v>9</v>
      </c>
      <c r="D602" s="3" t="s">
        <v>10</v>
      </c>
      <c r="E602" s="5" t="s">
        <v>11</v>
      </c>
      <c r="F602" s="17">
        <v>80.36</v>
      </c>
      <c r="G602" s="3">
        <v>4</v>
      </c>
      <c r="H602" s="17">
        <f>Table1[[#This Row],[Unit price]]*Table1[[#This Row],[Quantity]]</f>
        <v>321.44</v>
      </c>
      <c r="I602" s="29">
        <f>Table1[[#This Row],[Total Revenue]]/$H$5056*100</f>
        <v>3.4103416935544202E-2</v>
      </c>
      <c r="J602" s="3" t="s">
        <v>12</v>
      </c>
      <c r="K602" s="4">
        <v>8.3000000000000007</v>
      </c>
      <c r="M602"/>
    </row>
    <row r="603" spans="1:13" x14ac:dyDescent="0.25">
      <c r="A603" s="3" t="s">
        <v>52</v>
      </c>
      <c r="B603" s="3" t="s">
        <v>245</v>
      </c>
      <c r="C603" s="3" t="s">
        <v>13</v>
      </c>
      <c r="D603" s="3" t="s">
        <v>19</v>
      </c>
      <c r="E603" s="5" t="s">
        <v>20</v>
      </c>
      <c r="F603" s="17">
        <v>55.73</v>
      </c>
      <c r="G603" s="3">
        <v>6</v>
      </c>
      <c r="H603" s="17">
        <f>Table1[[#This Row],[Unit price]]*Table1[[#This Row],[Quantity]]</f>
        <v>334.38</v>
      </c>
      <c r="I603" s="29">
        <f>Table1[[#This Row],[Total Revenue]]/$H$5056*100</f>
        <v>3.5476295902523866E-2</v>
      </c>
      <c r="J603" s="3" t="s">
        <v>17</v>
      </c>
      <c r="K603" s="4">
        <v>7</v>
      </c>
      <c r="M603"/>
    </row>
    <row r="604" spans="1:13" x14ac:dyDescent="0.25">
      <c r="A604" s="3" t="s">
        <v>52</v>
      </c>
      <c r="B604" s="3" t="s">
        <v>243</v>
      </c>
      <c r="C604" s="3" t="s">
        <v>9</v>
      </c>
      <c r="D604" s="3" t="s">
        <v>10</v>
      </c>
      <c r="E604" s="5" t="s">
        <v>20</v>
      </c>
      <c r="F604" s="17">
        <v>47.68</v>
      </c>
      <c r="G604" s="3">
        <v>2</v>
      </c>
      <c r="H604" s="17">
        <f>Table1[[#This Row],[Unit price]]*Table1[[#This Row],[Quantity]]</f>
        <v>95.36</v>
      </c>
      <c r="I604" s="29">
        <f>Table1[[#This Row],[Total Revenue]]/$H$5056*100</f>
        <v>1.0117290439813015E-2</v>
      </c>
      <c r="J604" s="3" t="s">
        <v>12</v>
      </c>
      <c r="K604" s="4">
        <v>4.0999999999999996</v>
      </c>
      <c r="M604"/>
    </row>
    <row r="605" spans="1:13" x14ac:dyDescent="0.25">
      <c r="A605" s="3" t="s">
        <v>52</v>
      </c>
      <c r="B605" s="3" t="s">
        <v>245</v>
      </c>
      <c r="C605" s="3" t="s">
        <v>9</v>
      </c>
      <c r="D605" s="3" t="s">
        <v>10</v>
      </c>
      <c r="E605" s="5" t="s">
        <v>21</v>
      </c>
      <c r="F605" s="17">
        <v>10.16</v>
      </c>
      <c r="G605" s="3">
        <v>5</v>
      </c>
      <c r="H605" s="17">
        <f>Table1[[#This Row],[Unit price]]*Table1[[#This Row],[Quantity]]</f>
        <v>50.8</v>
      </c>
      <c r="I605" s="29">
        <f>Table1[[#This Row],[Total Revenue]]/$H$5056*100</f>
        <v>5.3896639507393157E-3</v>
      </c>
      <c r="J605" s="3" t="s">
        <v>17</v>
      </c>
      <c r="K605" s="4">
        <v>4.0999999999999996</v>
      </c>
      <c r="M605"/>
    </row>
    <row r="606" spans="1:13" x14ac:dyDescent="0.25">
      <c r="A606" s="3" t="s">
        <v>52</v>
      </c>
      <c r="B606" s="3" t="s">
        <v>244</v>
      </c>
      <c r="C606" s="3" t="s">
        <v>13</v>
      </c>
      <c r="D606" s="3" t="s">
        <v>10</v>
      </c>
      <c r="E606" s="5" t="s">
        <v>11</v>
      </c>
      <c r="F606" s="17">
        <v>26.43</v>
      </c>
      <c r="G606" s="3">
        <v>8</v>
      </c>
      <c r="H606" s="17">
        <f>Table1[[#This Row],[Unit price]]*Table1[[#This Row],[Quantity]]</f>
        <v>211.44</v>
      </c>
      <c r="I606" s="29">
        <f>Table1[[#This Row],[Total Revenue]]/$H$5056*100</f>
        <v>2.2432884758746476E-2</v>
      </c>
      <c r="J606" s="3" t="s">
        <v>17</v>
      </c>
      <c r="K606" s="4">
        <v>8.9</v>
      </c>
      <c r="M606"/>
    </row>
    <row r="607" spans="1:13" x14ac:dyDescent="0.25">
      <c r="A607" s="3" t="s">
        <v>52</v>
      </c>
      <c r="B607" s="3" t="s">
        <v>245</v>
      </c>
      <c r="C607" s="3" t="s">
        <v>13</v>
      </c>
      <c r="D607" s="3" t="s">
        <v>10</v>
      </c>
      <c r="E607" s="5" t="s">
        <v>20</v>
      </c>
      <c r="F607" s="17">
        <v>73.56</v>
      </c>
      <c r="G607" s="3">
        <v>10</v>
      </c>
      <c r="H607" s="17">
        <f>Table1[[#This Row],[Unit price]]*Table1[[#This Row],[Quantity]]</f>
        <v>735.6</v>
      </c>
      <c r="I607" s="29">
        <f>Table1[[#This Row],[Total Revenue]]/$H$5056*100</f>
        <v>7.8044031538658284E-2</v>
      </c>
      <c r="J607" s="3" t="s">
        <v>17</v>
      </c>
      <c r="K607" s="4">
        <v>8</v>
      </c>
      <c r="M607"/>
    </row>
    <row r="608" spans="1:13" x14ac:dyDescent="0.25">
      <c r="A608" s="3" t="s">
        <v>52</v>
      </c>
      <c r="B608" s="3" t="s">
        <v>244</v>
      </c>
      <c r="C608" s="3" t="s">
        <v>9</v>
      </c>
      <c r="D608" s="3" t="s">
        <v>19</v>
      </c>
      <c r="E608" s="5" t="s">
        <v>18</v>
      </c>
      <c r="F608" s="17">
        <v>83.77</v>
      </c>
      <c r="G608" s="3">
        <v>2</v>
      </c>
      <c r="H608" s="17">
        <f>Table1[[#This Row],[Unit price]]*Table1[[#This Row],[Quantity]]</f>
        <v>167.54</v>
      </c>
      <c r="I608" s="29">
        <f>Table1[[#This Row],[Total Revenue]]/$H$5056*100</f>
        <v>1.777528146273356E-2</v>
      </c>
      <c r="J608" s="3" t="s">
        <v>15</v>
      </c>
      <c r="K608" s="4">
        <v>4.5999999999999996</v>
      </c>
      <c r="M608"/>
    </row>
    <row r="609" spans="1:13" x14ac:dyDescent="0.25">
      <c r="A609" s="3" t="s">
        <v>52</v>
      </c>
      <c r="B609" s="3" t="s">
        <v>244</v>
      </c>
      <c r="C609" s="3" t="s">
        <v>13</v>
      </c>
      <c r="D609" s="3" t="s">
        <v>10</v>
      </c>
      <c r="E609" s="5" t="s">
        <v>16</v>
      </c>
      <c r="F609" s="17">
        <v>57.95</v>
      </c>
      <c r="G609" s="3">
        <v>6</v>
      </c>
      <c r="H609" s="17">
        <f>Table1[[#This Row],[Unit price]]*Table1[[#This Row],[Quantity]]</f>
        <v>347.70000000000005</v>
      </c>
      <c r="I609" s="29">
        <f>Table1[[#This Row],[Total Revenue]]/$H$5056*100</f>
        <v>3.6889491253387009E-2</v>
      </c>
      <c r="J609" s="3" t="s">
        <v>15</v>
      </c>
      <c r="K609" s="4">
        <v>5.2</v>
      </c>
      <c r="M609"/>
    </row>
    <row r="610" spans="1:13" x14ac:dyDescent="0.25">
      <c r="A610" s="3" t="s">
        <v>52</v>
      </c>
      <c r="B610" s="3" t="s">
        <v>243</v>
      </c>
      <c r="C610" s="3" t="s">
        <v>13</v>
      </c>
      <c r="D610" s="3" t="s">
        <v>10</v>
      </c>
      <c r="E610" s="5" t="s">
        <v>14</v>
      </c>
      <c r="F610" s="17">
        <v>40.26</v>
      </c>
      <c r="G610" s="3">
        <v>10</v>
      </c>
      <c r="H610" s="17">
        <f>Table1[[#This Row],[Unit price]]*Table1[[#This Row],[Quantity]]</f>
        <v>402.59999999999997</v>
      </c>
      <c r="I610" s="29">
        <f>Table1[[#This Row],[Total Revenue]]/$H$5056*100</f>
        <v>4.2714147767079692E-2</v>
      </c>
      <c r="J610" s="3" t="s">
        <v>12</v>
      </c>
      <c r="K610" s="4">
        <v>5</v>
      </c>
      <c r="M610"/>
    </row>
    <row r="611" spans="1:13" x14ac:dyDescent="0.25">
      <c r="A611" s="3" t="s">
        <v>52</v>
      </c>
      <c r="B611" s="3" t="s">
        <v>245</v>
      </c>
      <c r="C611" s="3" t="s">
        <v>13</v>
      </c>
      <c r="D611" s="3" t="s">
        <v>19</v>
      </c>
      <c r="E611" s="5" t="s">
        <v>14</v>
      </c>
      <c r="F611" s="17">
        <v>24.74</v>
      </c>
      <c r="G611" s="3">
        <v>10</v>
      </c>
      <c r="H611" s="17">
        <f>Table1[[#This Row],[Unit price]]*Table1[[#This Row],[Quantity]]</f>
        <v>247.39999999999998</v>
      </c>
      <c r="I611" s="29">
        <f>Table1[[#This Row],[Total Revenue]]/$H$5056*100</f>
        <v>2.6248087823088715E-2</v>
      </c>
      <c r="J611" s="3" t="s">
        <v>15</v>
      </c>
      <c r="K611" s="4">
        <v>7.1</v>
      </c>
      <c r="M611"/>
    </row>
    <row r="612" spans="1:13" x14ac:dyDescent="0.25">
      <c r="A612" s="3" t="s">
        <v>53</v>
      </c>
      <c r="B612" s="3" t="s">
        <v>243</v>
      </c>
      <c r="C612" s="3" t="s">
        <v>9</v>
      </c>
      <c r="D612" s="3" t="s">
        <v>10</v>
      </c>
      <c r="E612" s="5" t="s">
        <v>16</v>
      </c>
      <c r="F612" s="17">
        <v>91.41</v>
      </c>
      <c r="G612" s="3">
        <v>5</v>
      </c>
      <c r="H612" s="17">
        <f>Table1[[#This Row],[Unit price]]*Table1[[#This Row],[Quantity]]</f>
        <v>457.04999999999995</v>
      </c>
      <c r="I612" s="29">
        <f>Table1[[#This Row],[Total Revenue]]/$H$5056*100</f>
        <v>4.8491061194594565E-2</v>
      </c>
      <c r="J612" s="3" t="s">
        <v>17</v>
      </c>
      <c r="K612" s="4">
        <v>7.1</v>
      </c>
      <c r="M612"/>
    </row>
    <row r="613" spans="1:13" x14ac:dyDescent="0.25">
      <c r="A613" s="3" t="s">
        <v>53</v>
      </c>
      <c r="B613" s="3" t="s">
        <v>244</v>
      </c>
      <c r="C613" s="3" t="s">
        <v>13</v>
      </c>
      <c r="D613" s="3" t="s">
        <v>19</v>
      </c>
      <c r="E613" s="5" t="s">
        <v>18</v>
      </c>
      <c r="F613" s="17">
        <v>94.13</v>
      </c>
      <c r="G613" s="3">
        <v>5</v>
      </c>
      <c r="H613" s="17">
        <f>Table1[[#This Row],[Unit price]]*Table1[[#This Row],[Quantity]]</f>
        <v>470.65</v>
      </c>
      <c r="I613" s="29">
        <f>Table1[[#This Row],[Total Revenue]]/$H$5056*100</f>
        <v>4.9933963354635014E-2</v>
      </c>
      <c r="J613" s="3" t="s">
        <v>12</v>
      </c>
      <c r="K613" s="4">
        <v>4.8</v>
      </c>
      <c r="M613"/>
    </row>
    <row r="614" spans="1:13" x14ac:dyDescent="0.25">
      <c r="A614" s="3" t="s">
        <v>53</v>
      </c>
      <c r="B614" s="3" t="s">
        <v>243</v>
      </c>
      <c r="C614" s="3" t="s">
        <v>9</v>
      </c>
      <c r="D614" s="3" t="s">
        <v>10</v>
      </c>
      <c r="E614" s="5" t="s">
        <v>11</v>
      </c>
      <c r="F614" s="17">
        <v>99.6</v>
      </c>
      <c r="G614" s="3">
        <v>3</v>
      </c>
      <c r="H614" s="17">
        <f>Table1[[#This Row],[Unit price]]*Table1[[#This Row],[Quantity]]</f>
        <v>298.79999999999995</v>
      </c>
      <c r="I614" s="29">
        <f>Table1[[#This Row],[Total Revenue]]/$H$5056*100</f>
        <v>3.1701409222065102E-2</v>
      </c>
      <c r="J614" s="3" t="s">
        <v>15</v>
      </c>
      <c r="K614" s="4">
        <v>5.8</v>
      </c>
      <c r="M614"/>
    </row>
    <row r="615" spans="1:13" x14ac:dyDescent="0.25">
      <c r="A615" s="3" t="s">
        <v>53</v>
      </c>
      <c r="B615" s="3" t="s">
        <v>243</v>
      </c>
      <c r="C615" s="3" t="s">
        <v>9</v>
      </c>
      <c r="D615" s="3" t="s">
        <v>10</v>
      </c>
      <c r="E615" s="5" t="s">
        <v>14</v>
      </c>
      <c r="F615" s="17">
        <v>68.84</v>
      </c>
      <c r="G615" s="3">
        <v>6</v>
      </c>
      <c r="H615" s="17">
        <f>Table1[[#This Row],[Unit price]]*Table1[[#This Row],[Quantity]]</f>
        <v>413.04</v>
      </c>
      <c r="I615" s="29">
        <f>Table1[[#This Row],[Total Revenue]]/$H$5056*100</f>
        <v>4.3821787366404866E-2</v>
      </c>
      <c r="J615" s="3" t="s">
        <v>17</v>
      </c>
      <c r="K615" s="4">
        <v>5.8</v>
      </c>
      <c r="M615"/>
    </row>
    <row r="616" spans="1:13" x14ac:dyDescent="0.25">
      <c r="A616" s="3" t="s">
        <v>53</v>
      </c>
      <c r="B616" s="3" t="s">
        <v>244</v>
      </c>
      <c r="C616" s="3" t="s">
        <v>9</v>
      </c>
      <c r="D616" s="3" t="s">
        <v>10</v>
      </c>
      <c r="E616" s="5" t="s">
        <v>20</v>
      </c>
      <c r="F616" s="17">
        <v>82.04</v>
      </c>
      <c r="G616" s="3">
        <v>5</v>
      </c>
      <c r="H616" s="17">
        <f>Table1[[#This Row],[Unit price]]*Table1[[#This Row],[Quantity]]</f>
        <v>410.20000000000005</v>
      </c>
      <c r="I616" s="29">
        <f>Table1[[#This Row],[Total Revenue]]/$H$5056*100</f>
        <v>4.3520475444749358E-2</v>
      </c>
      <c r="J616" s="3" t="s">
        <v>12</v>
      </c>
      <c r="K616" s="4">
        <v>7.6</v>
      </c>
      <c r="M616"/>
    </row>
    <row r="617" spans="1:13" x14ac:dyDescent="0.25">
      <c r="A617" s="3" t="s">
        <v>53</v>
      </c>
      <c r="B617" s="3" t="s">
        <v>245</v>
      </c>
      <c r="C617" s="3" t="s">
        <v>13</v>
      </c>
      <c r="D617" s="3" t="s">
        <v>19</v>
      </c>
      <c r="E617" s="5" t="s">
        <v>11</v>
      </c>
      <c r="F617" s="17">
        <v>48.61</v>
      </c>
      <c r="G617" s="3">
        <v>1</v>
      </c>
      <c r="H617" s="17">
        <f>Table1[[#This Row],[Unit price]]*Table1[[#This Row],[Quantity]]</f>
        <v>48.61</v>
      </c>
      <c r="I617" s="29">
        <f>Table1[[#This Row],[Total Revenue]]/$H$5056*100</f>
        <v>5.1573142646739794E-3</v>
      </c>
      <c r="J617" s="3" t="s">
        <v>15</v>
      </c>
      <c r="K617" s="4">
        <v>4.4000000000000004</v>
      </c>
      <c r="M617"/>
    </row>
    <row r="618" spans="1:13" x14ac:dyDescent="0.25">
      <c r="A618" s="3" t="s">
        <v>53</v>
      </c>
      <c r="B618" s="3" t="s">
        <v>245</v>
      </c>
      <c r="C618" s="3" t="s">
        <v>9</v>
      </c>
      <c r="D618" s="3" t="s">
        <v>19</v>
      </c>
      <c r="E618" s="5" t="s">
        <v>14</v>
      </c>
      <c r="F618" s="17">
        <v>86.04</v>
      </c>
      <c r="G618" s="3">
        <v>5</v>
      </c>
      <c r="H618" s="17">
        <f>Table1[[#This Row],[Unit price]]*Table1[[#This Row],[Quantity]]</f>
        <v>430.20000000000005</v>
      </c>
      <c r="I618" s="29">
        <f>Table1[[#This Row],[Total Revenue]]/$H$5056*100</f>
        <v>4.5642390385985311E-2</v>
      </c>
      <c r="J618" s="3" t="s">
        <v>17</v>
      </c>
      <c r="K618" s="4">
        <v>4.8</v>
      </c>
      <c r="M618"/>
    </row>
    <row r="619" spans="1:13" x14ac:dyDescent="0.25">
      <c r="A619" s="3" t="s">
        <v>53</v>
      </c>
      <c r="B619" s="3" t="s">
        <v>244</v>
      </c>
      <c r="C619" s="3" t="s">
        <v>13</v>
      </c>
      <c r="D619" s="3" t="s">
        <v>19</v>
      </c>
      <c r="E619" s="5" t="s">
        <v>16</v>
      </c>
      <c r="F619" s="17">
        <v>88.45</v>
      </c>
      <c r="G619" s="3">
        <v>1</v>
      </c>
      <c r="H619" s="17">
        <f>Table1[[#This Row],[Unit price]]*Table1[[#This Row],[Quantity]]</f>
        <v>88.45</v>
      </c>
      <c r="I619" s="29">
        <f>Table1[[#This Row],[Total Revenue]]/$H$5056*100</f>
        <v>9.3841688276159949E-3</v>
      </c>
      <c r="J619" s="3" t="s">
        <v>12</v>
      </c>
      <c r="K619" s="4">
        <v>9.5</v>
      </c>
      <c r="M619"/>
    </row>
    <row r="620" spans="1:13" x14ac:dyDescent="0.25">
      <c r="A620" s="3" t="s">
        <v>53</v>
      </c>
      <c r="B620" s="3" t="s">
        <v>244</v>
      </c>
      <c r="C620" s="3" t="s">
        <v>13</v>
      </c>
      <c r="D620" s="3" t="s">
        <v>19</v>
      </c>
      <c r="E620" s="5" t="s">
        <v>21</v>
      </c>
      <c r="F620" s="17">
        <v>62.57</v>
      </c>
      <c r="G620" s="3">
        <v>4</v>
      </c>
      <c r="H620" s="17">
        <f>Table1[[#This Row],[Unit price]]*Table1[[#This Row],[Quantity]]</f>
        <v>250.28</v>
      </c>
      <c r="I620" s="29">
        <f>Table1[[#This Row],[Total Revenue]]/$H$5056*100</f>
        <v>2.6553643574626688E-2</v>
      </c>
      <c r="J620" s="3" t="s">
        <v>15</v>
      </c>
      <c r="K620" s="4">
        <v>9.5</v>
      </c>
      <c r="M620"/>
    </row>
    <row r="621" spans="1:13" x14ac:dyDescent="0.25">
      <c r="A621" s="3" t="s">
        <v>53</v>
      </c>
      <c r="B621" s="3" t="s">
        <v>244</v>
      </c>
      <c r="C621" s="3" t="s">
        <v>9</v>
      </c>
      <c r="D621" s="3" t="s">
        <v>19</v>
      </c>
      <c r="E621" s="5" t="s">
        <v>14</v>
      </c>
      <c r="F621" s="17">
        <v>39.75</v>
      </c>
      <c r="G621" s="3">
        <v>1</v>
      </c>
      <c r="H621" s="17">
        <f>Table1[[#This Row],[Unit price]]*Table1[[#This Row],[Quantity]]</f>
        <v>39.75</v>
      </c>
      <c r="I621" s="29">
        <f>Table1[[#This Row],[Total Revenue]]/$H$5056*100</f>
        <v>4.2173059457064526E-3</v>
      </c>
      <c r="J621" s="3" t="s">
        <v>15</v>
      </c>
      <c r="K621" s="4">
        <v>6.1</v>
      </c>
      <c r="M621"/>
    </row>
    <row r="622" spans="1:13" x14ac:dyDescent="0.25">
      <c r="A622" s="3" t="s">
        <v>53</v>
      </c>
      <c r="B622" s="3" t="s">
        <v>243</v>
      </c>
      <c r="C622" s="3" t="s">
        <v>13</v>
      </c>
      <c r="D622" s="3" t="s">
        <v>10</v>
      </c>
      <c r="E622" s="5" t="s">
        <v>18</v>
      </c>
      <c r="F622" s="17">
        <v>73.05</v>
      </c>
      <c r="G622" s="3">
        <v>4</v>
      </c>
      <c r="H622" s="17">
        <f>Table1[[#This Row],[Unit price]]*Table1[[#This Row],[Quantity]]</f>
        <v>292.2</v>
      </c>
      <c r="I622" s="29">
        <f>Table1[[#This Row],[Total Revenue]]/$H$5056*100</f>
        <v>3.1001177291457242E-2</v>
      </c>
      <c r="J622" s="3" t="s">
        <v>12</v>
      </c>
      <c r="K622" s="4">
        <v>4.9000000000000004</v>
      </c>
      <c r="M622"/>
    </row>
    <row r="623" spans="1:13" x14ac:dyDescent="0.25">
      <c r="A623" s="3" t="s">
        <v>53</v>
      </c>
      <c r="B623" s="3" t="s">
        <v>244</v>
      </c>
      <c r="C623" s="3" t="s">
        <v>13</v>
      </c>
      <c r="D623" s="3" t="s">
        <v>10</v>
      </c>
      <c r="E623" s="5" t="s">
        <v>14</v>
      </c>
      <c r="F623" s="17">
        <v>52.79</v>
      </c>
      <c r="G623" s="3">
        <v>10</v>
      </c>
      <c r="H623" s="17">
        <f>Table1[[#This Row],[Unit price]]*Table1[[#This Row],[Quantity]]</f>
        <v>527.9</v>
      </c>
      <c r="I623" s="29">
        <f>Table1[[#This Row],[Total Revenue]]/$H$5056*100</f>
        <v>5.6007944873922924E-2</v>
      </c>
      <c r="J623" s="3" t="s">
        <v>17</v>
      </c>
      <c r="K623" s="4">
        <v>10</v>
      </c>
      <c r="M623"/>
    </row>
    <row r="624" spans="1:13" x14ac:dyDescent="0.25">
      <c r="A624" s="3" t="s">
        <v>53</v>
      </c>
      <c r="B624" s="3" t="s">
        <v>243</v>
      </c>
      <c r="C624" s="3" t="s">
        <v>13</v>
      </c>
      <c r="D624" s="3" t="s">
        <v>19</v>
      </c>
      <c r="E624" s="5" t="s">
        <v>21</v>
      </c>
      <c r="F624" s="17">
        <v>65.180000000000007</v>
      </c>
      <c r="G624" s="3">
        <v>3</v>
      </c>
      <c r="H624" s="17">
        <f>Table1[[#This Row],[Unit price]]*Table1[[#This Row],[Quantity]]</f>
        <v>195.54000000000002</v>
      </c>
      <c r="I624" s="29">
        <f>Table1[[#This Row],[Total Revenue]]/$H$5056*100</f>
        <v>2.0745962380463896E-2</v>
      </c>
      <c r="J624" s="3" t="s">
        <v>12</v>
      </c>
      <c r="K624" s="4">
        <v>6.3</v>
      </c>
      <c r="M624"/>
    </row>
    <row r="625" spans="1:13" x14ac:dyDescent="0.25">
      <c r="A625" s="3" t="s">
        <v>53</v>
      </c>
      <c r="B625" s="3" t="s">
        <v>244</v>
      </c>
      <c r="C625" s="3" t="s">
        <v>9</v>
      </c>
      <c r="D625" s="3" t="s">
        <v>19</v>
      </c>
      <c r="E625" s="5" t="s">
        <v>21</v>
      </c>
      <c r="F625" s="17">
        <v>42.57</v>
      </c>
      <c r="G625" s="3">
        <v>8</v>
      </c>
      <c r="H625" s="17">
        <f>Table1[[#This Row],[Unit price]]*Table1[[#This Row],[Quantity]]</f>
        <v>340.56</v>
      </c>
      <c r="I625" s="29">
        <f>Table1[[#This Row],[Total Revenue]]/$H$5056*100</f>
        <v>3.6131967619365775E-2</v>
      </c>
      <c r="J625" s="3" t="s">
        <v>17</v>
      </c>
      <c r="K625" s="4">
        <v>5.6</v>
      </c>
      <c r="M625"/>
    </row>
    <row r="626" spans="1:13" x14ac:dyDescent="0.25">
      <c r="A626" s="3" t="s">
        <v>53</v>
      </c>
      <c r="B626" s="3" t="s">
        <v>244</v>
      </c>
      <c r="C626" s="3" t="s">
        <v>9</v>
      </c>
      <c r="D626" s="3" t="s">
        <v>10</v>
      </c>
      <c r="E626" s="5" t="s">
        <v>11</v>
      </c>
      <c r="F626" s="17">
        <v>62.85</v>
      </c>
      <c r="G626" s="3">
        <v>4</v>
      </c>
      <c r="H626" s="17">
        <f>Table1[[#This Row],[Unit price]]*Table1[[#This Row],[Quantity]]</f>
        <v>251.4</v>
      </c>
      <c r="I626" s="29">
        <f>Table1[[#This Row],[Total Revenue]]/$H$5056*100</f>
        <v>2.6672470811335905E-2</v>
      </c>
      <c r="J626" s="3" t="s">
        <v>17</v>
      </c>
      <c r="K626" s="4">
        <v>8.6999999999999993</v>
      </c>
      <c r="M626"/>
    </row>
    <row r="627" spans="1:13" x14ac:dyDescent="0.25">
      <c r="A627" s="3" t="s">
        <v>53</v>
      </c>
      <c r="B627" s="3" t="s">
        <v>243</v>
      </c>
      <c r="C627" s="3" t="s">
        <v>13</v>
      </c>
      <c r="D627" s="3" t="s">
        <v>19</v>
      </c>
      <c r="E627" s="5" t="s">
        <v>16</v>
      </c>
      <c r="F627" s="17">
        <v>63.69</v>
      </c>
      <c r="G627" s="3">
        <v>1</v>
      </c>
      <c r="H627" s="17">
        <f>Table1[[#This Row],[Unit price]]*Table1[[#This Row],[Quantity]]</f>
        <v>63.69</v>
      </c>
      <c r="I627" s="29">
        <f>Table1[[#This Row],[Total Revenue]]/$H$5056*100</f>
        <v>6.7572381303658861E-3</v>
      </c>
      <c r="J627" s="3" t="s">
        <v>15</v>
      </c>
      <c r="K627" s="4">
        <v>6</v>
      </c>
      <c r="M627"/>
    </row>
    <row r="628" spans="1:13" x14ac:dyDescent="0.25">
      <c r="A628" s="3" t="s">
        <v>54</v>
      </c>
      <c r="B628" s="3" t="s">
        <v>245</v>
      </c>
      <c r="C628" s="3" t="s">
        <v>13</v>
      </c>
      <c r="D628" s="3" t="s">
        <v>10</v>
      </c>
      <c r="E628" s="5" t="s">
        <v>11</v>
      </c>
      <c r="F628" s="17">
        <v>22.93</v>
      </c>
      <c r="G628" s="3">
        <v>9</v>
      </c>
      <c r="H628" s="17">
        <f>Table1[[#This Row],[Unit price]]*Table1[[#This Row],[Quantity]]</f>
        <v>206.37</v>
      </c>
      <c r="I628" s="29">
        <f>Table1[[#This Row],[Total Revenue]]/$H$5056*100</f>
        <v>2.1894979321143163E-2</v>
      </c>
      <c r="J628" s="3" t="s">
        <v>15</v>
      </c>
      <c r="K628" s="4">
        <v>5.5</v>
      </c>
      <c r="M628"/>
    </row>
    <row r="629" spans="1:13" x14ac:dyDescent="0.25">
      <c r="A629" s="3" t="s">
        <v>54</v>
      </c>
      <c r="B629" s="3" t="s">
        <v>244</v>
      </c>
      <c r="C629" s="3" t="s">
        <v>9</v>
      </c>
      <c r="D629" s="3" t="s">
        <v>19</v>
      </c>
      <c r="E629" s="5" t="s">
        <v>11</v>
      </c>
      <c r="F629" s="17">
        <v>26.6</v>
      </c>
      <c r="G629" s="3">
        <v>6</v>
      </c>
      <c r="H629" s="17">
        <f>Table1[[#This Row],[Unit price]]*Table1[[#This Row],[Quantity]]</f>
        <v>159.60000000000002</v>
      </c>
      <c r="I629" s="29">
        <f>Table1[[#This Row],[Total Revenue]]/$H$5056*100</f>
        <v>1.6932881231062891E-2</v>
      </c>
      <c r="J629" s="3" t="s">
        <v>17</v>
      </c>
      <c r="K629" s="4">
        <v>4.9000000000000004</v>
      </c>
      <c r="M629"/>
    </row>
    <row r="630" spans="1:13" x14ac:dyDescent="0.25">
      <c r="A630" s="3" t="s">
        <v>54</v>
      </c>
      <c r="B630" s="3" t="s">
        <v>244</v>
      </c>
      <c r="C630" s="3" t="s">
        <v>13</v>
      </c>
      <c r="D630" s="3" t="s">
        <v>10</v>
      </c>
      <c r="E630" s="5" t="s">
        <v>21</v>
      </c>
      <c r="F630" s="17">
        <v>99.71</v>
      </c>
      <c r="G630" s="3">
        <v>6</v>
      </c>
      <c r="H630" s="17">
        <f>Table1[[#This Row],[Unit price]]*Table1[[#This Row],[Quantity]]</f>
        <v>598.26</v>
      </c>
      <c r="I630" s="29">
        <f>Table1[[#This Row],[Total Revenue]]/$H$5056*100</f>
        <v>6.3472841637190996E-2</v>
      </c>
      <c r="J630" s="3" t="s">
        <v>17</v>
      </c>
      <c r="K630" s="4">
        <v>7.9</v>
      </c>
      <c r="M630"/>
    </row>
    <row r="631" spans="1:13" x14ac:dyDescent="0.25">
      <c r="A631" s="3" t="s">
        <v>54</v>
      </c>
      <c r="B631" s="3" t="s">
        <v>244</v>
      </c>
      <c r="C631" s="3" t="s">
        <v>13</v>
      </c>
      <c r="D631" s="3" t="s">
        <v>19</v>
      </c>
      <c r="E631" s="5" t="s">
        <v>16</v>
      </c>
      <c r="F631" s="17">
        <v>54.45</v>
      </c>
      <c r="G631" s="3">
        <v>1</v>
      </c>
      <c r="H631" s="17">
        <f>Table1[[#This Row],[Unit price]]*Table1[[#This Row],[Quantity]]</f>
        <v>54.45</v>
      </c>
      <c r="I631" s="29">
        <f>Table1[[#This Row],[Total Revenue]]/$H$5056*100</f>
        <v>5.7769134275148766E-3</v>
      </c>
      <c r="J631" s="3" t="s">
        <v>17</v>
      </c>
      <c r="K631" s="4">
        <v>7.9</v>
      </c>
      <c r="M631"/>
    </row>
    <row r="632" spans="1:13" x14ac:dyDescent="0.25">
      <c r="A632" s="3" t="s">
        <v>54</v>
      </c>
      <c r="B632" s="3" t="s">
        <v>244</v>
      </c>
      <c r="C632" s="3" t="s">
        <v>13</v>
      </c>
      <c r="D632" s="3" t="s">
        <v>19</v>
      </c>
      <c r="E632" s="5" t="s">
        <v>18</v>
      </c>
      <c r="F632" s="17">
        <v>99.89</v>
      </c>
      <c r="G632" s="3">
        <v>2</v>
      </c>
      <c r="H632" s="17">
        <f>Table1[[#This Row],[Unit price]]*Table1[[#This Row],[Quantity]]</f>
        <v>199.78</v>
      </c>
      <c r="I632" s="29">
        <f>Table1[[#This Row],[Total Revenue]]/$H$5056*100</f>
        <v>2.1195808348005916E-2</v>
      </c>
      <c r="J632" s="3" t="s">
        <v>17</v>
      </c>
      <c r="K632" s="4">
        <v>7.1</v>
      </c>
      <c r="M632"/>
    </row>
    <row r="633" spans="1:13" x14ac:dyDescent="0.25">
      <c r="A633" s="3" t="s">
        <v>54</v>
      </c>
      <c r="B633" s="3" t="s">
        <v>243</v>
      </c>
      <c r="C633" s="3" t="s">
        <v>13</v>
      </c>
      <c r="D633" s="3" t="s">
        <v>10</v>
      </c>
      <c r="E633" s="5" t="s">
        <v>14</v>
      </c>
      <c r="F633" s="17">
        <v>46.61</v>
      </c>
      <c r="G633" s="3">
        <v>2</v>
      </c>
      <c r="H633" s="17">
        <f>Table1[[#This Row],[Unit price]]*Table1[[#This Row],[Quantity]]</f>
        <v>93.22</v>
      </c>
      <c r="I633" s="29">
        <f>Table1[[#This Row],[Total Revenue]]/$H$5056*100</f>
        <v>9.8902455411007673E-3</v>
      </c>
      <c r="J633" s="3" t="s">
        <v>12</v>
      </c>
      <c r="K633" s="4">
        <v>6.6</v>
      </c>
      <c r="M633"/>
    </row>
    <row r="634" spans="1:13" x14ac:dyDescent="0.25">
      <c r="A634" s="3" t="s">
        <v>54</v>
      </c>
      <c r="B634" s="3" t="s">
        <v>244</v>
      </c>
      <c r="C634" s="3" t="s">
        <v>9</v>
      </c>
      <c r="D634" s="3" t="s">
        <v>10</v>
      </c>
      <c r="E634" s="5" t="s">
        <v>16</v>
      </c>
      <c r="F634" s="17">
        <v>95.54</v>
      </c>
      <c r="G634" s="3">
        <v>4</v>
      </c>
      <c r="H634" s="17">
        <f>Table1[[#This Row],[Unit price]]*Table1[[#This Row],[Quantity]]</f>
        <v>382.16</v>
      </c>
      <c r="I634" s="29">
        <f>Table1[[#This Row],[Total Revenue]]/$H$5056*100</f>
        <v>4.0545550697136556E-2</v>
      </c>
      <c r="J634" s="3" t="s">
        <v>17</v>
      </c>
      <c r="K634" s="4">
        <v>4.5</v>
      </c>
      <c r="M634"/>
    </row>
    <row r="635" spans="1:13" x14ac:dyDescent="0.25">
      <c r="A635" s="3" t="s">
        <v>54</v>
      </c>
      <c r="B635" s="3" t="s">
        <v>243</v>
      </c>
      <c r="C635" s="3" t="s">
        <v>9</v>
      </c>
      <c r="D635" s="3" t="s">
        <v>19</v>
      </c>
      <c r="E635" s="5" t="s">
        <v>18</v>
      </c>
      <c r="F635" s="17">
        <v>55.45</v>
      </c>
      <c r="G635" s="3">
        <v>1</v>
      </c>
      <c r="H635" s="17">
        <f>Table1[[#This Row],[Unit price]]*Table1[[#This Row],[Quantity]]</f>
        <v>55.45</v>
      </c>
      <c r="I635" s="29">
        <f>Table1[[#This Row],[Total Revenue]]/$H$5056*100</f>
        <v>5.883009174576675E-3</v>
      </c>
      <c r="J635" s="3" t="s">
        <v>12</v>
      </c>
      <c r="K635" s="4">
        <v>4.9000000000000004</v>
      </c>
      <c r="M635"/>
    </row>
    <row r="636" spans="1:13" x14ac:dyDescent="0.25">
      <c r="A636" s="3" t="s">
        <v>54</v>
      </c>
      <c r="B636" s="3" t="s">
        <v>244</v>
      </c>
      <c r="C636" s="3" t="s">
        <v>9</v>
      </c>
      <c r="D636" s="3" t="s">
        <v>10</v>
      </c>
      <c r="E636" s="5" t="s">
        <v>14</v>
      </c>
      <c r="F636" s="17">
        <v>90.7</v>
      </c>
      <c r="G636" s="3">
        <v>6</v>
      </c>
      <c r="H636" s="17">
        <f>Table1[[#This Row],[Unit price]]*Table1[[#This Row],[Quantity]]</f>
        <v>544.20000000000005</v>
      </c>
      <c r="I636" s="29">
        <f>Table1[[#This Row],[Total Revenue]]/$H$5056*100</f>
        <v>5.7737305551030238E-2</v>
      </c>
      <c r="J636" s="3" t="s">
        <v>15</v>
      </c>
      <c r="K636" s="4">
        <v>5.3</v>
      </c>
      <c r="M636"/>
    </row>
    <row r="637" spans="1:13" x14ac:dyDescent="0.25">
      <c r="A637" s="3" t="s">
        <v>55</v>
      </c>
      <c r="B637" s="3" t="s">
        <v>244</v>
      </c>
      <c r="C637" s="3" t="s">
        <v>9</v>
      </c>
      <c r="D637" s="3" t="s">
        <v>19</v>
      </c>
      <c r="E637" s="5" t="s">
        <v>21</v>
      </c>
      <c r="F637" s="17">
        <v>56.69</v>
      </c>
      <c r="G637" s="3">
        <v>9</v>
      </c>
      <c r="H637" s="17">
        <f>Table1[[#This Row],[Unit price]]*Table1[[#This Row],[Quantity]]</f>
        <v>510.21</v>
      </c>
      <c r="I637" s="29">
        <f>Table1[[#This Row],[Total Revenue]]/$H$5056*100</f>
        <v>5.4131111108399729E-2</v>
      </c>
      <c r="J637" s="3" t="s">
        <v>12</v>
      </c>
      <c r="K637" s="4">
        <v>8.4</v>
      </c>
      <c r="M637"/>
    </row>
    <row r="638" spans="1:13" x14ac:dyDescent="0.25">
      <c r="A638" s="3" t="s">
        <v>55</v>
      </c>
      <c r="B638" s="3" t="s">
        <v>244</v>
      </c>
      <c r="C638" s="3" t="s">
        <v>13</v>
      </c>
      <c r="D638" s="3" t="s">
        <v>19</v>
      </c>
      <c r="E638" s="5" t="s">
        <v>16</v>
      </c>
      <c r="F638" s="17">
        <v>67.27</v>
      </c>
      <c r="G638" s="3">
        <v>5</v>
      </c>
      <c r="H638" s="17">
        <f>Table1[[#This Row],[Unit price]]*Table1[[#This Row],[Quantity]]</f>
        <v>336.34999999999997</v>
      </c>
      <c r="I638" s="29">
        <f>Table1[[#This Row],[Total Revenue]]/$H$5056*100</f>
        <v>3.5685304524235607E-2</v>
      </c>
      <c r="J638" s="3" t="s">
        <v>15</v>
      </c>
      <c r="K638" s="4">
        <v>6.9</v>
      </c>
      <c r="M638"/>
    </row>
    <row r="639" spans="1:13" x14ac:dyDescent="0.25">
      <c r="A639" s="3" t="s">
        <v>55</v>
      </c>
      <c r="B639" s="3" t="s">
        <v>244</v>
      </c>
      <c r="C639" s="3" t="s">
        <v>9</v>
      </c>
      <c r="D639" s="3" t="s">
        <v>10</v>
      </c>
      <c r="E639" s="5" t="s">
        <v>18</v>
      </c>
      <c r="F639" s="17">
        <v>19.77</v>
      </c>
      <c r="G639" s="3">
        <v>10</v>
      </c>
      <c r="H639" s="17">
        <f>Table1[[#This Row],[Unit price]]*Table1[[#This Row],[Quantity]]</f>
        <v>197.7</v>
      </c>
      <c r="I639" s="29">
        <f>Table1[[#This Row],[Total Revenue]]/$H$5056*100</f>
        <v>2.0975129194117377E-2</v>
      </c>
      <c r="J639" s="3" t="s">
        <v>12</v>
      </c>
      <c r="K639" s="4">
        <v>5</v>
      </c>
      <c r="M639"/>
    </row>
    <row r="640" spans="1:13" x14ac:dyDescent="0.25">
      <c r="A640" s="3" t="s">
        <v>55</v>
      </c>
      <c r="B640" s="3" t="s">
        <v>244</v>
      </c>
      <c r="C640" s="3" t="s">
        <v>13</v>
      </c>
      <c r="D640" s="3" t="s">
        <v>10</v>
      </c>
      <c r="E640" s="5" t="s">
        <v>21</v>
      </c>
      <c r="F640" s="17">
        <v>76.989999999999995</v>
      </c>
      <c r="G640" s="3">
        <v>6</v>
      </c>
      <c r="H640" s="17">
        <f>Table1[[#This Row],[Unit price]]*Table1[[#This Row],[Quantity]]</f>
        <v>461.93999999999994</v>
      </c>
      <c r="I640" s="29">
        <f>Table1[[#This Row],[Total Revenue]]/$H$5056*100</f>
        <v>4.9009869397726759E-2</v>
      </c>
      <c r="J640" s="3" t="s">
        <v>15</v>
      </c>
      <c r="K640" s="4">
        <v>6.1</v>
      </c>
      <c r="M640"/>
    </row>
    <row r="641" spans="1:13" x14ac:dyDescent="0.25">
      <c r="A641" s="3" t="s">
        <v>55</v>
      </c>
      <c r="B641" s="3" t="s">
        <v>243</v>
      </c>
      <c r="C641" s="3" t="s">
        <v>13</v>
      </c>
      <c r="D641" s="3" t="s">
        <v>10</v>
      </c>
      <c r="E641" s="5" t="s">
        <v>18</v>
      </c>
      <c r="F641" s="17">
        <v>77.930000000000007</v>
      </c>
      <c r="G641" s="3">
        <v>9</v>
      </c>
      <c r="H641" s="17">
        <f>Table1[[#This Row],[Unit price]]*Table1[[#This Row],[Quantity]]</f>
        <v>701.37000000000012</v>
      </c>
      <c r="I641" s="29">
        <f>Table1[[#This Row],[Total Revenue]]/$H$5056*100</f>
        <v>7.441237411673296E-2</v>
      </c>
      <c r="J641" s="3" t="s">
        <v>17</v>
      </c>
      <c r="K641" s="4">
        <v>7.6</v>
      </c>
      <c r="M641"/>
    </row>
    <row r="642" spans="1:13" x14ac:dyDescent="0.25">
      <c r="A642" s="3" t="s">
        <v>55</v>
      </c>
      <c r="B642" s="3" t="s">
        <v>243</v>
      </c>
      <c r="C642" s="3" t="s">
        <v>9</v>
      </c>
      <c r="D642" s="3" t="s">
        <v>19</v>
      </c>
      <c r="E642" s="5" t="s">
        <v>14</v>
      </c>
      <c r="F642" s="17">
        <v>92.6</v>
      </c>
      <c r="G642" s="3">
        <v>7</v>
      </c>
      <c r="H642" s="17">
        <f>Table1[[#This Row],[Unit price]]*Table1[[#This Row],[Quantity]]</f>
        <v>648.19999999999993</v>
      </c>
      <c r="I642" s="29">
        <f>Table1[[#This Row],[Total Revenue]]/$H$5056*100</f>
        <v>6.8771263245457168E-2</v>
      </c>
      <c r="J642" s="3" t="s">
        <v>12</v>
      </c>
      <c r="K642" s="4">
        <v>9.3000000000000007</v>
      </c>
      <c r="M642"/>
    </row>
    <row r="643" spans="1:13" x14ac:dyDescent="0.25">
      <c r="A643" s="3" t="s">
        <v>55</v>
      </c>
      <c r="B643" s="3" t="s">
        <v>245</v>
      </c>
      <c r="C643" s="3" t="s">
        <v>13</v>
      </c>
      <c r="D643" s="3" t="s">
        <v>10</v>
      </c>
      <c r="E643" s="5" t="s">
        <v>14</v>
      </c>
      <c r="F643" s="17">
        <v>99.69</v>
      </c>
      <c r="G643" s="3">
        <v>1</v>
      </c>
      <c r="H643" s="17">
        <f>Table1[[#This Row],[Unit price]]*Table1[[#This Row],[Quantity]]</f>
        <v>99.69</v>
      </c>
      <c r="I643" s="29">
        <f>Table1[[#This Row],[Total Revenue]]/$H$5056*100</f>
        <v>1.0576685024590598E-2</v>
      </c>
      <c r="J643" s="3" t="s">
        <v>12</v>
      </c>
      <c r="K643" s="4">
        <v>8</v>
      </c>
      <c r="M643"/>
    </row>
    <row r="644" spans="1:13" x14ac:dyDescent="0.25">
      <c r="A644" s="3" t="s">
        <v>55</v>
      </c>
      <c r="B644" s="3" t="s">
        <v>245</v>
      </c>
      <c r="C644" s="3" t="s">
        <v>13</v>
      </c>
      <c r="D644" s="3" t="s">
        <v>10</v>
      </c>
      <c r="E644" s="5" t="s">
        <v>11</v>
      </c>
      <c r="F644" s="17">
        <v>94.47</v>
      </c>
      <c r="G644" s="3">
        <v>8</v>
      </c>
      <c r="H644" s="17">
        <f>Table1[[#This Row],[Unit price]]*Table1[[#This Row],[Quantity]]</f>
        <v>755.76</v>
      </c>
      <c r="I644" s="29">
        <f>Table1[[#This Row],[Total Revenue]]/$H$5056*100</f>
        <v>8.0182921799424114E-2</v>
      </c>
      <c r="J644" s="3" t="s">
        <v>15</v>
      </c>
      <c r="K644" s="4">
        <v>9.1</v>
      </c>
      <c r="M644"/>
    </row>
    <row r="645" spans="1:13" x14ac:dyDescent="0.25">
      <c r="A645" s="3" t="s">
        <v>55</v>
      </c>
      <c r="B645" s="3" t="s">
        <v>245</v>
      </c>
      <c r="C645" s="3" t="s">
        <v>9</v>
      </c>
      <c r="D645" s="3" t="s">
        <v>10</v>
      </c>
      <c r="E645" s="5" t="s">
        <v>21</v>
      </c>
      <c r="F645" s="17">
        <v>85.87</v>
      </c>
      <c r="G645" s="3">
        <v>7</v>
      </c>
      <c r="H645" s="17">
        <f>Table1[[#This Row],[Unit price]]*Table1[[#This Row],[Quantity]]</f>
        <v>601.09</v>
      </c>
      <c r="I645" s="29">
        <f>Table1[[#This Row],[Total Revenue]]/$H$5056*100</f>
        <v>6.3773092601375897E-2</v>
      </c>
      <c r="J645" s="3" t="s">
        <v>12</v>
      </c>
      <c r="K645" s="4">
        <v>8</v>
      </c>
      <c r="M645"/>
    </row>
    <row r="646" spans="1:13" x14ac:dyDescent="0.25">
      <c r="A646" s="3" t="s">
        <v>55</v>
      </c>
      <c r="B646" s="3" t="s">
        <v>243</v>
      </c>
      <c r="C646" s="3" t="s">
        <v>9</v>
      </c>
      <c r="D646" s="3" t="s">
        <v>19</v>
      </c>
      <c r="E646" s="5" t="s">
        <v>18</v>
      </c>
      <c r="F646" s="17">
        <v>21.48</v>
      </c>
      <c r="G646" s="3">
        <v>2</v>
      </c>
      <c r="H646" s="17">
        <f>Table1[[#This Row],[Unit price]]*Table1[[#This Row],[Quantity]]</f>
        <v>42.96</v>
      </c>
      <c r="I646" s="29">
        <f>Table1[[#This Row],[Total Revenue]]/$H$5056*100</f>
        <v>4.5578732937748227E-3</v>
      </c>
      <c r="J646" s="3" t="s">
        <v>17</v>
      </c>
      <c r="K646" s="4">
        <v>6.6</v>
      </c>
      <c r="M646"/>
    </row>
    <row r="647" spans="1:13" x14ac:dyDescent="0.25">
      <c r="A647" s="3" t="s">
        <v>55</v>
      </c>
      <c r="B647" s="3" t="s">
        <v>244</v>
      </c>
      <c r="C647" s="3" t="s">
        <v>13</v>
      </c>
      <c r="D647" s="3" t="s">
        <v>10</v>
      </c>
      <c r="E647" s="5" t="s">
        <v>21</v>
      </c>
      <c r="F647" s="17">
        <v>13.5</v>
      </c>
      <c r="G647" s="3">
        <v>10</v>
      </c>
      <c r="H647" s="17">
        <f>Table1[[#This Row],[Unit price]]*Table1[[#This Row],[Quantity]]</f>
        <v>135</v>
      </c>
      <c r="I647" s="29">
        <f>Table1[[#This Row],[Total Revenue]]/$H$5056*100</f>
        <v>1.4322925853342669E-2</v>
      </c>
      <c r="J647" s="3" t="s">
        <v>12</v>
      </c>
      <c r="K647" s="4">
        <v>4.8</v>
      </c>
      <c r="M647"/>
    </row>
    <row r="648" spans="1:13" x14ac:dyDescent="0.25">
      <c r="A648" s="3" t="s">
        <v>55</v>
      </c>
      <c r="B648" s="3" t="s">
        <v>243</v>
      </c>
      <c r="C648" s="3" t="s">
        <v>9</v>
      </c>
      <c r="D648" s="3" t="s">
        <v>19</v>
      </c>
      <c r="E648" s="5" t="s">
        <v>11</v>
      </c>
      <c r="F648" s="17">
        <v>18.850000000000001</v>
      </c>
      <c r="G648" s="3">
        <v>10</v>
      </c>
      <c r="H648" s="17">
        <f>Table1[[#This Row],[Unit price]]*Table1[[#This Row],[Quantity]]</f>
        <v>188.5</v>
      </c>
      <c r="I648" s="29">
        <f>Table1[[#This Row],[Total Revenue]]/$H$5056*100</f>
        <v>1.9999048321148839E-2</v>
      </c>
      <c r="J648" s="3" t="s">
        <v>17</v>
      </c>
      <c r="K648" s="4">
        <v>5.6</v>
      </c>
      <c r="M648"/>
    </row>
    <row r="649" spans="1:13" x14ac:dyDescent="0.25">
      <c r="A649" s="3" t="s">
        <v>55</v>
      </c>
      <c r="B649" s="3" t="s">
        <v>244</v>
      </c>
      <c r="C649" s="3" t="s">
        <v>13</v>
      </c>
      <c r="D649" s="3" t="s">
        <v>19</v>
      </c>
      <c r="E649" s="5" t="s">
        <v>18</v>
      </c>
      <c r="F649" s="17">
        <v>52.42</v>
      </c>
      <c r="G649" s="3">
        <v>3</v>
      </c>
      <c r="H649" s="17">
        <f>Table1[[#This Row],[Unit price]]*Table1[[#This Row],[Quantity]]</f>
        <v>157.26</v>
      </c>
      <c r="I649" s="29">
        <f>Table1[[#This Row],[Total Revenue]]/$H$5056*100</f>
        <v>1.6684617182938281E-2</v>
      </c>
      <c r="J649" s="3" t="s">
        <v>17</v>
      </c>
      <c r="K649" s="4">
        <v>7.5</v>
      </c>
      <c r="M649"/>
    </row>
    <row r="650" spans="1:13" x14ac:dyDescent="0.25">
      <c r="A650" s="3" t="s">
        <v>55</v>
      </c>
      <c r="B650" s="3" t="s">
        <v>243</v>
      </c>
      <c r="C650" s="3" t="s">
        <v>13</v>
      </c>
      <c r="D650" s="3" t="s">
        <v>10</v>
      </c>
      <c r="E650" s="5" t="s">
        <v>11</v>
      </c>
      <c r="F650" s="17">
        <v>74.44</v>
      </c>
      <c r="G650" s="3">
        <v>10</v>
      </c>
      <c r="H650" s="17">
        <f>Table1[[#This Row],[Unit price]]*Table1[[#This Row],[Quantity]]</f>
        <v>744.4</v>
      </c>
      <c r="I650" s="29">
        <f>Table1[[#This Row],[Total Revenue]]/$H$5056*100</f>
        <v>7.8977674112802099E-2</v>
      </c>
      <c r="J650" s="3" t="s">
        <v>17</v>
      </c>
      <c r="K650" s="4">
        <v>5.0999999999999996</v>
      </c>
      <c r="M650"/>
    </row>
    <row r="651" spans="1:13" x14ac:dyDescent="0.25">
      <c r="A651" s="3" t="s">
        <v>56</v>
      </c>
      <c r="B651" s="3" t="s">
        <v>244</v>
      </c>
      <c r="C651" s="3" t="s">
        <v>13</v>
      </c>
      <c r="D651" s="3" t="s">
        <v>10</v>
      </c>
      <c r="E651" s="5" t="s">
        <v>18</v>
      </c>
      <c r="F651" s="17">
        <v>41.09</v>
      </c>
      <c r="G651" s="3">
        <v>10</v>
      </c>
      <c r="H651" s="17">
        <f>Table1[[#This Row],[Unit price]]*Table1[[#This Row],[Quantity]]</f>
        <v>410.90000000000003</v>
      </c>
      <c r="I651" s="29">
        <f>Table1[[#This Row],[Total Revenue]]/$H$5056*100</f>
        <v>4.359474246769262E-2</v>
      </c>
      <c r="J651" s="3" t="s">
        <v>15</v>
      </c>
      <c r="K651" s="4">
        <v>7.3</v>
      </c>
      <c r="M651"/>
    </row>
    <row r="652" spans="1:13" x14ac:dyDescent="0.25">
      <c r="A652" s="3" t="s">
        <v>56</v>
      </c>
      <c r="B652" s="3" t="s">
        <v>243</v>
      </c>
      <c r="C652" s="3" t="s">
        <v>13</v>
      </c>
      <c r="D652" s="3" t="s">
        <v>19</v>
      </c>
      <c r="E652" s="5" t="s">
        <v>21</v>
      </c>
      <c r="F652" s="17">
        <v>56</v>
      </c>
      <c r="G652" s="3">
        <v>3</v>
      </c>
      <c r="H652" s="17">
        <f>Table1[[#This Row],[Unit price]]*Table1[[#This Row],[Quantity]]</f>
        <v>168</v>
      </c>
      <c r="I652" s="29">
        <f>Table1[[#This Row],[Total Revenue]]/$H$5056*100</f>
        <v>1.7824085506381988E-2</v>
      </c>
      <c r="J652" s="3" t="s">
        <v>17</v>
      </c>
      <c r="K652" s="4">
        <v>4.8</v>
      </c>
      <c r="M652"/>
    </row>
    <row r="653" spans="1:13" x14ac:dyDescent="0.25">
      <c r="A653" s="3" t="s">
        <v>56</v>
      </c>
      <c r="B653" s="3" t="s">
        <v>245</v>
      </c>
      <c r="C653" s="3" t="s">
        <v>13</v>
      </c>
      <c r="D653" s="3" t="s">
        <v>10</v>
      </c>
      <c r="E653" s="5" t="s">
        <v>14</v>
      </c>
      <c r="F653" s="17">
        <v>85.98</v>
      </c>
      <c r="G653" s="3">
        <v>8</v>
      </c>
      <c r="H653" s="17">
        <f>Table1[[#This Row],[Unit price]]*Table1[[#This Row],[Quantity]]</f>
        <v>687.84</v>
      </c>
      <c r="I653" s="29">
        <f>Table1[[#This Row],[Total Revenue]]/$H$5056*100</f>
        <v>7.2976898658986822E-2</v>
      </c>
      <c r="J653" s="3" t="s">
        <v>15</v>
      </c>
      <c r="K653" s="4">
        <v>8.1999999999999993</v>
      </c>
      <c r="M653"/>
    </row>
    <row r="654" spans="1:13" x14ac:dyDescent="0.25">
      <c r="A654" s="3" t="s">
        <v>56</v>
      </c>
      <c r="B654" s="3" t="s">
        <v>243</v>
      </c>
      <c r="C654" s="3" t="s">
        <v>9</v>
      </c>
      <c r="D654" s="3" t="s">
        <v>19</v>
      </c>
      <c r="E654" s="5" t="s">
        <v>11</v>
      </c>
      <c r="F654" s="17">
        <v>80.62</v>
      </c>
      <c r="G654" s="3">
        <v>6</v>
      </c>
      <c r="H654" s="17">
        <f>Table1[[#This Row],[Unit price]]*Table1[[#This Row],[Quantity]]</f>
        <v>483.72</v>
      </c>
      <c r="I654" s="29">
        <f>Table1[[#This Row],[Total Revenue]]/$H$5056*100</f>
        <v>5.1320634768732713E-2</v>
      </c>
      <c r="J654" s="3" t="s">
        <v>15</v>
      </c>
      <c r="K654" s="4">
        <v>9.1</v>
      </c>
      <c r="M654"/>
    </row>
    <row r="655" spans="1:13" x14ac:dyDescent="0.25">
      <c r="A655" s="3" t="s">
        <v>56</v>
      </c>
      <c r="B655" s="3" t="s">
        <v>245</v>
      </c>
      <c r="C655" s="3" t="s">
        <v>9</v>
      </c>
      <c r="D655" s="3" t="s">
        <v>19</v>
      </c>
      <c r="E655" s="5" t="s">
        <v>18</v>
      </c>
      <c r="F655" s="17">
        <v>93.2</v>
      </c>
      <c r="G655" s="3">
        <v>2</v>
      </c>
      <c r="H655" s="17">
        <f>Table1[[#This Row],[Unit price]]*Table1[[#This Row],[Quantity]]</f>
        <v>186.4</v>
      </c>
      <c r="I655" s="29">
        <f>Table1[[#This Row],[Total Revenue]]/$H$5056*100</f>
        <v>1.9776247252319065E-2</v>
      </c>
      <c r="J655" s="3" t="s">
        <v>12</v>
      </c>
      <c r="K655" s="4">
        <v>6</v>
      </c>
      <c r="M655"/>
    </row>
    <row r="656" spans="1:13" x14ac:dyDescent="0.25">
      <c r="A656" s="3" t="s">
        <v>56</v>
      </c>
      <c r="B656" s="3" t="s">
        <v>244</v>
      </c>
      <c r="C656" s="3" t="s">
        <v>13</v>
      </c>
      <c r="D656" s="3" t="s">
        <v>19</v>
      </c>
      <c r="E656" s="5" t="s">
        <v>14</v>
      </c>
      <c r="F656" s="17">
        <v>60.3</v>
      </c>
      <c r="G656" s="3">
        <v>1</v>
      </c>
      <c r="H656" s="17">
        <f>Table1[[#This Row],[Unit price]]*Table1[[#This Row],[Quantity]]</f>
        <v>60.3</v>
      </c>
      <c r="I656" s="29">
        <f>Table1[[#This Row],[Total Revenue]]/$H$5056*100</f>
        <v>6.3975735478263929E-3</v>
      </c>
      <c r="J656" s="3" t="s">
        <v>15</v>
      </c>
      <c r="K656" s="4">
        <v>6</v>
      </c>
      <c r="M656"/>
    </row>
    <row r="657" spans="1:13" x14ac:dyDescent="0.25">
      <c r="A657" s="3" t="s">
        <v>57</v>
      </c>
      <c r="B657" s="3" t="s">
        <v>244</v>
      </c>
      <c r="C657" s="3" t="s">
        <v>9</v>
      </c>
      <c r="D657" s="3" t="s">
        <v>10</v>
      </c>
      <c r="E657" s="5" t="s">
        <v>11</v>
      </c>
      <c r="F657" s="17">
        <v>60.3</v>
      </c>
      <c r="G657" s="3">
        <v>4</v>
      </c>
      <c r="H657" s="17">
        <f>Table1[[#This Row],[Unit price]]*Table1[[#This Row],[Quantity]]</f>
        <v>241.2</v>
      </c>
      <c r="I657" s="29">
        <f>Table1[[#This Row],[Total Revenue]]/$H$5056*100</f>
        <v>2.5590294191305572E-2</v>
      </c>
      <c r="J657" s="3" t="s">
        <v>15</v>
      </c>
      <c r="K657" s="4">
        <v>5.8</v>
      </c>
      <c r="M657"/>
    </row>
    <row r="658" spans="1:13" x14ac:dyDescent="0.25">
      <c r="A658" s="3" t="s">
        <v>57</v>
      </c>
      <c r="B658" s="3" t="s">
        <v>244</v>
      </c>
      <c r="C658" s="3" t="s">
        <v>13</v>
      </c>
      <c r="D658" s="3" t="s">
        <v>19</v>
      </c>
      <c r="E658" s="5" t="s">
        <v>11</v>
      </c>
      <c r="F658" s="17">
        <v>92.29</v>
      </c>
      <c r="G658" s="3">
        <v>5</v>
      </c>
      <c r="H658" s="17">
        <f>Table1[[#This Row],[Unit price]]*Table1[[#This Row],[Quantity]]</f>
        <v>461.45000000000005</v>
      </c>
      <c r="I658" s="29">
        <f>Table1[[#This Row],[Total Revenue]]/$H$5056*100</f>
        <v>4.8957882481666493E-2</v>
      </c>
      <c r="J658" s="3" t="s">
        <v>12</v>
      </c>
      <c r="K658" s="4">
        <v>9</v>
      </c>
      <c r="M658"/>
    </row>
    <row r="659" spans="1:13" x14ac:dyDescent="0.25">
      <c r="A659" s="3" t="s">
        <v>57</v>
      </c>
      <c r="B659" s="3" t="s">
        <v>244</v>
      </c>
      <c r="C659" s="3" t="s">
        <v>13</v>
      </c>
      <c r="D659" s="3" t="s">
        <v>19</v>
      </c>
      <c r="E659" s="5" t="s">
        <v>11</v>
      </c>
      <c r="F659" s="17">
        <v>57.74</v>
      </c>
      <c r="G659" s="3">
        <v>3</v>
      </c>
      <c r="H659" s="17">
        <f>Table1[[#This Row],[Unit price]]*Table1[[#This Row],[Quantity]]</f>
        <v>173.22</v>
      </c>
      <c r="I659" s="29">
        <f>Table1[[#This Row],[Total Revenue]]/$H$5056*100</f>
        <v>1.8377905306044572E-2</v>
      </c>
      <c r="J659" s="3" t="s">
        <v>17</v>
      </c>
      <c r="K659" s="4">
        <v>7.7</v>
      </c>
      <c r="M659"/>
    </row>
    <row r="660" spans="1:13" x14ac:dyDescent="0.25">
      <c r="A660" s="3" t="s">
        <v>57</v>
      </c>
      <c r="B660" s="3" t="s">
        <v>243</v>
      </c>
      <c r="C660" s="3" t="s">
        <v>9</v>
      </c>
      <c r="D660" s="3" t="s">
        <v>19</v>
      </c>
      <c r="E660" s="5" t="s">
        <v>21</v>
      </c>
      <c r="F660" s="17">
        <v>66.680000000000007</v>
      </c>
      <c r="G660" s="3">
        <v>5</v>
      </c>
      <c r="H660" s="17">
        <f>Table1[[#This Row],[Unit price]]*Table1[[#This Row],[Quantity]]</f>
        <v>333.40000000000003</v>
      </c>
      <c r="I660" s="29">
        <f>Table1[[#This Row],[Total Revenue]]/$H$5056*100</f>
        <v>3.5372322070403306E-2</v>
      </c>
      <c r="J660" s="3" t="s">
        <v>15</v>
      </c>
      <c r="K660" s="4">
        <v>7.6</v>
      </c>
      <c r="M660"/>
    </row>
    <row r="661" spans="1:13" x14ac:dyDescent="0.25">
      <c r="A661" s="3" t="s">
        <v>57</v>
      </c>
      <c r="B661" s="3" t="s">
        <v>245</v>
      </c>
      <c r="C661" s="3" t="s">
        <v>13</v>
      </c>
      <c r="D661" s="3" t="s">
        <v>19</v>
      </c>
      <c r="E661" s="5" t="s">
        <v>11</v>
      </c>
      <c r="F661" s="17">
        <v>98.79</v>
      </c>
      <c r="G661" s="3">
        <v>3</v>
      </c>
      <c r="H661" s="17">
        <f>Table1[[#This Row],[Unit price]]*Table1[[#This Row],[Quantity]]</f>
        <v>296.37</v>
      </c>
      <c r="I661" s="29">
        <f>Table1[[#This Row],[Total Revenue]]/$H$5056*100</f>
        <v>3.1443596556704936E-2</v>
      </c>
      <c r="J661" s="3" t="s">
        <v>17</v>
      </c>
      <c r="K661" s="4">
        <v>6.4</v>
      </c>
      <c r="M661"/>
    </row>
    <row r="662" spans="1:13" x14ac:dyDescent="0.25">
      <c r="A662" s="3" t="s">
        <v>57</v>
      </c>
      <c r="B662" s="3" t="s">
        <v>244</v>
      </c>
      <c r="C662" s="3" t="s">
        <v>13</v>
      </c>
      <c r="D662" s="3" t="s">
        <v>10</v>
      </c>
      <c r="E662" s="5" t="s">
        <v>11</v>
      </c>
      <c r="F662" s="17">
        <v>73.47</v>
      </c>
      <c r="G662" s="3">
        <v>4</v>
      </c>
      <c r="H662" s="17">
        <f>Table1[[#This Row],[Unit price]]*Table1[[#This Row],[Quantity]]</f>
        <v>293.88</v>
      </c>
      <c r="I662" s="29">
        <f>Table1[[#This Row],[Total Revenue]]/$H$5056*100</f>
        <v>3.1179418146521063E-2</v>
      </c>
      <c r="J662" s="3" t="s">
        <v>15</v>
      </c>
      <c r="K662" s="4">
        <v>6</v>
      </c>
      <c r="M662"/>
    </row>
    <row r="663" spans="1:13" x14ac:dyDescent="0.25">
      <c r="A663" s="3" t="s">
        <v>57</v>
      </c>
      <c r="B663" s="3" t="s">
        <v>244</v>
      </c>
      <c r="C663" s="3" t="s">
        <v>9</v>
      </c>
      <c r="D663" s="3" t="s">
        <v>10</v>
      </c>
      <c r="E663" s="5" t="s">
        <v>11</v>
      </c>
      <c r="F663" s="17">
        <v>80.36</v>
      </c>
      <c r="G663" s="3">
        <v>4</v>
      </c>
      <c r="H663" s="17">
        <f>Table1[[#This Row],[Unit price]]*Table1[[#This Row],[Quantity]]</f>
        <v>321.44</v>
      </c>
      <c r="I663" s="29">
        <f>Table1[[#This Row],[Total Revenue]]/$H$5056*100</f>
        <v>3.4103416935544202E-2</v>
      </c>
      <c r="J663" s="3" t="s">
        <v>12</v>
      </c>
      <c r="K663" s="4">
        <v>8.3000000000000007</v>
      </c>
      <c r="M663"/>
    </row>
    <row r="664" spans="1:13" x14ac:dyDescent="0.25">
      <c r="A664" s="3" t="s">
        <v>57</v>
      </c>
      <c r="B664" s="3" t="s">
        <v>243</v>
      </c>
      <c r="C664" s="3" t="s">
        <v>9</v>
      </c>
      <c r="D664" s="3" t="s">
        <v>10</v>
      </c>
      <c r="E664" s="5" t="s">
        <v>21</v>
      </c>
      <c r="F664" s="17">
        <v>10.16</v>
      </c>
      <c r="G664" s="3">
        <v>5</v>
      </c>
      <c r="H664" s="17">
        <f>Table1[[#This Row],[Unit price]]*Table1[[#This Row],[Quantity]]</f>
        <v>50.8</v>
      </c>
      <c r="I664" s="29">
        <f>Table1[[#This Row],[Total Revenue]]/$H$5056*100</f>
        <v>5.3896639507393157E-3</v>
      </c>
      <c r="J664" s="3" t="s">
        <v>17</v>
      </c>
      <c r="K664" s="4">
        <v>4.0999999999999996</v>
      </c>
      <c r="M664"/>
    </row>
    <row r="665" spans="1:13" x14ac:dyDescent="0.25">
      <c r="A665" s="2">
        <v>45294</v>
      </c>
      <c r="B665" s="3" t="s">
        <v>244</v>
      </c>
      <c r="C665" s="3" t="s">
        <v>13</v>
      </c>
      <c r="D665" s="3" t="s">
        <v>19</v>
      </c>
      <c r="E665" s="5" t="s">
        <v>14</v>
      </c>
      <c r="F665" s="17">
        <v>27.5</v>
      </c>
      <c r="G665" s="3">
        <v>3</v>
      </c>
      <c r="H665" s="17">
        <f>Table1[[#This Row],[Unit price]]*Table1[[#This Row],[Quantity]]</f>
        <v>82.5</v>
      </c>
      <c r="I665" s="29">
        <f>Table1[[#This Row],[Total Revenue]]/$H$5056*100</f>
        <v>8.7528991325982984E-3</v>
      </c>
      <c r="J665" s="3" t="s">
        <v>17</v>
      </c>
      <c r="K665" s="4">
        <v>6.5</v>
      </c>
      <c r="M665"/>
    </row>
    <row r="666" spans="1:13" x14ac:dyDescent="0.25">
      <c r="A666" s="2">
        <v>45294</v>
      </c>
      <c r="B666" s="3" t="s">
        <v>245</v>
      </c>
      <c r="C666" s="3" t="s">
        <v>9</v>
      </c>
      <c r="D666" s="3" t="s">
        <v>10</v>
      </c>
      <c r="E666" s="5" t="s">
        <v>11</v>
      </c>
      <c r="F666" s="17">
        <v>74.89</v>
      </c>
      <c r="G666" s="3">
        <v>4</v>
      </c>
      <c r="H666" s="17">
        <f>Table1[[#This Row],[Unit price]]*Table1[[#This Row],[Quantity]]</f>
        <v>299.56</v>
      </c>
      <c r="I666" s="29">
        <f>Table1[[#This Row],[Total Revenue]]/$H$5056*100</f>
        <v>3.1782041989832074E-2</v>
      </c>
      <c r="J666" s="3" t="s">
        <v>17</v>
      </c>
      <c r="K666" s="4">
        <v>4.2</v>
      </c>
      <c r="M666"/>
    </row>
    <row r="667" spans="1:13" x14ac:dyDescent="0.25">
      <c r="A667" s="2">
        <v>45294</v>
      </c>
      <c r="B667" s="3" t="s">
        <v>243</v>
      </c>
      <c r="C667" s="3" t="s">
        <v>13</v>
      </c>
      <c r="D667" s="3" t="s">
        <v>10</v>
      </c>
      <c r="E667" s="5" t="s">
        <v>14</v>
      </c>
      <c r="F667" s="17">
        <v>45.48</v>
      </c>
      <c r="G667" s="3">
        <v>10</v>
      </c>
      <c r="H667" s="17">
        <f>Table1[[#This Row],[Unit price]]*Table1[[#This Row],[Quantity]]</f>
        <v>454.79999999999995</v>
      </c>
      <c r="I667" s="29">
        <f>Table1[[#This Row],[Total Revenue]]/$H$5056*100</f>
        <v>4.8252345763705518E-2</v>
      </c>
      <c r="J667" s="3" t="s">
        <v>12</v>
      </c>
      <c r="K667" s="4">
        <v>4.8</v>
      </c>
      <c r="M667"/>
    </row>
    <row r="668" spans="1:13" x14ac:dyDescent="0.25">
      <c r="A668" s="2">
        <v>45294</v>
      </c>
      <c r="B668" s="3" t="s">
        <v>244</v>
      </c>
      <c r="C668" s="3" t="s">
        <v>9</v>
      </c>
      <c r="D668" s="3" t="s">
        <v>19</v>
      </c>
      <c r="E668" s="5" t="s">
        <v>11</v>
      </c>
      <c r="F668" s="17">
        <v>53.72</v>
      </c>
      <c r="G668" s="3">
        <v>1</v>
      </c>
      <c r="H668" s="17">
        <f>Table1[[#This Row],[Unit price]]*Table1[[#This Row],[Quantity]]</f>
        <v>53.72</v>
      </c>
      <c r="I668" s="29">
        <f>Table1[[#This Row],[Total Revenue]]/$H$5056*100</f>
        <v>5.6994635321597643E-3</v>
      </c>
      <c r="J668" s="3" t="s">
        <v>17</v>
      </c>
      <c r="K668" s="4">
        <v>6.4</v>
      </c>
      <c r="M668"/>
    </row>
    <row r="669" spans="1:13" x14ac:dyDescent="0.25">
      <c r="A669" s="2">
        <v>45294</v>
      </c>
      <c r="B669" s="3" t="s">
        <v>244</v>
      </c>
      <c r="C669" s="3" t="s">
        <v>9</v>
      </c>
      <c r="D669" s="3" t="s">
        <v>19</v>
      </c>
      <c r="E669" s="5" t="s">
        <v>18</v>
      </c>
      <c r="F669" s="17">
        <v>81.31</v>
      </c>
      <c r="G669" s="3">
        <v>7</v>
      </c>
      <c r="H669" s="17">
        <f>Table1[[#This Row],[Unit price]]*Table1[[#This Row],[Quantity]]</f>
        <v>569.17000000000007</v>
      </c>
      <c r="I669" s="29">
        <f>Table1[[#This Row],[Total Revenue]]/$H$5056*100</f>
        <v>6.0386516355163324E-2</v>
      </c>
      <c r="J669" s="3" t="s">
        <v>17</v>
      </c>
      <c r="K669" s="4">
        <v>6.3</v>
      </c>
      <c r="M669"/>
    </row>
    <row r="670" spans="1:13" x14ac:dyDescent="0.25">
      <c r="A670" s="2">
        <v>45294</v>
      </c>
      <c r="B670" s="3" t="s">
        <v>243</v>
      </c>
      <c r="C670" s="3" t="s">
        <v>13</v>
      </c>
      <c r="D670" s="3" t="s">
        <v>19</v>
      </c>
      <c r="E670" s="5" t="s">
        <v>20</v>
      </c>
      <c r="F670" s="17">
        <v>34.729999999999997</v>
      </c>
      <c r="G670" s="3">
        <v>2</v>
      </c>
      <c r="H670" s="17">
        <f>Table1[[#This Row],[Unit price]]*Table1[[#This Row],[Quantity]]</f>
        <v>69.459999999999994</v>
      </c>
      <c r="I670" s="29">
        <f>Table1[[#This Row],[Total Revenue]]/$H$5056*100</f>
        <v>7.3694105909124568E-3</v>
      </c>
      <c r="J670" s="3" t="s">
        <v>17</v>
      </c>
      <c r="K670" s="4">
        <v>9.6999999999999993</v>
      </c>
      <c r="M670"/>
    </row>
    <row r="671" spans="1:13" x14ac:dyDescent="0.25">
      <c r="A671" s="2">
        <v>45294</v>
      </c>
      <c r="B671" s="3" t="s">
        <v>245</v>
      </c>
      <c r="C671" s="3" t="s">
        <v>13</v>
      </c>
      <c r="D671" s="3" t="s">
        <v>19</v>
      </c>
      <c r="E671" s="5" t="s">
        <v>18</v>
      </c>
      <c r="F671" s="17">
        <v>78.55</v>
      </c>
      <c r="G671" s="3">
        <v>9</v>
      </c>
      <c r="H671" s="17">
        <f>Table1[[#This Row],[Unit price]]*Table1[[#This Row],[Quantity]]</f>
        <v>706.94999999999993</v>
      </c>
      <c r="I671" s="29">
        <f>Table1[[#This Row],[Total Revenue]]/$H$5056*100</f>
        <v>7.5004388385337767E-2</v>
      </c>
      <c r="J671" s="3" t="s">
        <v>15</v>
      </c>
      <c r="K671" s="4">
        <v>7.2</v>
      </c>
      <c r="M671"/>
    </row>
    <row r="672" spans="1:13" x14ac:dyDescent="0.25">
      <c r="A672" s="2">
        <v>45294</v>
      </c>
      <c r="B672" s="3" t="s">
        <v>243</v>
      </c>
      <c r="C672" s="3" t="s">
        <v>9</v>
      </c>
      <c r="D672" s="3" t="s">
        <v>10</v>
      </c>
      <c r="E672" s="5" t="s">
        <v>18</v>
      </c>
      <c r="F672" s="17">
        <v>22.32</v>
      </c>
      <c r="G672" s="3">
        <v>4</v>
      </c>
      <c r="H672" s="17">
        <f>Table1[[#This Row],[Unit price]]*Table1[[#This Row],[Quantity]]</f>
        <v>89.28</v>
      </c>
      <c r="I672" s="29">
        <f>Table1[[#This Row],[Total Revenue]]/$H$5056*100</f>
        <v>9.4722282976772848E-3</v>
      </c>
      <c r="J672" s="3" t="s">
        <v>12</v>
      </c>
      <c r="K672" s="4">
        <v>4.4000000000000004</v>
      </c>
      <c r="M672"/>
    </row>
    <row r="673" spans="1:13" x14ac:dyDescent="0.25">
      <c r="A673" s="2">
        <v>45294</v>
      </c>
      <c r="B673" s="3" t="s">
        <v>244</v>
      </c>
      <c r="C673" s="3" t="s">
        <v>13</v>
      </c>
      <c r="D673" s="3" t="s">
        <v>19</v>
      </c>
      <c r="E673" s="5" t="s">
        <v>21</v>
      </c>
      <c r="F673" s="17">
        <v>69.510000000000005</v>
      </c>
      <c r="G673" s="3">
        <v>2</v>
      </c>
      <c r="H673" s="17">
        <f>Table1[[#This Row],[Unit price]]*Table1[[#This Row],[Quantity]]</f>
        <v>139.02000000000001</v>
      </c>
      <c r="I673" s="29">
        <f>Table1[[#This Row],[Total Revenue]]/$H$5056*100</f>
        <v>1.4749430756531097E-2</v>
      </c>
      <c r="J673" s="3" t="s">
        <v>17</v>
      </c>
      <c r="K673" s="4">
        <v>8.1</v>
      </c>
      <c r="M673"/>
    </row>
    <row r="674" spans="1:13" x14ac:dyDescent="0.25">
      <c r="A674" s="2">
        <v>45294</v>
      </c>
      <c r="B674" s="3" t="s">
        <v>244</v>
      </c>
      <c r="C674" s="3" t="s">
        <v>13</v>
      </c>
      <c r="D674" s="3" t="s">
        <v>19</v>
      </c>
      <c r="E674" s="5" t="s">
        <v>21</v>
      </c>
      <c r="F674" s="17">
        <v>14.82</v>
      </c>
      <c r="G674" s="3">
        <v>3</v>
      </c>
      <c r="H674" s="17">
        <f>Table1[[#This Row],[Unit price]]*Table1[[#This Row],[Quantity]]</f>
        <v>44.46</v>
      </c>
      <c r="I674" s="29">
        <f>Table1[[#This Row],[Total Revenue]]/$H$5056*100</f>
        <v>4.7170169143675193E-3</v>
      </c>
      <c r="J674" s="3" t="s">
        <v>12</v>
      </c>
      <c r="K674" s="4">
        <v>8.6999999999999993</v>
      </c>
      <c r="M674"/>
    </row>
    <row r="675" spans="1:13" x14ac:dyDescent="0.25">
      <c r="A675" s="2">
        <v>45325</v>
      </c>
      <c r="B675" s="3" t="s">
        <v>244</v>
      </c>
      <c r="C675" s="3" t="s">
        <v>9</v>
      </c>
      <c r="D675" s="3" t="s">
        <v>10</v>
      </c>
      <c r="E675" s="5" t="s">
        <v>14</v>
      </c>
      <c r="F675" s="17">
        <v>26.26</v>
      </c>
      <c r="G675" s="3">
        <v>3</v>
      </c>
      <c r="H675" s="17">
        <f>Table1[[#This Row],[Unit price]]*Table1[[#This Row],[Quantity]]</f>
        <v>78.78</v>
      </c>
      <c r="I675" s="29">
        <f>Table1[[#This Row],[Total Revenue]]/$H$5056*100</f>
        <v>8.358222953528411E-3</v>
      </c>
      <c r="J675" s="3" t="s">
        <v>17</v>
      </c>
      <c r="K675" s="4">
        <v>6.3</v>
      </c>
      <c r="M675"/>
    </row>
    <row r="676" spans="1:13" x14ac:dyDescent="0.25">
      <c r="A676" s="2">
        <v>45325</v>
      </c>
      <c r="B676" s="3" t="s">
        <v>245</v>
      </c>
      <c r="C676" s="3" t="s">
        <v>9</v>
      </c>
      <c r="D676" s="3" t="s">
        <v>10</v>
      </c>
      <c r="E676" s="5" t="s">
        <v>16</v>
      </c>
      <c r="F676" s="17">
        <v>54.55</v>
      </c>
      <c r="G676" s="3">
        <v>10</v>
      </c>
      <c r="H676" s="17">
        <f>Table1[[#This Row],[Unit price]]*Table1[[#This Row],[Quantity]]</f>
        <v>545.5</v>
      </c>
      <c r="I676" s="29">
        <f>Table1[[#This Row],[Total Revenue]]/$H$5056*100</f>
        <v>5.787523002221056E-2</v>
      </c>
      <c r="J676" s="3" t="s">
        <v>12</v>
      </c>
      <c r="K676" s="4">
        <v>7.1</v>
      </c>
      <c r="M676"/>
    </row>
    <row r="677" spans="1:13" x14ac:dyDescent="0.25">
      <c r="A677" s="2">
        <v>45325</v>
      </c>
      <c r="B677" s="3" t="s">
        <v>243</v>
      </c>
      <c r="C677" s="3" t="s">
        <v>9</v>
      </c>
      <c r="D677" s="3" t="s">
        <v>10</v>
      </c>
      <c r="E677" s="5" t="s">
        <v>16</v>
      </c>
      <c r="F677" s="17">
        <v>39.47</v>
      </c>
      <c r="G677" s="3">
        <v>2</v>
      </c>
      <c r="H677" s="17">
        <f>Table1[[#This Row],[Unit price]]*Table1[[#This Row],[Quantity]]</f>
        <v>78.94</v>
      </c>
      <c r="I677" s="29">
        <f>Table1[[#This Row],[Total Revenue]]/$H$5056*100</f>
        <v>8.3751982730582986E-3</v>
      </c>
      <c r="J677" s="3" t="s">
        <v>12</v>
      </c>
      <c r="K677" s="4">
        <v>5</v>
      </c>
      <c r="M677"/>
    </row>
    <row r="678" spans="1:13" x14ac:dyDescent="0.25">
      <c r="A678" s="2">
        <v>45325</v>
      </c>
      <c r="B678" s="3" t="s">
        <v>244</v>
      </c>
      <c r="C678" s="3" t="s">
        <v>13</v>
      </c>
      <c r="D678" s="3" t="s">
        <v>10</v>
      </c>
      <c r="E678" s="5" t="s">
        <v>20</v>
      </c>
      <c r="F678" s="17">
        <v>97.38</v>
      </c>
      <c r="G678" s="3">
        <v>10</v>
      </c>
      <c r="H678" s="17">
        <f>Table1[[#This Row],[Unit price]]*Table1[[#This Row],[Quantity]]</f>
        <v>973.8</v>
      </c>
      <c r="I678" s="29">
        <f>Table1[[#This Row],[Total Revenue]]/$H$5056*100</f>
        <v>0.10331603848877846</v>
      </c>
      <c r="J678" s="3" t="s">
        <v>17</v>
      </c>
      <c r="K678" s="4">
        <v>4.4000000000000004</v>
      </c>
      <c r="M678"/>
    </row>
    <row r="679" spans="1:13" x14ac:dyDescent="0.25">
      <c r="A679" s="2">
        <v>45325</v>
      </c>
      <c r="B679" s="3" t="s">
        <v>245</v>
      </c>
      <c r="C679" s="3" t="s">
        <v>9</v>
      </c>
      <c r="D679" s="3" t="s">
        <v>10</v>
      </c>
      <c r="E679" s="5" t="s">
        <v>18</v>
      </c>
      <c r="F679" s="17">
        <v>92.49</v>
      </c>
      <c r="G679" s="3">
        <v>5</v>
      </c>
      <c r="H679" s="17">
        <f>Table1[[#This Row],[Unit price]]*Table1[[#This Row],[Quantity]]</f>
        <v>462.45</v>
      </c>
      <c r="I679" s="29">
        <f>Table1[[#This Row],[Total Revenue]]/$H$5056*100</f>
        <v>4.9063978228728274E-2</v>
      </c>
      <c r="J679" s="3" t="s">
        <v>12</v>
      </c>
      <c r="K679" s="4">
        <v>8.6</v>
      </c>
      <c r="M679"/>
    </row>
    <row r="680" spans="1:13" x14ac:dyDescent="0.25">
      <c r="A680" s="2">
        <v>45325</v>
      </c>
      <c r="B680" s="3" t="s">
        <v>244</v>
      </c>
      <c r="C680" s="3" t="s">
        <v>9</v>
      </c>
      <c r="D680" s="3" t="s">
        <v>19</v>
      </c>
      <c r="E680" s="5" t="s">
        <v>20</v>
      </c>
      <c r="F680" s="17">
        <v>27</v>
      </c>
      <c r="G680" s="3">
        <v>9</v>
      </c>
      <c r="H680" s="17">
        <f>Table1[[#This Row],[Unit price]]*Table1[[#This Row],[Quantity]]</f>
        <v>243</v>
      </c>
      <c r="I680" s="29">
        <f>Table1[[#This Row],[Total Revenue]]/$H$5056*100</f>
        <v>2.5781266536016804E-2</v>
      </c>
      <c r="J680" s="3" t="s">
        <v>15</v>
      </c>
      <c r="K680" s="4">
        <v>4.8</v>
      </c>
      <c r="M680"/>
    </row>
    <row r="681" spans="1:13" x14ac:dyDescent="0.25">
      <c r="A681" s="2">
        <v>45325</v>
      </c>
      <c r="B681" s="3" t="s">
        <v>244</v>
      </c>
      <c r="C681" s="3" t="s">
        <v>13</v>
      </c>
      <c r="D681" s="3" t="s">
        <v>10</v>
      </c>
      <c r="E681" s="5" t="s">
        <v>14</v>
      </c>
      <c r="F681" s="17">
        <v>99.73</v>
      </c>
      <c r="G681" s="3">
        <v>9</v>
      </c>
      <c r="H681" s="17">
        <f>Table1[[#This Row],[Unit price]]*Table1[[#This Row],[Quantity]]</f>
        <v>897.57</v>
      </c>
      <c r="I681" s="29">
        <f>Table1[[#This Row],[Total Revenue]]/$H$5056*100</f>
        <v>9.5228359690257641E-2</v>
      </c>
      <c r="J681" s="3" t="s">
        <v>12</v>
      </c>
      <c r="K681" s="4">
        <v>6.5</v>
      </c>
      <c r="M681"/>
    </row>
    <row r="682" spans="1:13" x14ac:dyDescent="0.25">
      <c r="A682" s="2">
        <v>45325</v>
      </c>
      <c r="B682" s="3" t="s">
        <v>244</v>
      </c>
      <c r="C682" s="3" t="s">
        <v>9</v>
      </c>
      <c r="D682" s="3" t="s">
        <v>10</v>
      </c>
      <c r="E682" s="5" t="s">
        <v>20</v>
      </c>
      <c r="F682" s="17">
        <v>88.39</v>
      </c>
      <c r="G682" s="3">
        <v>9</v>
      </c>
      <c r="H682" s="17">
        <f>Table1[[#This Row],[Unit price]]*Table1[[#This Row],[Quantity]]</f>
        <v>795.51</v>
      </c>
      <c r="I682" s="29">
        <f>Table1[[#This Row],[Total Revenue]]/$H$5056*100</f>
        <v>8.4400227745130563E-2</v>
      </c>
      <c r="J682" s="3" t="s">
        <v>15</v>
      </c>
      <c r="K682" s="4">
        <v>6.3</v>
      </c>
      <c r="M682"/>
    </row>
    <row r="683" spans="1:13" x14ac:dyDescent="0.25">
      <c r="A683" s="2">
        <v>45325</v>
      </c>
      <c r="B683" s="3" t="s">
        <v>245</v>
      </c>
      <c r="C683" s="3" t="s">
        <v>13</v>
      </c>
      <c r="D683" s="3" t="s">
        <v>10</v>
      </c>
      <c r="E683" s="5" t="s">
        <v>18</v>
      </c>
      <c r="F683" s="17">
        <v>27.02</v>
      </c>
      <c r="G683" s="3">
        <v>3</v>
      </c>
      <c r="H683" s="17">
        <f>Table1[[#This Row],[Unit price]]*Table1[[#This Row],[Quantity]]</f>
        <v>81.06</v>
      </c>
      <c r="I683" s="29">
        <f>Table1[[#This Row],[Total Revenue]]/$H$5056*100</f>
        <v>8.6001212568293101E-3</v>
      </c>
      <c r="J683" s="3" t="s">
        <v>12</v>
      </c>
      <c r="K683" s="4">
        <v>7.1</v>
      </c>
      <c r="M683"/>
    </row>
    <row r="684" spans="1:13" x14ac:dyDescent="0.25">
      <c r="A684" s="2">
        <v>45325</v>
      </c>
      <c r="B684" s="3" t="s">
        <v>244</v>
      </c>
      <c r="C684" s="3" t="s">
        <v>9</v>
      </c>
      <c r="D684" s="3" t="s">
        <v>10</v>
      </c>
      <c r="E684" s="5" t="s">
        <v>14</v>
      </c>
      <c r="F684" s="17">
        <v>13.22</v>
      </c>
      <c r="G684" s="3">
        <v>5</v>
      </c>
      <c r="H684" s="17">
        <f>Table1[[#This Row],[Unit price]]*Table1[[#This Row],[Quantity]]</f>
        <v>66.100000000000009</v>
      </c>
      <c r="I684" s="29">
        <f>Table1[[#This Row],[Total Revenue]]/$H$5056*100</f>
        <v>7.0129288807848191E-3</v>
      </c>
      <c r="J684" s="3" t="s">
        <v>15</v>
      </c>
      <c r="K684" s="4">
        <v>4.3</v>
      </c>
      <c r="M684"/>
    </row>
    <row r="685" spans="1:13" x14ac:dyDescent="0.25">
      <c r="A685" s="2">
        <v>45325</v>
      </c>
      <c r="B685" s="3" t="s">
        <v>243</v>
      </c>
      <c r="C685" s="3" t="s">
        <v>9</v>
      </c>
      <c r="D685" s="3" t="s">
        <v>19</v>
      </c>
      <c r="E685" s="5" t="s">
        <v>16</v>
      </c>
      <c r="F685" s="17">
        <v>88.63</v>
      </c>
      <c r="G685" s="3">
        <v>3</v>
      </c>
      <c r="H685" s="17">
        <f>Table1[[#This Row],[Unit price]]*Table1[[#This Row],[Quantity]]</f>
        <v>265.89</v>
      </c>
      <c r="I685" s="29">
        <f>Table1[[#This Row],[Total Revenue]]/$H$5056*100</f>
        <v>2.8209798186261348E-2</v>
      </c>
      <c r="J685" s="3" t="s">
        <v>17</v>
      </c>
      <c r="K685" s="4">
        <v>6</v>
      </c>
      <c r="M685"/>
    </row>
    <row r="686" spans="1:13" x14ac:dyDescent="0.25">
      <c r="A686" s="2">
        <v>45325</v>
      </c>
      <c r="B686" s="3" t="s">
        <v>244</v>
      </c>
      <c r="C686" s="3" t="s">
        <v>13</v>
      </c>
      <c r="D686" s="3" t="s">
        <v>10</v>
      </c>
      <c r="E686" s="5" t="s">
        <v>14</v>
      </c>
      <c r="F686" s="17">
        <v>38.270000000000003</v>
      </c>
      <c r="G686" s="3">
        <v>2</v>
      </c>
      <c r="H686" s="17">
        <f>Table1[[#This Row],[Unit price]]*Table1[[#This Row],[Quantity]]</f>
        <v>76.540000000000006</v>
      </c>
      <c r="I686" s="29">
        <f>Table1[[#This Row],[Total Revenue]]/$H$5056*100</f>
        <v>8.1205684801099846E-3</v>
      </c>
      <c r="J686" s="3" t="s">
        <v>12</v>
      </c>
      <c r="K686" s="4">
        <v>5.8</v>
      </c>
      <c r="M686"/>
    </row>
    <row r="687" spans="1:13" x14ac:dyDescent="0.25">
      <c r="A687" s="2">
        <v>45325</v>
      </c>
      <c r="B687" s="3" t="s">
        <v>245</v>
      </c>
      <c r="C687" s="3" t="s">
        <v>9</v>
      </c>
      <c r="D687" s="3" t="s">
        <v>19</v>
      </c>
      <c r="E687" s="5" t="s">
        <v>21</v>
      </c>
      <c r="F687" s="17">
        <v>85.6</v>
      </c>
      <c r="G687" s="3">
        <v>7</v>
      </c>
      <c r="H687" s="17">
        <f>Table1[[#This Row],[Unit price]]*Table1[[#This Row],[Quantity]]</f>
        <v>599.19999999999993</v>
      </c>
      <c r="I687" s="29">
        <f>Table1[[#This Row],[Total Revenue]]/$H$5056*100</f>
        <v>6.3572571639429087E-2</v>
      </c>
      <c r="J687" s="3" t="s">
        <v>15</v>
      </c>
      <c r="K687" s="4">
        <v>5.3</v>
      </c>
      <c r="M687"/>
    </row>
    <row r="688" spans="1:13" x14ac:dyDescent="0.25">
      <c r="A688" s="2">
        <v>45325</v>
      </c>
      <c r="B688" s="3" t="s">
        <v>245</v>
      </c>
      <c r="C688" s="3" t="s">
        <v>13</v>
      </c>
      <c r="D688" s="3" t="s">
        <v>10</v>
      </c>
      <c r="E688" s="5" t="s">
        <v>16</v>
      </c>
      <c r="F688" s="17">
        <v>73.98</v>
      </c>
      <c r="G688" s="3">
        <v>7</v>
      </c>
      <c r="H688" s="17">
        <f>Table1[[#This Row],[Unit price]]*Table1[[#This Row],[Quantity]]</f>
        <v>517.86</v>
      </c>
      <c r="I688" s="29">
        <f>Table1[[#This Row],[Total Revenue]]/$H$5056*100</f>
        <v>5.4942743573422485E-2</v>
      </c>
      <c r="J688" s="3" t="s">
        <v>17</v>
      </c>
      <c r="K688" s="4">
        <v>4.0999999999999996</v>
      </c>
      <c r="M688"/>
    </row>
    <row r="689" spans="1:13" x14ac:dyDescent="0.25">
      <c r="A689" s="2">
        <v>45325</v>
      </c>
      <c r="B689" s="3" t="s">
        <v>244</v>
      </c>
      <c r="C689" s="3" t="s">
        <v>13</v>
      </c>
      <c r="D689" s="3" t="s">
        <v>19</v>
      </c>
      <c r="E689" s="5" t="s">
        <v>16</v>
      </c>
      <c r="F689" s="17">
        <v>25.31</v>
      </c>
      <c r="G689" s="3">
        <v>2</v>
      </c>
      <c r="H689" s="17">
        <f>Table1[[#This Row],[Unit price]]*Table1[[#This Row],[Quantity]]</f>
        <v>50.62</v>
      </c>
      <c r="I689" s="29">
        <f>Table1[[#This Row],[Total Revenue]]/$H$5056*100</f>
        <v>5.3705667162681917E-3</v>
      </c>
      <c r="J689" s="3" t="s">
        <v>17</v>
      </c>
      <c r="K689" s="4">
        <v>7.2</v>
      </c>
      <c r="M689"/>
    </row>
    <row r="690" spans="1:13" x14ac:dyDescent="0.25">
      <c r="A690" s="2">
        <v>45325</v>
      </c>
      <c r="B690" s="3" t="s">
        <v>244</v>
      </c>
      <c r="C690" s="3" t="s">
        <v>13</v>
      </c>
      <c r="D690" s="3" t="s">
        <v>10</v>
      </c>
      <c r="E690" s="5" t="s">
        <v>21</v>
      </c>
      <c r="F690" s="17">
        <v>73.41</v>
      </c>
      <c r="G690" s="3">
        <v>3</v>
      </c>
      <c r="H690" s="17">
        <f>Table1[[#This Row],[Unit price]]*Table1[[#This Row],[Quantity]]</f>
        <v>220.23</v>
      </c>
      <c r="I690" s="29">
        <f>Table1[[#This Row],[Total Revenue]]/$H$5056*100</f>
        <v>2.3365466375419672E-2</v>
      </c>
      <c r="J690" s="3" t="s">
        <v>17</v>
      </c>
      <c r="K690" s="4">
        <v>4</v>
      </c>
      <c r="M690"/>
    </row>
    <row r="691" spans="1:13" x14ac:dyDescent="0.25">
      <c r="A691" s="2">
        <v>45325</v>
      </c>
      <c r="B691" s="3" t="s">
        <v>245</v>
      </c>
      <c r="C691" s="3" t="s">
        <v>13</v>
      </c>
      <c r="D691" s="3" t="s">
        <v>10</v>
      </c>
      <c r="E691" s="5" t="s">
        <v>16</v>
      </c>
      <c r="F691" s="17">
        <v>14.39</v>
      </c>
      <c r="G691" s="3">
        <v>2</v>
      </c>
      <c r="H691" s="17">
        <f>Table1[[#This Row],[Unit price]]*Table1[[#This Row],[Quantity]]</f>
        <v>28.78</v>
      </c>
      <c r="I691" s="29">
        <f>Table1[[#This Row],[Total Revenue]]/$H$5056*100</f>
        <v>3.0534356004385337E-3</v>
      </c>
      <c r="J691" s="3" t="s">
        <v>12</v>
      </c>
      <c r="K691" s="4">
        <v>7.2</v>
      </c>
      <c r="M691"/>
    </row>
    <row r="692" spans="1:13" x14ac:dyDescent="0.25">
      <c r="A692" s="2">
        <v>45325</v>
      </c>
      <c r="B692" s="3" t="s">
        <v>243</v>
      </c>
      <c r="C692" s="3" t="s">
        <v>13</v>
      </c>
      <c r="D692" s="3" t="s">
        <v>19</v>
      </c>
      <c r="E692" s="5" t="s">
        <v>11</v>
      </c>
      <c r="F692" s="17">
        <v>66.52</v>
      </c>
      <c r="G692" s="3">
        <v>4</v>
      </c>
      <c r="H692" s="17">
        <f>Table1[[#This Row],[Unit price]]*Table1[[#This Row],[Quantity]]</f>
        <v>266.08</v>
      </c>
      <c r="I692" s="29">
        <f>Table1[[#This Row],[Total Revenue]]/$H$5056*100</f>
        <v>2.8229956378203091E-2</v>
      </c>
      <c r="J692" s="3" t="s">
        <v>17</v>
      </c>
      <c r="K692" s="4">
        <v>6.9</v>
      </c>
      <c r="M692"/>
    </row>
    <row r="693" spans="1:13" x14ac:dyDescent="0.25">
      <c r="A693" s="2">
        <v>45354</v>
      </c>
      <c r="B693" s="3" t="s">
        <v>245</v>
      </c>
      <c r="C693" s="3" t="s">
        <v>9</v>
      </c>
      <c r="D693" s="3" t="s">
        <v>19</v>
      </c>
      <c r="E693" s="5" t="s">
        <v>21</v>
      </c>
      <c r="F693" s="17">
        <v>46.53</v>
      </c>
      <c r="G693" s="3">
        <v>6</v>
      </c>
      <c r="H693" s="17">
        <f>Table1[[#This Row],[Unit price]]*Table1[[#This Row],[Quantity]]</f>
        <v>279.18</v>
      </c>
      <c r="I693" s="29">
        <f>Table1[[#This Row],[Total Revenue]]/$H$5056*100</f>
        <v>2.9619810664712642E-2</v>
      </c>
      <c r="J693" s="3" t="s">
        <v>12</v>
      </c>
      <c r="K693" s="4">
        <v>4.3</v>
      </c>
      <c r="M693"/>
    </row>
    <row r="694" spans="1:13" x14ac:dyDescent="0.25">
      <c r="A694" s="2">
        <v>45354</v>
      </c>
      <c r="B694" s="3" t="s">
        <v>243</v>
      </c>
      <c r="C694" s="3" t="s">
        <v>9</v>
      </c>
      <c r="D694" s="3" t="s">
        <v>19</v>
      </c>
      <c r="E694" s="5" t="s">
        <v>11</v>
      </c>
      <c r="F694" s="17">
        <v>22.17</v>
      </c>
      <c r="G694" s="3">
        <v>8</v>
      </c>
      <c r="H694" s="17">
        <f>Table1[[#This Row],[Unit price]]*Table1[[#This Row],[Quantity]]</f>
        <v>177.36</v>
      </c>
      <c r="I694" s="29">
        <f>Table1[[#This Row],[Total Revenue]]/$H$5056*100</f>
        <v>1.8817141698880414E-2</v>
      </c>
      <c r="J694" s="3" t="s">
        <v>12</v>
      </c>
      <c r="K694" s="4">
        <v>9.6</v>
      </c>
      <c r="M694"/>
    </row>
    <row r="695" spans="1:13" x14ac:dyDescent="0.25">
      <c r="A695" s="2">
        <v>45354</v>
      </c>
      <c r="B695" s="3" t="s">
        <v>245</v>
      </c>
      <c r="C695" s="3" t="s">
        <v>9</v>
      </c>
      <c r="D695" s="3" t="s">
        <v>19</v>
      </c>
      <c r="E695" s="5" t="s">
        <v>14</v>
      </c>
      <c r="F695" s="17">
        <v>81.97</v>
      </c>
      <c r="G695" s="3">
        <v>10</v>
      </c>
      <c r="H695" s="17">
        <f>Table1[[#This Row],[Unit price]]*Table1[[#This Row],[Quantity]]</f>
        <v>819.7</v>
      </c>
      <c r="I695" s="29">
        <f>Table1[[#This Row],[Total Revenue]]/$H$5056*100</f>
        <v>8.6966683866555455E-2</v>
      </c>
      <c r="J695" s="3" t="s">
        <v>15</v>
      </c>
      <c r="K695" s="4">
        <v>9.1999999999999993</v>
      </c>
      <c r="M695"/>
    </row>
    <row r="696" spans="1:13" x14ac:dyDescent="0.25">
      <c r="A696" s="2">
        <v>45354</v>
      </c>
      <c r="B696" s="3" t="s">
        <v>245</v>
      </c>
      <c r="C696" s="3" t="s">
        <v>9</v>
      </c>
      <c r="D696" s="3" t="s">
        <v>10</v>
      </c>
      <c r="E696" s="5" t="s">
        <v>14</v>
      </c>
      <c r="F696" s="17">
        <v>51.92</v>
      </c>
      <c r="G696" s="3">
        <v>5</v>
      </c>
      <c r="H696" s="17">
        <f>Table1[[#This Row],[Unit price]]*Table1[[#This Row],[Quantity]]</f>
        <v>259.60000000000002</v>
      </c>
      <c r="I696" s="29">
        <f>Table1[[#This Row],[Total Revenue]]/$H$5056*100</f>
        <v>2.7542455937242648E-2</v>
      </c>
      <c r="J696" s="3" t="s">
        <v>15</v>
      </c>
      <c r="K696" s="4">
        <v>7.5</v>
      </c>
      <c r="M696"/>
    </row>
    <row r="697" spans="1:13" x14ac:dyDescent="0.25">
      <c r="A697" s="2">
        <v>45354</v>
      </c>
      <c r="B697" s="3" t="s">
        <v>245</v>
      </c>
      <c r="C697" s="3" t="s">
        <v>13</v>
      </c>
      <c r="D697" s="3" t="s">
        <v>10</v>
      </c>
      <c r="E697" s="5" t="s">
        <v>20</v>
      </c>
      <c r="F697" s="17">
        <v>44.01</v>
      </c>
      <c r="G697" s="3">
        <v>8</v>
      </c>
      <c r="H697" s="17">
        <f>Table1[[#This Row],[Unit price]]*Table1[[#This Row],[Quantity]]</f>
        <v>352.08</v>
      </c>
      <c r="I697" s="29">
        <f>Table1[[#This Row],[Total Revenue]]/$H$5056*100</f>
        <v>3.7354190625517682E-2</v>
      </c>
      <c r="J697" s="3" t="s">
        <v>15</v>
      </c>
      <c r="K697" s="4">
        <v>8.8000000000000007</v>
      </c>
      <c r="M697"/>
    </row>
    <row r="698" spans="1:13" x14ac:dyDescent="0.25">
      <c r="A698" s="2">
        <v>45354</v>
      </c>
      <c r="B698" s="3" t="s">
        <v>245</v>
      </c>
      <c r="C698" s="3" t="s">
        <v>13</v>
      </c>
      <c r="D698" s="3" t="s">
        <v>19</v>
      </c>
      <c r="E698" s="5" t="s">
        <v>14</v>
      </c>
      <c r="F698" s="17">
        <v>20.85</v>
      </c>
      <c r="G698" s="3">
        <v>8</v>
      </c>
      <c r="H698" s="17">
        <f>Table1[[#This Row],[Unit price]]*Table1[[#This Row],[Quantity]]</f>
        <v>166.8</v>
      </c>
      <c r="I698" s="29">
        <f>Table1[[#This Row],[Total Revenue]]/$H$5056*100</f>
        <v>1.7696770609907833E-2</v>
      </c>
      <c r="J698" s="3" t="s">
        <v>15</v>
      </c>
      <c r="K698" s="4">
        <v>6.3</v>
      </c>
      <c r="M698"/>
    </row>
    <row r="699" spans="1:13" x14ac:dyDescent="0.25">
      <c r="A699" s="2">
        <v>45354</v>
      </c>
      <c r="B699" s="3" t="s">
        <v>243</v>
      </c>
      <c r="C699" s="3" t="s">
        <v>13</v>
      </c>
      <c r="D699" s="3" t="s">
        <v>19</v>
      </c>
      <c r="E699" s="5" t="s">
        <v>18</v>
      </c>
      <c r="F699" s="17">
        <v>46.41</v>
      </c>
      <c r="G699" s="3">
        <v>1</v>
      </c>
      <c r="H699" s="17">
        <f>Table1[[#This Row],[Unit price]]*Table1[[#This Row],[Quantity]]</f>
        <v>46.41</v>
      </c>
      <c r="I699" s="29">
        <f>Table1[[#This Row],[Total Revenue]]/$H$5056*100</f>
        <v>4.9239036211380241E-3</v>
      </c>
      <c r="J699" s="3" t="s">
        <v>12</v>
      </c>
      <c r="K699" s="4">
        <v>4</v>
      </c>
      <c r="M699"/>
    </row>
    <row r="700" spans="1:13" x14ac:dyDescent="0.25">
      <c r="A700" s="2">
        <v>45354</v>
      </c>
      <c r="B700" s="3" t="s">
        <v>243</v>
      </c>
      <c r="C700" s="3" t="s">
        <v>13</v>
      </c>
      <c r="D700" s="3" t="s">
        <v>19</v>
      </c>
      <c r="E700" s="5" t="s">
        <v>21</v>
      </c>
      <c r="F700" s="17">
        <v>25</v>
      </c>
      <c r="G700" s="3">
        <v>1</v>
      </c>
      <c r="H700" s="17">
        <f>Table1[[#This Row],[Unit price]]*Table1[[#This Row],[Quantity]]</f>
        <v>25</v>
      </c>
      <c r="I700" s="29">
        <f>Table1[[#This Row],[Total Revenue]]/$H$5056*100</f>
        <v>2.6523936765449388E-3</v>
      </c>
      <c r="J700" s="3" t="s">
        <v>17</v>
      </c>
      <c r="K700" s="4">
        <v>5.5</v>
      </c>
      <c r="M700"/>
    </row>
    <row r="701" spans="1:13" x14ac:dyDescent="0.25">
      <c r="A701" s="2">
        <v>45354</v>
      </c>
      <c r="B701" s="3" t="s">
        <v>243</v>
      </c>
      <c r="C701" s="3" t="s">
        <v>13</v>
      </c>
      <c r="D701" s="3" t="s">
        <v>19</v>
      </c>
      <c r="E701" s="5" t="s">
        <v>21</v>
      </c>
      <c r="F701" s="17">
        <v>28.95</v>
      </c>
      <c r="G701" s="3">
        <v>7</v>
      </c>
      <c r="H701" s="17">
        <f>Table1[[#This Row],[Unit price]]*Table1[[#This Row],[Quantity]]</f>
        <v>202.65</v>
      </c>
      <c r="I701" s="29">
        <f>Table1[[#This Row],[Total Revenue]]/$H$5056*100</f>
        <v>2.1500303142073275E-2</v>
      </c>
      <c r="J701" s="3" t="s">
        <v>12</v>
      </c>
      <c r="K701" s="4">
        <v>6</v>
      </c>
      <c r="M701"/>
    </row>
    <row r="702" spans="1:13" x14ac:dyDescent="0.25">
      <c r="A702" s="2">
        <v>45354</v>
      </c>
      <c r="B702" s="3" t="s">
        <v>244</v>
      </c>
      <c r="C702" s="3" t="s">
        <v>9</v>
      </c>
      <c r="D702" s="3" t="s">
        <v>10</v>
      </c>
      <c r="E702" s="5" t="s">
        <v>20</v>
      </c>
      <c r="F702" s="17">
        <v>94.49</v>
      </c>
      <c r="G702" s="3">
        <v>8</v>
      </c>
      <c r="H702" s="17">
        <f>Table1[[#This Row],[Unit price]]*Table1[[#This Row],[Quantity]]</f>
        <v>755.92</v>
      </c>
      <c r="I702" s="29">
        <f>Table1[[#This Row],[Total Revenue]]/$H$5056*100</f>
        <v>8.0199897118953992E-2</v>
      </c>
      <c r="J702" s="3" t="s">
        <v>17</v>
      </c>
      <c r="K702" s="4">
        <v>7.5</v>
      </c>
      <c r="M702"/>
    </row>
    <row r="703" spans="1:13" x14ac:dyDescent="0.25">
      <c r="A703" s="2">
        <v>45354</v>
      </c>
      <c r="B703" s="3" t="s">
        <v>245</v>
      </c>
      <c r="C703" s="3" t="s">
        <v>9</v>
      </c>
      <c r="D703" s="3" t="s">
        <v>10</v>
      </c>
      <c r="E703" s="5" t="s">
        <v>14</v>
      </c>
      <c r="F703" s="17">
        <v>30.2</v>
      </c>
      <c r="G703" s="3">
        <v>8</v>
      </c>
      <c r="H703" s="17">
        <f>Table1[[#This Row],[Unit price]]*Table1[[#This Row],[Quantity]]</f>
        <v>241.6</v>
      </c>
      <c r="I703" s="29">
        <f>Table1[[#This Row],[Total Revenue]]/$H$5056*100</f>
        <v>2.5632732490130289E-2</v>
      </c>
      <c r="J703" s="3" t="s">
        <v>17</v>
      </c>
      <c r="K703" s="4">
        <v>5.0999999999999996</v>
      </c>
      <c r="M703"/>
    </row>
    <row r="704" spans="1:13" x14ac:dyDescent="0.25">
      <c r="A704" s="2">
        <v>45354</v>
      </c>
      <c r="B704" s="3" t="s">
        <v>244</v>
      </c>
      <c r="C704" s="3" t="s">
        <v>9</v>
      </c>
      <c r="D704" s="3" t="s">
        <v>19</v>
      </c>
      <c r="E704" s="5" t="s">
        <v>20</v>
      </c>
      <c r="F704" s="17">
        <v>30.12</v>
      </c>
      <c r="G704" s="3">
        <v>8</v>
      </c>
      <c r="H704" s="17">
        <f>Table1[[#This Row],[Unit price]]*Table1[[#This Row],[Quantity]]</f>
        <v>240.96</v>
      </c>
      <c r="I704" s="29">
        <f>Table1[[#This Row],[Total Revenue]]/$H$5056*100</f>
        <v>2.5564831212010742E-2</v>
      </c>
      <c r="J704" s="3" t="s">
        <v>15</v>
      </c>
      <c r="K704" s="4">
        <v>7.7</v>
      </c>
      <c r="M704"/>
    </row>
    <row r="705" spans="1:13" x14ac:dyDescent="0.25">
      <c r="A705" s="2">
        <v>45354</v>
      </c>
      <c r="B705" s="3" t="s">
        <v>243</v>
      </c>
      <c r="C705" s="3" t="s">
        <v>13</v>
      </c>
      <c r="D705" s="3" t="s">
        <v>19</v>
      </c>
      <c r="E705" s="5" t="s">
        <v>20</v>
      </c>
      <c r="F705" s="17">
        <v>46.33</v>
      </c>
      <c r="G705" s="3">
        <v>7</v>
      </c>
      <c r="H705" s="17">
        <f>Table1[[#This Row],[Unit price]]*Table1[[#This Row],[Quantity]]</f>
        <v>324.31</v>
      </c>
      <c r="I705" s="29">
        <f>Table1[[#This Row],[Total Revenue]]/$H$5056*100</f>
        <v>3.4407911729611565E-2</v>
      </c>
      <c r="J705" s="3" t="s">
        <v>12</v>
      </c>
      <c r="K705" s="4">
        <v>7.4</v>
      </c>
      <c r="M705"/>
    </row>
    <row r="706" spans="1:13" x14ac:dyDescent="0.25">
      <c r="A706" s="2">
        <v>45354</v>
      </c>
      <c r="B706" s="3" t="s">
        <v>244</v>
      </c>
      <c r="C706" s="3" t="s">
        <v>9</v>
      </c>
      <c r="D706" s="3" t="s">
        <v>10</v>
      </c>
      <c r="E706" s="5" t="s">
        <v>11</v>
      </c>
      <c r="F706" s="17">
        <v>73.05</v>
      </c>
      <c r="G706" s="3">
        <v>10</v>
      </c>
      <c r="H706" s="17">
        <f>Table1[[#This Row],[Unit price]]*Table1[[#This Row],[Quantity]]</f>
        <v>730.5</v>
      </c>
      <c r="I706" s="29">
        <f>Table1[[#This Row],[Total Revenue]]/$H$5056*100</f>
        <v>7.7502943228643109E-2</v>
      </c>
      <c r="J706" s="3" t="s">
        <v>12</v>
      </c>
      <c r="K706" s="4">
        <v>8.6999999999999993</v>
      </c>
      <c r="M706"/>
    </row>
    <row r="707" spans="1:13" x14ac:dyDescent="0.25">
      <c r="A707" s="2">
        <v>45385</v>
      </c>
      <c r="B707" s="3" t="s">
        <v>243</v>
      </c>
      <c r="C707" s="3" t="s">
        <v>13</v>
      </c>
      <c r="D707" s="3" t="s">
        <v>10</v>
      </c>
      <c r="E707" s="5" t="s">
        <v>20</v>
      </c>
      <c r="F707" s="17">
        <v>33.299999999999997</v>
      </c>
      <c r="G707" s="3">
        <v>9</v>
      </c>
      <c r="H707" s="17">
        <f>Table1[[#This Row],[Unit price]]*Table1[[#This Row],[Quantity]]</f>
        <v>299.7</v>
      </c>
      <c r="I707" s="29">
        <f>Table1[[#This Row],[Total Revenue]]/$H$5056*100</f>
        <v>3.1796895394420731E-2</v>
      </c>
      <c r="J707" s="3" t="s">
        <v>17</v>
      </c>
      <c r="K707" s="4">
        <v>7.2</v>
      </c>
      <c r="M707"/>
    </row>
    <row r="708" spans="1:13" x14ac:dyDescent="0.25">
      <c r="A708" s="2">
        <v>45385</v>
      </c>
      <c r="B708" s="3" t="s">
        <v>243</v>
      </c>
      <c r="C708" s="3" t="s">
        <v>13</v>
      </c>
      <c r="D708" s="3" t="s">
        <v>10</v>
      </c>
      <c r="E708" s="5" t="s">
        <v>11</v>
      </c>
      <c r="F708" s="17">
        <v>74.66</v>
      </c>
      <c r="G708" s="3">
        <v>4</v>
      </c>
      <c r="H708" s="17">
        <f>Table1[[#This Row],[Unit price]]*Table1[[#This Row],[Quantity]]</f>
        <v>298.64</v>
      </c>
      <c r="I708" s="29">
        <f>Table1[[#This Row],[Total Revenue]]/$H$5056*100</f>
        <v>3.1684433902535225E-2</v>
      </c>
      <c r="J708" s="3" t="s">
        <v>15</v>
      </c>
      <c r="K708" s="4">
        <v>8.5</v>
      </c>
      <c r="M708"/>
    </row>
    <row r="709" spans="1:13" x14ac:dyDescent="0.25">
      <c r="A709" s="2">
        <v>45385</v>
      </c>
      <c r="B709" s="3" t="s">
        <v>245</v>
      </c>
      <c r="C709" s="3" t="s">
        <v>9</v>
      </c>
      <c r="D709" s="3" t="s">
        <v>10</v>
      </c>
      <c r="E709" s="5" t="s">
        <v>11</v>
      </c>
      <c r="F709" s="17">
        <v>98.7</v>
      </c>
      <c r="G709" s="3">
        <v>8</v>
      </c>
      <c r="H709" s="17">
        <f>Table1[[#This Row],[Unit price]]*Table1[[#This Row],[Quantity]]</f>
        <v>789.6</v>
      </c>
      <c r="I709" s="29">
        <f>Table1[[#This Row],[Total Revenue]]/$H$5056*100</f>
        <v>8.377320187999536E-2</v>
      </c>
      <c r="J709" s="3" t="s">
        <v>15</v>
      </c>
      <c r="K709" s="4">
        <v>7.6</v>
      </c>
      <c r="M709"/>
    </row>
    <row r="710" spans="1:13" x14ac:dyDescent="0.25">
      <c r="A710" s="2">
        <v>45385</v>
      </c>
      <c r="B710" s="3" t="s">
        <v>243</v>
      </c>
      <c r="C710" s="3" t="s">
        <v>13</v>
      </c>
      <c r="D710" s="3" t="s">
        <v>10</v>
      </c>
      <c r="E710" s="5" t="s">
        <v>21</v>
      </c>
      <c r="F710" s="17">
        <v>68.709999999999994</v>
      </c>
      <c r="G710" s="3">
        <v>3</v>
      </c>
      <c r="H710" s="17">
        <f>Table1[[#This Row],[Unit price]]*Table1[[#This Row],[Quantity]]</f>
        <v>206.13</v>
      </c>
      <c r="I710" s="29">
        <f>Table1[[#This Row],[Total Revenue]]/$H$5056*100</f>
        <v>2.1869516341848329E-2</v>
      </c>
      <c r="J710" s="3" t="s">
        <v>15</v>
      </c>
      <c r="K710" s="4">
        <v>8.6999999999999993</v>
      </c>
      <c r="M710"/>
    </row>
    <row r="711" spans="1:13" x14ac:dyDescent="0.25">
      <c r="A711" s="2">
        <v>45385</v>
      </c>
      <c r="B711" s="3" t="s">
        <v>243</v>
      </c>
      <c r="C711" s="3" t="s">
        <v>9</v>
      </c>
      <c r="D711" s="3" t="s">
        <v>10</v>
      </c>
      <c r="E711" s="5" t="s">
        <v>18</v>
      </c>
      <c r="F711" s="17">
        <v>48.96</v>
      </c>
      <c r="G711" s="3">
        <v>9</v>
      </c>
      <c r="H711" s="17">
        <f>Table1[[#This Row],[Unit price]]*Table1[[#This Row],[Quantity]]</f>
        <v>440.64</v>
      </c>
      <c r="I711" s="29">
        <f>Table1[[#This Row],[Total Revenue]]/$H$5056*100</f>
        <v>4.6750029985310471E-2</v>
      </c>
      <c r="J711" s="3" t="s">
        <v>15</v>
      </c>
      <c r="K711" s="4">
        <v>8</v>
      </c>
      <c r="M711"/>
    </row>
    <row r="712" spans="1:13" x14ac:dyDescent="0.25">
      <c r="A712" s="2">
        <v>45385</v>
      </c>
      <c r="B712" s="3" t="s">
        <v>243</v>
      </c>
      <c r="C712" s="3" t="s">
        <v>13</v>
      </c>
      <c r="D712" s="3" t="s">
        <v>10</v>
      </c>
      <c r="E712" s="5" t="s">
        <v>20</v>
      </c>
      <c r="F712" s="17">
        <v>56.53</v>
      </c>
      <c r="G712" s="3">
        <v>4</v>
      </c>
      <c r="H712" s="17">
        <f>Table1[[#This Row],[Unit price]]*Table1[[#This Row],[Quantity]]</f>
        <v>226.12</v>
      </c>
      <c r="I712" s="29">
        <f>Table1[[#This Row],[Total Revenue]]/$H$5056*100</f>
        <v>2.3990370325613665E-2</v>
      </c>
      <c r="J712" s="3" t="s">
        <v>17</v>
      </c>
      <c r="K712" s="4">
        <v>5.5</v>
      </c>
      <c r="M712"/>
    </row>
    <row r="713" spans="1:13" x14ac:dyDescent="0.25">
      <c r="A713" s="2">
        <v>45385</v>
      </c>
      <c r="B713" s="3" t="s">
        <v>243</v>
      </c>
      <c r="C713" s="3" t="s">
        <v>13</v>
      </c>
      <c r="D713" s="3" t="s">
        <v>19</v>
      </c>
      <c r="E713" s="5" t="s">
        <v>21</v>
      </c>
      <c r="F713" s="17">
        <v>14.62</v>
      </c>
      <c r="G713" s="3">
        <v>5</v>
      </c>
      <c r="H713" s="17">
        <f>Table1[[#This Row],[Unit price]]*Table1[[#This Row],[Quantity]]</f>
        <v>73.099999999999994</v>
      </c>
      <c r="I713" s="29">
        <f>Table1[[#This Row],[Total Revenue]]/$H$5056*100</f>
        <v>7.7555991102174005E-3</v>
      </c>
      <c r="J713" s="3" t="s">
        <v>15</v>
      </c>
      <c r="K713" s="4">
        <v>4.4000000000000004</v>
      </c>
      <c r="M713"/>
    </row>
    <row r="714" spans="1:13" x14ac:dyDescent="0.25">
      <c r="A714" s="2">
        <v>45385</v>
      </c>
      <c r="B714" s="3" t="s">
        <v>243</v>
      </c>
      <c r="C714" s="3" t="s">
        <v>9</v>
      </c>
      <c r="D714" s="3" t="s">
        <v>19</v>
      </c>
      <c r="E714" s="5" t="s">
        <v>21</v>
      </c>
      <c r="F714" s="17">
        <v>99.83</v>
      </c>
      <c r="G714" s="3">
        <v>6</v>
      </c>
      <c r="H714" s="17">
        <f>Table1[[#This Row],[Unit price]]*Table1[[#This Row],[Quantity]]</f>
        <v>598.98</v>
      </c>
      <c r="I714" s="29">
        <f>Table1[[#This Row],[Total Revenue]]/$H$5056*100</f>
        <v>6.3549230575075499E-2</v>
      </c>
      <c r="J714" s="3" t="s">
        <v>17</v>
      </c>
      <c r="K714" s="4">
        <v>8.5</v>
      </c>
      <c r="M714"/>
    </row>
    <row r="715" spans="1:13" x14ac:dyDescent="0.25">
      <c r="A715" s="2">
        <v>45385</v>
      </c>
      <c r="B715" s="3" t="s">
        <v>243</v>
      </c>
      <c r="C715" s="3" t="s">
        <v>13</v>
      </c>
      <c r="D715" s="3" t="s">
        <v>10</v>
      </c>
      <c r="E715" s="5" t="s">
        <v>16</v>
      </c>
      <c r="F715" s="17">
        <v>12.34</v>
      </c>
      <c r="G715" s="3">
        <v>7</v>
      </c>
      <c r="H715" s="17">
        <f>Table1[[#This Row],[Unit price]]*Table1[[#This Row],[Quantity]]</f>
        <v>86.38</v>
      </c>
      <c r="I715" s="29">
        <f>Table1[[#This Row],[Total Revenue]]/$H$5056*100</f>
        <v>9.1645506311980717E-3</v>
      </c>
      <c r="J715" s="3" t="s">
        <v>12</v>
      </c>
      <c r="K715" s="4">
        <v>6.7</v>
      </c>
      <c r="M715"/>
    </row>
    <row r="716" spans="1:13" x14ac:dyDescent="0.25">
      <c r="A716" s="2">
        <v>45385</v>
      </c>
      <c r="B716" s="3" t="s">
        <v>245</v>
      </c>
      <c r="C716" s="3" t="s">
        <v>13</v>
      </c>
      <c r="D716" s="3" t="s">
        <v>10</v>
      </c>
      <c r="E716" s="5" t="s">
        <v>14</v>
      </c>
      <c r="F716" s="17">
        <v>30.24</v>
      </c>
      <c r="G716" s="3">
        <v>1</v>
      </c>
      <c r="H716" s="17">
        <f>Table1[[#This Row],[Unit price]]*Table1[[#This Row],[Quantity]]</f>
        <v>30.24</v>
      </c>
      <c r="I716" s="29">
        <f>Table1[[#This Row],[Total Revenue]]/$H$5056*100</f>
        <v>3.2083353911487576E-3</v>
      </c>
      <c r="J716" s="3" t="s">
        <v>15</v>
      </c>
      <c r="K716" s="4">
        <v>8.4</v>
      </c>
      <c r="M716"/>
    </row>
    <row r="717" spans="1:13" x14ac:dyDescent="0.25">
      <c r="A717" s="2">
        <v>45385</v>
      </c>
      <c r="B717" s="3" t="s">
        <v>244</v>
      </c>
      <c r="C717" s="3" t="s">
        <v>9</v>
      </c>
      <c r="D717" s="3" t="s">
        <v>19</v>
      </c>
      <c r="E717" s="5" t="s">
        <v>14</v>
      </c>
      <c r="F717" s="17">
        <v>19.239999999999998</v>
      </c>
      <c r="G717" s="3">
        <v>9</v>
      </c>
      <c r="H717" s="17">
        <f>Table1[[#This Row],[Unit price]]*Table1[[#This Row],[Quantity]]</f>
        <v>173.16</v>
      </c>
      <c r="I717" s="29">
        <f>Table1[[#This Row],[Total Revenue]]/$H$5056*100</f>
        <v>1.8371539561220864E-2</v>
      </c>
      <c r="J717" s="3" t="s">
        <v>15</v>
      </c>
      <c r="K717" s="4">
        <v>8</v>
      </c>
      <c r="M717"/>
    </row>
    <row r="718" spans="1:13" x14ac:dyDescent="0.25">
      <c r="A718" s="2">
        <v>45385</v>
      </c>
      <c r="B718" s="3" t="s">
        <v>243</v>
      </c>
      <c r="C718" s="3" t="s">
        <v>9</v>
      </c>
      <c r="D718" s="3" t="s">
        <v>19</v>
      </c>
      <c r="E718" s="5" t="s">
        <v>21</v>
      </c>
      <c r="F718" s="17">
        <v>48.63</v>
      </c>
      <c r="G718" s="3">
        <v>10</v>
      </c>
      <c r="H718" s="17">
        <f>Table1[[#This Row],[Unit price]]*Table1[[#This Row],[Quantity]]</f>
        <v>486.3</v>
      </c>
      <c r="I718" s="29">
        <f>Table1[[#This Row],[Total Revenue]]/$H$5056*100</f>
        <v>5.1594361796152149E-2</v>
      </c>
      <c r="J718" s="3" t="s">
        <v>15</v>
      </c>
      <c r="K718" s="4">
        <v>8.8000000000000007</v>
      </c>
      <c r="M718"/>
    </row>
    <row r="719" spans="1:13" x14ac:dyDescent="0.25">
      <c r="A719" s="2">
        <v>45415</v>
      </c>
      <c r="B719" s="3" t="s">
        <v>244</v>
      </c>
      <c r="C719" s="3" t="s">
        <v>9</v>
      </c>
      <c r="D719" s="3" t="s">
        <v>10</v>
      </c>
      <c r="E719" s="5" t="s">
        <v>21</v>
      </c>
      <c r="F719" s="17">
        <v>41.06</v>
      </c>
      <c r="G719" s="3">
        <v>6</v>
      </c>
      <c r="H719" s="17">
        <f>Table1[[#This Row],[Unit price]]*Table1[[#This Row],[Quantity]]</f>
        <v>246.36</v>
      </c>
      <c r="I719" s="29">
        <f>Table1[[#This Row],[Total Revenue]]/$H$5056*100</f>
        <v>2.6137748246144447E-2</v>
      </c>
      <c r="J719" s="3" t="s">
        <v>12</v>
      </c>
      <c r="K719" s="4">
        <v>8.3000000000000007</v>
      </c>
      <c r="M719"/>
    </row>
    <row r="720" spans="1:13" x14ac:dyDescent="0.25">
      <c r="A720" s="2">
        <v>45415</v>
      </c>
      <c r="B720" s="3" t="s">
        <v>244</v>
      </c>
      <c r="C720" s="3" t="s">
        <v>9</v>
      </c>
      <c r="D720" s="3" t="s">
        <v>10</v>
      </c>
      <c r="E720" s="5" t="s">
        <v>11</v>
      </c>
      <c r="F720" s="17">
        <v>48.52</v>
      </c>
      <c r="G720" s="3">
        <v>3</v>
      </c>
      <c r="H720" s="17">
        <f>Table1[[#This Row],[Unit price]]*Table1[[#This Row],[Quantity]]</f>
        <v>145.56</v>
      </c>
      <c r="I720" s="29">
        <f>Table1[[#This Row],[Total Revenue]]/$H$5056*100</f>
        <v>1.5443296942315251E-2</v>
      </c>
      <c r="J720" s="3" t="s">
        <v>17</v>
      </c>
      <c r="K720" s="4">
        <v>4</v>
      </c>
      <c r="M720"/>
    </row>
    <row r="721" spans="1:13" x14ac:dyDescent="0.25">
      <c r="A721" s="2">
        <v>45415</v>
      </c>
      <c r="B721" s="3" t="s">
        <v>244</v>
      </c>
      <c r="C721" s="3" t="s">
        <v>9</v>
      </c>
      <c r="D721" s="3" t="s">
        <v>19</v>
      </c>
      <c r="E721" s="5" t="s">
        <v>11</v>
      </c>
      <c r="F721" s="17">
        <v>18.079999999999998</v>
      </c>
      <c r="G721" s="3">
        <v>3</v>
      </c>
      <c r="H721" s="17">
        <f>Table1[[#This Row],[Unit price]]*Table1[[#This Row],[Quantity]]</f>
        <v>54.239999999999995</v>
      </c>
      <c r="I721" s="29">
        <f>Table1[[#This Row],[Total Revenue]]/$H$5056*100</f>
        <v>5.754633320631899E-3</v>
      </c>
      <c r="J721" s="3" t="s">
        <v>17</v>
      </c>
      <c r="K721" s="4">
        <v>8</v>
      </c>
      <c r="M721"/>
    </row>
    <row r="722" spans="1:13" x14ac:dyDescent="0.25">
      <c r="A722" s="2">
        <v>45415</v>
      </c>
      <c r="B722" s="3" t="s">
        <v>244</v>
      </c>
      <c r="C722" s="3" t="s">
        <v>13</v>
      </c>
      <c r="D722" s="3" t="s">
        <v>19</v>
      </c>
      <c r="E722" s="5" t="s">
        <v>16</v>
      </c>
      <c r="F722" s="17">
        <v>69.739999999999995</v>
      </c>
      <c r="G722" s="3">
        <v>10</v>
      </c>
      <c r="H722" s="17">
        <f>Table1[[#This Row],[Unit price]]*Table1[[#This Row],[Quantity]]</f>
        <v>697.4</v>
      </c>
      <c r="I722" s="29">
        <f>Table1[[#This Row],[Total Revenue]]/$H$5056*100</f>
        <v>7.3991174000897608E-2</v>
      </c>
      <c r="J722" s="3" t="s">
        <v>12</v>
      </c>
      <c r="K722" s="4">
        <v>8.9</v>
      </c>
      <c r="M722"/>
    </row>
    <row r="723" spans="1:13" x14ac:dyDescent="0.25">
      <c r="A723" s="2">
        <v>45415</v>
      </c>
      <c r="B723" s="3" t="s">
        <v>245</v>
      </c>
      <c r="C723" s="3" t="s">
        <v>9</v>
      </c>
      <c r="D723" s="3" t="s">
        <v>10</v>
      </c>
      <c r="E723" s="5" t="s">
        <v>20</v>
      </c>
      <c r="F723" s="17">
        <v>12.12</v>
      </c>
      <c r="G723" s="3">
        <v>10</v>
      </c>
      <c r="H723" s="17">
        <f>Table1[[#This Row],[Unit price]]*Table1[[#This Row],[Quantity]]</f>
        <v>121.19999999999999</v>
      </c>
      <c r="I723" s="29">
        <f>Table1[[#This Row],[Total Revenue]]/$H$5056*100</f>
        <v>1.2858804543889862E-2</v>
      </c>
      <c r="J723" s="3" t="s">
        <v>12</v>
      </c>
      <c r="K723" s="4">
        <v>8.4</v>
      </c>
      <c r="M723"/>
    </row>
    <row r="724" spans="1:13" x14ac:dyDescent="0.25">
      <c r="A724" s="2">
        <v>45415</v>
      </c>
      <c r="B724" s="3" t="s">
        <v>244</v>
      </c>
      <c r="C724" s="3" t="s">
        <v>9</v>
      </c>
      <c r="D724" s="3" t="s">
        <v>10</v>
      </c>
      <c r="E724" s="5" t="s">
        <v>21</v>
      </c>
      <c r="F724" s="17">
        <v>25.32</v>
      </c>
      <c r="G724" s="3">
        <v>8</v>
      </c>
      <c r="H724" s="17">
        <f>Table1[[#This Row],[Unit price]]*Table1[[#This Row],[Quantity]]</f>
        <v>202.56</v>
      </c>
      <c r="I724" s="29">
        <f>Table1[[#This Row],[Total Revenue]]/$H$5056*100</f>
        <v>2.1490754524837712E-2</v>
      </c>
      <c r="J724" s="3" t="s">
        <v>17</v>
      </c>
      <c r="K724" s="4">
        <v>8.6999999999999993</v>
      </c>
      <c r="M724"/>
    </row>
    <row r="725" spans="1:13" x14ac:dyDescent="0.25">
      <c r="A725" s="2">
        <v>45415</v>
      </c>
      <c r="B725" s="3" t="s">
        <v>245</v>
      </c>
      <c r="C725" s="3" t="s">
        <v>9</v>
      </c>
      <c r="D725" s="3" t="s">
        <v>10</v>
      </c>
      <c r="E725" s="5" t="s">
        <v>18</v>
      </c>
      <c r="F725" s="17">
        <v>44.22</v>
      </c>
      <c r="G725" s="3">
        <v>5</v>
      </c>
      <c r="H725" s="17">
        <f>Table1[[#This Row],[Unit price]]*Table1[[#This Row],[Quantity]]</f>
        <v>221.1</v>
      </c>
      <c r="I725" s="29">
        <f>Table1[[#This Row],[Total Revenue]]/$H$5056*100</f>
        <v>2.3457769675363439E-2</v>
      </c>
      <c r="J725" s="3" t="s">
        <v>12</v>
      </c>
      <c r="K725" s="4">
        <v>8.6</v>
      </c>
      <c r="M725"/>
    </row>
    <row r="726" spans="1:13" x14ac:dyDescent="0.25">
      <c r="A726" s="2">
        <v>45415</v>
      </c>
      <c r="B726" s="3" t="s">
        <v>244</v>
      </c>
      <c r="C726" s="3" t="s">
        <v>9</v>
      </c>
      <c r="D726" s="3" t="s">
        <v>10</v>
      </c>
      <c r="E726" s="5" t="s">
        <v>21</v>
      </c>
      <c r="F726" s="17">
        <v>55.97</v>
      </c>
      <c r="G726" s="3">
        <v>7</v>
      </c>
      <c r="H726" s="17">
        <f>Table1[[#This Row],[Unit price]]*Table1[[#This Row],[Quantity]]</f>
        <v>391.78999999999996</v>
      </c>
      <c r="I726" s="29">
        <f>Table1[[#This Row],[Total Revenue]]/$H$5056*100</f>
        <v>4.1567252741341661E-2</v>
      </c>
      <c r="J726" s="3" t="s">
        <v>17</v>
      </c>
      <c r="K726" s="4">
        <v>8.9</v>
      </c>
      <c r="M726"/>
    </row>
    <row r="727" spans="1:13" x14ac:dyDescent="0.25">
      <c r="A727" s="2">
        <v>45415</v>
      </c>
      <c r="B727" s="3" t="s">
        <v>244</v>
      </c>
      <c r="C727" s="3" t="s">
        <v>13</v>
      </c>
      <c r="D727" s="3" t="s">
        <v>10</v>
      </c>
      <c r="E727" s="5" t="s">
        <v>20</v>
      </c>
      <c r="F727" s="17">
        <v>95.46</v>
      </c>
      <c r="G727" s="3">
        <v>8</v>
      </c>
      <c r="H727" s="17">
        <f>Table1[[#This Row],[Unit price]]*Table1[[#This Row],[Quantity]]</f>
        <v>763.68</v>
      </c>
      <c r="I727" s="29">
        <f>Table1[[#This Row],[Total Revenue]]/$H$5056*100</f>
        <v>8.1023200116153549E-2</v>
      </c>
      <c r="J727" s="3" t="s">
        <v>17</v>
      </c>
      <c r="K727" s="4">
        <v>4.7</v>
      </c>
      <c r="M727"/>
    </row>
    <row r="728" spans="1:13" x14ac:dyDescent="0.25">
      <c r="A728" s="2">
        <v>45415</v>
      </c>
      <c r="B728" s="3" t="s">
        <v>244</v>
      </c>
      <c r="C728" s="3" t="s">
        <v>13</v>
      </c>
      <c r="D728" s="3" t="s">
        <v>19</v>
      </c>
      <c r="E728" s="5" t="s">
        <v>20</v>
      </c>
      <c r="F728" s="17">
        <v>82.7</v>
      </c>
      <c r="G728" s="3">
        <v>6</v>
      </c>
      <c r="H728" s="17">
        <f>Table1[[#This Row],[Unit price]]*Table1[[#This Row],[Quantity]]</f>
        <v>496.20000000000005</v>
      </c>
      <c r="I728" s="29">
        <f>Table1[[#This Row],[Total Revenue]]/$H$5056*100</f>
        <v>5.2644709692063946E-2</v>
      </c>
      <c r="J728" s="3" t="s">
        <v>15</v>
      </c>
      <c r="K728" s="4">
        <v>7.4</v>
      </c>
      <c r="M728"/>
    </row>
    <row r="729" spans="1:13" x14ac:dyDescent="0.25">
      <c r="A729" s="2">
        <v>45415</v>
      </c>
      <c r="B729" s="3" t="s">
        <v>243</v>
      </c>
      <c r="C729" s="3" t="s">
        <v>13</v>
      </c>
      <c r="D729" s="3" t="s">
        <v>19</v>
      </c>
      <c r="E729" s="5" t="s">
        <v>14</v>
      </c>
      <c r="F729" s="17">
        <v>78.31</v>
      </c>
      <c r="G729" s="3">
        <v>3</v>
      </c>
      <c r="H729" s="17">
        <f>Table1[[#This Row],[Unit price]]*Table1[[#This Row],[Quantity]]</f>
        <v>234.93</v>
      </c>
      <c r="I729" s="29">
        <f>Table1[[#This Row],[Total Revenue]]/$H$5056*100</f>
        <v>2.49250738572281E-2</v>
      </c>
      <c r="J729" s="3" t="s">
        <v>17</v>
      </c>
      <c r="K729" s="4">
        <v>5.4</v>
      </c>
      <c r="M729"/>
    </row>
    <row r="730" spans="1:13" x14ac:dyDescent="0.25">
      <c r="A730" s="2">
        <v>45415</v>
      </c>
      <c r="B730" s="3" t="s">
        <v>245</v>
      </c>
      <c r="C730" s="3" t="s">
        <v>9</v>
      </c>
      <c r="D730" s="3" t="s">
        <v>19</v>
      </c>
      <c r="E730" s="5" t="s">
        <v>21</v>
      </c>
      <c r="F730" s="17">
        <v>65.31</v>
      </c>
      <c r="G730" s="3">
        <v>7</v>
      </c>
      <c r="H730" s="17">
        <f>Table1[[#This Row],[Unit price]]*Table1[[#This Row],[Quantity]]</f>
        <v>457.17</v>
      </c>
      <c r="I730" s="29">
        <f>Table1[[#This Row],[Total Revenue]]/$H$5056*100</f>
        <v>4.8503792684241986E-2</v>
      </c>
      <c r="J730" s="3" t="s">
        <v>12</v>
      </c>
      <c r="K730" s="4">
        <v>4.2</v>
      </c>
      <c r="M730"/>
    </row>
    <row r="731" spans="1:13" x14ac:dyDescent="0.25">
      <c r="A731" s="2">
        <v>45415</v>
      </c>
      <c r="B731" s="3" t="s">
        <v>244</v>
      </c>
      <c r="C731" s="3" t="s">
        <v>9</v>
      </c>
      <c r="D731" s="3" t="s">
        <v>19</v>
      </c>
      <c r="E731" s="5" t="s">
        <v>18</v>
      </c>
      <c r="F731" s="17">
        <v>21.94</v>
      </c>
      <c r="G731" s="3">
        <v>5</v>
      </c>
      <c r="H731" s="17">
        <f>Table1[[#This Row],[Unit price]]*Table1[[#This Row],[Quantity]]</f>
        <v>109.7</v>
      </c>
      <c r="I731" s="29">
        <f>Table1[[#This Row],[Total Revenue]]/$H$5056*100</f>
        <v>1.1638703452679191E-2</v>
      </c>
      <c r="J731" s="3" t="s">
        <v>17</v>
      </c>
      <c r="K731" s="4">
        <v>5.3</v>
      </c>
      <c r="M731"/>
    </row>
    <row r="732" spans="1:13" x14ac:dyDescent="0.25">
      <c r="A732" s="2">
        <v>45415</v>
      </c>
      <c r="B732" s="3" t="s">
        <v>243</v>
      </c>
      <c r="C732" s="3" t="s">
        <v>13</v>
      </c>
      <c r="D732" s="3" t="s">
        <v>10</v>
      </c>
      <c r="E732" s="5" t="s">
        <v>18</v>
      </c>
      <c r="F732" s="17">
        <v>81.91</v>
      </c>
      <c r="G732" s="3">
        <v>2</v>
      </c>
      <c r="H732" s="17">
        <f>Table1[[#This Row],[Unit price]]*Table1[[#This Row],[Quantity]]</f>
        <v>163.82</v>
      </c>
      <c r="I732" s="29">
        <f>Table1[[#This Row],[Total Revenue]]/$H$5056*100</f>
        <v>1.7380605283663673E-2</v>
      </c>
      <c r="J732" s="3" t="s">
        <v>15</v>
      </c>
      <c r="K732" s="4">
        <v>7.8</v>
      </c>
      <c r="M732"/>
    </row>
    <row r="733" spans="1:13" x14ac:dyDescent="0.25">
      <c r="A733" s="2">
        <v>45415</v>
      </c>
      <c r="B733" s="3" t="s">
        <v>245</v>
      </c>
      <c r="C733" s="3" t="s">
        <v>13</v>
      </c>
      <c r="D733" s="3" t="s">
        <v>10</v>
      </c>
      <c r="E733" s="5" t="s">
        <v>16</v>
      </c>
      <c r="F733" s="17">
        <v>83.06</v>
      </c>
      <c r="G733" s="3">
        <v>7</v>
      </c>
      <c r="H733" s="17">
        <f>Table1[[#This Row],[Unit price]]*Table1[[#This Row],[Quantity]]</f>
        <v>581.42000000000007</v>
      </c>
      <c r="I733" s="29">
        <f>Table1[[#This Row],[Total Revenue]]/$H$5056*100</f>
        <v>6.168618925667034E-2</v>
      </c>
      <c r="J733" s="3" t="s">
        <v>17</v>
      </c>
      <c r="K733" s="4">
        <v>4</v>
      </c>
      <c r="M733"/>
    </row>
    <row r="734" spans="1:13" x14ac:dyDescent="0.25">
      <c r="A734" s="2">
        <v>45415</v>
      </c>
      <c r="B734" s="3" t="s">
        <v>244</v>
      </c>
      <c r="C734" s="3" t="s">
        <v>13</v>
      </c>
      <c r="D734" s="3" t="s">
        <v>19</v>
      </c>
      <c r="E734" s="5" t="s">
        <v>21</v>
      </c>
      <c r="F734" s="17">
        <v>87.98</v>
      </c>
      <c r="G734" s="3">
        <v>3</v>
      </c>
      <c r="H734" s="17">
        <f>Table1[[#This Row],[Unit price]]*Table1[[#This Row],[Quantity]]</f>
        <v>263.94</v>
      </c>
      <c r="I734" s="29">
        <f>Table1[[#This Row],[Total Revenue]]/$H$5056*100</f>
        <v>2.8002911479490845E-2</v>
      </c>
      <c r="J734" s="3" t="s">
        <v>17</v>
      </c>
      <c r="K734" s="4">
        <v>5.0999999999999996</v>
      </c>
      <c r="M734"/>
    </row>
    <row r="735" spans="1:13" x14ac:dyDescent="0.25">
      <c r="A735" s="2">
        <v>45415</v>
      </c>
      <c r="B735" s="3" t="s">
        <v>245</v>
      </c>
      <c r="C735" s="3" t="s">
        <v>9</v>
      </c>
      <c r="D735" s="3" t="s">
        <v>10</v>
      </c>
      <c r="E735" s="5" t="s">
        <v>11</v>
      </c>
      <c r="F735" s="17">
        <v>78.31</v>
      </c>
      <c r="G735" s="3">
        <v>10</v>
      </c>
      <c r="H735" s="17">
        <f>Table1[[#This Row],[Unit price]]*Table1[[#This Row],[Quantity]]</f>
        <v>783.1</v>
      </c>
      <c r="I735" s="29">
        <f>Table1[[#This Row],[Total Revenue]]/$H$5056*100</f>
        <v>8.3083579524093662E-2</v>
      </c>
      <c r="J735" s="3" t="s">
        <v>17</v>
      </c>
      <c r="K735" s="4">
        <v>6.6</v>
      </c>
      <c r="M735"/>
    </row>
    <row r="736" spans="1:13" x14ac:dyDescent="0.25">
      <c r="A736" s="2">
        <v>45446</v>
      </c>
      <c r="B736" s="3" t="s">
        <v>244</v>
      </c>
      <c r="C736" s="3" t="s">
        <v>9</v>
      </c>
      <c r="D736" s="3" t="s">
        <v>19</v>
      </c>
      <c r="E736" s="5" t="s">
        <v>16</v>
      </c>
      <c r="F736" s="17">
        <v>37.32</v>
      </c>
      <c r="G736" s="3">
        <v>9</v>
      </c>
      <c r="H736" s="17">
        <f>Table1[[#This Row],[Unit price]]*Table1[[#This Row],[Quantity]]</f>
        <v>335.88</v>
      </c>
      <c r="I736" s="29">
        <f>Table1[[#This Row],[Total Revenue]]/$H$5056*100</f>
        <v>3.5635439523116562E-2</v>
      </c>
      <c r="J736" s="3" t="s">
        <v>17</v>
      </c>
      <c r="K736" s="4">
        <v>5.0999999999999996</v>
      </c>
      <c r="M736"/>
    </row>
    <row r="737" spans="1:13" x14ac:dyDescent="0.25">
      <c r="A737" s="2">
        <v>45446</v>
      </c>
      <c r="B737" s="3" t="s">
        <v>244</v>
      </c>
      <c r="C737" s="3" t="s">
        <v>13</v>
      </c>
      <c r="D737" s="3" t="s">
        <v>19</v>
      </c>
      <c r="E737" s="5" t="s">
        <v>14</v>
      </c>
      <c r="F737" s="17">
        <v>28.38</v>
      </c>
      <c r="G737" s="3">
        <v>5</v>
      </c>
      <c r="H737" s="17">
        <f>Table1[[#This Row],[Unit price]]*Table1[[#This Row],[Quantity]]</f>
        <v>141.9</v>
      </c>
      <c r="I737" s="29">
        <f>Table1[[#This Row],[Total Revenue]]/$H$5056*100</f>
        <v>1.5054986508069074E-2</v>
      </c>
      <c r="J737" s="3" t="s">
        <v>15</v>
      </c>
      <c r="K737" s="4">
        <v>9.4</v>
      </c>
      <c r="M737"/>
    </row>
    <row r="738" spans="1:13" x14ac:dyDescent="0.25">
      <c r="A738" s="2">
        <v>45446</v>
      </c>
      <c r="B738" s="3" t="s">
        <v>243</v>
      </c>
      <c r="C738" s="3" t="s">
        <v>9</v>
      </c>
      <c r="D738" s="3" t="s">
        <v>10</v>
      </c>
      <c r="E738" s="5" t="s">
        <v>16</v>
      </c>
      <c r="F738" s="17">
        <v>92.13</v>
      </c>
      <c r="G738" s="3">
        <v>6</v>
      </c>
      <c r="H738" s="17">
        <f>Table1[[#This Row],[Unit price]]*Table1[[#This Row],[Quantity]]</f>
        <v>552.78</v>
      </c>
      <c r="I738" s="29">
        <f>Table1[[#This Row],[Total Revenue]]/$H$5056*100</f>
        <v>5.8647607060820443E-2</v>
      </c>
      <c r="J738" s="3" t="s">
        <v>15</v>
      </c>
      <c r="K738" s="4">
        <v>8.3000000000000007</v>
      </c>
      <c r="M738"/>
    </row>
    <row r="739" spans="1:13" x14ac:dyDescent="0.25">
      <c r="A739" s="2">
        <v>45446</v>
      </c>
      <c r="B739" s="3" t="s">
        <v>244</v>
      </c>
      <c r="C739" s="3" t="s">
        <v>13</v>
      </c>
      <c r="D739" s="3" t="s">
        <v>19</v>
      </c>
      <c r="E739" s="5" t="s">
        <v>11</v>
      </c>
      <c r="F739" s="17">
        <v>62.08</v>
      </c>
      <c r="G739" s="3">
        <v>7</v>
      </c>
      <c r="H739" s="17">
        <f>Table1[[#This Row],[Unit price]]*Table1[[#This Row],[Quantity]]</f>
        <v>434.56</v>
      </c>
      <c r="I739" s="29">
        <f>Table1[[#This Row],[Total Revenue]]/$H$5056*100</f>
        <v>4.6104967843174749E-2</v>
      </c>
      <c r="J739" s="3" t="s">
        <v>17</v>
      </c>
      <c r="K739" s="4">
        <v>5.4</v>
      </c>
      <c r="M739"/>
    </row>
    <row r="740" spans="1:13" x14ac:dyDescent="0.25">
      <c r="A740" s="2">
        <v>45446</v>
      </c>
      <c r="B740" s="3" t="s">
        <v>244</v>
      </c>
      <c r="C740" s="3" t="s">
        <v>13</v>
      </c>
      <c r="D740" s="3" t="s">
        <v>10</v>
      </c>
      <c r="E740" s="5" t="s">
        <v>16</v>
      </c>
      <c r="F740" s="17">
        <v>67.430000000000007</v>
      </c>
      <c r="G740" s="3">
        <v>5</v>
      </c>
      <c r="H740" s="17">
        <f>Table1[[#This Row],[Unit price]]*Table1[[#This Row],[Quantity]]</f>
        <v>337.15000000000003</v>
      </c>
      <c r="I740" s="29">
        <f>Table1[[#This Row],[Total Revenue]]/$H$5056*100</f>
        <v>3.5770181121885049E-2</v>
      </c>
      <c r="J740" s="3" t="s">
        <v>17</v>
      </c>
      <c r="K740" s="4">
        <v>6.3</v>
      </c>
      <c r="M740"/>
    </row>
    <row r="741" spans="1:13" x14ac:dyDescent="0.25">
      <c r="A741" s="2">
        <v>45446</v>
      </c>
      <c r="B741" s="3" t="s">
        <v>243</v>
      </c>
      <c r="C741" s="3" t="s">
        <v>9</v>
      </c>
      <c r="D741" s="3" t="s">
        <v>19</v>
      </c>
      <c r="E741" s="5" t="s">
        <v>16</v>
      </c>
      <c r="F741" s="17">
        <v>15.81</v>
      </c>
      <c r="G741" s="3">
        <v>10</v>
      </c>
      <c r="H741" s="17">
        <f>Table1[[#This Row],[Unit price]]*Table1[[#This Row],[Quantity]]</f>
        <v>158.1</v>
      </c>
      <c r="I741" s="29">
        <f>Table1[[#This Row],[Total Revenue]]/$H$5056*100</f>
        <v>1.6773737610470192E-2</v>
      </c>
      <c r="J741" s="3" t="s">
        <v>12</v>
      </c>
      <c r="K741" s="4">
        <v>8.6</v>
      </c>
      <c r="M741"/>
    </row>
    <row r="742" spans="1:13" x14ac:dyDescent="0.25">
      <c r="A742" s="2">
        <v>45446</v>
      </c>
      <c r="B742" s="3" t="s">
        <v>243</v>
      </c>
      <c r="C742" s="3" t="s">
        <v>13</v>
      </c>
      <c r="D742" s="3" t="s">
        <v>10</v>
      </c>
      <c r="E742" s="5" t="s">
        <v>21</v>
      </c>
      <c r="F742" s="17">
        <v>79.739999999999995</v>
      </c>
      <c r="G742" s="3">
        <v>1</v>
      </c>
      <c r="H742" s="17">
        <f>Table1[[#This Row],[Unit price]]*Table1[[#This Row],[Quantity]]</f>
        <v>79.739999999999995</v>
      </c>
      <c r="I742" s="29">
        <f>Table1[[#This Row],[Total Revenue]]/$H$5056*100</f>
        <v>8.4600748707077365E-3</v>
      </c>
      <c r="J742" s="3" t="s">
        <v>17</v>
      </c>
      <c r="K742" s="4">
        <v>7.3</v>
      </c>
      <c r="M742"/>
    </row>
    <row r="743" spans="1:13" x14ac:dyDescent="0.25">
      <c r="A743" s="2">
        <v>45446</v>
      </c>
      <c r="B743" s="3" t="s">
        <v>243</v>
      </c>
      <c r="C743" s="3" t="s">
        <v>9</v>
      </c>
      <c r="D743" s="3" t="s">
        <v>19</v>
      </c>
      <c r="E743" s="5" t="s">
        <v>14</v>
      </c>
      <c r="F743" s="17">
        <v>21.5</v>
      </c>
      <c r="G743" s="3">
        <v>9</v>
      </c>
      <c r="H743" s="17">
        <f>Table1[[#This Row],[Unit price]]*Table1[[#This Row],[Quantity]]</f>
        <v>193.5</v>
      </c>
      <c r="I743" s="29">
        <f>Table1[[#This Row],[Total Revenue]]/$H$5056*100</f>
        <v>2.0529527056457827E-2</v>
      </c>
      <c r="J743" s="3" t="s">
        <v>12</v>
      </c>
      <c r="K743" s="4">
        <v>7.8</v>
      </c>
      <c r="M743"/>
    </row>
    <row r="744" spans="1:13" x14ac:dyDescent="0.25">
      <c r="A744" s="2">
        <v>45446</v>
      </c>
      <c r="B744" s="3" t="s">
        <v>244</v>
      </c>
      <c r="C744" s="3" t="s">
        <v>9</v>
      </c>
      <c r="D744" s="3" t="s">
        <v>19</v>
      </c>
      <c r="E744" s="5" t="s">
        <v>20</v>
      </c>
      <c r="F744" s="17">
        <v>71.86</v>
      </c>
      <c r="G744" s="3">
        <v>8</v>
      </c>
      <c r="H744" s="17">
        <f>Table1[[#This Row],[Unit price]]*Table1[[#This Row],[Quantity]]</f>
        <v>574.88</v>
      </c>
      <c r="I744" s="29">
        <f>Table1[[#This Row],[Total Revenue]]/$H$5056*100</f>
        <v>6.099232307088618E-2</v>
      </c>
      <c r="J744" s="3" t="s">
        <v>12</v>
      </c>
      <c r="K744" s="4">
        <v>6.2</v>
      </c>
      <c r="M744"/>
    </row>
    <row r="745" spans="1:13" x14ac:dyDescent="0.25">
      <c r="A745" s="2">
        <v>45446</v>
      </c>
      <c r="B745" s="3" t="s">
        <v>244</v>
      </c>
      <c r="C745" s="3" t="s">
        <v>9</v>
      </c>
      <c r="D745" s="3" t="s">
        <v>19</v>
      </c>
      <c r="E745" s="5" t="s">
        <v>18</v>
      </c>
      <c r="F745" s="17">
        <v>49.92</v>
      </c>
      <c r="G745" s="3">
        <v>2</v>
      </c>
      <c r="H745" s="17">
        <f>Table1[[#This Row],[Unit price]]*Table1[[#This Row],[Quantity]]</f>
        <v>99.84</v>
      </c>
      <c r="I745" s="29">
        <f>Table1[[#This Row],[Total Revenue]]/$H$5056*100</f>
        <v>1.0592599386649868E-2</v>
      </c>
      <c r="J745" s="3" t="s">
        <v>12</v>
      </c>
      <c r="K745" s="4">
        <v>7</v>
      </c>
      <c r="M745"/>
    </row>
    <row r="746" spans="1:13" x14ac:dyDescent="0.25">
      <c r="A746" s="2">
        <v>45446</v>
      </c>
      <c r="B746" s="3" t="s">
        <v>245</v>
      </c>
      <c r="C746" s="3" t="s">
        <v>13</v>
      </c>
      <c r="D746" s="3" t="s">
        <v>19</v>
      </c>
      <c r="E746" s="5" t="s">
        <v>20</v>
      </c>
      <c r="F746" s="17">
        <v>37</v>
      </c>
      <c r="G746" s="3">
        <v>1</v>
      </c>
      <c r="H746" s="17">
        <f>Table1[[#This Row],[Unit price]]*Table1[[#This Row],[Quantity]]</f>
        <v>37</v>
      </c>
      <c r="I746" s="29">
        <f>Table1[[#This Row],[Total Revenue]]/$H$5056*100</f>
        <v>3.9255426412865098E-3</v>
      </c>
      <c r="J746" s="3" t="s">
        <v>12</v>
      </c>
      <c r="K746" s="4">
        <v>7.9</v>
      </c>
      <c r="M746"/>
    </row>
    <row r="747" spans="1:13" x14ac:dyDescent="0.25">
      <c r="A747" s="2">
        <v>45476</v>
      </c>
      <c r="B747" s="3" t="s">
        <v>245</v>
      </c>
      <c r="C747" s="3" t="s">
        <v>13</v>
      </c>
      <c r="D747" s="3" t="s">
        <v>19</v>
      </c>
      <c r="E747" s="5" t="s">
        <v>14</v>
      </c>
      <c r="F747" s="17">
        <v>84.07</v>
      </c>
      <c r="G747" s="3">
        <v>4</v>
      </c>
      <c r="H747" s="17">
        <f>Table1[[#This Row],[Unit price]]*Table1[[#This Row],[Quantity]]</f>
        <v>336.28</v>
      </c>
      <c r="I747" s="29">
        <f>Table1[[#This Row],[Total Revenue]]/$H$5056*100</f>
        <v>3.5677877821941276E-2</v>
      </c>
      <c r="J747" s="3" t="s">
        <v>17</v>
      </c>
      <c r="K747" s="4">
        <v>4.4000000000000004</v>
      </c>
      <c r="M747"/>
    </row>
    <row r="748" spans="1:13" x14ac:dyDescent="0.25">
      <c r="A748" s="2">
        <v>45476</v>
      </c>
      <c r="B748" s="3" t="s">
        <v>244</v>
      </c>
      <c r="C748" s="3" t="s">
        <v>13</v>
      </c>
      <c r="D748" s="3" t="s">
        <v>19</v>
      </c>
      <c r="E748" s="5" t="s">
        <v>20</v>
      </c>
      <c r="F748" s="17">
        <v>16.16</v>
      </c>
      <c r="G748" s="3">
        <v>2</v>
      </c>
      <c r="H748" s="17">
        <f>Table1[[#This Row],[Unit price]]*Table1[[#This Row],[Quantity]]</f>
        <v>32.32</v>
      </c>
      <c r="I748" s="29">
        <f>Table1[[#This Row],[Total Revenue]]/$H$5056*100</f>
        <v>3.4290145450372972E-3</v>
      </c>
      <c r="J748" s="3" t="s">
        <v>17</v>
      </c>
      <c r="K748" s="4">
        <v>6.5</v>
      </c>
      <c r="M748"/>
    </row>
    <row r="749" spans="1:13" x14ac:dyDescent="0.25">
      <c r="A749" s="2">
        <v>45476</v>
      </c>
      <c r="B749" s="3" t="s">
        <v>245</v>
      </c>
      <c r="C749" s="3" t="s">
        <v>13</v>
      </c>
      <c r="D749" s="3" t="s">
        <v>10</v>
      </c>
      <c r="E749" s="5" t="s">
        <v>18</v>
      </c>
      <c r="F749" s="17">
        <v>16.45</v>
      </c>
      <c r="G749" s="3">
        <v>4</v>
      </c>
      <c r="H749" s="17">
        <f>Table1[[#This Row],[Unit price]]*Table1[[#This Row],[Quantity]]</f>
        <v>65.8</v>
      </c>
      <c r="I749" s="29">
        <f>Table1[[#This Row],[Total Revenue]]/$H$5056*100</f>
        <v>6.9811001566662785E-3</v>
      </c>
      <c r="J749" s="3" t="s">
        <v>17</v>
      </c>
      <c r="K749" s="4">
        <v>5.6</v>
      </c>
      <c r="M749"/>
    </row>
    <row r="750" spans="1:13" x14ac:dyDescent="0.25">
      <c r="A750" s="2">
        <v>45476</v>
      </c>
      <c r="B750" s="3" t="s">
        <v>245</v>
      </c>
      <c r="C750" s="3" t="s">
        <v>13</v>
      </c>
      <c r="D750" s="3" t="s">
        <v>19</v>
      </c>
      <c r="E750" s="5" t="s">
        <v>11</v>
      </c>
      <c r="F750" s="17">
        <v>99.79</v>
      </c>
      <c r="G750" s="3">
        <v>2</v>
      </c>
      <c r="H750" s="17">
        <f>Table1[[#This Row],[Unit price]]*Table1[[#This Row],[Quantity]]</f>
        <v>199.58</v>
      </c>
      <c r="I750" s="29">
        <f>Table1[[#This Row],[Total Revenue]]/$H$5056*100</f>
        <v>2.1174589198593559E-2</v>
      </c>
      <c r="J750" s="3" t="s">
        <v>17</v>
      </c>
      <c r="K750" s="4">
        <v>8</v>
      </c>
      <c r="M750"/>
    </row>
    <row r="751" spans="1:13" x14ac:dyDescent="0.25">
      <c r="A751" s="2">
        <v>45476</v>
      </c>
      <c r="B751" s="3" t="s">
        <v>243</v>
      </c>
      <c r="C751" s="3" t="s">
        <v>9</v>
      </c>
      <c r="D751" s="3" t="s">
        <v>10</v>
      </c>
      <c r="E751" s="5" t="s">
        <v>21</v>
      </c>
      <c r="F751" s="17">
        <v>15.55</v>
      </c>
      <c r="G751" s="3">
        <v>9</v>
      </c>
      <c r="H751" s="17">
        <f>Table1[[#This Row],[Unit price]]*Table1[[#This Row],[Quantity]]</f>
        <v>139.95000000000002</v>
      </c>
      <c r="I751" s="29">
        <f>Table1[[#This Row],[Total Revenue]]/$H$5056*100</f>
        <v>1.4848099801298569E-2</v>
      </c>
      <c r="J751" s="3" t="s">
        <v>15</v>
      </c>
      <c r="K751" s="4">
        <v>5</v>
      </c>
      <c r="M751"/>
    </row>
    <row r="752" spans="1:13" x14ac:dyDescent="0.25">
      <c r="A752" s="2">
        <v>45476</v>
      </c>
      <c r="B752" s="3" t="s">
        <v>243</v>
      </c>
      <c r="C752" s="3" t="s">
        <v>9</v>
      </c>
      <c r="D752" s="3" t="s">
        <v>10</v>
      </c>
      <c r="E752" s="5" t="s">
        <v>20</v>
      </c>
      <c r="F752" s="17">
        <v>28.31</v>
      </c>
      <c r="G752" s="3">
        <v>4</v>
      </c>
      <c r="H752" s="17">
        <f>Table1[[#This Row],[Unit price]]*Table1[[#This Row],[Quantity]]</f>
        <v>113.24</v>
      </c>
      <c r="I752" s="29">
        <f>Table1[[#This Row],[Total Revenue]]/$H$5056*100</f>
        <v>1.2014282397277955E-2</v>
      </c>
      <c r="J752" s="3" t="s">
        <v>15</v>
      </c>
      <c r="K752" s="4">
        <v>8.1999999999999993</v>
      </c>
      <c r="M752"/>
    </row>
    <row r="753" spans="1:13" x14ac:dyDescent="0.25">
      <c r="A753" s="2">
        <v>45476</v>
      </c>
      <c r="B753" s="3" t="s">
        <v>243</v>
      </c>
      <c r="C753" s="3" t="s">
        <v>13</v>
      </c>
      <c r="D753" s="3" t="s">
        <v>19</v>
      </c>
      <c r="E753" s="5" t="s">
        <v>20</v>
      </c>
      <c r="F753" s="17">
        <v>97.94</v>
      </c>
      <c r="G753" s="3">
        <v>1</v>
      </c>
      <c r="H753" s="17">
        <f>Table1[[#This Row],[Unit price]]*Table1[[#This Row],[Quantity]]</f>
        <v>97.94</v>
      </c>
      <c r="I753" s="29">
        <f>Table1[[#This Row],[Total Revenue]]/$H$5056*100</f>
        <v>1.0391017467232453E-2</v>
      </c>
      <c r="J753" s="3" t="s">
        <v>17</v>
      </c>
      <c r="K753" s="4">
        <v>6.9</v>
      </c>
      <c r="M753"/>
    </row>
    <row r="754" spans="1:13" x14ac:dyDescent="0.25">
      <c r="A754" s="2">
        <v>45476</v>
      </c>
      <c r="B754" s="3" t="s">
        <v>245</v>
      </c>
      <c r="C754" s="3" t="s">
        <v>13</v>
      </c>
      <c r="D754" s="3" t="s">
        <v>19</v>
      </c>
      <c r="E754" s="5" t="s">
        <v>14</v>
      </c>
      <c r="F754" s="17">
        <v>22.21</v>
      </c>
      <c r="G754" s="3">
        <v>6</v>
      </c>
      <c r="H754" s="17">
        <f>Table1[[#This Row],[Unit price]]*Table1[[#This Row],[Quantity]]</f>
        <v>133.26</v>
      </c>
      <c r="I754" s="29">
        <f>Table1[[#This Row],[Total Revenue]]/$H$5056*100</f>
        <v>1.4138319253455142E-2</v>
      </c>
      <c r="J754" s="3" t="s">
        <v>12</v>
      </c>
      <c r="K754" s="4">
        <v>8.6</v>
      </c>
      <c r="M754"/>
    </row>
    <row r="755" spans="1:13" x14ac:dyDescent="0.25">
      <c r="A755" s="2">
        <v>45476</v>
      </c>
      <c r="B755" s="3" t="s">
        <v>244</v>
      </c>
      <c r="C755" s="3" t="s">
        <v>13</v>
      </c>
      <c r="D755" s="3" t="s">
        <v>19</v>
      </c>
      <c r="E755" s="5" t="s">
        <v>20</v>
      </c>
      <c r="F755" s="17">
        <v>50.28</v>
      </c>
      <c r="G755" s="3">
        <v>5</v>
      </c>
      <c r="H755" s="17">
        <f>Table1[[#This Row],[Unit price]]*Table1[[#This Row],[Quantity]]</f>
        <v>251.4</v>
      </c>
      <c r="I755" s="29">
        <f>Table1[[#This Row],[Total Revenue]]/$H$5056*100</f>
        <v>2.6672470811335905E-2</v>
      </c>
      <c r="J755" s="3" t="s">
        <v>17</v>
      </c>
      <c r="K755" s="4">
        <v>9.6999999999999993</v>
      </c>
      <c r="M755"/>
    </row>
    <row r="756" spans="1:13" x14ac:dyDescent="0.25">
      <c r="A756" s="2">
        <v>45507</v>
      </c>
      <c r="B756" s="3" t="s">
        <v>243</v>
      </c>
      <c r="C756" s="3" t="s">
        <v>13</v>
      </c>
      <c r="D756" s="3" t="s">
        <v>19</v>
      </c>
      <c r="E756" s="5" t="s">
        <v>14</v>
      </c>
      <c r="F756" s="17">
        <v>97.16</v>
      </c>
      <c r="G756" s="3">
        <v>1</v>
      </c>
      <c r="H756" s="17">
        <f>Table1[[#This Row],[Unit price]]*Table1[[#This Row],[Quantity]]</f>
        <v>97.16</v>
      </c>
      <c r="I756" s="29">
        <f>Table1[[#This Row],[Total Revenue]]/$H$5056*100</f>
        <v>1.030826278452425E-2</v>
      </c>
      <c r="J756" s="3" t="s">
        <v>17</v>
      </c>
      <c r="K756" s="4">
        <v>7.2</v>
      </c>
      <c r="M756"/>
    </row>
    <row r="757" spans="1:13" x14ac:dyDescent="0.25">
      <c r="A757" s="2">
        <v>45507</v>
      </c>
      <c r="B757" s="3" t="s">
        <v>245</v>
      </c>
      <c r="C757" s="3" t="s">
        <v>9</v>
      </c>
      <c r="D757" s="3" t="s">
        <v>19</v>
      </c>
      <c r="E757" s="5" t="s">
        <v>11</v>
      </c>
      <c r="F757" s="17">
        <v>17.04</v>
      </c>
      <c r="G757" s="3">
        <v>4</v>
      </c>
      <c r="H757" s="17">
        <f>Table1[[#This Row],[Unit price]]*Table1[[#This Row],[Quantity]]</f>
        <v>68.16</v>
      </c>
      <c r="I757" s="29">
        <f>Table1[[#This Row],[Total Revenue]]/$H$5056*100</f>
        <v>7.2314861197321206E-3</v>
      </c>
      <c r="J757" s="3" t="s">
        <v>17</v>
      </c>
      <c r="K757" s="4">
        <v>7</v>
      </c>
      <c r="M757"/>
    </row>
    <row r="758" spans="1:13" x14ac:dyDescent="0.25">
      <c r="A758" s="2">
        <v>45507</v>
      </c>
      <c r="B758" s="3" t="s">
        <v>245</v>
      </c>
      <c r="C758" s="3" t="s">
        <v>13</v>
      </c>
      <c r="D758" s="3" t="s">
        <v>10</v>
      </c>
      <c r="E758" s="5" t="s">
        <v>14</v>
      </c>
      <c r="F758" s="17">
        <v>15.28</v>
      </c>
      <c r="G758" s="3">
        <v>5</v>
      </c>
      <c r="H758" s="17">
        <f>Table1[[#This Row],[Unit price]]*Table1[[#This Row],[Quantity]]</f>
        <v>76.399999999999991</v>
      </c>
      <c r="I758" s="29">
        <f>Table1[[#This Row],[Total Revenue]]/$H$5056*100</f>
        <v>8.1057150755213317E-3</v>
      </c>
      <c r="J758" s="3" t="s">
        <v>15</v>
      </c>
      <c r="K758" s="4">
        <v>9.6</v>
      </c>
      <c r="M758"/>
    </row>
    <row r="759" spans="1:13" x14ac:dyDescent="0.25">
      <c r="A759" s="2">
        <v>45507</v>
      </c>
      <c r="B759" s="3" t="s">
        <v>243</v>
      </c>
      <c r="C759" s="3" t="s">
        <v>13</v>
      </c>
      <c r="D759" s="3" t="s">
        <v>19</v>
      </c>
      <c r="E759" s="5" t="s">
        <v>20</v>
      </c>
      <c r="F759" s="17">
        <v>33.99</v>
      </c>
      <c r="G759" s="3">
        <v>6</v>
      </c>
      <c r="H759" s="17">
        <f>Table1[[#This Row],[Unit price]]*Table1[[#This Row],[Quantity]]</f>
        <v>203.94</v>
      </c>
      <c r="I759" s="29">
        <f>Table1[[#This Row],[Total Revenue]]/$H$5056*100</f>
        <v>2.1637166655782993E-2</v>
      </c>
      <c r="J759" s="3" t="s">
        <v>12</v>
      </c>
      <c r="K759" s="4">
        <v>7.7</v>
      </c>
      <c r="M759"/>
    </row>
    <row r="760" spans="1:13" x14ac:dyDescent="0.25">
      <c r="A760" s="2">
        <v>45507</v>
      </c>
      <c r="B760" s="3" t="s">
        <v>243</v>
      </c>
      <c r="C760" s="3" t="s">
        <v>13</v>
      </c>
      <c r="D760" s="3" t="s">
        <v>10</v>
      </c>
      <c r="E760" s="5" t="s">
        <v>18</v>
      </c>
      <c r="F760" s="17">
        <v>61.77</v>
      </c>
      <c r="G760" s="3">
        <v>5</v>
      </c>
      <c r="H760" s="17">
        <f>Table1[[#This Row],[Unit price]]*Table1[[#This Row],[Quantity]]</f>
        <v>308.85000000000002</v>
      </c>
      <c r="I760" s="29">
        <f>Table1[[#This Row],[Total Revenue]]/$H$5056*100</f>
        <v>3.2767671480036176E-2</v>
      </c>
      <c r="J760" s="3" t="s">
        <v>15</v>
      </c>
      <c r="K760" s="4">
        <v>6.7</v>
      </c>
      <c r="M760"/>
    </row>
    <row r="761" spans="1:13" x14ac:dyDescent="0.25">
      <c r="A761" s="2">
        <v>45507</v>
      </c>
      <c r="B761" s="3" t="s">
        <v>245</v>
      </c>
      <c r="C761" s="3" t="s">
        <v>13</v>
      </c>
      <c r="D761" s="3" t="s">
        <v>19</v>
      </c>
      <c r="E761" s="5" t="s">
        <v>11</v>
      </c>
      <c r="F761" s="17">
        <v>43.27</v>
      </c>
      <c r="G761" s="3">
        <v>2</v>
      </c>
      <c r="H761" s="17">
        <f>Table1[[#This Row],[Unit price]]*Table1[[#This Row],[Quantity]]</f>
        <v>86.54</v>
      </c>
      <c r="I761" s="29">
        <f>Table1[[#This Row],[Total Revenue]]/$H$5056*100</f>
        <v>9.181525950727961E-3</v>
      </c>
      <c r="J761" s="3" t="s">
        <v>17</v>
      </c>
      <c r="K761" s="4">
        <v>5.7</v>
      </c>
      <c r="M761"/>
    </row>
    <row r="762" spans="1:13" x14ac:dyDescent="0.25">
      <c r="A762" s="2">
        <v>45507</v>
      </c>
      <c r="B762" s="3" t="s">
        <v>243</v>
      </c>
      <c r="C762" s="3" t="s">
        <v>9</v>
      </c>
      <c r="D762" s="3" t="s">
        <v>10</v>
      </c>
      <c r="E762" s="5" t="s">
        <v>20</v>
      </c>
      <c r="F762" s="17">
        <v>90.65</v>
      </c>
      <c r="G762" s="3">
        <v>10</v>
      </c>
      <c r="H762" s="17">
        <f>Table1[[#This Row],[Unit price]]*Table1[[#This Row],[Quantity]]</f>
        <v>906.5</v>
      </c>
      <c r="I762" s="29">
        <f>Table1[[#This Row],[Total Revenue]]/$H$5056*100</f>
        <v>9.6175794711519477E-2</v>
      </c>
      <c r="J762" s="3" t="s">
        <v>17</v>
      </c>
      <c r="K762" s="4">
        <v>7.3</v>
      </c>
      <c r="M762"/>
    </row>
    <row r="763" spans="1:13" x14ac:dyDescent="0.25">
      <c r="A763" s="2">
        <v>45507</v>
      </c>
      <c r="B763" s="3" t="s">
        <v>244</v>
      </c>
      <c r="C763" s="3" t="s">
        <v>9</v>
      </c>
      <c r="D763" s="3" t="s">
        <v>10</v>
      </c>
      <c r="E763" s="5" t="s">
        <v>11</v>
      </c>
      <c r="F763" s="17">
        <v>17.63</v>
      </c>
      <c r="G763" s="3">
        <v>5</v>
      </c>
      <c r="H763" s="17">
        <f>Table1[[#This Row],[Unit price]]*Table1[[#This Row],[Quantity]]</f>
        <v>88.149999999999991</v>
      </c>
      <c r="I763" s="29">
        <f>Table1[[#This Row],[Total Revenue]]/$H$5056*100</f>
        <v>9.3523401034974543E-3</v>
      </c>
      <c r="J763" s="3" t="s">
        <v>15</v>
      </c>
      <c r="K763" s="4">
        <v>8.5</v>
      </c>
      <c r="M763"/>
    </row>
    <row r="764" spans="1:13" x14ac:dyDescent="0.25">
      <c r="A764" s="2">
        <v>45507</v>
      </c>
      <c r="B764" s="3" t="s">
        <v>245</v>
      </c>
      <c r="C764" s="3" t="s">
        <v>13</v>
      </c>
      <c r="D764" s="3" t="s">
        <v>10</v>
      </c>
      <c r="E764" s="5" t="s">
        <v>18</v>
      </c>
      <c r="F764" s="17">
        <v>37.549999999999997</v>
      </c>
      <c r="G764" s="3">
        <v>10</v>
      </c>
      <c r="H764" s="17">
        <f>Table1[[#This Row],[Unit price]]*Table1[[#This Row],[Quantity]]</f>
        <v>375.5</v>
      </c>
      <c r="I764" s="29">
        <f>Table1[[#This Row],[Total Revenue]]/$H$5056*100</f>
        <v>3.9838953021704981E-2</v>
      </c>
      <c r="J764" s="3" t="s">
        <v>12</v>
      </c>
      <c r="K764" s="4">
        <v>9.3000000000000007</v>
      </c>
      <c r="M764"/>
    </row>
    <row r="765" spans="1:13" x14ac:dyDescent="0.25">
      <c r="A765" s="2">
        <v>45507</v>
      </c>
      <c r="B765" s="3" t="s">
        <v>245</v>
      </c>
      <c r="C765" s="3" t="s">
        <v>13</v>
      </c>
      <c r="D765" s="3" t="s">
        <v>10</v>
      </c>
      <c r="E765" s="5" t="s">
        <v>21</v>
      </c>
      <c r="F765" s="17">
        <v>81.3</v>
      </c>
      <c r="G765" s="3">
        <v>6</v>
      </c>
      <c r="H765" s="17">
        <f>Table1[[#This Row],[Unit price]]*Table1[[#This Row],[Quantity]]</f>
        <v>487.79999999999995</v>
      </c>
      <c r="I765" s="29">
        <f>Table1[[#This Row],[Total Revenue]]/$H$5056*100</f>
        <v>5.1753505416744838E-2</v>
      </c>
      <c r="J765" s="3" t="s">
        <v>17</v>
      </c>
      <c r="K765" s="4">
        <v>5.3</v>
      </c>
      <c r="M765"/>
    </row>
    <row r="766" spans="1:13" x14ac:dyDescent="0.25">
      <c r="A766" s="2">
        <v>45507</v>
      </c>
      <c r="B766" s="3" t="s">
        <v>245</v>
      </c>
      <c r="C766" s="3" t="s">
        <v>13</v>
      </c>
      <c r="D766" s="3" t="s">
        <v>10</v>
      </c>
      <c r="E766" s="5" t="s">
        <v>21</v>
      </c>
      <c r="F766" s="17">
        <v>46.26</v>
      </c>
      <c r="G766" s="3">
        <v>6</v>
      </c>
      <c r="H766" s="17">
        <f>Table1[[#This Row],[Unit price]]*Table1[[#This Row],[Quantity]]</f>
        <v>277.56</v>
      </c>
      <c r="I766" s="29">
        <f>Table1[[#This Row],[Total Revenue]]/$H$5056*100</f>
        <v>2.9447935554472528E-2</v>
      </c>
      <c r="J766" s="3" t="s">
        <v>12</v>
      </c>
      <c r="K766" s="4">
        <v>9.5</v>
      </c>
      <c r="M766"/>
    </row>
    <row r="767" spans="1:13" x14ac:dyDescent="0.25">
      <c r="A767" s="2">
        <v>45538</v>
      </c>
      <c r="B767" s="3" t="s">
        <v>244</v>
      </c>
      <c r="C767" s="3" t="s">
        <v>9</v>
      </c>
      <c r="D767" s="3" t="s">
        <v>10</v>
      </c>
      <c r="E767" s="5" t="s">
        <v>14</v>
      </c>
      <c r="F767" s="17">
        <v>93.96</v>
      </c>
      <c r="G767" s="3">
        <v>4</v>
      </c>
      <c r="H767" s="17">
        <f>Table1[[#This Row],[Unit price]]*Table1[[#This Row],[Quantity]]</f>
        <v>375.84</v>
      </c>
      <c r="I767" s="29">
        <f>Table1[[#This Row],[Total Revenue]]/$H$5056*100</f>
        <v>3.9875025575705991E-2</v>
      </c>
      <c r="J767" s="3" t="s">
        <v>15</v>
      </c>
      <c r="K767" s="4">
        <v>9.5</v>
      </c>
      <c r="M767"/>
    </row>
    <row r="768" spans="1:13" x14ac:dyDescent="0.25">
      <c r="A768" s="2">
        <v>45538</v>
      </c>
      <c r="B768" s="3" t="s">
        <v>243</v>
      </c>
      <c r="C768" s="3" t="s">
        <v>13</v>
      </c>
      <c r="D768" s="3" t="s">
        <v>19</v>
      </c>
      <c r="E768" s="5" t="s">
        <v>21</v>
      </c>
      <c r="F768" s="17">
        <v>51.71</v>
      </c>
      <c r="G768" s="3">
        <v>4</v>
      </c>
      <c r="H768" s="17">
        <f>Table1[[#This Row],[Unit price]]*Table1[[#This Row],[Quantity]]</f>
        <v>206.84</v>
      </c>
      <c r="I768" s="29">
        <f>Table1[[#This Row],[Total Revenue]]/$H$5056*100</f>
        <v>2.1944844322262205E-2</v>
      </c>
      <c r="J768" s="3" t="s">
        <v>12</v>
      </c>
      <c r="K768" s="4">
        <v>9.8000000000000007</v>
      </c>
      <c r="M768"/>
    </row>
    <row r="769" spans="1:13" x14ac:dyDescent="0.25">
      <c r="A769" s="2">
        <v>45538</v>
      </c>
      <c r="B769" s="3" t="s">
        <v>245</v>
      </c>
      <c r="C769" s="3" t="s">
        <v>9</v>
      </c>
      <c r="D769" s="3" t="s">
        <v>10</v>
      </c>
      <c r="E769" s="5" t="s">
        <v>11</v>
      </c>
      <c r="F769" s="17">
        <v>98.97</v>
      </c>
      <c r="G769" s="3">
        <v>9</v>
      </c>
      <c r="H769" s="17">
        <f>Table1[[#This Row],[Unit price]]*Table1[[#This Row],[Quantity]]</f>
        <v>890.73</v>
      </c>
      <c r="I769" s="29">
        <f>Table1[[#This Row],[Total Revenue]]/$H$5056*100</f>
        <v>9.4502664780354934E-2</v>
      </c>
      <c r="J769" s="3" t="s">
        <v>15</v>
      </c>
      <c r="K769" s="4">
        <v>6.7</v>
      </c>
      <c r="M769"/>
    </row>
    <row r="770" spans="1:13" x14ac:dyDescent="0.25">
      <c r="A770" s="2">
        <v>45538</v>
      </c>
      <c r="B770" s="3" t="s">
        <v>244</v>
      </c>
      <c r="C770" s="3" t="s">
        <v>9</v>
      </c>
      <c r="D770" s="3" t="s">
        <v>19</v>
      </c>
      <c r="E770" s="5" t="s">
        <v>16</v>
      </c>
      <c r="F770" s="17">
        <v>99.96</v>
      </c>
      <c r="G770" s="3">
        <v>9</v>
      </c>
      <c r="H770" s="17">
        <f>Table1[[#This Row],[Unit price]]*Table1[[#This Row],[Quantity]]</f>
        <v>899.64</v>
      </c>
      <c r="I770" s="29">
        <f>Table1[[#This Row],[Total Revenue]]/$H$5056*100</f>
        <v>9.5447977886675556E-2</v>
      </c>
      <c r="J770" s="3" t="s">
        <v>12</v>
      </c>
      <c r="K770" s="4">
        <v>4.2</v>
      </c>
      <c r="M770"/>
    </row>
    <row r="771" spans="1:13" x14ac:dyDescent="0.25">
      <c r="A771" s="2">
        <v>45538</v>
      </c>
      <c r="B771" s="3" t="s">
        <v>243</v>
      </c>
      <c r="C771" s="3" t="s">
        <v>13</v>
      </c>
      <c r="D771" s="3" t="s">
        <v>19</v>
      </c>
      <c r="E771" s="5" t="s">
        <v>16</v>
      </c>
      <c r="F771" s="17">
        <v>60.87</v>
      </c>
      <c r="G771" s="3">
        <v>2</v>
      </c>
      <c r="H771" s="17">
        <f>Table1[[#This Row],[Unit price]]*Table1[[#This Row],[Quantity]]</f>
        <v>121.74</v>
      </c>
      <c r="I771" s="29">
        <f>Table1[[#This Row],[Total Revenue]]/$H$5056*100</f>
        <v>1.2916096247303234E-2</v>
      </c>
      <c r="J771" s="3" t="s">
        <v>17</v>
      </c>
      <c r="K771" s="4">
        <v>8.6999999999999993</v>
      </c>
      <c r="M771"/>
    </row>
    <row r="772" spans="1:13" x14ac:dyDescent="0.25">
      <c r="A772" s="2">
        <v>45538</v>
      </c>
      <c r="B772" s="3" t="s">
        <v>243</v>
      </c>
      <c r="C772" s="3" t="s">
        <v>9</v>
      </c>
      <c r="D772" s="3" t="s">
        <v>19</v>
      </c>
      <c r="E772" s="5" t="s">
        <v>21</v>
      </c>
      <c r="F772" s="17">
        <v>51.94</v>
      </c>
      <c r="G772" s="3">
        <v>10</v>
      </c>
      <c r="H772" s="17">
        <f>Table1[[#This Row],[Unit price]]*Table1[[#This Row],[Quantity]]</f>
        <v>519.4</v>
      </c>
      <c r="I772" s="29">
        <f>Table1[[#This Row],[Total Revenue]]/$H$5056*100</f>
        <v>5.510613102389765E-2</v>
      </c>
      <c r="J772" s="3" t="s">
        <v>17</v>
      </c>
      <c r="K772" s="4">
        <v>6.5</v>
      </c>
      <c r="M772"/>
    </row>
    <row r="773" spans="1:13" x14ac:dyDescent="0.25">
      <c r="A773" s="2">
        <v>45538</v>
      </c>
      <c r="B773" s="3" t="s">
        <v>243</v>
      </c>
      <c r="C773" s="3" t="s">
        <v>9</v>
      </c>
      <c r="D773" s="3" t="s">
        <v>10</v>
      </c>
      <c r="E773" s="5" t="s">
        <v>16</v>
      </c>
      <c r="F773" s="17">
        <v>52.26</v>
      </c>
      <c r="G773" s="3">
        <v>10</v>
      </c>
      <c r="H773" s="17">
        <f>Table1[[#This Row],[Unit price]]*Table1[[#This Row],[Quantity]]</f>
        <v>522.6</v>
      </c>
      <c r="I773" s="29">
        <f>Table1[[#This Row],[Total Revenue]]/$H$5056*100</f>
        <v>5.5445637414495402E-2</v>
      </c>
      <c r="J773" s="3" t="s">
        <v>12</v>
      </c>
      <c r="K773" s="4">
        <v>6.2</v>
      </c>
      <c r="M773"/>
    </row>
    <row r="774" spans="1:13" x14ac:dyDescent="0.25">
      <c r="A774" s="2">
        <v>45538</v>
      </c>
      <c r="B774" s="3" t="s">
        <v>244</v>
      </c>
      <c r="C774" s="3" t="s">
        <v>13</v>
      </c>
      <c r="D774" s="3" t="s">
        <v>19</v>
      </c>
      <c r="E774" s="5" t="s">
        <v>18</v>
      </c>
      <c r="F774" s="17">
        <v>95.54</v>
      </c>
      <c r="G774" s="3">
        <v>7</v>
      </c>
      <c r="H774" s="17">
        <f>Table1[[#This Row],[Unit price]]*Table1[[#This Row],[Quantity]]</f>
        <v>668.78000000000009</v>
      </c>
      <c r="I774" s="29">
        <f>Table1[[#This Row],[Total Revenue]]/$H$5056*100</f>
        <v>7.0954713719988974E-2</v>
      </c>
      <c r="J774" s="3" t="s">
        <v>12</v>
      </c>
      <c r="K774" s="4">
        <v>9.6</v>
      </c>
      <c r="M774"/>
    </row>
    <row r="775" spans="1:13" x14ac:dyDescent="0.25">
      <c r="A775" s="2">
        <v>45538</v>
      </c>
      <c r="B775" s="3" t="s">
        <v>244</v>
      </c>
      <c r="C775" s="3" t="s">
        <v>9</v>
      </c>
      <c r="D775" s="3" t="s">
        <v>10</v>
      </c>
      <c r="E775" s="5" t="s">
        <v>18</v>
      </c>
      <c r="F775" s="17">
        <v>56.47</v>
      </c>
      <c r="G775" s="3">
        <v>8</v>
      </c>
      <c r="H775" s="17">
        <f>Table1[[#This Row],[Unit price]]*Table1[[#This Row],[Quantity]]</f>
        <v>451.76</v>
      </c>
      <c r="I775" s="29">
        <f>Table1[[#This Row],[Total Revenue]]/$H$5056*100</f>
        <v>4.7929814692637664E-2</v>
      </c>
      <c r="J775" s="3" t="s">
        <v>17</v>
      </c>
      <c r="K775" s="4">
        <v>7.3</v>
      </c>
      <c r="M775"/>
    </row>
    <row r="776" spans="1:13" x14ac:dyDescent="0.25">
      <c r="A776" s="2">
        <v>45538</v>
      </c>
      <c r="B776" s="3" t="s">
        <v>244</v>
      </c>
      <c r="C776" s="3" t="s">
        <v>9</v>
      </c>
      <c r="D776" s="3" t="s">
        <v>19</v>
      </c>
      <c r="E776" s="5" t="s">
        <v>14</v>
      </c>
      <c r="F776" s="17">
        <v>25.51</v>
      </c>
      <c r="G776" s="3">
        <v>4</v>
      </c>
      <c r="H776" s="17">
        <f>Table1[[#This Row],[Unit price]]*Table1[[#This Row],[Quantity]]</f>
        <v>102.04</v>
      </c>
      <c r="I776" s="29">
        <f>Table1[[#This Row],[Total Revenue]]/$H$5056*100</f>
        <v>1.0826010030185823E-2</v>
      </c>
      <c r="J776" s="3" t="s">
        <v>15</v>
      </c>
      <c r="K776" s="4">
        <v>6.8</v>
      </c>
      <c r="M776"/>
    </row>
    <row r="777" spans="1:13" x14ac:dyDescent="0.25">
      <c r="A777" s="2">
        <v>45538</v>
      </c>
      <c r="B777" s="3" t="s">
        <v>244</v>
      </c>
      <c r="C777" s="3" t="s">
        <v>9</v>
      </c>
      <c r="D777" s="3" t="s">
        <v>10</v>
      </c>
      <c r="E777" s="5" t="s">
        <v>20</v>
      </c>
      <c r="F777" s="17">
        <v>52.18</v>
      </c>
      <c r="G777" s="3">
        <v>7</v>
      </c>
      <c r="H777" s="17">
        <f>Table1[[#This Row],[Unit price]]*Table1[[#This Row],[Quantity]]</f>
        <v>365.26</v>
      </c>
      <c r="I777" s="29">
        <f>Table1[[#This Row],[Total Revenue]]/$H$5056*100</f>
        <v>3.8752532571792168E-2</v>
      </c>
      <c r="J777" s="3" t="s">
        <v>15</v>
      </c>
      <c r="K777" s="4">
        <v>9.3000000000000007</v>
      </c>
      <c r="M777"/>
    </row>
    <row r="778" spans="1:13" x14ac:dyDescent="0.25">
      <c r="A778" s="2">
        <v>45538</v>
      </c>
      <c r="B778" s="3" t="s">
        <v>245</v>
      </c>
      <c r="C778" s="3" t="s">
        <v>9</v>
      </c>
      <c r="D778" s="3" t="s">
        <v>19</v>
      </c>
      <c r="E778" s="5" t="s">
        <v>16</v>
      </c>
      <c r="F778" s="17">
        <v>48.91</v>
      </c>
      <c r="G778" s="3">
        <v>5</v>
      </c>
      <c r="H778" s="17">
        <f>Table1[[#This Row],[Unit price]]*Table1[[#This Row],[Quantity]]</f>
        <v>244.54999999999998</v>
      </c>
      <c r="I778" s="29">
        <f>Table1[[#This Row],[Total Revenue]]/$H$5056*100</f>
        <v>2.5945714943962594E-2</v>
      </c>
      <c r="J778" s="3" t="s">
        <v>15</v>
      </c>
      <c r="K778" s="4">
        <v>6.6</v>
      </c>
      <c r="M778"/>
    </row>
    <row r="779" spans="1:13" x14ac:dyDescent="0.25">
      <c r="A779" s="2">
        <v>45538</v>
      </c>
      <c r="B779" s="3" t="s">
        <v>245</v>
      </c>
      <c r="C779" s="3" t="s">
        <v>13</v>
      </c>
      <c r="D779" s="3" t="s">
        <v>19</v>
      </c>
      <c r="E779" s="5" t="s">
        <v>18</v>
      </c>
      <c r="F779" s="17">
        <v>16.28</v>
      </c>
      <c r="G779" s="3">
        <v>1</v>
      </c>
      <c r="H779" s="17">
        <f>Table1[[#This Row],[Unit price]]*Table1[[#This Row],[Quantity]]</f>
        <v>16.28</v>
      </c>
      <c r="I779" s="29">
        <f>Table1[[#This Row],[Total Revenue]]/$H$5056*100</f>
        <v>1.7272387621660643E-3</v>
      </c>
      <c r="J779" s="3" t="s">
        <v>15</v>
      </c>
      <c r="K779" s="4">
        <v>5</v>
      </c>
      <c r="M779"/>
    </row>
    <row r="780" spans="1:13" x14ac:dyDescent="0.25">
      <c r="A780" s="2">
        <v>45538</v>
      </c>
      <c r="B780" s="3" t="s">
        <v>245</v>
      </c>
      <c r="C780" s="3" t="s">
        <v>13</v>
      </c>
      <c r="D780" s="3" t="s">
        <v>10</v>
      </c>
      <c r="E780" s="5" t="s">
        <v>14</v>
      </c>
      <c r="F780" s="17">
        <v>75.91</v>
      </c>
      <c r="G780" s="3">
        <v>6</v>
      </c>
      <c r="H780" s="17">
        <f>Table1[[#This Row],[Unit price]]*Table1[[#This Row],[Quantity]]</f>
        <v>455.46</v>
      </c>
      <c r="I780" s="29">
        <f>Table1[[#This Row],[Total Revenue]]/$H$5056*100</f>
        <v>4.8322368956766316E-2</v>
      </c>
      <c r="J780" s="3" t="s">
        <v>15</v>
      </c>
      <c r="K780" s="4">
        <v>8.6999999999999993</v>
      </c>
      <c r="M780"/>
    </row>
    <row r="781" spans="1:13" x14ac:dyDescent="0.25">
      <c r="A781" s="2">
        <v>45538</v>
      </c>
      <c r="B781" s="3" t="s">
        <v>243</v>
      </c>
      <c r="C781" s="3" t="s">
        <v>9</v>
      </c>
      <c r="D781" s="3" t="s">
        <v>19</v>
      </c>
      <c r="E781" s="5" t="s">
        <v>11</v>
      </c>
      <c r="F781" s="17">
        <v>99.78</v>
      </c>
      <c r="G781" s="3">
        <v>5</v>
      </c>
      <c r="H781" s="17">
        <f>Table1[[#This Row],[Unit price]]*Table1[[#This Row],[Quantity]]</f>
        <v>498.9</v>
      </c>
      <c r="I781" s="29">
        <f>Table1[[#This Row],[Total Revenue]]/$H$5056*100</f>
        <v>5.2931168209130797E-2</v>
      </c>
      <c r="J781" s="3" t="s">
        <v>15</v>
      </c>
      <c r="K781" s="4">
        <v>5.4</v>
      </c>
      <c r="M781"/>
    </row>
    <row r="782" spans="1:13" x14ac:dyDescent="0.25">
      <c r="A782" s="2">
        <v>45538</v>
      </c>
      <c r="B782" s="3" t="s">
        <v>243</v>
      </c>
      <c r="C782" s="3" t="s">
        <v>13</v>
      </c>
      <c r="D782" s="3" t="s">
        <v>10</v>
      </c>
      <c r="E782" s="5" t="s">
        <v>18</v>
      </c>
      <c r="F782" s="17">
        <v>97.29</v>
      </c>
      <c r="G782" s="3">
        <v>8</v>
      </c>
      <c r="H782" s="17">
        <f>Table1[[#This Row],[Unit price]]*Table1[[#This Row],[Quantity]]</f>
        <v>778.32</v>
      </c>
      <c r="I782" s="29">
        <f>Table1[[#This Row],[Total Revenue]]/$H$5056*100</f>
        <v>8.2576441853138283E-2</v>
      </c>
      <c r="J782" s="3" t="s">
        <v>12</v>
      </c>
      <c r="K782" s="4">
        <v>6.2</v>
      </c>
      <c r="M782"/>
    </row>
    <row r="783" spans="1:13" x14ac:dyDescent="0.25">
      <c r="A783" s="2">
        <v>45568</v>
      </c>
      <c r="B783" s="3" t="s">
        <v>243</v>
      </c>
      <c r="C783" s="3" t="s">
        <v>13</v>
      </c>
      <c r="D783" s="3" t="s">
        <v>19</v>
      </c>
      <c r="E783" s="5" t="s">
        <v>16</v>
      </c>
      <c r="F783" s="17">
        <v>25.84</v>
      </c>
      <c r="G783" s="3">
        <v>3</v>
      </c>
      <c r="H783" s="17">
        <f>Table1[[#This Row],[Unit price]]*Table1[[#This Row],[Quantity]]</f>
        <v>77.52</v>
      </c>
      <c r="I783" s="29">
        <f>Table1[[#This Row],[Total Revenue]]/$H$5056*100</f>
        <v>8.2245423122305466E-3</v>
      </c>
      <c r="J783" s="3" t="s">
        <v>17</v>
      </c>
      <c r="K783" s="4">
        <v>6.6</v>
      </c>
      <c r="M783"/>
    </row>
    <row r="784" spans="1:13" x14ac:dyDescent="0.25">
      <c r="A784" s="2">
        <v>45568</v>
      </c>
      <c r="B784" s="3" t="s">
        <v>243</v>
      </c>
      <c r="C784" s="3" t="s">
        <v>13</v>
      </c>
      <c r="D784" s="3" t="s">
        <v>19</v>
      </c>
      <c r="E784" s="5" t="s">
        <v>14</v>
      </c>
      <c r="F784" s="17">
        <v>58.03</v>
      </c>
      <c r="G784" s="3">
        <v>2</v>
      </c>
      <c r="H784" s="17">
        <f>Table1[[#This Row],[Unit price]]*Table1[[#This Row],[Quantity]]</f>
        <v>116.06</v>
      </c>
      <c r="I784" s="29">
        <f>Table1[[#This Row],[Total Revenue]]/$H$5056*100</f>
        <v>1.2313472403992224E-2</v>
      </c>
      <c r="J784" s="3" t="s">
        <v>17</v>
      </c>
      <c r="K784" s="4">
        <v>8.8000000000000007</v>
      </c>
      <c r="M784"/>
    </row>
    <row r="785" spans="1:13" x14ac:dyDescent="0.25">
      <c r="A785" s="2">
        <v>45568</v>
      </c>
      <c r="B785" s="3" t="s">
        <v>244</v>
      </c>
      <c r="C785" s="3" t="s">
        <v>13</v>
      </c>
      <c r="D785" s="3" t="s">
        <v>10</v>
      </c>
      <c r="E785" s="5" t="s">
        <v>14</v>
      </c>
      <c r="F785" s="17">
        <v>25.45</v>
      </c>
      <c r="G785" s="3">
        <v>1</v>
      </c>
      <c r="H785" s="17">
        <f>Table1[[#This Row],[Unit price]]*Table1[[#This Row],[Quantity]]</f>
        <v>25.45</v>
      </c>
      <c r="I785" s="29">
        <f>Table1[[#This Row],[Total Revenue]]/$H$5056*100</f>
        <v>2.7001367627227475E-3</v>
      </c>
      <c r="J785" s="3" t="s">
        <v>12</v>
      </c>
      <c r="K785" s="4">
        <v>5.0999999999999996</v>
      </c>
      <c r="M785"/>
    </row>
    <row r="786" spans="1:13" x14ac:dyDescent="0.25">
      <c r="A786" s="2">
        <v>45568</v>
      </c>
      <c r="B786" s="3" t="s">
        <v>244</v>
      </c>
      <c r="C786" s="3" t="s">
        <v>13</v>
      </c>
      <c r="D786" s="3" t="s">
        <v>19</v>
      </c>
      <c r="E786" s="5" t="s">
        <v>11</v>
      </c>
      <c r="F786" s="17">
        <v>18.22</v>
      </c>
      <c r="G786" s="3">
        <v>7</v>
      </c>
      <c r="H786" s="17">
        <f>Table1[[#This Row],[Unit price]]*Table1[[#This Row],[Quantity]]</f>
        <v>127.53999999999999</v>
      </c>
      <c r="I786" s="29">
        <f>Table1[[#This Row],[Total Revenue]]/$H$5056*100</f>
        <v>1.3531451580261658E-2</v>
      </c>
      <c r="J786" s="3" t="s">
        <v>12</v>
      </c>
      <c r="K786" s="4">
        <v>6.6</v>
      </c>
      <c r="M786"/>
    </row>
    <row r="787" spans="1:13" x14ac:dyDescent="0.25">
      <c r="A787" s="2">
        <v>45568</v>
      </c>
      <c r="B787" s="3" t="s">
        <v>244</v>
      </c>
      <c r="C787" s="3" t="s">
        <v>13</v>
      </c>
      <c r="D787" s="3" t="s">
        <v>10</v>
      </c>
      <c r="E787" s="5" t="s">
        <v>11</v>
      </c>
      <c r="F787" s="17">
        <v>57.34</v>
      </c>
      <c r="G787" s="3">
        <v>3</v>
      </c>
      <c r="H787" s="17">
        <f>Table1[[#This Row],[Unit price]]*Table1[[#This Row],[Quantity]]</f>
        <v>172.02</v>
      </c>
      <c r="I787" s="29">
        <f>Table1[[#This Row],[Total Revenue]]/$H$5056*100</f>
        <v>1.8250590409570416E-2</v>
      </c>
      <c r="J787" s="3" t="s">
        <v>12</v>
      </c>
      <c r="K787" s="4">
        <v>7.9</v>
      </c>
      <c r="M787"/>
    </row>
    <row r="788" spans="1:13" x14ac:dyDescent="0.25">
      <c r="A788" s="2">
        <v>45568</v>
      </c>
      <c r="B788" s="3" t="s">
        <v>245</v>
      </c>
      <c r="C788" s="3" t="s">
        <v>9</v>
      </c>
      <c r="D788" s="3" t="s">
        <v>19</v>
      </c>
      <c r="E788" s="5" t="s">
        <v>21</v>
      </c>
      <c r="F788" s="17">
        <v>81.95</v>
      </c>
      <c r="G788" s="3">
        <v>10</v>
      </c>
      <c r="H788" s="17">
        <f>Table1[[#This Row],[Unit price]]*Table1[[#This Row],[Quantity]]</f>
        <v>819.5</v>
      </c>
      <c r="I788" s="29">
        <f>Table1[[#This Row],[Total Revenue]]/$H$5056*100</f>
        <v>8.6945464717143095E-2</v>
      </c>
      <c r="J788" s="3" t="s">
        <v>12</v>
      </c>
      <c r="K788" s="4">
        <v>6</v>
      </c>
      <c r="M788"/>
    </row>
    <row r="789" spans="1:13" x14ac:dyDescent="0.25">
      <c r="A789" s="2">
        <v>45568</v>
      </c>
      <c r="B789" s="3" t="s">
        <v>243</v>
      </c>
      <c r="C789" s="3" t="s">
        <v>13</v>
      </c>
      <c r="D789" s="3" t="s">
        <v>10</v>
      </c>
      <c r="E789" s="5" t="s">
        <v>20</v>
      </c>
      <c r="F789" s="17">
        <v>93.69</v>
      </c>
      <c r="G789" s="3">
        <v>7</v>
      </c>
      <c r="H789" s="17">
        <f>Table1[[#This Row],[Unit price]]*Table1[[#This Row],[Quantity]]</f>
        <v>655.82999999999993</v>
      </c>
      <c r="I789" s="29">
        <f>Table1[[#This Row],[Total Revenue]]/$H$5056*100</f>
        <v>6.9580773795538675E-2</v>
      </c>
      <c r="J789" s="3" t="s">
        <v>12</v>
      </c>
      <c r="K789" s="4">
        <v>4.5</v>
      </c>
      <c r="M789"/>
    </row>
    <row r="790" spans="1:13" x14ac:dyDescent="0.25">
      <c r="A790" s="2">
        <v>45568</v>
      </c>
      <c r="B790" s="3" t="s">
        <v>245</v>
      </c>
      <c r="C790" s="3" t="s">
        <v>9</v>
      </c>
      <c r="D790" s="3" t="s">
        <v>10</v>
      </c>
      <c r="E790" s="5" t="s">
        <v>20</v>
      </c>
      <c r="F790" s="17">
        <v>35.79</v>
      </c>
      <c r="G790" s="3">
        <v>9</v>
      </c>
      <c r="H790" s="17">
        <f>Table1[[#This Row],[Unit price]]*Table1[[#This Row],[Quantity]]</f>
        <v>322.11</v>
      </c>
      <c r="I790" s="29">
        <f>Table1[[#This Row],[Total Revenue]]/$H$5056*100</f>
        <v>3.4174501086075608E-2</v>
      </c>
      <c r="J790" s="3" t="s">
        <v>12</v>
      </c>
      <c r="K790" s="4">
        <v>5.0999999999999996</v>
      </c>
      <c r="M790"/>
    </row>
    <row r="791" spans="1:13" x14ac:dyDescent="0.25">
      <c r="A791" s="2">
        <v>45568</v>
      </c>
      <c r="B791" s="3" t="s">
        <v>243</v>
      </c>
      <c r="C791" s="3" t="s">
        <v>9</v>
      </c>
      <c r="D791" s="3" t="s">
        <v>19</v>
      </c>
      <c r="E791" s="5" t="s">
        <v>16</v>
      </c>
      <c r="F791" s="17">
        <v>62.62</v>
      </c>
      <c r="G791" s="3">
        <v>5</v>
      </c>
      <c r="H791" s="17">
        <f>Table1[[#This Row],[Unit price]]*Table1[[#This Row],[Quantity]]</f>
        <v>313.09999999999997</v>
      </c>
      <c r="I791" s="29">
        <f>Table1[[#This Row],[Total Revenue]]/$H$5056*100</f>
        <v>3.3218578405048806E-2</v>
      </c>
      <c r="J791" s="3" t="s">
        <v>17</v>
      </c>
      <c r="K791" s="4">
        <v>7</v>
      </c>
      <c r="M791"/>
    </row>
    <row r="792" spans="1:13" x14ac:dyDescent="0.25">
      <c r="A792" s="2">
        <v>45568</v>
      </c>
      <c r="B792" s="3" t="s">
        <v>243</v>
      </c>
      <c r="C792" s="3" t="s">
        <v>13</v>
      </c>
      <c r="D792" s="3" t="s">
        <v>10</v>
      </c>
      <c r="E792" s="5" t="s">
        <v>18</v>
      </c>
      <c r="F792" s="17">
        <v>87.67</v>
      </c>
      <c r="G792" s="3">
        <v>2</v>
      </c>
      <c r="H792" s="17">
        <f>Table1[[#This Row],[Unit price]]*Table1[[#This Row],[Quantity]]</f>
        <v>175.34</v>
      </c>
      <c r="I792" s="29">
        <f>Table1[[#This Row],[Total Revenue]]/$H$5056*100</f>
        <v>1.8602828289815583E-2</v>
      </c>
      <c r="J792" s="3" t="s">
        <v>12</v>
      </c>
      <c r="K792" s="4">
        <v>7.7</v>
      </c>
      <c r="M792"/>
    </row>
    <row r="793" spans="1:13" x14ac:dyDescent="0.25">
      <c r="A793" s="2">
        <v>45568</v>
      </c>
      <c r="B793" s="3" t="s">
        <v>245</v>
      </c>
      <c r="C793" s="3" t="s">
        <v>13</v>
      </c>
      <c r="D793" s="3" t="s">
        <v>19</v>
      </c>
      <c r="E793" s="5" t="s">
        <v>18</v>
      </c>
      <c r="F793" s="17">
        <v>45.74</v>
      </c>
      <c r="G793" s="3">
        <v>3</v>
      </c>
      <c r="H793" s="17">
        <f>Table1[[#This Row],[Unit price]]*Table1[[#This Row],[Quantity]]</f>
        <v>137.22</v>
      </c>
      <c r="I793" s="29">
        <f>Table1[[#This Row],[Total Revenue]]/$H$5056*100</f>
        <v>1.4558458411819861E-2</v>
      </c>
      <c r="J793" s="3" t="s">
        <v>12</v>
      </c>
      <c r="K793" s="4">
        <v>6.5</v>
      </c>
      <c r="M793"/>
    </row>
    <row r="794" spans="1:13" x14ac:dyDescent="0.25">
      <c r="A794" s="2">
        <v>45568</v>
      </c>
      <c r="B794" s="3" t="s">
        <v>243</v>
      </c>
      <c r="C794" s="3" t="s">
        <v>9</v>
      </c>
      <c r="D794" s="3" t="s">
        <v>19</v>
      </c>
      <c r="E794" s="5" t="s">
        <v>11</v>
      </c>
      <c r="F794" s="17">
        <v>10.130000000000001</v>
      </c>
      <c r="G794" s="3">
        <v>7</v>
      </c>
      <c r="H794" s="17">
        <f>Table1[[#This Row],[Unit price]]*Table1[[#This Row],[Quantity]]</f>
        <v>70.910000000000011</v>
      </c>
      <c r="I794" s="29">
        <f>Table1[[#This Row],[Total Revenue]]/$H$5056*100</f>
        <v>7.523249424152066E-3</v>
      </c>
      <c r="J794" s="3" t="s">
        <v>17</v>
      </c>
      <c r="K794" s="4">
        <v>8.3000000000000007</v>
      </c>
      <c r="M794"/>
    </row>
    <row r="795" spans="1:13" x14ac:dyDescent="0.25">
      <c r="A795" s="2">
        <v>45599</v>
      </c>
      <c r="B795" s="3" t="s">
        <v>244</v>
      </c>
      <c r="C795" s="3" t="s">
        <v>13</v>
      </c>
      <c r="D795" s="3" t="s">
        <v>10</v>
      </c>
      <c r="E795" s="5" t="s">
        <v>20</v>
      </c>
      <c r="F795" s="17">
        <v>40.299999999999997</v>
      </c>
      <c r="G795" s="3">
        <v>2</v>
      </c>
      <c r="H795" s="17">
        <f>Table1[[#This Row],[Unit price]]*Table1[[#This Row],[Quantity]]</f>
        <v>80.599999999999994</v>
      </c>
      <c r="I795" s="29">
        <f>Table1[[#This Row],[Total Revenue]]/$H$5056*100</f>
        <v>8.5513172131808819E-3</v>
      </c>
      <c r="J795" s="3" t="s">
        <v>17</v>
      </c>
      <c r="K795" s="4">
        <v>4.4000000000000004</v>
      </c>
      <c r="M795"/>
    </row>
    <row r="796" spans="1:13" x14ac:dyDescent="0.25">
      <c r="A796" s="2">
        <v>45599</v>
      </c>
      <c r="B796" s="3" t="s">
        <v>243</v>
      </c>
      <c r="C796" s="3" t="s">
        <v>9</v>
      </c>
      <c r="D796" s="3" t="s">
        <v>10</v>
      </c>
      <c r="E796" s="5" t="s">
        <v>21</v>
      </c>
      <c r="F796" s="17">
        <v>68.930000000000007</v>
      </c>
      <c r="G796" s="3">
        <v>7</v>
      </c>
      <c r="H796" s="17">
        <f>Table1[[#This Row],[Unit price]]*Table1[[#This Row],[Quantity]]</f>
        <v>482.51000000000005</v>
      </c>
      <c r="I796" s="29">
        <f>Table1[[#This Row],[Total Revenue]]/$H$5056*100</f>
        <v>5.1192258914787937E-2</v>
      </c>
      <c r="J796" s="3" t="s">
        <v>12</v>
      </c>
      <c r="K796" s="4">
        <v>4.5999999999999996</v>
      </c>
      <c r="M796"/>
    </row>
    <row r="797" spans="1:13" x14ac:dyDescent="0.25">
      <c r="A797" s="2">
        <v>45599</v>
      </c>
      <c r="B797" s="3" t="s">
        <v>245</v>
      </c>
      <c r="C797" s="3" t="s">
        <v>13</v>
      </c>
      <c r="D797" s="3" t="s">
        <v>19</v>
      </c>
      <c r="E797" s="5" t="s">
        <v>11</v>
      </c>
      <c r="F797" s="17">
        <v>46.77</v>
      </c>
      <c r="G797" s="3">
        <v>6</v>
      </c>
      <c r="H797" s="17">
        <f>Table1[[#This Row],[Unit price]]*Table1[[#This Row],[Quantity]]</f>
        <v>280.62</v>
      </c>
      <c r="I797" s="29">
        <f>Table1[[#This Row],[Total Revenue]]/$H$5056*100</f>
        <v>2.9772588540481627E-2</v>
      </c>
      <c r="J797" s="3" t="s">
        <v>15</v>
      </c>
      <c r="K797" s="4">
        <v>6</v>
      </c>
      <c r="M797"/>
    </row>
    <row r="798" spans="1:13" x14ac:dyDescent="0.25">
      <c r="A798" s="2">
        <v>45599</v>
      </c>
      <c r="B798" s="3" t="s">
        <v>245</v>
      </c>
      <c r="C798" s="3" t="s">
        <v>9</v>
      </c>
      <c r="D798" s="3" t="s">
        <v>19</v>
      </c>
      <c r="E798" s="5" t="s">
        <v>16</v>
      </c>
      <c r="F798" s="17">
        <v>34.56</v>
      </c>
      <c r="G798" s="3">
        <v>7</v>
      </c>
      <c r="H798" s="17">
        <f>Table1[[#This Row],[Unit price]]*Table1[[#This Row],[Quantity]]</f>
        <v>241.92000000000002</v>
      </c>
      <c r="I798" s="29">
        <f>Table1[[#This Row],[Total Revenue]]/$H$5056*100</f>
        <v>2.5666683129190068E-2</v>
      </c>
      <c r="J798" s="3" t="s">
        <v>12</v>
      </c>
      <c r="K798" s="4">
        <v>7.3</v>
      </c>
      <c r="M798"/>
    </row>
    <row r="799" spans="1:13" x14ac:dyDescent="0.25">
      <c r="A799" s="2">
        <v>45599</v>
      </c>
      <c r="B799" s="3" t="s">
        <v>243</v>
      </c>
      <c r="C799" s="3" t="s">
        <v>13</v>
      </c>
      <c r="D799" s="3" t="s">
        <v>19</v>
      </c>
      <c r="E799" s="5" t="s">
        <v>21</v>
      </c>
      <c r="F799" s="17">
        <v>59.77</v>
      </c>
      <c r="G799" s="3">
        <v>2</v>
      </c>
      <c r="H799" s="17">
        <f>Table1[[#This Row],[Unit price]]*Table1[[#This Row],[Quantity]]</f>
        <v>119.54</v>
      </c>
      <c r="I799" s="29">
        <f>Table1[[#This Row],[Total Revenue]]/$H$5056*100</f>
        <v>1.2682685603767278E-2</v>
      </c>
      <c r="J799" s="3" t="s">
        <v>12</v>
      </c>
      <c r="K799" s="4">
        <v>5.8</v>
      </c>
      <c r="M799"/>
    </row>
    <row r="800" spans="1:13" x14ac:dyDescent="0.25">
      <c r="A800" s="2">
        <v>45599</v>
      </c>
      <c r="B800" s="3" t="s">
        <v>243</v>
      </c>
      <c r="C800" s="3" t="s">
        <v>13</v>
      </c>
      <c r="D800" s="3" t="s">
        <v>10</v>
      </c>
      <c r="E800" s="5" t="s">
        <v>20</v>
      </c>
      <c r="F800" s="17">
        <v>63.42</v>
      </c>
      <c r="G800" s="3">
        <v>8</v>
      </c>
      <c r="H800" s="17">
        <f>Table1[[#This Row],[Unit price]]*Table1[[#This Row],[Quantity]]</f>
        <v>507.36</v>
      </c>
      <c r="I800" s="29">
        <f>Table1[[#This Row],[Total Revenue]]/$H$5056*100</f>
        <v>5.3828738229273615E-2</v>
      </c>
      <c r="J800" s="3" t="s">
        <v>17</v>
      </c>
      <c r="K800" s="4">
        <v>7.4</v>
      </c>
      <c r="M800"/>
    </row>
    <row r="801" spans="1:13" x14ac:dyDescent="0.25">
      <c r="A801" s="2">
        <v>45599</v>
      </c>
      <c r="B801" s="3" t="s">
        <v>243</v>
      </c>
      <c r="C801" s="3" t="s">
        <v>13</v>
      </c>
      <c r="D801" s="3" t="s">
        <v>10</v>
      </c>
      <c r="E801" s="5" t="s">
        <v>18</v>
      </c>
      <c r="F801" s="17">
        <v>94.67</v>
      </c>
      <c r="G801" s="3">
        <v>4</v>
      </c>
      <c r="H801" s="17">
        <f>Table1[[#This Row],[Unit price]]*Table1[[#This Row],[Quantity]]</f>
        <v>378.68</v>
      </c>
      <c r="I801" s="29">
        <f>Table1[[#This Row],[Total Revenue]]/$H$5056*100</f>
        <v>4.0176337497361499E-2</v>
      </c>
      <c r="J801" s="3" t="s">
        <v>15</v>
      </c>
      <c r="K801" s="4">
        <v>6.8</v>
      </c>
      <c r="M801"/>
    </row>
    <row r="802" spans="1:13" x14ac:dyDescent="0.25">
      <c r="A802" s="2">
        <v>45599</v>
      </c>
      <c r="B802" s="3" t="s">
        <v>243</v>
      </c>
      <c r="C802" s="3" t="s">
        <v>13</v>
      </c>
      <c r="D802" s="3" t="s">
        <v>10</v>
      </c>
      <c r="E802" s="5" t="s">
        <v>20</v>
      </c>
      <c r="F802" s="17">
        <v>28.32</v>
      </c>
      <c r="G802" s="3">
        <v>5</v>
      </c>
      <c r="H802" s="17">
        <f>Table1[[#This Row],[Unit price]]*Table1[[#This Row],[Quantity]]</f>
        <v>141.6</v>
      </c>
      <c r="I802" s="29">
        <f>Table1[[#This Row],[Total Revenue]]/$H$5056*100</f>
        <v>1.5023157783950532E-2</v>
      </c>
      <c r="J802" s="3" t="s">
        <v>17</v>
      </c>
      <c r="K802" s="4">
        <v>6.2</v>
      </c>
      <c r="M802"/>
    </row>
    <row r="803" spans="1:13" x14ac:dyDescent="0.25">
      <c r="A803" s="2">
        <v>45599</v>
      </c>
      <c r="B803" s="3" t="s">
        <v>245</v>
      </c>
      <c r="C803" s="3" t="s">
        <v>9</v>
      </c>
      <c r="D803" s="3" t="s">
        <v>10</v>
      </c>
      <c r="E803" s="5" t="s">
        <v>21</v>
      </c>
      <c r="F803" s="17">
        <v>29.67</v>
      </c>
      <c r="G803" s="3">
        <v>7</v>
      </c>
      <c r="H803" s="17">
        <f>Table1[[#This Row],[Unit price]]*Table1[[#This Row],[Quantity]]</f>
        <v>207.69</v>
      </c>
      <c r="I803" s="29">
        <f>Table1[[#This Row],[Total Revenue]]/$H$5056*100</f>
        <v>2.2035025707264733E-2</v>
      </c>
      <c r="J803" s="3" t="s">
        <v>12</v>
      </c>
      <c r="K803" s="4">
        <v>8.1</v>
      </c>
      <c r="M803"/>
    </row>
    <row r="804" spans="1:13" x14ac:dyDescent="0.25">
      <c r="A804" s="2">
        <v>45599</v>
      </c>
      <c r="B804" s="3" t="s">
        <v>244</v>
      </c>
      <c r="C804" s="3" t="s">
        <v>9</v>
      </c>
      <c r="D804" s="3" t="s">
        <v>10</v>
      </c>
      <c r="E804" s="5" t="s">
        <v>14</v>
      </c>
      <c r="F804" s="17">
        <v>34.49</v>
      </c>
      <c r="G804" s="3">
        <v>5</v>
      </c>
      <c r="H804" s="17">
        <f>Table1[[#This Row],[Unit price]]*Table1[[#This Row],[Quantity]]</f>
        <v>172.45000000000002</v>
      </c>
      <c r="I804" s="29">
        <f>Table1[[#This Row],[Total Revenue]]/$H$5056*100</f>
        <v>1.8296211580806989E-2</v>
      </c>
      <c r="J804" s="3" t="s">
        <v>12</v>
      </c>
      <c r="K804" s="4">
        <v>9</v>
      </c>
      <c r="M804"/>
    </row>
    <row r="805" spans="1:13" x14ac:dyDescent="0.25">
      <c r="A805" s="2">
        <v>45599</v>
      </c>
      <c r="B805" s="3" t="s">
        <v>244</v>
      </c>
      <c r="C805" s="3" t="s">
        <v>9</v>
      </c>
      <c r="D805" s="3" t="s">
        <v>10</v>
      </c>
      <c r="E805" s="5" t="s">
        <v>16</v>
      </c>
      <c r="F805" s="17">
        <v>29.61</v>
      </c>
      <c r="G805" s="3">
        <v>7</v>
      </c>
      <c r="H805" s="17">
        <f>Table1[[#This Row],[Unit price]]*Table1[[#This Row],[Quantity]]</f>
        <v>207.26999999999998</v>
      </c>
      <c r="I805" s="29">
        <f>Table1[[#This Row],[Total Revenue]]/$H$5056*100</f>
        <v>2.1990465493498777E-2</v>
      </c>
      <c r="J805" s="3" t="s">
        <v>15</v>
      </c>
      <c r="K805" s="4">
        <v>6.5</v>
      </c>
      <c r="M805"/>
    </row>
    <row r="806" spans="1:13" x14ac:dyDescent="0.25">
      <c r="A806" s="2">
        <v>45629</v>
      </c>
      <c r="B806" s="3" t="s">
        <v>244</v>
      </c>
      <c r="C806" s="3" t="s">
        <v>9</v>
      </c>
      <c r="D806" s="3" t="s">
        <v>10</v>
      </c>
      <c r="E806" s="5" t="s">
        <v>20</v>
      </c>
      <c r="F806" s="17">
        <v>40.729999999999997</v>
      </c>
      <c r="G806" s="3">
        <v>7</v>
      </c>
      <c r="H806" s="17">
        <f>Table1[[#This Row],[Unit price]]*Table1[[#This Row],[Quantity]]</f>
        <v>285.10999999999996</v>
      </c>
      <c r="I806" s="29">
        <f>Table1[[#This Row],[Total Revenue]]/$H$5056*100</f>
        <v>3.0248958444789097E-2</v>
      </c>
      <c r="J806" s="3" t="s">
        <v>17</v>
      </c>
      <c r="K806" s="4">
        <v>5.4</v>
      </c>
      <c r="M806"/>
    </row>
    <row r="807" spans="1:13" x14ac:dyDescent="0.25">
      <c r="A807" s="2">
        <v>45629</v>
      </c>
      <c r="B807" s="3" t="s">
        <v>243</v>
      </c>
      <c r="C807" s="3" t="s">
        <v>9</v>
      </c>
      <c r="D807" s="3" t="s">
        <v>10</v>
      </c>
      <c r="E807" s="5" t="s">
        <v>16</v>
      </c>
      <c r="F807" s="17">
        <v>98.4</v>
      </c>
      <c r="G807" s="3">
        <v>7</v>
      </c>
      <c r="H807" s="17">
        <f>Table1[[#This Row],[Unit price]]*Table1[[#This Row],[Quantity]]</f>
        <v>688.80000000000007</v>
      </c>
      <c r="I807" s="29">
        <f>Table1[[#This Row],[Total Revenue]]/$H$5056*100</f>
        <v>7.3078750576166154E-2</v>
      </c>
      <c r="J807" s="3" t="s">
        <v>12</v>
      </c>
      <c r="K807" s="4">
        <v>8.6999999999999993</v>
      </c>
      <c r="M807"/>
    </row>
    <row r="808" spans="1:13" x14ac:dyDescent="0.25">
      <c r="A808" s="2">
        <v>45629</v>
      </c>
      <c r="B808" s="3" t="s">
        <v>243</v>
      </c>
      <c r="C808" s="3" t="s">
        <v>9</v>
      </c>
      <c r="D808" s="3" t="s">
        <v>10</v>
      </c>
      <c r="E808" s="5" t="s">
        <v>21</v>
      </c>
      <c r="F808" s="17">
        <v>47.67</v>
      </c>
      <c r="G808" s="3">
        <v>4</v>
      </c>
      <c r="H808" s="17">
        <f>Table1[[#This Row],[Unit price]]*Table1[[#This Row],[Quantity]]</f>
        <v>190.68</v>
      </c>
      <c r="I808" s="29">
        <f>Table1[[#This Row],[Total Revenue]]/$H$5056*100</f>
        <v>2.0230337049743558E-2</v>
      </c>
      <c r="J808" s="3" t="s">
        <v>15</v>
      </c>
      <c r="K808" s="4">
        <v>9.1</v>
      </c>
      <c r="M808"/>
    </row>
    <row r="809" spans="1:13" x14ac:dyDescent="0.25">
      <c r="A809" s="2">
        <v>45629</v>
      </c>
      <c r="B809" s="3" t="s">
        <v>245</v>
      </c>
      <c r="C809" s="3" t="s">
        <v>13</v>
      </c>
      <c r="D809" s="3" t="s">
        <v>19</v>
      </c>
      <c r="E809" s="5" t="s">
        <v>14</v>
      </c>
      <c r="F809" s="17">
        <v>30.61</v>
      </c>
      <c r="G809" s="3">
        <v>6</v>
      </c>
      <c r="H809" s="17">
        <f>Table1[[#This Row],[Unit price]]*Table1[[#This Row],[Quantity]]</f>
        <v>183.66</v>
      </c>
      <c r="I809" s="29">
        <f>Table1[[#This Row],[Total Revenue]]/$H$5056*100</f>
        <v>1.9485544905369738E-2</v>
      </c>
      <c r="J809" s="3" t="s">
        <v>15</v>
      </c>
      <c r="K809" s="4">
        <v>9.3000000000000007</v>
      </c>
      <c r="M809"/>
    </row>
    <row r="810" spans="1:13" x14ac:dyDescent="0.25">
      <c r="A810" s="2">
        <v>45629</v>
      </c>
      <c r="B810" s="3" t="s">
        <v>245</v>
      </c>
      <c r="C810" s="3" t="s">
        <v>9</v>
      </c>
      <c r="D810" s="3" t="s">
        <v>19</v>
      </c>
      <c r="E810" s="5" t="s">
        <v>11</v>
      </c>
      <c r="F810" s="17">
        <v>94.26</v>
      </c>
      <c r="G810" s="3">
        <v>4</v>
      </c>
      <c r="H810" s="17">
        <f>Table1[[#This Row],[Unit price]]*Table1[[#This Row],[Quantity]]</f>
        <v>377.04</v>
      </c>
      <c r="I810" s="29">
        <f>Table1[[#This Row],[Total Revenue]]/$H$5056*100</f>
        <v>4.0002340472180153E-2</v>
      </c>
      <c r="J810" s="3" t="s">
        <v>15</v>
      </c>
      <c r="K810" s="4">
        <v>8.6</v>
      </c>
      <c r="M810"/>
    </row>
    <row r="811" spans="1:13" x14ac:dyDescent="0.25">
      <c r="A811" s="2">
        <v>45629</v>
      </c>
      <c r="B811" s="3" t="s">
        <v>244</v>
      </c>
      <c r="C811" s="3" t="s">
        <v>13</v>
      </c>
      <c r="D811" s="3" t="s">
        <v>19</v>
      </c>
      <c r="E811" s="5" t="s">
        <v>16</v>
      </c>
      <c r="F811" s="17">
        <v>97.74</v>
      </c>
      <c r="G811" s="3">
        <v>4</v>
      </c>
      <c r="H811" s="17">
        <f>Table1[[#This Row],[Unit price]]*Table1[[#This Row],[Quantity]]</f>
        <v>390.96</v>
      </c>
      <c r="I811" s="29">
        <f>Table1[[#This Row],[Total Revenue]]/$H$5056*100</f>
        <v>4.1479193271280371E-2</v>
      </c>
      <c r="J811" s="3" t="s">
        <v>17</v>
      </c>
      <c r="K811" s="4">
        <v>6.4</v>
      </c>
      <c r="M811"/>
    </row>
    <row r="812" spans="1:13" x14ac:dyDescent="0.25">
      <c r="A812" s="2">
        <v>45629</v>
      </c>
      <c r="B812" s="3" t="s">
        <v>244</v>
      </c>
      <c r="C812" s="3" t="s">
        <v>9</v>
      </c>
      <c r="D812" s="3" t="s">
        <v>19</v>
      </c>
      <c r="E812" s="5" t="s">
        <v>21</v>
      </c>
      <c r="F812" s="17">
        <v>64.36</v>
      </c>
      <c r="G812" s="3">
        <v>9</v>
      </c>
      <c r="H812" s="17">
        <f>Table1[[#This Row],[Unit price]]*Table1[[#This Row],[Quantity]]</f>
        <v>579.24</v>
      </c>
      <c r="I812" s="29">
        <f>Table1[[#This Row],[Total Revenue]]/$H$5056*100</f>
        <v>6.1454900528075611E-2</v>
      </c>
      <c r="J812" s="3" t="s">
        <v>12</v>
      </c>
      <c r="K812" s="4">
        <v>8.6</v>
      </c>
      <c r="M812"/>
    </row>
    <row r="813" spans="1:13" x14ac:dyDescent="0.25">
      <c r="A813" s="2">
        <v>45629</v>
      </c>
      <c r="B813" s="3" t="s">
        <v>245</v>
      </c>
      <c r="C813" s="3" t="s">
        <v>9</v>
      </c>
      <c r="D813" s="3" t="s">
        <v>19</v>
      </c>
      <c r="E813" s="5" t="s">
        <v>11</v>
      </c>
      <c r="F813" s="17">
        <v>55.04</v>
      </c>
      <c r="G813" s="3">
        <v>7</v>
      </c>
      <c r="H813" s="17">
        <f>Table1[[#This Row],[Unit price]]*Table1[[#This Row],[Quantity]]</f>
        <v>385.28</v>
      </c>
      <c r="I813" s="29">
        <f>Table1[[#This Row],[Total Revenue]]/$H$5056*100</f>
        <v>4.0876569427969356E-2</v>
      </c>
      <c r="J813" s="3" t="s">
        <v>17</v>
      </c>
      <c r="K813" s="4">
        <v>5.2</v>
      </c>
      <c r="M813"/>
    </row>
    <row r="814" spans="1:13" x14ac:dyDescent="0.25">
      <c r="A814" s="2">
        <v>45629</v>
      </c>
      <c r="B814" s="3" t="s">
        <v>245</v>
      </c>
      <c r="C814" s="3" t="s">
        <v>13</v>
      </c>
      <c r="D814" s="3" t="s">
        <v>19</v>
      </c>
      <c r="E814" s="5" t="s">
        <v>20</v>
      </c>
      <c r="F814" s="17">
        <v>46.22</v>
      </c>
      <c r="G814" s="3">
        <v>4</v>
      </c>
      <c r="H814" s="17">
        <f>Table1[[#This Row],[Unit price]]*Table1[[#This Row],[Quantity]]</f>
        <v>184.88</v>
      </c>
      <c r="I814" s="29">
        <f>Table1[[#This Row],[Total Revenue]]/$H$5056*100</f>
        <v>1.9614981716785131E-2</v>
      </c>
      <c r="J814" s="3" t="s">
        <v>12</v>
      </c>
      <c r="K814" s="4">
        <v>6.2</v>
      </c>
      <c r="M814"/>
    </row>
    <row r="815" spans="1:13" x14ac:dyDescent="0.25">
      <c r="A815" s="2">
        <v>45629</v>
      </c>
      <c r="B815" s="3" t="s">
        <v>245</v>
      </c>
      <c r="C815" s="3" t="s">
        <v>13</v>
      </c>
      <c r="D815" s="3" t="s">
        <v>19</v>
      </c>
      <c r="E815" s="5" t="s">
        <v>21</v>
      </c>
      <c r="F815" s="17">
        <v>41.5</v>
      </c>
      <c r="G815" s="3">
        <v>4</v>
      </c>
      <c r="H815" s="17">
        <f>Table1[[#This Row],[Unit price]]*Table1[[#This Row],[Quantity]]</f>
        <v>166</v>
      </c>
      <c r="I815" s="29">
        <f>Table1[[#This Row],[Total Revenue]]/$H$5056*100</f>
        <v>1.7611894012258392E-2</v>
      </c>
      <c r="J815" s="3" t="s">
        <v>12</v>
      </c>
      <c r="K815" s="4">
        <v>8.1999999999999993</v>
      </c>
      <c r="M815"/>
    </row>
    <row r="816" spans="1:13" x14ac:dyDescent="0.25">
      <c r="A816" s="2">
        <v>45629</v>
      </c>
      <c r="B816" s="3" t="s">
        <v>244</v>
      </c>
      <c r="C816" s="3" t="s">
        <v>9</v>
      </c>
      <c r="D816" s="3" t="s">
        <v>10</v>
      </c>
      <c r="E816" s="5" t="s">
        <v>14</v>
      </c>
      <c r="F816" s="17">
        <v>10.59</v>
      </c>
      <c r="G816" s="3">
        <v>3</v>
      </c>
      <c r="H816" s="17">
        <f>Table1[[#This Row],[Unit price]]*Table1[[#This Row],[Quantity]]</f>
        <v>31.77</v>
      </c>
      <c r="I816" s="29">
        <f>Table1[[#This Row],[Total Revenue]]/$H$5056*100</f>
        <v>3.3706618841533083E-3</v>
      </c>
      <c r="J816" s="3" t="s">
        <v>12</v>
      </c>
      <c r="K816" s="4">
        <v>8.6999999999999993</v>
      </c>
      <c r="M816"/>
    </row>
    <row r="817" spans="1:13" x14ac:dyDescent="0.25">
      <c r="A817" s="2">
        <v>45629</v>
      </c>
      <c r="B817" s="3" t="s">
        <v>244</v>
      </c>
      <c r="C817" s="3" t="s">
        <v>9</v>
      </c>
      <c r="D817" s="3" t="s">
        <v>19</v>
      </c>
      <c r="E817" s="5" t="s">
        <v>21</v>
      </c>
      <c r="F817" s="17">
        <v>39.01</v>
      </c>
      <c r="G817" s="3">
        <v>1</v>
      </c>
      <c r="H817" s="17">
        <f>Table1[[#This Row],[Unit price]]*Table1[[#This Row],[Quantity]]</f>
        <v>39.01</v>
      </c>
      <c r="I817" s="29">
        <f>Table1[[#This Row],[Total Revenue]]/$H$5056*100</f>
        <v>4.138795092880722E-3</v>
      </c>
      <c r="J817" s="3" t="s">
        <v>12</v>
      </c>
      <c r="K817" s="4">
        <v>4.7</v>
      </c>
      <c r="M817"/>
    </row>
    <row r="818" spans="1:13" x14ac:dyDescent="0.25">
      <c r="A818" s="3" t="s">
        <v>58</v>
      </c>
      <c r="B818" s="3" t="s">
        <v>245</v>
      </c>
      <c r="C818" s="3" t="s">
        <v>13</v>
      </c>
      <c r="D818" s="3" t="s">
        <v>19</v>
      </c>
      <c r="E818" s="5" t="s">
        <v>18</v>
      </c>
      <c r="F818" s="17">
        <v>56.5</v>
      </c>
      <c r="G818" s="3">
        <v>1</v>
      </c>
      <c r="H818" s="17">
        <f>Table1[[#This Row],[Unit price]]*Table1[[#This Row],[Quantity]]</f>
        <v>56.5</v>
      </c>
      <c r="I818" s="29">
        <f>Table1[[#This Row],[Total Revenue]]/$H$5056*100</f>
        <v>5.9944097089915617E-3</v>
      </c>
      <c r="J818" s="3" t="s">
        <v>17</v>
      </c>
      <c r="K818" s="4">
        <v>9.6</v>
      </c>
      <c r="M818"/>
    </row>
    <row r="819" spans="1:13" x14ac:dyDescent="0.25">
      <c r="A819" s="3" t="s">
        <v>58</v>
      </c>
      <c r="B819" s="3" t="s">
        <v>243</v>
      </c>
      <c r="C819" s="3" t="s">
        <v>13</v>
      </c>
      <c r="D819" s="3" t="s">
        <v>10</v>
      </c>
      <c r="E819" s="5" t="s">
        <v>11</v>
      </c>
      <c r="F819" s="17">
        <v>54.27</v>
      </c>
      <c r="G819" s="3">
        <v>5</v>
      </c>
      <c r="H819" s="17">
        <f>Table1[[#This Row],[Unit price]]*Table1[[#This Row],[Quantity]]</f>
        <v>271.35000000000002</v>
      </c>
      <c r="I819" s="29">
        <f>Table1[[#This Row],[Total Revenue]]/$H$5056*100</f>
        <v>2.8789080965218771E-2</v>
      </c>
      <c r="J819" s="3" t="s">
        <v>17</v>
      </c>
      <c r="K819" s="4">
        <v>4.5999999999999996</v>
      </c>
      <c r="M819"/>
    </row>
    <row r="820" spans="1:13" x14ac:dyDescent="0.25">
      <c r="A820" s="3" t="s">
        <v>58</v>
      </c>
      <c r="B820" s="3" t="s">
        <v>244</v>
      </c>
      <c r="C820" s="3" t="s">
        <v>9</v>
      </c>
      <c r="D820" s="3" t="s">
        <v>10</v>
      </c>
      <c r="E820" s="5" t="s">
        <v>18</v>
      </c>
      <c r="F820" s="17">
        <v>38.299999999999997</v>
      </c>
      <c r="G820" s="3">
        <v>4</v>
      </c>
      <c r="H820" s="17">
        <f>Table1[[#This Row],[Unit price]]*Table1[[#This Row],[Quantity]]</f>
        <v>153.19999999999999</v>
      </c>
      <c r="I820" s="29">
        <f>Table1[[#This Row],[Total Revenue]]/$H$5056*100</f>
        <v>1.6253868449867384E-2</v>
      </c>
      <c r="J820" s="3" t="s">
        <v>15</v>
      </c>
      <c r="K820" s="4">
        <v>5.7</v>
      </c>
      <c r="M820"/>
    </row>
    <row r="821" spans="1:13" x14ac:dyDescent="0.25">
      <c r="A821" s="3" t="s">
        <v>58</v>
      </c>
      <c r="B821" s="3" t="s">
        <v>243</v>
      </c>
      <c r="C821" s="3" t="s">
        <v>9</v>
      </c>
      <c r="D821" s="3" t="s">
        <v>19</v>
      </c>
      <c r="E821" s="5" t="s">
        <v>21</v>
      </c>
      <c r="F821" s="17">
        <v>15.87</v>
      </c>
      <c r="G821" s="3">
        <v>10</v>
      </c>
      <c r="H821" s="17">
        <f>Table1[[#This Row],[Unit price]]*Table1[[#This Row],[Quantity]]</f>
        <v>158.69999999999999</v>
      </c>
      <c r="I821" s="29">
        <f>Table1[[#This Row],[Total Revenue]]/$H$5056*100</f>
        <v>1.6837395058707273E-2</v>
      </c>
      <c r="J821" s="3" t="s">
        <v>15</v>
      </c>
      <c r="K821" s="4">
        <v>5.8</v>
      </c>
      <c r="M821"/>
    </row>
    <row r="822" spans="1:13" x14ac:dyDescent="0.25">
      <c r="A822" s="3" t="s">
        <v>58</v>
      </c>
      <c r="B822" s="3" t="s">
        <v>243</v>
      </c>
      <c r="C822" s="3" t="s">
        <v>13</v>
      </c>
      <c r="D822" s="3" t="s">
        <v>19</v>
      </c>
      <c r="E822" s="5" t="s">
        <v>11</v>
      </c>
      <c r="F822" s="17">
        <v>45.79</v>
      </c>
      <c r="G822" s="3">
        <v>7</v>
      </c>
      <c r="H822" s="17">
        <f>Table1[[#This Row],[Unit price]]*Table1[[#This Row],[Quantity]]</f>
        <v>320.52999999999997</v>
      </c>
      <c r="I822" s="29">
        <f>Table1[[#This Row],[Total Revenue]]/$H$5056*100</f>
        <v>3.4006869805717967E-2</v>
      </c>
      <c r="J822" s="3" t="s">
        <v>12</v>
      </c>
      <c r="K822" s="4">
        <v>7</v>
      </c>
      <c r="M822"/>
    </row>
    <row r="823" spans="1:13" x14ac:dyDescent="0.25">
      <c r="A823" s="3" t="s">
        <v>58</v>
      </c>
      <c r="B823" s="3" t="s">
        <v>245</v>
      </c>
      <c r="C823" s="3" t="s">
        <v>9</v>
      </c>
      <c r="D823" s="3" t="s">
        <v>19</v>
      </c>
      <c r="E823" s="5" t="s">
        <v>16</v>
      </c>
      <c r="F823" s="17">
        <v>72.88</v>
      </c>
      <c r="G823" s="3">
        <v>2</v>
      </c>
      <c r="H823" s="17">
        <f>Table1[[#This Row],[Unit price]]*Table1[[#This Row],[Quantity]]</f>
        <v>145.76</v>
      </c>
      <c r="I823" s="29">
        <f>Table1[[#This Row],[Total Revenue]]/$H$5056*100</f>
        <v>1.5464516091727611E-2</v>
      </c>
      <c r="J823" s="3" t="s">
        <v>15</v>
      </c>
      <c r="K823" s="4">
        <v>6.1</v>
      </c>
      <c r="M823"/>
    </row>
    <row r="824" spans="1:13" x14ac:dyDescent="0.25">
      <c r="A824" s="3" t="s">
        <v>58</v>
      </c>
      <c r="B824" s="3" t="s">
        <v>244</v>
      </c>
      <c r="C824" s="3" t="s">
        <v>13</v>
      </c>
      <c r="D824" s="3" t="s">
        <v>19</v>
      </c>
      <c r="E824" s="5" t="s">
        <v>21</v>
      </c>
      <c r="F824" s="17">
        <v>18.11</v>
      </c>
      <c r="G824" s="3">
        <v>10</v>
      </c>
      <c r="H824" s="17">
        <f>Table1[[#This Row],[Unit price]]*Table1[[#This Row],[Quantity]]</f>
        <v>181.1</v>
      </c>
      <c r="I824" s="29">
        <f>Table1[[#This Row],[Total Revenue]]/$H$5056*100</f>
        <v>1.9213939792891536E-2</v>
      </c>
      <c r="J824" s="3" t="s">
        <v>17</v>
      </c>
      <c r="K824" s="4">
        <v>5.9</v>
      </c>
      <c r="M824"/>
    </row>
    <row r="825" spans="1:13" x14ac:dyDescent="0.25">
      <c r="A825" s="3" t="s">
        <v>58</v>
      </c>
      <c r="B825" s="3" t="s">
        <v>244</v>
      </c>
      <c r="C825" s="3" t="s">
        <v>13</v>
      </c>
      <c r="D825" s="3" t="s">
        <v>10</v>
      </c>
      <c r="E825" s="5" t="s">
        <v>18</v>
      </c>
      <c r="F825" s="17">
        <v>34.700000000000003</v>
      </c>
      <c r="G825" s="3">
        <v>2</v>
      </c>
      <c r="H825" s="17">
        <f>Table1[[#This Row],[Unit price]]*Table1[[#This Row],[Quantity]]</f>
        <v>69.400000000000006</v>
      </c>
      <c r="I825" s="29">
        <f>Table1[[#This Row],[Total Revenue]]/$H$5056*100</f>
        <v>7.3630448460887512E-3</v>
      </c>
      <c r="J825" s="3" t="s">
        <v>17</v>
      </c>
      <c r="K825" s="4">
        <v>8.1999999999999993</v>
      </c>
      <c r="M825"/>
    </row>
    <row r="826" spans="1:13" x14ac:dyDescent="0.25">
      <c r="A826" s="3" t="s">
        <v>58</v>
      </c>
      <c r="B826" s="3" t="s">
        <v>245</v>
      </c>
      <c r="C826" s="3" t="s">
        <v>9</v>
      </c>
      <c r="D826" s="3" t="s">
        <v>19</v>
      </c>
      <c r="E826" s="5" t="s">
        <v>20</v>
      </c>
      <c r="F826" s="17">
        <v>63.91</v>
      </c>
      <c r="G826" s="3">
        <v>8</v>
      </c>
      <c r="H826" s="17">
        <f>Table1[[#This Row],[Unit price]]*Table1[[#This Row],[Quantity]]</f>
        <v>511.28</v>
      </c>
      <c r="I826" s="29">
        <f>Table1[[#This Row],[Total Revenue]]/$H$5056*100</f>
        <v>5.4244633557755849E-2</v>
      </c>
      <c r="J826" s="3" t="s">
        <v>12</v>
      </c>
      <c r="K826" s="4">
        <v>4.5999999999999996</v>
      </c>
      <c r="M826"/>
    </row>
    <row r="827" spans="1:13" x14ac:dyDescent="0.25">
      <c r="A827" s="3" t="s">
        <v>58</v>
      </c>
      <c r="B827" s="3" t="s">
        <v>245</v>
      </c>
      <c r="C827" s="3" t="s">
        <v>13</v>
      </c>
      <c r="D827" s="3" t="s">
        <v>10</v>
      </c>
      <c r="E827" s="5" t="s">
        <v>18</v>
      </c>
      <c r="F827" s="17">
        <v>12.19</v>
      </c>
      <c r="G827" s="3">
        <v>8</v>
      </c>
      <c r="H827" s="17">
        <f>Table1[[#This Row],[Unit price]]*Table1[[#This Row],[Quantity]]</f>
        <v>97.52</v>
      </c>
      <c r="I827" s="29">
        <f>Table1[[#This Row],[Total Revenue]]/$H$5056*100</f>
        <v>1.0346457253466496E-2</v>
      </c>
      <c r="J827" s="3" t="s">
        <v>17</v>
      </c>
      <c r="K827" s="4">
        <v>6.8</v>
      </c>
      <c r="M827"/>
    </row>
    <row r="828" spans="1:13" x14ac:dyDescent="0.25">
      <c r="A828" s="3" t="s">
        <v>59</v>
      </c>
      <c r="B828" s="3" t="s">
        <v>245</v>
      </c>
      <c r="C828" s="3" t="s">
        <v>13</v>
      </c>
      <c r="D828" s="3" t="s">
        <v>10</v>
      </c>
      <c r="E828" s="5" t="s">
        <v>14</v>
      </c>
      <c r="F828" s="17">
        <v>51.32</v>
      </c>
      <c r="G828" s="3">
        <v>9</v>
      </c>
      <c r="H828" s="17">
        <f>Table1[[#This Row],[Unit price]]*Table1[[#This Row],[Quantity]]</f>
        <v>461.88</v>
      </c>
      <c r="I828" s="29">
        <f>Table1[[#This Row],[Total Revenue]]/$H$5056*100</f>
        <v>4.9003503652903055E-2</v>
      </c>
      <c r="J828" s="3" t="s">
        <v>15</v>
      </c>
      <c r="K828" s="4">
        <v>5.6</v>
      </c>
      <c r="M828"/>
    </row>
    <row r="829" spans="1:13" x14ac:dyDescent="0.25">
      <c r="A829" s="3" t="s">
        <v>59</v>
      </c>
      <c r="B829" s="3" t="s">
        <v>245</v>
      </c>
      <c r="C829" s="3" t="s">
        <v>9</v>
      </c>
      <c r="D829" s="3" t="s">
        <v>19</v>
      </c>
      <c r="E829" s="5" t="s">
        <v>16</v>
      </c>
      <c r="F829" s="17">
        <v>42.85</v>
      </c>
      <c r="G829" s="3">
        <v>1</v>
      </c>
      <c r="H829" s="17">
        <f>Table1[[#This Row],[Unit price]]*Table1[[#This Row],[Quantity]]</f>
        <v>42.85</v>
      </c>
      <c r="I829" s="29">
        <f>Table1[[#This Row],[Total Revenue]]/$H$5056*100</f>
        <v>4.5462027615980252E-3</v>
      </c>
      <c r="J829" s="3" t="s">
        <v>12</v>
      </c>
      <c r="K829" s="4">
        <v>9.3000000000000007</v>
      </c>
      <c r="M829"/>
    </row>
    <row r="830" spans="1:13" x14ac:dyDescent="0.25">
      <c r="A830" s="3" t="s">
        <v>59</v>
      </c>
      <c r="B830" s="3" t="s">
        <v>243</v>
      </c>
      <c r="C830" s="3" t="s">
        <v>9</v>
      </c>
      <c r="D830" s="3" t="s">
        <v>19</v>
      </c>
      <c r="E830" s="5" t="s">
        <v>11</v>
      </c>
      <c r="F830" s="17">
        <v>23.48</v>
      </c>
      <c r="G830" s="3">
        <v>2</v>
      </c>
      <c r="H830" s="17">
        <f>Table1[[#This Row],[Unit price]]*Table1[[#This Row],[Quantity]]</f>
        <v>46.96</v>
      </c>
      <c r="I830" s="29">
        <f>Table1[[#This Row],[Total Revenue]]/$H$5056*100</f>
        <v>4.9822562820220134E-3</v>
      </c>
      <c r="J830" s="3" t="s">
        <v>12</v>
      </c>
      <c r="K830" s="4">
        <v>7.9</v>
      </c>
      <c r="M830"/>
    </row>
    <row r="831" spans="1:13" x14ac:dyDescent="0.25">
      <c r="A831" s="3" t="s">
        <v>59</v>
      </c>
      <c r="B831" s="3" t="s">
        <v>245</v>
      </c>
      <c r="C831" s="3" t="s">
        <v>13</v>
      </c>
      <c r="D831" s="3" t="s">
        <v>10</v>
      </c>
      <c r="E831" s="5" t="s">
        <v>20</v>
      </c>
      <c r="F831" s="17">
        <v>70.11</v>
      </c>
      <c r="G831" s="3">
        <v>6</v>
      </c>
      <c r="H831" s="17">
        <f>Table1[[#This Row],[Unit price]]*Table1[[#This Row],[Quantity]]</f>
        <v>420.65999999999997</v>
      </c>
      <c r="I831" s="29">
        <f>Table1[[#This Row],[Total Revenue]]/$H$5056*100</f>
        <v>4.4630236959015759E-2</v>
      </c>
      <c r="J831" s="3" t="s">
        <v>17</v>
      </c>
      <c r="K831" s="4">
        <v>5.2</v>
      </c>
      <c r="M831"/>
    </row>
    <row r="832" spans="1:13" x14ac:dyDescent="0.25">
      <c r="A832" s="3" t="s">
        <v>59</v>
      </c>
      <c r="B832" s="3" t="s">
        <v>244</v>
      </c>
      <c r="C832" s="3" t="s">
        <v>9</v>
      </c>
      <c r="D832" s="3" t="s">
        <v>10</v>
      </c>
      <c r="E832" s="5" t="s">
        <v>18</v>
      </c>
      <c r="F832" s="17">
        <v>54.73</v>
      </c>
      <c r="G832" s="3">
        <v>7</v>
      </c>
      <c r="H832" s="17">
        <f>Table1[[#This Row],[Unit price]]*Table1[[#This Row],[Quantity]]</f>
        <v>383.10999999999996</v>
      </c>
      <c r="I832" s="29">
        <f>Table1[[#This Row],[Total Revenue]]/$H$5056*100</f>
        <v>4.0646341656845254E-2</v>
      </c>
      <c r="J832" s="3" t="s">
        <v>12</v>
      </c>
      <c r="K832" s="4">
        <v>8.5</v>
      </c>
      <c r="M832"/>
    </row>
    <row r="833" spans="1:13" x14ac:dyDescent="0.25">
      <c r="A833" s="3" t="s">
        <v>59</v>
      </c>
      <c r="B833" s="3" t="s">
        <v>245</v>
      </c>
      <c r="C833" s="3" t="s">
        <v>13</v>
      </c>
      <c r="D833" s="3" t="s">
        <v>19</v>
      </c>
      <c r="E833" s="5" t="s">
        <v>20</v>
      </c>
      <c r="F833" s="17">
        <v>35.47</v>
      </c>
      <c r="G833" s="3">
        <v>4</v>
      </c>
      <c r="H833" s="17">
        <f>Table1[[#This Row],[Unit price]]*Table1[[#This Row],[Quantity]]</f>
        <v>141.88</v>
      </c>
      <c r="I833" s="29">
        <f>Table1[[#This Row],[Total Revenue]]/$H$5056*100</f>
        <v>1.5052864593127836E-2</v>
      </c>
      <c r="J833" s="3" t="s">
        <v>12</v>
      </c>
      <c r="K833" s="4">
        <v>6.9</v>
      </c>
      <c r="M833"/>
    </row>
    <row r="834" spans="1:13" x14ac:dyDescent="0.25">
      <c r="A834" s="3" t="s">
        <v>59</v>
      </c>
      <c r="B834" s="3" t="s">
        <v>243</v>
      </c>
      <c r="C834" s="3" t="s">
        <v>13</v>
      </c>
      <c r="D834" s="3" t="s">
        <v>19</v>
      </c>
      <c r="E834" s="5" t="s">
        <v>14</v>
      </c>
      <c r="F834" s="17">
        <v>99.55</v>
      </c>
      <c r="G834" s="3">
        <v>7</v>
      </c>
      <c r="H834" s="17">
        <f>Table1[[#This Row],[Unit price]]*Table1[[#This Row],[Quantity]]</f>
        <v>696.85</v>
      </c>
      <c r="I834" s="29">
        <f>Table1[[#This Row],[Total Revenue]]/$H$5056*100</f>
        <v>7.3932821340013624E-2</v>
      </c>
      <c r="J834" s="3" t="s">
        <v>15</v>
      </c>
      <c r="K834" s="4">
        <v>7.6</v>
      </c>
      <c r="M834"/>
    </row>
    <row r="835" spans="1:13" x14ac:dyDescent="0.25">
      <c r="A835" s="3" t="s">
        <v>59</v>
      </c>
      <c r="B835" s="3" t="s">
        <v>245</v>
      </c>
      <c r="C835" s="3" t="s">
        <v>13</v>
      </c>
      <c r="D835" s="3" t="s">
        <v>19</v>
      </c>
      <c r="E835" s="5" t="s">
        <v>14</v>
      </c>
      <c r="F835" s="17">
        <v>27.85</v>
      </c>
      <c r="G835" s="3">
        <v>7</v>
      </c>
      <c r="H835" s="17">
        <f>Table1[[#This Row],[Unit price]]*Table1[[#This Row],[Quantity]]</f>
        <v>194.95000000000002</v>
      </c>
      <c r="I835" s="29">
        <f>Table1[[#This Row],[Total Revenue]]/$H$5056*100</f>
        <v>2.0683365889697436E-2</v>
      </c>
      <c r="J835" s="3" t="s">
        <v>17</v>
      </c>
      <c r="K835" s="4">
        <v>6</v>
      </c>
      <c r="M835"/>
    </row>
    <row r="836" spans="1:13" x14ac:dyDescent="0.25">
      <c r="A836" s="3" t="s">
        <v>59</v>
      </c>
      <c r="B836" s="3" t="s">
        <v>243</v>
      </c>
      <c r="C836" s="3" t="s">
        <v>9</v>
      </c>
      <c r="D836" s="3" t="s">
        <v>10</v>
      </c>
      <c r="E836" s="5" t="s">
        <v>16</v>
      </c>
      <c r="F836" s="17">
        <v>97.48</v>
      </c>
      <c r="G836" s="3">
        <v>9</v>
      </c>
      <c r="H836" s="17">
        <f>Table1[[#This Row],[Unit price]]*Table1[[#This Row],[Quantity]]</f>
        <v>877.32</v>
      </c>
      <c r="I836" s="29">
        <f>Table1[[#This Row],[Total Revenue]]/$H$5056*100</f>
        <v>9.3079920812256231E-2</v>
      </c>
      <c r="J836" s="3" t="s">
        <v>17</v>
      </c>
      <c r="K836" s="4">
        <v>7.4</v>
      </c>
      <c r="M836"/>
    </row>
    <row r="837" spans="1:13" x14ac:dyDescent="0.25">
      <c r="A837" s="3" t="s">
        <v>59</v>
      </c>
      <c r="B837" s="3" t="s">
        <v>245</v>
      </c>
      <c r="C837" s="3" t="s">
        <v>9</v>
      </c>
      <c r="D837" s="3" t="s">
        <v>10</v>
      </c>
      <c r="E837" s="5" t="s">
        <v>16</v>
      </c>
      <c r="F837" s="17">
        <v>35.22</v>
      </c>
      <c r="G837" s="3">
        <v>6</v>
      </c>
      <c r="H837" s="17">
        <f>Table1[[#This Row],[Unit price]]*Table1[[#This Row],[Quantity]]</f>
        <v>211.32</v>
      </c>
      <c r="I837" s="29">
        <f>Table1[[#This Row],[Total Revenue]]/$H$5056*100</f>
        <v>2.2420153269099061E-2</v>
      </c>
      <c r="J837" s="3" t="s">
        <v>17</v>
      </c>
      <c r="K837" s="4">
        <v>6.5</v>
      </c>
      <c r="M837"/>
    </row>
    <row r="838" spans="1:13" x14ac:dyDescent="0.25">
      <c r="A838" s="3" t="s">
        <v>59</v>
      </c>
      <c r="B838" s="3" t="s">
        <v>244</v>
      </c>
      <c r="C838" s="3" t="s">
        <v>9</v>
      </c>
      <c r="D838" s="3" t="s">
        <v>10</v>
      </c>
      <c r="E838" s="5" t="s">
        <v>18</v>
      </c>
      <c r="F838" s="17">
        <v>22.32</v>
      </c>
      <c r="G838" s="3">
        <v>4</v>
      </c>
      <c r="H838" s="17">
        <f>Table1[[#This Row],[Unit price]]*Table1[[#This Row],[Quantity]]</f>
        <v>89.28</v>
      </c>
      <c r="I838" s="29">
        <f>Table1[[#This Row],[Total Revenue]]/$H$5056*100</f>
        <v>9.4722282976772848E-3</v>
      </c>
      <c r="J838" s="3" t="s">
        <v>17</v>
      </c>
      <c r="K838" s="4">
        <v>4.0999999999999996</v>
      </c>
      <c r="M838"/>
    </row>
    <row r="839" spans="1:13" x14ac:dyDescent="0.25">
      <c r="A839" s="3" t="s">
        <v>59</v>
      </c>
      <c r="B839" s="3" t="s">
        <v>244</v>
      </c>
      <c r="C839" s="3" t="s">
        <v>13</v>
      </c>
      <c r="D839" s="3" t="s">
        <v>19</v>
      </c>
      <c r="E839" s="5" t="s">
        <v>14</v>
      </c>
      <c r="F839" s="17">
        <v>21.58</v>
      </c>
      <c r="G839" s="3">
        <v>9</v>
      </c>
      <c r="H839" s="17">
        <f>Table1[[#This Row],[Unit price]]*Table1[[#This Row],[Quantity]]</f>
        <v>194.21999999999997</v>
      </c>
      <c r="I839" s="29">
        <f>Table1[[#This Row],[Total Revenue]]/$H$5056*100</f>
        <v>2.0605915994342316E-2</v>
      </c>
      <c r="J839" s="3" t="s">
        <v>15</v>
      </c>
      <c r="K839" s="4">
        <v>7.3</v>
      </c>
      <c r="M839"/>
    </row>
    <row r="840" spans="1:13" x14ac:dyDescent="0.25">
      <c r="A840" s="3" t="s">
        <v>59</v>
      </c>
      <c r="B840" s="3" t="s">
        <v>245</v>
      </c>
      <c r="C840" s="3" t="s">
        <v>9</v>
      </c>
      <c r="D840" s="3" t="s">
        <v>19</v>
      </c>
      <c r="E840" s="5" t="s">
        <v>14</v>
      </c>
      <c r="F840" s="17">
        <v>87.91</v>
      </c>
      <c r="G840" s="3">
        <v>5</v>
      </c>
      <c r="H840" s="17">
        <f>Table1[[#This Row],[Unit price]]*Table1[[#This Row],[Quantity]]</f>
        <v>439.54999999999995</v>
      </c>
      <c r="I840" s="29">
        <f>Table1[[#This Row],[Total Revenue]]/$H$5056*100</f>
        <v>4.6634385621013109E-2</v>
      </c>
      <c r="J840" s="3" t="s">
        <v>17</v>
      </c>
      <c r="K840" s="4">
        <v>4.4000000000000004</v>
      </c>
      <c r="M840"/>
    </row>
    <row r="841" spans="1:13" x14ac:dyDescent="0.25">
      <c r="A841" s="3" t="s">
        <v>59</v>
      </c>
      <c r="B841" s="3" t="s">
        <v>245</v>
      </c>
      <c r="C841" s="3" t="s">
        <v>13</v>
      </c>
      <c r="D841" s="3" t="s">
        <v>19</v>
      </c>
      <c r="E841" s="5" t="s">
        <v>11</v>
      </c>
      <c r="F841" s="17">
        <v>77.56</v>
      </c>
      <c r="G841" s="3">
        <v>10</v>
      </c>
      <c r="H841" s="17">
        <f>Table1[[#This Row],[Unit price]]*Table1[[#This Row],[Quantity]]</f>
        <v>775.6</v>
      </c>
      <c r="I841" s="29">
        <f>Table1[[#This Row],[Total Revenue]]/$H$5056*100</f>
        <v>8.2287861421130176E-2</v>
      </c>
      <c r="J841" s="3" t="s">
        <v>17</v>
      </c>
      <c r="K841" s="4">
        <v>6.9</v>
      </c>
      <c r="M841"/>
    </row>
    <row r="842" spans="1:13" x14ac:dyDescent="0.25">
      <c r="A842" s="3" t="s">
        <v>59</v>
      </c>
      <c r="B842" s="3" t="s">
        <v>244</v>
      </c>
      <c r="C842" s="3" t="s">
        <v>13</v>
      </c>
      <c r="D842" s="3" t="s">
        <v>10</v>
      </c>
      <c r="E842" s="5" t="s">
        <v>11</v>
      </c>
      <c r="F842" s="17">
        <v>53.21</v>
      </c>
      <c r="G842" s="3">
        <v>8</v>
      </c>
      <c r="H842" s="17">
        <f>Table1[[#This Row],[Unit price]]*Table1[[#This Row],[Quantity]]</f>
        <v>425.68</v>
      </c>
      <c r="I842" s="29">
        <f>Table1[[#This Row],[Total Revenue]]/$H$5056*100</f>
        <v>4.5162837609265982E-2</v>
      </c>
      <c r="J842" s="3" t="s">
        <v>17</v>
      </c>
      <c r="K842" s="4">
        <v>5</v>
      </c>
      <c r="M842"/>
    </row>
    <row r="843" spans="1:13" x14ac:dyDescent="0.25">
      <c r="A843" s="3" t="s">
        <v>59</v>
      </c>
      <c r="B843" s="3" t="s">
        <v>245</v>
      </c>
      <c r="C843" s="3" t="s">
        <v>13</v>
      </c>
      <c r="D843" s="3" t="s">
        <v>19</v>
      </c>
      <c r="E843" s="5" t="s">
        <v>18</v>
      </c>
      <c r="F843" s="17">
        <v>59.61</v>
      </c>
      <c r="G843" s="3">
        <v>10</v>
      </c>
      <c r="H843" s="17">
        <f>Table1[[#This Row],[Unit price]]*Table1[[#This Row],[Quantity]]</f>
        <v>596.1</v>
      </c>
      <c r="I843" s="29">
        <f>Table1[[#This Row],[Total Revenue]]/$H$5056*100</f>
        <v>6.324367482353753E-2</v>
      </c>
      <c r="J843" s="3" t="s">
        <v>15</v>
      </c>
      <c r="K843" s="4">
        <v>5.3</v>
      </c>
      <c r="M843"/>
    </row>
    <row r="844" spans="1:13" x14ac:dyDescent="0.25">
      <c r="A844" s="3" t="s">
        <v>59</v>
      </c>
      <c r="B844" s="3" t="s">
        <v>244</v>
      </c>
      <c r="C844" s="3" t="s">
        <v>9</v>
      </c>
      <c r="D844" s="3" t="s">
        <v>19</v>
      </c>
      <c r="E844" s="5" t="s">
        <v>21</v>
      </c>
      <c r="F844" s="17">
        <v>82.58</v>
      </c>
      <c r="G844" s="3">
        <v>10</v>
      </c>
      <c r="H844" s="17">
        <f>Table1[[#This Row],[Unit price]]*Table1[[#This Row],[Quantity]]</f>
        <v>825.8</v>
      </c>
      <c r="I844" s="29">
        <f>Table1[[#This Row],[Total Revenue]]/$H$5056*100</f>
        <v>8.7613867923632419E-2</v>
      </c>
      <c r="J844" s="3" t="s">
        <v>15</v>
      </c>
      <c r="K844" s="4">
        <v>5</v>
      </c>
      <c r="M844"/>
    </row>
    <row r="845" spans="1:13" x14ac:dyDescent="0.25">
      <c r="A845" s="3" t="s">
        <v>59</v>
      </c>
      <c r="B845" s="3" t="s">
        <v>243</v>
      </c>
      <c r="C845" s="3" t="s">
        <v>13</v>
      </c>
      <c r="D845" s="3" t="s">
        <v>10</v>
      </c>
      <c r="E845" s="5" t="s">
        <v>14</v>
      </c>
      <c r="F845" s="17">
        <v>15.69</v>
      </c>
      <c r="G845" s="3">
        <v>3</v>
      </c>
      <c r="H845" s="17">
        <f>Table1[[#This Row],[Unit price]]*Table1[[#This Row],[Quantity]]</f>
        <v>47.07</v>
      </c>
      <c r="I845" s="29">
        <f>Table1[[#This Row],[Total Revenue]]/$H$5056*100</f>
        <v>4.9939268141988109E-3</v>
      </c>
      <c r="J845" s="3" t="s">
        <v>12</v>
      </c>
      <c r="K845" s="4">
        <v>5.8</v>
      </c>
      <c r="M845"/>
    </row>
    <row r="846" spans="1:13" x14ac:dyDescent="0.25">
      <c r="A846" s="3" t="s">
        <v>60</v>
      </c>
      <c r="B846" s="3" t="s">
        <v>243</v>
      </c>
      <c r="C846" s="3" t="s">
        <v>13</v>
      </c>
      <c r="D846" s="3" t="s">
        <v>19</v>
      </c>
      <c r="E846" s="5" t="s">
        <v>21</v>
      </c>
      <c r="F846" s="17">
        <v>24.89</v>
      </c>
      <c r="G846" s="3">
        <v>9</v>
      </c>
      <c r="H846" s="17">
        <f>Table1[[#This Row],[Unit price]]*Table1[[#This Row],[Quantity]]</f>
        <v>224.01</v>
      </c>
      <c r="I846" s="29">
        <f>Table1[[#This Row],[Total Revenue]]/$H$5056*100</f>
        <v>2.3766508299313267E-2</v>
      </c>
      <c r="J846" s="3" t="s">
        <v>15</v>
      </c>
      <c r="K846" s="4">
        <v>7.4</v>
      </c>
      <c r="M846"/>
    </row>
    <row r="847" spans="1:13" x14ac:dyDescent="0.25">
      <c r="A847" s="3" t="s">
        <v>60</v>
      </c>
      <c r="B847" s="3" t="s">
        <v>244</v>
      </c>
      <c r="C847" s="3" t="s">
        <v>13</v>
      </c>
      <c r="D847" s="3" t="s">
        <v>19</v>
      </c>
      <c r="E847" s="5" t="s">
        <v>20</v>
      </c>
      <c r="F847" s="17">
        <v>33.200000000000003</v>
      </c>
      <c r="G847" s="3">
        <v>2</v>
      </c>
      <c r="H847" s="17">
        <f>Table1[[#This Row],[Unit price]]*Table1[[#This Row],[Quantity]]</f>
        <v>66.400000000000006</v>
      </c>
      <c r="I847" s="29">
        <f>Table1[[#This Row],[Total Revenue]]/$H$5056*100</f>
        <v>7.0447576049033588E-3</v>
      </c>
      <c r="J847" s="3" t="s">
        <v>12</v>
      </c>
      <c r="K847" s="4">
        <v>4.4000000000000004</v>
      </c>
      <c r="M847"/>
    </row>
    <row r="848" spans="1:13" x14ac:dyDescent="0.25">
      <c r="A848" s="3" t="s">
        <v>60</v>
      </c>
      <c r="B848" s="3" t="s">
        <v>244</v>
      </c>
      <c r="C848" s="3" t="s">
        <v>9</v>
      </c>
      <c r="D848" s="3" t="s">
        <v>19</v>
      </c>
      <c r="E848" s="5" t="s">
        <v>16</v>
      </c>
      <c r="F848" s="17">
        <v>90.53</v>
      </c>
      <c r="G848" s="3">
        <v>8</v>
      </c>
      <c r="H848" s="17">
        <f>Table1[[#This Row],[Unit price]]*Table1[[#This Row],[Quantity]]</f>
        <v>724.24</v>
      </c>
      <c r="I848" s="29">
        <f>Table1[[#This Row],[Total Revenue]]/$H$5056*100</f>
        <v>7.6838783852036255E-2</v>
      </c>
      <c r="J848" s="3" t="s">
        <v>12</v>
      </c>
      <c r="K848" s="4">
        <v>6.5</v>
      </c>
      <c r="M848"/>
    </row>
    <row r="849" spans="1:13" x14ac:dyDescent="0.25">
      <c r="A849" s="3" t="s">
        <v>60</v>
      </c>
      <c r="B849" s="3" t="s">
        <v>244</v>
      </c>
      <c r="C849" s="3" t="s">
        <v>13</v>
      </c>
      <c r="D849" s="3" t="s">
        <v>19</v>
      </c>
      <c r="E849" s="5" t="s">
        <v>21</v>
      </c>
      <c r="F849" s="17">
        <v>10.75</v>
      </c>
      <c r="G849" s="3">
        <v>8</v>
      </c>
      <c r="H849" s="17">
        <f>Table1[[#This Row],[Unit price]]*Table1[[#This Row],[Quantity]]</f>
        <v>86</v>
      </c>
      <c r="I849" s="29">
        <f>Table1[[#This Row],[Total Revenue]]/$H$5056*100</f>
        <v>9.1242342473145891E-3</v>
      </c>
      <c r="J849" s="3" t="s">
        <v>17</v>
      </c>
      <c r="K849" s="4">
        <v>6.2</v>
      </c>
      <c r="M849"/>
    </row>
    <row r="850" spans="1:13" x14ac:dyDescent="0.25">
      <c r="A850" s="3" t="s">
        <v>60</v>
      </c>
      <c r="B850" s="3" t="s">
        <v>243</v>
      </c>
      <c r="C850" s="3" t="s">
        <v>9</v>
      </c>
      <c r="D850" s="3" t="s">
        <v>10</v>
      </c>
      <c r="E850" s="5" t="s">
        <v>18</v>
      </c>
      <c r="F850" s="17">
        <v>19.66</v>
      </c>
      <c r="G850" s="3">
        <v>10</v>
      </c>
      <c r="H850" s="17">
        <f>Table1[[#This Row],[Unit price]]*Table1[[#This Row],[Quantity]]</f>
        <v>196.6</v>
      </c>
      <c r="I850" s="29">
        <f>Table1[[#This Row],[Total Revenue]]/$H$5056*100</f>
        <v>2.0858423872349399E-2</v>
      </c>
      <c r="J850" s="3" t="s">
        <v>12</v>
      </c>
      <c r="K850" s="4">
        <v>7.2</v>
      </c>
      <c r="M850"/>
    </row>
    <row r="851" spans="1:13" x14ac:dyDescent="0.25">
      <c r="A851" s="3" t="s">
        <v>60</v>
      </c>
      <c r="B851" s="3" t="s">
        <v>244</v>
      </c>
      <c r="C851" s="3" t="s">
        <v>9</v>
      </c>
      <c r="D851" s="3" t="s">
        <v>19</v>
      </c>
      <c r="E851" s="5" t="s">
        <v>16</v>
      </c>
      <c r="F851" s="17">
        <v>96.8</v>
      </c>
      <c r="G851" s="3">
        <v>3</v>
      </c>
      <c r="H851" s="17">
        <f>Table1[[#This Row],[Unit price]]*Table1[[#This Row],[Quantity]]</f>
        <v>290.39999999999998</v>
      </c>
      <c r="I851" s="29">
        <f>Table1[[#This Row],[Total Revenue]]/$H$5056*100</f>
        <v>3.0810204946746005E-2</v>
      </c>
      <c r="J851" s="3" t="s">
        <v>15</v>
      </c>
      <c r="K851" s="4">
        <v>5.3</v>
      </c>
      <c r="M851"/>
    </row>
    <row r="852" spans="1:13" x14ac:dyDescent="0.25">
      <c r="A852" s="3" t="s">
        <v>60</v>
      </c>
      <c r="B852" s="3" t="s">
        <v>245</v>
      </c>
      <c r="C852" s="3" t="s">
        <v>13</v>
      </c>
      <c r="D852" s="3" t="s">
        <v>19</v>
      </c>
      <c r="E852" s="5" t="s">
        <v>20</v>
      </c>
      <c r="F852" s="17">
        <v>65.260000000000005</v>
      </c>
      <c r="G852" s="3">
        <v>8</v>
      </c>
      <c r="H852" s="17">
        <f>Table1[[#This Row],[Unit price]]*Table1[[#This Row],[Quantity]]</f>
        <v>522.08000000000004</v>
      </c>
      <c r="I852" s="29">
        <f>Table1[[#This Row],[Total Revenue]]/$H$5056*100</f>
        <v>5.5390467626023274E-2</v>
      </c>
      <c r="J852" s="3" t="s">
        <v>17</v>
      </c>
      <c r="K852" s="4">
        <v>6.3</v>
      </c>
      <c r="M852"/>
    </row>
    <row r="853" spans="1:13" x14ac:dyDescent="0.25">
      <c r="A853" s="3" t="s">
        <v>60</v>
      </c>
      <c r="B853" s="3" t="s">
        <v>244</v>
      </c>
      <c r="C853" s="3" t="s">
        <v>13</v>
      </c>
      <c r="D853" s="3" t="s">
        <v>19</v>
      </c>
      <c r="E853" s="5" t="s">
        <v>20</v>
      </c>
      <c r="F853" s="17">
        <v>13.59</v>
      </c>
      <c r="G853" s="3">
        <v>9</v>
      </c>
      <c r="H853" s="17">
        <f>Table1[[#This Row],[Unit price]]*Table1[[#This Row],[Quantity]]</f>
        <v>122.31</v>
      </c>
      <c r="I853" s="29">
        <f>Table1[[#This Row],[Total Revenue]]/$H$5056*100</f>
        <v>1.2976570823128461E-2</v>
      </c>
      <c r="J853" s="3" t="s">
        <v>15</v>
      </c>
      <c r="K853" s="4">
        <v>5.8</v>
      </c>
      <c r="M853"/>
    </row>
    <row r="854" spans="1:13" x14ac:dyDescent="0.25">
      <c r="A854" s="3" t="s">
        <v>60</v>
      </c>
      <c r="B854" s="3" t="s">
        <v>244</v>
      </c>
      <c r="C854" s="3" t="s">
        <v>13</v>
      </c>
      <c r="D854" s="3" t="s">
        <v>19</v>
      </c>
      <c r="E854" s="5" t="s">
        <v>18</v>
      </c>
      <c r="F854" s="17">
        <v>27.18</v>
      </c>
      <c r="G854" s="3">
        <v>2</v>
      </c>
      <c r="H854" s="17">
        <f>Table1[[#This Row],[Unit price]]*Table1[[#This Row],[Quantity]]</f>
        <v>54.36</v>
      </c>
      <c r="I854" s="29">
        <f>Table1[[#This Row],[Total Revenue]]/$H$5056*100</f>
        <v>5.7673648102793146E-3</v>
      </c>
      <c r="J854" s="3" t="s">
        <v>17</v>
      </c>
      <c r="K854" s="4">
        <v>4.3</v>
      </c>
      <c r="M854"/>
    </row>
    <row r="855" spans="1:13" x14ac:dyDescent="0.25">
      <c r="A855" s="3" t="s">
        <v>60</v>
      </c>
      <c r="B855" s="3" t="s">
        <v>244</v>
      </c>
      <c r="C855" s="3" t="s">
        <v>9</v>
      </c>
      <c r="D855" s="3" t="s">
        <v>10</v>
      </c>
      <c r="E855" s="5" t="s">
        <v>14</v>
      </c>
      <c r="F855" s="17">
        <v>57.49</v>
      </c>
      <c r="G855" s="3">
        <v>4</v>
      </c>
      <c r="H855" s="17">
        <f>Table1[[#This Row],[Unit price]]*Table1[[#This Row],[Quantity]]</f>
        <v>229.96</v>
      </c>
      <c r="I855" s="29">
        <f>Table1[[#This Row],[Total Revenue]]/$H$5056*100</f>
        <v>2.4397777994330967E-2</v>
      </c>
      <c r="J855" s="3" t="s">
        <v>15</v>
      </c>
      <c r="K855" s="4">
        <v>6.6</v>
      </c>
      <c r="M855"/>
    </row>
    <row r="856" spans="1:13" x14ac:dyDescent="0.25">
      <c r="A856" s="3" t="s">
        <v>60</v>
      </c>
      <c r="B856" s="3" t="s">
        <v>243</v>
      </c>
      <c r="C856" s="3" t="s">
        <v>13</v>
      </c>
      <c r="D856" s="3" t="s">
        <v>19</v>
      </c>
      <c r="E856" s="5" t="s">
        <v>21</v>
      </c>
      <c r="F856" s="17">
        <v>96.58</v>
      </c>
      <c r="G856" s="3">
        <v>2</v>
      </c>
      <c r="H856" s="17">
        <f>Table1[[#This Row],[Unit price]]*Table1[[#This Row],[Quantity]]</f>
        <v>193.16</v>
      </c>
      <c r="I856" s="29">
        <f>Table1[[#This Row],[Total Revenue]]/$H$5056*100</f>
        <v>2.0493454502456817E-2</v>
      </c>
      <c r="J856" s="3" t="s">
        <v>12</v>
      </c>
      <c r="K856" s="4">
        <v>5.0999999999999996</v>
      </c>
      <c r="M856"/>
    </row>
    <row r="857" spans="1:13" x14ac:dyDescent="0.25">
      <c r="A857" s="3" t="s">
        <v>60</v>
      </c>
      <c r="B857" s="3" t="s">
        <v>244</v>
      </c>
      <c r="C857" s="3" t="s">
        <v>13</v>
      </c>
      <c r="D857" s="3" t="s">
        <v>19</v>
      </c>
      <c r="E857" s="5" t="s">
        <v>21</v>
      </c>
      <c r="F857" s="17">
        <v>92.78</v>
      </c>
      <c r="G857" s="3">
        <v>1</v>
      </c>
      <c r="H857" s="17">
        <f>Table1[[#This Row],[Unit price]]*Table1[[#This Row],[Quantity]]</f>
        <v>92.78</v>
      </c>
      <c r="I857" s="29">
        <f>Table1[[#This Row],[Total Revenue]]/$H$5056*100</f>
        <v>9.8435634123935772E-3</v>
      </c>
      <c r="J857" s="3" t="s">
        <v>12</v>
      </c>
      <c r="K857" s="4">
        <v>9.8000000000000007</v>
      </c>
      <c r="M857"/>
    </row>
    <row r="858" spans="1:13" x14ac:dyDescent="0.25">
      <c r="A858" s="3" t="s">
        <v>61</v>
      </c>
      <c r="B858" s="3" t="s">
        <v>245</v>
      </c>
      <c r="C858" s="3" t="s">
        <v>13</v>
      </c>
      <c r="D858" s="3" t="s">
        <v>19</v>
      </c>
      <c r="E858" s="5" t="s">
        <v>18</v>
      </c>
      <c r="F858" s="17">
        <v>97.26</v>
      </c>
      <c r="G858" s="3">
        <v>4</v>
      </c>
      <c r="H858" s="17">
        <f>Table1[[#This Row],[Unit price]]*Table1[[#This Row],[Quantity]]</f>
        <v>389.04</v>
      </c>
      <c r="I858" s="29">
        <f>Table1[[#This Row],[Total Revenue]]/$H$5056*100</f>
        <v>4.1275489436921727E-2</v>
      </c>
      <c r="J858" s="3" t="s">
        <v>17</v>
      </c>
      <c r="K858" s="4">
        <v>6.8</v>
      </c>
      <c r="M858"/>
    </row>
    <row r="859" spans="1:13" x14ac:dyDescent="0.25">
      <c r="A859" s="3" t="s">
        <v>61</v>
      </c>
      <c r="B859" s="3" t="s">
        <v>245</v>
      </c>
      <c r="C859" s="3" t="s">
        <v>13</v>
      </c>
      <c r="D859" s="3" t="s">
        <v>10</v>
      </c>
      <c r="E859" s="5" t="s">
        <v>11</v>
      </c>
      <c r="F859" s="17">
        <v>87.8</v>
      </c>
      <c r="G859" s="3">
        <v>9</v>
      </c>
      <c r="H859" s="17">
        <f>Table1[[#This Row],[Unit price]]*Table1[[#This Row],[Quantity]]</f>
        <v>790.19999999999993</v>
      </c>
      <c r="I859" s="29">
        <f>Table1[[#This Row],[Total Revenue]]/$H$5056*100</f>
        <v>8.3836859328232427E-2</v>
      </c>
      <c r="J859" s="3" t="s">
        <v>15</v>
      </c>
      <c r="K859" s="4">
        <v>9.1999999999999993</v>
      </c>
      <c r="M859"/>
    </row>
    <row r="860" spans="1:13" x14ac:dyDescent="0.25">
      <c r="A860" s="3" t="s">
        <v>61</v>
      </c>
      <c r="B860" s="3" t="s">
        <v>243</v>
      </c>
      <c r="C860" s="3" t="s">
        <v>13</v>
      </c>
      <c r="D860" s="3" t="s">
        <v>10</v>
      </c>
      <c r="E860" s="5" t="s">
        <v>11</v>
      </c>
      <c r="F860" s="17">
        <v>63.61</v>
      </c>
      <c r="G860" s="3">
        <v>5</v>
      </c>
      <c r="H860" s="17">
        <f>Table1[[#This Row],[Unit price]]*Table1[[#This Row],[Quantity]]</f>
        <v>318.05</v>
      </c>
      <c r="I860" s="29">
        <f>Table1[[#This Row],[Total Revenue]]/$H$5056*100</f>
        <v>3.3743752353004711E-2</v>
      </c>
      <c r="J860" s="3" t="s">
        <v>17</v>
      </c>
      <c r="K860" s="4">
        <v>4.8</v>
      </c>
      <c r="M860"/>
    </row>
    <row r="861" spans="1:13" x14ac:dyDescent="0.25">
      <c r="A861" s="3" t="s">
        <v>61</v>
      </c>
      <c r="B861" s="3" t="s">
        <v>245</v>
      </c>
      <c r="C861" s="3" t="s">
        <v>9</v>
      </c>
      <c r="D861" s="3" t="s">
        <v>19</v>
      </c>
      <c r="E861" s="5" t="s">
        <v>21</v>
      </c>
      <c r="F861" s="17">
        <v>15.37</v>
      </c>
      <c r="G861" s="3">
        <v>2</v>
      </c>
      <c r="H861" s="17">
        <f>Table1[[#This Row],[Unit price]]*Table1[[#This Row],[Quantity]]</f>
        <v>30.74</v>
      </c>
      <c r="I861" s="29">
        <f>Table1[[#This Row],[Total Revenue]]/$H$5056*100</f>
        <v>3.2613832646796563E-3</v>
      </c>
      <c r="J861" s="3" t="s">
        <v>15</v>
      </c>
      <c r="K861" s="4">
        <v>7.2</v>
      </c>
      <c r="M861"/>
    </row>
    <row r="862" spans="1:13" x14ac:dyDescent="0.25">
      <c r="A862" s="3" t="s">
        <v>61</v>
      </c>
      <c r="B862" s="3" t="s">
        <v>243</v>
      </c>
      <c r="C862" s="3" t="s">
        <v>13</v>
      </c>
      <c r="D862" s="3" t="s">
        <v>19</v>
      </c>
      <c r="E862" s="5" t="s">
        <v>16</v>
      </c>
      <c r="F862" s="17">
        <v>72.5</v>
      </c>
      <c r="G862" s="3">
        <v>8</v>
      </c>
      <c r="H862" s="17">
        <f>Table1[[#This Row],[Unit price]]*Table1[[#This Row],[Quantity]]</f>
        <v>580</v>
      </c>
      <c r="I862" s="29">
        <f>Table1[[#This Row],[Total Revenue]]/$H$5056*100</f>
        <v>6.1535533295842583E-2</v>
      </c>
      <c r="J862" s="3" t="s">
        <v>17</v>
      </c>
      <c r="K862" s="4">
        <v>9.1999999999999993</v>
      </c>
      <c r="M862"/>
    </row>
    <row r="863" spans="1:13" x14ac:dyDescent="0.25">
      <c r="A863" s="3" t="s">
        <v>61</v>
      </c>
      <c r="B863" s="3" t="s">
        <v>244</v>
      </c>
      <c r="C863" s="3" t="s">
        <v>13</v>
      </c>
      <c r="D863" s="3" t="s">
        <v>19</v>
      </c>
      <c r="E863" s="5" t="s">
        <v>16</v>
      </c>
      <c r="F863" s="17">
        <v>74.97</v>
      </c>
      <c r="G863" s="3">
        <v>1</v>
      </c>
      <c r="H863" s="17">
        <f>Table1[[#This Row],[Unit price]]*Table1[[#This Row],[Quantity]]</f>
        <v>74.97</v>
      </c>
      <c r="I863" s="29">
        <f>Table1[[#This Row],[Total Revenue]]/$H$5056*100</f>
        <v>7.9539981572229624E-3</v>
      </c>
      <c r="J863" s="3" t="s">
        <v>15</v>
      </c>
      <c r="K863" s="4">
        <v>5.6</v>
      </c>
      <c r="M863"/>
    </row>
    <row r="864" spans="1:13" x14ac:dyDescent="0.25">
      <c r="A864" s="3" t="s">
        <v>61</v>
      </c>
      <c r="B864" s="3" t="s">
        <v>244</v>
      </c>
      <c r="C864" s="3" t="s">
        <v>13</v>
      </c>
      <c r="D864" s="3" t="s">
        <v>10</v>
      </c>
      <c r="E864" s="5" t="s">
        <v>14</v>
      </c>
      <c r="F864" s="17">
        <v>95.64</v>
      </c>
      <c r="G864" s="3">
        <v>4</v>
      </c>
      <c r="H864" s="17">
        <f>Table1[[#This Row],[Unit price]]*Table1[[#This Row],[Quantity]]</f>
        <v>382.56</v>
      </c>
      <c r="I864" s="29">
        <f>Table1[[#This Row],[Total Revenue]]/$H$5056*100</f>
        <v>4.058798899596127E-2</v>
      </c>
      <c r="J864" s="3" t="s">
        <v>15</v>
      </c>
      <c r="K864" s="4">
        <v>7.9</v>
      </c>
      <c r="M864"/>
    </row>
    <row r="865" spans="1:13" x14ac:dyDescent="0.25">
      <c r="A865" s="3" t="s">
        <v>61</v>
      </c>
      <c r="B865" s="3" t="s">
        <v>243</v>
      </c>
      <c r="C865" s="3" t="s">
        <v>13</v>
      </c>
      <c r="D865" s="3" t="s">
        <v>19</v>
      </c>
      <c r="E865" s="5" t="s">
        <v>20</v>
      </c>
      <c r="F865" s="17">
        <v>23.75</v>
      </c>
      <c r="G865" s="3">
        <v>4</v>
      </c>
      <c r="H865" s="17">
        <f>Table1[[#This Row],[Unit price]]*Table1[[#This Row],[Quantity]]</f>
        <v>95</v>
      </c>
      <c r="I865" s="29">
        <f>Table1[[#This Row],[Total Revenue]]/$H$5056*100</f>
        <v>1.0079095970870767E-2</v>
      </c>
      <c r="J865" s="3" t="s">
        <v>15</v>
      </c>
      <c r="K865" s="4">
        <v>5.2</v>
      </c>
      <c r="M865"/>
    </row>
    <row r="866" spans="1:13" x14ac:dyDescent="0.25">
      <c r="A866" s="3" t="s">
        <v>61</v>
      </c>
      <c r="B866" s="3" t="s">
        <v>244</v>
      </c>
      <c r="C866" s="3" t="s">
        <v>13</v>
      </c>
      <c r="D866" s="3" t="s">
        <v>19</v>
      </c>
      <c r="E866" s="5" t="s">
        <v>16</v>
      </c>
      <c r="F866" s="17">
        <v>34.369999999999997</v>
      </c>
      <c r="G866" s="3">
        <v>10</v>
      </c>
      <c r="H866" s="17">
        <f>Table1[[#This Row],[Unit price]]*Table1[[#This Row],[Quantity]]</f>
        <v>343.7</v>
      </c>
      <c r="I866" s="29">
        <f>Table1[[#This Row],[Total Revenue]]/$H$5056*100</f>
        <v>3.6465108265139816E-2</v>
      </c>
      <c r="J866" s="3" t="s">
        <v>17</v>
      </c>
      <c r="K866" s="4">
        <v>6.7</v>
      </c>
      <c r="M866"/>
    </row>
    <row r="867" spans="1:13" x14ac:dyDescent="0.25">
      <c r="A867" s="3" t="s">
        <v>62</v>
      </c>
      <c r="B867" s="3" t="s">
        <v>244</v>
      </c>
      <c r="C867" s="3" t="s">
        <v>13</v>
      </c>
      <c r="D867" s="3" t="s">
        <v>10</v>
      </c>
      <c r="E867" s="5" t="s">
        <v>20</v>
      </c>
      <c r="F867" s="17">
        <v>11.28</v>
      </c>
      <c r="G867" s="3">
        <v>9</v>
      </c>
      <c r="H867" s="17">
        <f>Table1[[#This Row],[Unit price]]*Table1[[#This Row],[Quantity]]</f>
        <v>101.52</v>
      </c>
      <c r="I867" s="29">
        <f>Table1[[#This Row],[Total Revenue]]/$H$5056*100</f>
        <v>1.0770840241713688E-2</v>
      </c>
      <c r="J867" s="3" t="s">
        <v>12</v>
      </c>
      <c r="K867" s="4">
        <v>4.3</v>
      </c>
      <c r="M867"/>
    </row>
    <row r="868" spans="1:13" x14ac:dyDescent="0.25">
      <c r="A868" s="3" t="s">
        <v>62</v>
      </c>
      <c r="B868" s="3" t="s">
        <v>245</v>
      </c>
      <c r="C868" s="3" t="s">
        <v>9</v>
      </c>
      <c r="D868" s="3" t="s">
        <v>10</v>
      </c>
      <c r="E868" s="5" t="s">
        <v>11</v>
      </c>
      <c r="F868" s="17">
        <v>22.62</v>
      </c>
      <c r="G868" s="3">
        <v>1</v>
      </c>
      <c r="H868" s="17">
        <f>Table1[[#This Row],[Unit price]]*Table1[[#This Row],[Quantity]]</f>
        <v>22.62</v>
      </c>
      <c r="I868" s="29">
        <f>Table1[[#This Row],[Total Revenue]]/$H$5056*100</f>
        <v>2.3998857985378609E-3</v>
      </c>
      <c r="J868" s="3" t="s">
        <v>15</v>
      </c>
      <c r="K868" s="4">
        <v>6.4</v>
      </c>
      <c r="M868"/>
    </row>
    <row r="869" spans="1:13" x14ac:dyDescent="0.25">
      <c r="A869" s="3" t="s">
        <v>62</v>
      </c>
      <c r="B869" s="3" t="s">
        <v>245</v>
      </c>
      <c r="C869" s="3" t="s">
        <v>9</v>
      </c>
      <c r="D869" s="3" t="s">
        <v>19</v>
      </c>
      <c r="E869" s="5" t="s">
        <v>18</v>
      </c>
      <c r="F869" s="17">
        <v>35.19</v>
      </c>
      <c r="G869" s="3">
        <v>10</v>
      </c>
      <c r="H869" s="17">
        <f>Table1[[#This Row],[Unit price]]*Table1[[#This Row],[Quantity]]</f>
        <v>351.9</v>
      </c>
      <c r="I869" s="29">
        <f>Table1[[#This Row],[Total Revenue]]/$H$5056*100</f>
        <v>3.7335093391046556E-2</v>
      </c>
      <c r="J869" s="3" t="s">
        <v>12</v>
      </c>
      <c r="K869" s="4">
        <v>8.4</v>
      </c>
      <c r="M869"/>
    </row>
    <row r="870" spans="1:13" x14ac:dyDescent="0.25">
      <c r="A870" s="3" t="s">
        <v>62</v>
      </c>
      <c r="B870" s="3" t="s">
        <v>244</v>
      </c>
      <c r="C870" s="3" t="s">
        <v>13</v>
      </c>
      <c r="D870" s="3" t="s">
        <v>10</v>
      </c>
      <c r="E870" s="5" t="s">
        <v>16</v>
      </c>
      <c r="F870" s="17">
        <v>54.51</v>
      </c>
      <c r="G870" s="3">
        <v>6</v>
      </c>
      <c r="H870" s="17">
        <f>Table1[[#This Row],[Unit price]]*Table1[[#This Row],[Quantity]]</f>
        <v>327.06</v>
      </c>
      <c r="I870" s="29">
        <f>Table1[[#This Row],[Total Revenue]]/$H$5056*100</f>
        <v>3.4699675034031506E-2</v>
      </c>
      <c r="J870" s="3" t="s">
        <v>17</v>
      </c>
      <c r="K870" s="4">
        <v>7.8</v>
      </c>
      <c r="M870"/>
    </row>
    <row r="871" spans="1:13" x14ac:dyDescent="0.25">
      <c r="A871" s="3" t="s">
        <v>62</v>
      </c>
      <c r="B871" s="3" t="s">
        <v>243</v>
      </c>
      <c r="C871" s="3" t="s">
        <v>9</v>
      </c>
      <c r="D871" s="3" t="s">
        <v>19</v>
      </c>
      <c r="E871" s="5" t="s">
        <v>16</v>
      </c>
      <c r="F871" s="17">
        <v>76.92</v>
      </c>
      <c r="G871" s="3">
        <v>10</v>
      </c>
      <c r="H871" s="17">
        <f>Table1[[#This Row],[Unit price]]*Table1[[#This Row],[Quantity]]</f>
        <v>769.2</v>
      </c>
      <c r="I871" s="29">
        <f>Table1[[#This Row],[Total Revenue]]/$H$5056*100</f>
        <v>8.1608848639934686E-2</v>
      </c>
      <c r="J871" s="3" t="s">
        <v>17</v>
      </c>
      <c r="K871" s="4">
        <v>5.6</v>
      </c>
      <c r="M871"/>
    </row>
    <row r="872" spans="1:13" x14ac:dyDescent="0.25">
      <c r="A872" s="3" t="s">
        <v>62</v>
      </c>
      <c r="B872" s="3" t="s">
        <v>243</v>
      </c>
      <c r="C872" s="3" t="s">
        <v>13</v>
      </c>
      <c r="D872" s="3" t="s">
        <v>10</v>
      </c>
      <c r="E872" s="5" t="s">
        <v>20</v>
      </c>
      <c r="F872" s="17">
        <v>77.47</v>
      </c>
      <c r="G872" s="3">
        <v>4</v>
      </c>
      <c r="H872" s="17">
        <f>Table1[[#This Row],[Unit price]]*Table1[[#This Row],[Quantity]]</f>
        <v>309.88</v>
      </c>
      <c r="I872" s="29">
        <f>Table1[[#This Row],[Total Revenue]]/$H$5056*100</f>
        <v>3.2876950099509826E-2</v>
      </c>
      <c r="J872" s="3" t="s">
        <v>15</v>
      </c>
      <c r="K872" s="4">
        <v>4.2</v>
      </c>
      <c r="M872"/>
    </row>
    <row r="873" spans="1:13" x14ac:dyDescent="0.25">
      <c r="A873" s="3" t="s">
        <v>63</v>
      </c>
      <c r="B873" s="3" t="s">
        <v>243</v>
      </c>
      <c r="C873" s="3" t="s">
        <v>13</v>
      </c>
      <c r="D873" s="3" t="s">
        <v>10</v>
      </c>
      <c r="E873" s="5" t="s">
        <v>14</v>
      </c>
      <c r="F873" s="17">
        <v>51.19</v>
      </c>
      <c r="G873" s="3">
        <v>4</v>
      </c>
      <c r="H873" s="17">
        <f>Table1[[#This Row],[Unit price]]*Table1[[#This Row],[Quantity]]</f>
        <v>204.76</v>
      </c>
      <c r="I873" s="29">
        <f>Table1[[#This Row],[Total Revenue]]/$H$5056*100</f>
        <v>2.1724165168373666E-2</v>
      </c>
      <c r="J873" s="3" t="s">
        <v>12</v>
      </c>
      <c r="K873" s="4">
        <v>4.7</v>
      </c>
      <c r="M873"/>
    </row>
    <row r="874" spans="1:13" x14ac:dyDescent="0.25">
      <c r="A874" s="3" t="s">
        <v>63</v>
      </c>
      <c r="B874" s="3" t="s">
        <v>244</v>
      </c>
      <c r="C874" s="3" t="s">
        <v>13</v>
      </c>
      <c r="D874" s="3" t="s">
        <v>19</v>
      </c>
      <c r="E874" s="5" t="s">
        <v>20</v>
      </c>
      <c r="F874" s="17">
        <v>99.7</v>
      </c>
      <c r="G874" s="3">
        <v>3</v>
      </c>
      <c r="H874" s="17">
        <f>Table1[[#This Row],[Unit price]]*Table1[[#This Row],[Quantity]]</f>
        <v>299.10000000000002</v>
      </c>
      <c r="I874" s="29">
        <f>Table1[[#This Row],[Total Revenue]]/$H$5056*100</f>
        <v>3.173323794618365E-2</v>
      </c>
      <c r="J874" s="3" t="s">
        <v>17</v>
      </c>
      <c r="K874" s="4">
        <v>4.7</v>
      </c>
      <c r="M874"/>
    </row>
    <row r="875" spans="1:13" x14ac:dyDescent="0.25">
      <c r="A875" s="3" t="s">
        <v>63</v>
      </c>
      <c r="B875" s="3" t="s">
        <v>245</v>
      </c>
      <c r="C875" s="3" t="s">
        <v>9</v>
      </c>
      <c r="D875" s="3" t="s">
        <v>19</v>
      </c>
      <c r="E875" s="5" t="s">
        <v>18</v>
      </c>
      <c r="F875" s="17">
        <v>91.98</v>
      </c>
      <c r="G875" s="3">
        <v>1</v>
      </c>
      <c r="H875" s="17">
        <f>Table1[[#This Row],[Unit price]]*Table1[[#This Row],[Quantity]]</f>
        <v>91.98</v>
      </c>
      <c r="I875" s="29">
        <f>Table1[[#This Row],[Total Revenue]]/$H$5056*100</f>
        <v>9.7586868147441393E-3</v>
      </c>
      <c r="J875" s="3" t="s">
        <v>15</v>
      </c>
      <c r="K875" s="4">
        <v>9.8000000000000007</v>
      </c>
      <c r="M875"/>
    </row>
    <row r="876" spans="1:13" x14ac:dyDescent="0.25">
      <c r="A876" s="3" t="s">
        <v>63</v>
      </c>
      <c r="B876" s="3" t="s">
        <v>243</v>
      </c>
      <c r="C876" s="3" t="s">
        <v>13</v>
      </c>
      <c r="D876" s="3" t="s">
        <v>10</v>
      </c>
      <c r="E876" s="5" t="s">
        <v>16</v>
      </c>
      <c r="F876" s="17">
        <v>33.26</v>
      </c>
      <c r="G876" s="3">
        <v>5</v>
      </c>
      <c r="H876" s="17">
        <f>Table1[[#This Row],[Unit price]]*Table1[[#This Row],[Quantity]]</f>
        <v>166.29999999999998</v>
      </c>
      <c r="I876" s="29">
        <f>Table1[[#This Row],[Total Revenue]]/$H$5056*100</f>
        <v>1.7643722736376932E-2</v>
      </c>
      <c r="J876" s="3" t="s">
        <v>12</v>
      </c>
      <c r="K876" s="4">
        <v>4.2</v>
      </c>
      <c r="M876"/>
    </row>
    <row r="877" spans="1:13" x14ac:dyDescent="0.25">
      <c r="A877" s="3" t="s">
        <v>63</v>
      </c>
      <c r="B877" s="3" t="s">
        <v>245</v>
      </c>
      <c r="C877" s="3" t="s">
        <v>9</v>
      </c>
      <c r="D877" s="3" t="s">
        <v>10</v>
      </c>
      <c r="E877" s="5" t="s">
        <v>20</v>
      </c>
      <c r="F877" s="17">
        <v>28.53</v>
      </c>
      <c r="G877" s="3">
        <v>10</v>
      </c>
      <c r="H877" s="17">
        <f>Table1[[#This Row],[Unit price]]*Table1[[#This Row],[Quantity]]</f>
        <v>285.3</v>
      </c>
      <c r="I877" s="29">
        <f>Table1[[#This Row],[Total Revenue]]/$H$5056*100</f>
        <v>3.0269116636730844E-2</v>
      </c>
      <c r="J877" s="3" t="s">
        <v>17</v>
      </c>
      <c r="K877" s="4">
        <v>7.8</v>
      </c>
      <c r="M877"/>
    </row>
    <row r="878" spans="1:13" x14ac:dyDescent="0.25">
      <c r="A878" s="3" t="s">
        <v>63</v>
      </c>
      <c r="B878" s="3" t="s">
        <v>245</v>
      </c>
      <c r="C878" s="3" t="s">
        <v>9</v>
      </c>
      <c r="D878" s="3" t="s">
        <v>10</v>
      </c>
      <c r="E878" s="5" t="s">
        <v>18</v>
      </c>
      <c r="F878" s="17">
        <v>51.47</v>
      </c>
      <c r="G878" s="3">
        <v>1</v>
      </c>
      <c r="H878" s="17">
        <f>Table1[[#This Row],[Unit price]]*Table1[[#This Row],[Quantity]]</f>
        <v>51.47</v>
      </c>
      <c r="I878" s="29">
        <f>Table1[[#This Row],[Total Revenue]]/$H$5056*100</f>
        <v>5.4607481012707198E-3</v>
      </c>
      <c r="J878" s="3" t="s">
        <v>17</v>
      </c>
      <c r="K878" s="4">
        <v>8.5</v>
      </c>
      <c r="M878"/>
    </row>
    <row r="879" spans="1:13" x14ac:dyDescent="0.25">
      <c r="A879" s="3" t="s">
        <v>63</v>
      </c>
      <c r="B879" s="3" t="s">
        <v>244</v>
      </c>
      <c r="C879" s="3" t="s">
        <v>13</v>
      </c>
      <c r="D879" s="3" t="s">
        <v>19</v>
      </c>
      <c r="E879" s="5" t="s">
        <v>20</v>
      </c>
      <c r="F879" s="17">
        <v>44.12</v>
      </c>
      <c r="G879" s="3">
        <v>3</v>
      </c>
      <c r="H879" s="17">
        <f>Table1[[#This Row],[Unit price]]*Table1[[#This Row],[Quantity]]</f>
        <v>132.35999999999999</v>
      </c>
      <c r="I879" s="29">
        <f>Table1[[#This Row],[Total Revenue]]/$H$5056*100</f>
        <v>1.4042833081099522E-2</v>
      </c>
      <c r="J879" s="3" t="s">
        <v>12</v>
      </c>
      <c r="K879" s="4">
        <v>7.9</v>
      </c>
      <c r="M879"/>
    </row>
    <row r="880" spans="1:13" x14ac:dyDescent="0.25">
      <c r="A880" s="3" t="s">
        <v>64</v>
      </c>
      <c r="B880" s="3" t="s">
        <v>245</v>
      </c>
      <c r="C880" s="3" t="s">
        <v>9</v>
      </c>
      <c r="D880" s="3" t="s">
        <v>10</v>
      </c>
      <c r="E880" s="5" t="s">
        <v>18</v>
      </c>
      <c r="F880" s="17">
        <v>82.63</v>
      </c>
      <c r="G880" s="3">
        <v>10</v>
      </c>
      <c r="H880" s="17">
        <f>Table1[[#This Row],[Unit price]]*Table1[[#This Row],[Quantity]]</f>
        <v>826.3</v>
      </c>
      <c r="I880" s="29">
        <f>Table1[[#This Row],[Total Revenue]]/$H$5056*100</f>
        <v>8.7666915797163306E-2</v>
      </c>
      <c r="J880" s="3" t="s">
        <v>17</v>
      </c>
      <c r="K880" s="4">
        <v>7.9</v>
      </c>
      <c r="M880"/>
    </row>
    <row r="881" spans="1:13" x14ac:dyDescent="0.25">
      <c r="A881" s="3" t="s">
        <v>64</v>
      </c>
      <c r="B881" s="3" t="s">
        <v>244</v>
      </c>
      <c r="C881" s="3" t="s">
        <v>9</v>
      </c>
      <c r="D881" s="3" t="s">
        <v>19</v>
      </c>
      <c r="E881" s="5" t="s">
        <v>18</v>
      </c>
      <c r="F881" s="17">
        <v>25.42</v>
      </c>
      <c r="G881" s="3">
        <v>8</v>
      </c>
      <c r="H881" s="17">
        <f>Table1[[#This Row],[Unit price]]*Table1[[#This Row],[Quantity]]</f>
        <v>203.36</v>
      </c>
      <c r="I881" s="29">
        <f>Table1[[#This Row],[Total Revenue]]/$H$5056*100</f>
        <v>2.1575631122487154E-2</v>
      </c>
      <c r="J881" s="3" t="s">
        <v>12</v>
      </c>
      <c r="K881" s="4">
        <v>6.7</v>
      </c>
      <c r="M881"/>
    </row>
    <row r="882" spans="1:13" x14ac:dyDescent="0.25">
      <c r="A882" s="3" t="s">
        <v>64</v>
      </c>
      <c r="B882" s="3" t="s">
        <v>243</v>
      </c>
      <c r="C882" s="3" t="s">
        <v>13</v>
      </c>
      <c r="D882" s="3" t="s">
        <v>19</v>
      </c>
      <c r="E882" s="5" t="s">
        <v>18</v>
      </c>
      <c r="F882" s="17">
        <v>76.400000000000006</v>
      </c>
      <c r="G882" s="3">
        <v>9</v>
      </c>
      <c r="H882" s="17">
        <f>Table1[[#This Row],[Unit price]]*Table1[[#This Row],[Quantity]]</f>
        <v>687.6</v>
      </c>
      <c r="I882" s="29">
        <f>Table1[[#This Row],[Total Revenue]]/$H$5056*100</f>
        <v>7.2951435679692006E-2</v>
      </c>
      <c r="J882" s="3" t="s">
        <v>17</v>
      </c>
      <c r="K882" s="4">
        <v>7.5</v>
      </c>
      <c r="M882"/>
    </row>
    <row r="883" spans="1:13" x14ac:dyDescent="0.25">
      <c r="A883" s="3" t="s">
        <v>64</v>
      </c>
      <c r="B883" s="3" t="s">
        <v>244</v>
      </c>
      <c r="C883" s="3" t="s">
        <v>13</v>
      </c>
      <c r="D883" s="3" t="s">
        <v>19</v>
      </c>
      <c r="E883" s="5" t="s">
        <v>21</v>
      </c>
      <c r="F883" s="17">
        <v>30.35</v>
      </c>
      <c r="G883" s="3">
        <v>7</v>
      </c>
      <c r="H883" s="17">
        <f>Table1[[#This Row],[Unit price]]*Table1[[#This Row],[Quantity]]</f>
        <v>212.45000000000002</v>
      </c>
      <c r="I883" s="29">
        <f>Table1[[#This Row],[Total Revenue]]/$H$5056*100</f>
        <v>2.2540041463278891E-2</v>
      </c>
      <c r="J883" s="3" t="s">
        <v>15</v>
      </c>
      <c r="K883" s="4">
        <v>8</v>
      </c>
      <c r="M883"/>
    </row>
    <row r="884" spans="1:13" x14ac:dyDescent="0.25">
      <c r="A884" s="3" t="s">
        <v>64</v>
      </c>
      <c r="B884" s="3" t="s">
        <v>243</v>
      </c>
      <c r="C884" s="3" t="s">
        <v>9</v>
      </c>
      <c r="D884" s="3" t="s">
        <v>10</v>
      </c>
      <c r="E884" s="5" t="s">
        <v>11</v>
      </c>
      <c r="F884" s="17">
        <v>83.34</v>
      </c>
      <c r="G884" s="3">
        <v>2</v>
      </c>
      <c r="H884" s="17">
        <f>Table1[[#This Row],[Unit price]]*Table1[[#This Row],[Quantity]]</f>
        <v>166.68</v>
      </c>
      <c r="I884" s="29">
        <f>Table1[[#This Row],[Total Revenue]]/$H$5056*100</f>
        <v>1.7684039120260415E-2</v>
      </c>
      <c r="J884" s="3" t="s">
        <v>15</v>
      </c>
      <c r="K884" s="4">
        <v>7.6</v>
      </c>
      <c r="M884"/>
    </row>
    <row r="885" spans="1:13" x14ac:dyDescent="0.25">
      <c r="A885" s="3" t="s">
        <v>64</v>
      </c>
      <c r="B885" s="3" t="s">
        <v>245</v>
      </c>
      <c r="C885" s="3" t="s">
        <v>9</v>
      </c>
      <c r="D885" s="3" t="s">
        <v>10</v>
      </c>
      <c r="E885" s="5" t="s">
        <v>20</v>
      </c>
      <c r="F885" s="17">
        <v>75.53</v>
      </c>
      <c r="G885" s="3">
        <v>4</v>
      </c>
      <c r="H885" s="17">
        <f>Table1[[#This Row],[Unit price]]*Table1[[#This Row],[Quantity]]</f>
        <v>302.12</v>
      </c>
      <c r="I885" s="29">
        <f>Table1[[#This Row],[Total Revenue]]/$H$5056*100</f>
        <v>3.2053647102310283E-2</v>
      </c>
      <c r="J885" s="3" t="s">
        <v>17</v>
      </c>
      <c r="K885" s="4">
        <v>8.3000000000000007</v>
      </c>
      <c r="M885"/>
    </row>
    <row r="886" spans="1:13" x14ac:dyDescent="0.25">
      <c r="A886" s="3" t="s">
        <v>64</v>
      </c>
      <c r="B886" s="3" t="s">
        <v>244</v>
      </c>
      <c r="C886" s="3" t="s">
        <v>9</v>
      </c>
      <c r="D886" s="3" t="s">
        <v>19</v>
      </c>
      <c r="E886" s="5" t="s">
        <v>20</v>
      </c>
      <c r="F886" s="17">
        <v>38.81</v>
      </c>
      <c r="G886" s="3">
        <v>4</v>
      </c>
      <c r="H886" s="17">
        <f>Table1[[#This Row],[Unit price]]*Table1[[#This Row],[Quantity]]</f>
        <v>155.24</v>
      </c>
      <c r="I886" s="29">
        <f>Table1[[#This Row],[Total Revenue]]/$H$5056*100</f>
        <v>1.6470303773873454E-2</v>
      </c>
      <c r="J886" s="3" t="s">
        <v>17</v>
      </c>
      <c r="K886" s="4">
        <v>4.9000000000000004</v>
      </c>
      <c r="M886"/>
    </row>
    <row r="887" spans="1:13" x14ac:dyDescent="0.25">
      <c r="A887" s="3" t="s">
        <v>64</v>
      </c>
      <c r="B887" s="3" t="s">
        <v>243</v>
      </c>
      <c r="C887" s="3" t="s">
        <v>13</v>
      </c>
      <c r="D887" s="3" t="s">
        <v>10</v>
      </c>
      <c r="E887" s="5" t="s">
        <v>14</v>
      </c>
      <c r="F887" s="17">
        <v>75.06</v>
      </c>
      <c r="G887" s="3">
        <v>9</v>
      </c>
      <c r="H887" s="17">
        <f>Table1[[#This Row],[Unit price]]*Table1[[#This Row],[Quantity]]</f>
        <v>675.54</v>
      </c>
      <c r="I887" s="29">
        <f>Table1[[#This Row],[Total Revenue]]/$H$5056*100</f>
        <v>7.1671920970126715E-2</v>
      </c>
      <c r="J887" s="3" t="s">
        <v>17</v>
      </c>
      <c r="K887" s="4">
        <v>6.2</v>
      </c>
      <c r="M887"/>
    </row>
    <row r="888" spans="1:13" x14ac:dyDescent="0.25">
      <c r="A888" s="3" t="s">
        <v>64</v>
      </c>
      <c r="B888" s="3" t="s">
        <v>245</v>
      </c>
      <c r="C888" s="3" t="s">
        <v>13</v>
      </c>
      <c r="D888" s="3" t="s">
        <v>19</v>
      </c>
      <c r="E888" s="5" t="s">
        <v>16</v>
      </c>
      <c r="F888" s="17">
        <v>99.24</v>
      </c>
      <c r="G888" s="3">
        <v>9</v>
      </c>
      <c r="H888" s="17">
        <f>Table1[[#This Row],[Unit price]]*Table1[[#This Row],[Quantity]]</f>
        <v>893.16</v>
      </c>
      <c r="I888" s="29">
        <f>Table1[[#This Row],[Total Revenue]]/$H$5056*100</f>
        <v>9.4760477445715099E-2</v>
      </c>
      <c r="J888" s="3" t="s">
        <v>17</v>
      </c>
      <c r="K888" s="4">
        <v>9</v>
      </c>
      <c r="M888"/>
    </row>
    <row r="889" spans="1:13" x14ac:dyDescent="0.25">
      <c r="A889" s="3" t="s">
        <v>64</v>
      </c>
      <c r="B889" s="3" t="s">
        <v>245</v>
      </c>
      <c r="C889" s="3" t="s">
        <v>9</v>
      </c>
      <c r="D889" s="3" t="s">
        <v>10</v>
      </c>
      <c r="E889" s="5" t="s">
        <v>14</v>
      </c>
      <c r="F889" s="17">
        <v>88.55</v>
      </c>
      <c r="G889" s="3">
        <v>8</v>
      </c>
      <c r="H889" s="17">
        <f>Table1[[#This Row],[Unit price]]*Table1[[#This Row],[Quantity]]</f>
        <v>708.4</v>
      </c>
      <c r="I889" s="29">
        <f>Table1[[#This Row],[Total Revenue]]/$H$5056*100</f>
        <v>7.5158227218577386E-2</v>
      </c>
      <c r="J889" s="3" t="s">
        <v>17</v>
      </c>
      <c r="K889" s="4">
        <v>4.7</v>
      </c>
      <c r="M889"/>
    </row>
    <row r="890" spans="1:13" x14ac:dyDescent="0.25">
      <c r="A890" s="3" t="s">
        <v>64</v>
      </c>
      <c r="B890" s="3" t="s">
        <v>245</v>
      </c>
      <c r="C890" s="3" t="s">
        <v>13</v>
      </c>
      <c r="D890" s="3" t="s">
        <v>10</v>
      </c>
      <c r="E890" s="5" t="s">
        <v>14</v>
      </c>
      <c r="F890" s="17">
        <v>26.61</v>
      </c>
      <c r="G890" s="3">
        <v>2</v>
      </c>
      <c r="H890" s="17">
        <f>Table1[[#This Row],[Unit price]]*Table1[[#This Row],[Quantity]]</f>
        <v>53.22</v>
      </c>
      <c r="I890" s="29">
        <f>Table1[[#This Row],[Total Revenue]]/$H$5056*100</f>
        <v>5.6464156586288651E-3</v>
      </c>
      <c r="J890" s="3" t="s">
        <v>15</v>
      </c>
      <c r="K890" s="4">
        <v>4.2</v>
      </c>
      <c r="M890"/>
    </row>
    <row r="891" spans="1:13" x14ac:dyDescent="0.25">
      <c r="A891" s="3" t="s">
        <v>64</v>
      </c>
      <c r="B891" s="3" t="s">
        <v>245</v>
      </c>
      <c r="C891" s="3" t="s">
        <v>13</v>
      </c>
      <c r="D891" s="3" t="s">
        <v>10</v>
      </c>
      <c r="E891" s="5" t="s">
        <v>14</v>
      </c>
      <c r="F891" s="17">
        <v>46.2</v>
      </c>
      <c r="G891" s="3">
        <v>1</v>
      </c>
      <c r="H891" s="17">
        <f>Table1[[#This Row],[Unit price]]*Table1[[#This Row],[Quantity]]</f>
        <v>46.2</v>
      </c>
      <c r="I891" s="29">
        <f>Table1[[#This Row],[Total Revenue]]/$H$5056*100</f>
        <v>4.9016235142550473E-3</v>
      </c>
      <c r="J891" s="3" t="s">
        <v>15</v>
      </c>
      <c r="K891" s="4">
        <v>6.3</v>
      </c>
      <c r="M891"/>
    </row>
    <row r="892" spans="1:13" x14ac:dyDescent="0.25">
      <c r="A892" s="3" t="s">
        <v>64</v>
      </c>
      <c r="B892" s="3" t="s">
        <v>245</v>
      </c>
      <c r="C892" s="3" t="s">
        <v>13</v>
      </c>
      <c r="D892" s="3" t="s">
        <v>19</v>
      </c>
      <c r="E892" s="5" t="s">
        <v>21</v>
      </c>
      <c r="F892" s="17">
        <v>66.14</v>
      </c>
      <c r="G892" s="3">
        <v>4</v>
      </c>
      <c r="H892" s="17">
        <f>Table1[[#This Row],[Unit price]]*Table1[[#This Row],[Quantity]]</f>
        <v>264.56</v>
      </c>
      <c r="I892" s="29">
        <f>Table1[[#This Row],[Total Revenue]]/$H$5056*100</f>
        <v>2.806869084266916E-2</v>
      </c>
      <c r="J892" s="3" t="s">
        <v>12</v>
      </c>
      <c r="K892" s="4">
        <v>5.6</v>
      </c>
      <c r="M892"/>
    </row>
    <row r="893" spans="1:13" x14ac:dyDescent="0.25">
      <c r="A893" s="3" t="s">
        <v>64</v>
      </c>
      <c r="B893" s="3" t="s">
        <v>243</v>
      </c>
      <c r="C893" s="3" t="s">
        <v>9</v>
      </c>
      <c r="D893" s="3" t="s">
        <v>19</v>
      </c>
      <c r="E893" s="5" t="s">
        <v>20</v>
      </c>
      <c r="F893" s="17">
        <v>23.29</v>
      </c>
      <c r="G893" s="3">
        <v>4</v>
      </c>
      <c r="H893" s="17">
        <f>Table1[[#This Row],[Unit price]]*Table1[[#This Row],[Quantity]]</f>
        <v>93.16</v>
      </c>
      <c r="I893" s="29">
        <f>Table1[[#This Row],[Total Revenue]]/$H$5056*100</f>
        <v>9.8838797962770598E-3</v>
      </c>
      <c r="J893" s="3" t="s">
        <v>12</v>
      </c>
      <c r="K893" s="4">
        <v>5.9</v>
      </c>
      <c r="M893"/>
    </row>
    <row r="894" spans="1:13" x14ac:dyDescent="0.25">
      <c r="A894" s="3" t="s">
        <v>64</v>
      </c>
      <c r="B894" s="3" t="s">
        <v>243</v>
      </c>
      <c r="C894" s="3" t="s">
        <v>13</v>
      </c>
      <c r="D894" s="3" t="s">
        <v>10</v>
      </c>
      <c r="E894" s="5" t="s">
        <v>18</v>
      </c>
      <c r="F894" s="17">
        <v>15.5</v>
      </c>
      <c r="G894" s="3">
        <v>1</v>
      </c>
      <c r="H894" s="17">
        <f>Table1[[#This Row],[Unit price]]*Table1[[#This Row],[Quantity]]</f>
        <v>15.5</v>
      </c>
      <c r="I894" s="29">
        <f>Table1[[#This Row],[Total Revenue]]/$H$5056*100</f>
        <v>1.644484079457862E-3</v>
      </c>
      <c r="J894" s="3" t="s">
        <v>12</v>
      </c>
      <c r="K894" s="4">
        <v>7.4</v>
      </c>
      <c r="M894"/>
    </row>
    <row r="895" spans="1:13" x14ac:dyDescent="0.25">
      <c r="A895" s="3" t="s">
        <v>64</v>
      </c>
      <c r="B895" s="3" t="s">
        <v>243</v>
      </c>
      <c r="C895" s="3" t="s">
        <v>13</v>
      </c>
      <c r="D895" s="3" t="s">
        <v>19</v>
      </c>
      <c r="E895" s="5" t="s">
        <v>14</v>
      </c>
      <c r="F895" s="17">
        <v>32.71</v>
      </c>
      <c r="G895" s="3">
        <v>5</v>
      </c>
      <c r="H895" s="17">
        <f>Table1[[#This Row],[Unit price]]*Table1[[#This Row],[Quantity]]</f>
        <v>163.55000000000001</v>
      </c>
      <c r="I895" s="29">
        <f>Table1[[#This Row],[Total Revenue]]/$H$5056*100</f>
        <v>1.7351959431956991E-2</v>
      </c>
      <c r="J895" s="3" t="s">
        <v>12</v>
      </c>
      <c r="K895" s="4">
        <v>9.9</v>
      </c>
      <c r="M895"/>
    </row>
    <row r="896" spans="1:13" x14ac:dyDescent="0.25">
      <c r="A896" s="3" t="s">
        <v>65</v>
      </c>
      <c r="B896" s="3" t="s">
        <v>244</v>
      </c>
      <c r="C896" s="3" t="s">
        <v>9</v>
      </c>
      <c r="D896" s="3" t="s">
        <v>10</v>
      </c>
      <c r="E896" s="5" t="s">
        <v>11</v>
      </c>
      <c r="F896" s="17">
        <v>20.87</v>
      </c>
      <c r="G896" s="3">
        <v>3</v>
      </c>
      <c r="H896" s="17">
        <f>Table1[[#This Row],[Unit price]]*Table1[[#This Row],[Quantity]]</f>
        <v>62.61</v>
      </c>
      <c r="I896" s="29">
        <f>Table1[[#This Row],[Total Revenue]]/$H$5056*100</f>
        <v>6.6426547235391448E-3</v>
      </c>
      <c r="J896" s="3" t="s">
        <v>12</v>
      </c>
      <c r="K896" s="4">
        <v>8</v>
      </c>
      <c r="M896"/>
    </row>
    <row r="897" spans="1:13" x14ac:dyDescent="0.25">
      <c r="A897" s="3" t="s">
        <v>65</v>
      </c>
      <c r="B897" s="3" t="s">
        <v>243</v>
      </c>
      <c r="C897" s="3" t="s">
        <v>9</v>
      </c>
      <c r="D897" s="3" t="s">
        <v>10</v>
      </c>
      <c r="E897" s="5" t="s">
        <v>16</v>
      </c>
      <c r="F897" s="17">
        <v>38.72</v>
      </c>
      <c r="G897" s="3">
        <v>9</v>
      </c>
      <c r="H897" s="17">
        <f>Table1[[#This Row],[Unit price]]*Table1[[#This Row],[Quantity]]</f>
        <v>348.48</v>
      </c>
      <c r="I897" s="29">
        <f>Table1[[#This Row],[Total Revenue]]/$H$5056*100</f>
        <v>3.6972245936095209E-2</v>
      </c>
      <c r="J897" s="3" t="s">
        <v>17</v>
      </c>
      <c r="K897" s="4">
        <v>4.2</v>
      </c>
      <c r="M897"/>
    </row>
    <row r="898" spans="1:13" x14ac:dyDescent="0.25">
      <c r="A898" s="3" t="s">
        <v>65</v>
      </c>
      <c r="B898" s="3" t="s">
        <v>244</v>
      </c>
      <c r="C898" s="3" t="s">
        <v>13</v>
      </c>
      <c r="D898" s="3" t="s">
        <v>19</v>
      </c>
      <c r="E898" s="5" t="s">
        <v>18</v>
      </c>
      <c r="F898" s="17">
        <v>99.25</v>
      </c>
      <c r="G898" s="3">
        <v>2</v>
      </c>
      <c r="H898" s="17">
        <f>Table1[[#This Row],[Unit price]]*Table1[[#This Row],[Quantity]]</f>
        <v>198.5</v>
      </c>
      <c r="I898" s="29">
        <f>Table1[[#This Row],[Total Revenue]]/$H$5056*100</f>
        <v>2.1060005791766815E-2</v>
      </c>
      <c r="J898" s="3" t="s">
        <v>15</v>
      </c>
      <c r="K898" s="4">
        <v>9</v>
      </c>
      <c r="M898"/>
    </row>
    <row r="899" spans="1:13" x14ac:dyDescent="0.25">
      <c r="A899" s="3" t="s">
        <v>65</v>
      </c>
      <c r="B899" s="3" t="s">
        <v>243</v>
      </c>
      <c r="C899" s="3" t="s">
        <v>9</v>
      </c>
      <c r="D899" s="3" t="s">
        <v>19</v>
      </c>
      <c r="E899" s="5" t="s">
        <v>14</v>
      </c>
      <c r="F899" s="17">
        <v>74.510000000000005</v>
      </c>
      <c r="G899" s="3">
        <v>6</v>
      </c>
      <c r="H899" s="17">
        <f>Table1[[#This Row],[Unit price]]*Table1[[#This Row],[Quantity]]</f>
        <v>447.06000000000006</v>
      </c>
      <c r="I899" s="29">
        <f>Table1[[#This Row],[Total Revenue]]/$H$5056*100</f>
        <v>4.7431164681447223E-2</v>
      </c>
      <c r="J899" s="3" t="s">
        <v>17</v>
      </c>
      <c r="K899" s="4">
        <v>5</v>
      </c>
      <c r="M899"/>
    </row>
    <row r="900" spans="1:13" x14ac:dyDescent="0.25">
      <c r="A900" s="3" t="s">
        <v>65</v>
      </c>
      <c r="B900" s="3" t="s">
        <v>244</v>
      </c>
      <c r="C900" s="3" t="s">
        <v>13</v>
      </c>
      <c r="D900" s="3" t="s">
        <v>19</v>
      </c>
      <c r="E900" s="5" t="s">
        <v>20</v>
      </c>
      <c r="F900" s="17">
        <v>92.36</v>
      </c>
      <c r="G900" s="3">
        <v>5</v>
      </c>
      <c r="H900" s="17">
        <f>Table1[[#This Row],[Unit price]]*Table1[[#This Row],[Quantity]]</f>
        <v>461.8</v>
      </c>
      <c r="I900" s="29">
        <f>Table1[[#This Row],[Total Revenue]]/$H$5056*100</f>
        <v>4.8995015993138116E-2</v>
      </c>
      <c r="J900" s="3" t="s">
        <v>17</v>
      </c>
      <c r="K900" s="4">
        <v>4.9000000000000004</v>
      </c>
      <c r="M900"/>
    </row>
    <row r="901" spans="1:13" x14ac:dyDescent="0.25">
      <c r="A901" s="3" t="s">
        <v>65</v>
      </c>
      <c r="B901" s="3" t="s">
        <v>244</v>
      </c>
      <c r="C901" s="3" t="s">
        <v>9</v>
      </c>
      <c r="D901" s="3" t="s">
        <v>19</v>
      </c>
      <c r="E901" s="5" t="s">
        <v>11</v>
      </c>
      <c r="F901" s="17">
        <v>79.91</v>
      </c>
      <c r="G901" s="3">
        <v>3</v>
      </c>
      <c r="H901" s="17">
        <f>Table1[[#This Row],[Unit price]]*Table1[[#This Row],[Quantity]]</f>
        <v>239.73</v>
      </c>
      <c r="I901" s="29">
        <f>Table1[[#This Row],[Total Revenue]]/$H$5056*100</f>
        <v>2.5434333443124728E-2</v>
      </c>
      <c r="J901" s="3" t="s">
        <v>12</v>
      </c>
      <c r="K901" s="4">
        <v>5</v>
      </c>
      <c r="M901"/>
    </row>
    <row r="902" spans="1:13" x14ac:dyDescent="0.25">
      <c r="A902" s="3" t="s">
        <v>65</v>
      </c>
      <c r="B902" s="3" t="s">
        <v>243</v>
      </c>
      <c r="C902" s="3" t="s">
        <v>9</v>
      </c>
      <c r="D902" s="3" t="s">
        <v>10</v>
      </c>
      <c r="E902" s="5" t="s">
        <v>11</v>
      </c>
      <c r="F902" s="17">
        <v>91.61</v>
      </c>
      <c r="G902" s="3">
        <v>1</v>
      </c>
      <c r="H902" s="17">
        <f>Table1[[#This Row],[Unit price]]*Table1[[#This Row],[Quantity]]</f>
        <v>91.61</v>
      </c>
      <c r="I902" s="29">
        <f>Table1[[#This Row],[Total Revenue]]/$H$5056*100</f>
        <v>9.719431388331274E-3</v>
      </c>
      <c r="J902" s="3" t="s">
        <v>15</v>
      </c>
      <c r="K902" s="4">
        <v>9.8000000000000007</v>
      </c>
      <c r="M902"/>
    </row>
    <row r="903" spans="1:13" x14ac:dyDescent="0.25">
      <c r="A903" s="3" t="s">
        <v>65</v>
      </c>
      <c r="B903" s="3" t="s">
        <v>243</v>
      </c>
      <c r="C903" s="3" t="s">
        <v>13</v>
      </c>
      <c r="D903" s="3" t="s">
        <v>19</v>
      </c>
      <c r="E903" s="5" t="s">
        <v>20</v>
      </c>
      <c r="F903" s="17">
        <v>93.96</v>
      </c>
      <c r="G903" s="3">
        <v>9</v>
      </c>
      <c r="H903" s="17">
        <f>Table1[[#This Row],[Unit price]]*Table1[[#This Row],[Quantity]]</f>
        <v>845.64</v>
      </c>
      <c r="I903" s="29">
        <f>Table1[[#This Row],[Total Revenue]]/$H$5056*100</f>
        <v>8.971880754533848E-2</v>
      </c>
      <c r="J903" s="3" t="s">
        <v>15</v>
      </c>
      <c r="K903" s="4">
        <v>9.8000000000000007</v>
      </c>
      <c r="M903"/>
    </row>
    <row r="904" spans="1:13" x14ac:dyDescent="0.25">
      <c r="A904" s="3" t="s">
        <v>65</v>
      </c>
      <c r="B904" s="3" t="s">
        <v>245</v>
      </c>
      <c r="C904" s="3" t="s">
        <v>9</v>
      </c>
      <c r="D904" s="3" t="s">
        <v>19</v>
      </c>
      <c r="E904" s="5" t="s">
        <v>16</v>
      </c>
      <c r="F904" s="17">
        <v>25.25</v>
      </c>
      <c r="G904" s="3">
        <v>5</v>
      </c>
      <c r="H904" s="17">
        <f>Table1[[#This Row],[Unit price]]*Table1[[#This Row],[Quantity]]</f>
        <v>126.25</v>
      </c>
      <c r="I904" s="29">
        <f>Table1[[#This Row],[Total Revenue]]/$H$5056*100</f>
        <v>1.3394588066551942E-2</v>
      </c>
      <c r="J904" s="3" t="s">
        <v>15</v>
      </c>
      <c r="K904" s="4">
        <v>6.1</v>
      </c>
      <c r="M904"/>
    </row>
    <row r="905" spans="1:13" x14ac:dyDescent="0.25">
      <c r="A905" s="3" t="s">
        <v>65</v>
      </c>
      <c r="B905" s="3" t="s">
        <v>245</v>
      </c>
      <c r="C905" s="3" t="s">
        <v>9</v>
      </c>
      <c r="D905" s="3" t="s">
        <v>19</v>
      </c>
      <c r="E905" s="5" t="s">
        <v>18</v>
      </c>
      <c r="F905" s="17">
        <v>70.989999999999995</v>
      </c>
      <c r="G905" s="3">
        <v>10</v>
      </c>
      <c r="H905" s="17">
        <f>Table1[[#This Row],[Unit price]]*Table1[[#This Row],[Quantity]]</f>
        <v>709.9</v>
      </c>
      <c r="I905" s="29">
        <f>Table1[[#This Row],[Total Revenue]]/$H$5056*100</f>
        <v>7.5317370839170075E-2</v>
      </c>
      <c r="J905" s="3" t="s">
        <v>15</v>
      </c>
      <c r="K905" s="4">
        <v>5.7</v>
      </c>
      <c r="M905"/>
    </row>
    <row r="906" spans="1:13" x14ac:dyDescent="0.25">
      <c r="A906" s="3" t="s">
        <v>65</v>
      </c>
      <c r="B906" s="3" t="s">
        <v>245</v>
      </c>
      <c r="C906" s="3" t="s">
        <v>9</v>
      </c>
      <c r="D906" s="3" t="s">
        <v>10</v>
      </c>
      <c r="E906" s="5" t="s">
        <v>20</v>
      </c>
      <c r="F906" s="17">
        <v>83.17</v>
      </c>
      <c r="G906" s="3">
        <v>6</v>
      </c>
      <c r="H906" s="17">
        <f>Table1[[#This Row],[Unit price]]*Table1[[#This Row],[Quantity]]</f>
        <v>499.02</v>
      </c>
      <c r="I906" s="29">
        <f>Table1[[#This Row],[Total Revenue]]/$H$5056*100</f>
        <v>5.2943899698778218E-2</v>
      </c>
      <c r="J906" s="3" t="s">
        <v>15</v>
      </c>
      <c r="K906" s="4">
        <v>7.3</v>
      </c>
      <c r="M906"/>
    </row>
    <row r="907" spans="1:13" x14ac:dyDescent="0.25">
      <c r="A907" s="3" t="s">
        <v>65</v>
      </c>
      <c r="B907" s="3" t="s">
        <v>243</v>
      </c>
      <c r="C907" s="3" t="s">
        <v>9</v>
      </c>
      <c r="D907" s="3" t="s">
        <v>19</v>
      </c>
      <c r="E907" s="5" t="s">
        <v>16</v>
      </c>
      <c r="F907" s="17">
        <v>44.02</v>
      </c>
      <c r="G907" s="3">
        <v>10</v>
      </c>
      <c r="H907" s="17">
        <f>Table1[[#This Row],[Unit price]]*Table1[[#This Row],[Quantity]]</f>
        <v>440.20000000000005</v>
      </c>
      <c r="I907" s="29">
        <f>Table1[[#This Row],[Total Revenue]]/$H$5056*100</f>
        <v>4.6703347856603288E-2</v>
      </c>
      <c r="J907" s="3" t="s">
        <v>12</v>
      </c>
      <c r="K907" s="4">
        <v>9.6</v>
      </c>
      <c r="M907"/>
    </row>
    <row r="908" spans="1:13" x14ac:dyDescent="0.25">
      <c r="A908" s="3" t="s">
        <v>65</v>
      </c>
      <c r="B908" s="3" t="s">
        <v>243</v>
      </c>
      <c r="C908" s="3" t="s">
        <v>13</v>
      </c>
      <c r="D908" s="3" t="s">
        <v>19</v>
      </c>
      <c r="E908" s="5" t="s">
        <v>11</v>
      </c>
      <c r="F908" s="17">
        <v>43.25</v>
      </c>
      <c r="G908" s="3">
        <v>2</v>
      </c>
      <c r="H908" s="17">
        <f>Table1[[#This Row],[Unit price]]*Table1[[#This Row],[Quantity]]</f>
        <v>86.5</v>
      </c>
      <c r="I908" s="29">
        <f>Table1[[#This Row],[Total Revenue]]/$H$5056*100</f>
        <v>9.1772821208454883E-3</v>
      </c>
      <c r="J908" s="3" t="s">
        <v>15</v>
      </c>
      <c r="K908" s="4">
        <v>6.2</v>
      </c>
      <c r="M908"/>
    </row>
    <row r="909" spans="1:13" x14ac:dyDescent="0.25">
      <c r="A909" s="3" t="s">
        <v>65</v>
      </c>
      <c r="B909" s="3" t="s">
        <v>244</v>
      </c>
      <c r="C909" s="3" t="s">
        <v>9</v>
      </c>
      <c r="D909" s="3" t="s">
        <v>19</v>
      </c>
      <c r="E909" s="5" t="s">
        <v>18</v>
      </c>
      <c r="F909" s="17">
        <v>33.630000000000003</v>
      </c>
      <c r="G909" s="3">
        <v>1</v>
      </c>
      <c r="H909" s="17">
        <f>Table1[[#This Row],[Unit price]]*Table1[[#This Row],[Quantity]]</f>
        <v>33.630000000000003</v>
      </c>
      <c r="I909" s="29">
        <f>Table1[[#This Row],[Total Revenue]]/$H$5056*100</f>
        <v>3.5679999736882521E-3</v>
      </c>
      <c r="J909" s="3" t="s">
        <v>15</v>
      </c>
      <c r="K909" s="4">
        <v>5.6</v>
      </c>
      <c r="M909"/>
    </row>
    <row r="910" spans="1:13" x14ac:dyDescent="0.25">
      <c r="A910" s="3" t="s">
        <v>65</v>
      </c>
      <c r="B910" s="3" t="s">
        <v>244</v>
      </c>
      <c r="C910" s="3" t="s">
        <v>13</v>
      </c>
      <c r="D910" s="3" t="s">
        <v>19</v>
      </c>
      <c r="E910" s="5" t="s">
        <v>16</v>
      </c>
      <c r="F910" s="17">
        <v>75.92</v>
      </c>
      <c r="G910" s="3">
        <v>8</v>
      </c>
      <c r="H910" s="17">
        <f>Table1[[#This Row],[Unit price]]*Table1[[#This Row],[Quantity]]</f>
        <v>607.36</v>
      </c>
      <c r="I910" s="29">
        <f>Table1[[#This Row],[Total Revenue]]/$H$5056*100</f>
        <v>6.4438312935453365E-2</v>
      </c>
      <c r="J910" s="3" t="s">
        <v>15</v>
      </c>
      <c r="K910" s="4">
        <v>5.5</v>
      </c>
      <c r="M910"/>
    </row>
    <row r="911" spans="1:13" x14ac:dyDescent="0.25">
      <c r="A911" s="3" t="s">
        <v>66</v>
      </c>
      <c r="B911" s="3" t="s">
        <v>243</v>
      </c>
      <c r="C911" s="3" t="s">
        <v>9</v>
      </c>
      <c r="D911" s="3" t="s">
        <v>10</v>
      </c>
      <c r="E911" s="5" t="s">
        <v>14</v>
      </c>
      <c r="F911" s="17">
        <v>26.48</v>
      </c>
      <c r="G911" s="3">
        <v>3</v>
      </c>
      <c r="H911" s="17">
        <f>Table1[[#This Row],[Unit price]]*Table1[[#This Row],[Quantity]]</f>
        <v>79.44</v>
      </c>
      <c r="I911" s="29">
        <f>Table1[[#This Row],[Total Revenue]]/$H$5056*100</f>
        <v>8.4282461465891977E-3</v>
      </c>
      <c r="J911" s="3" t="s">
        <v>17</v>
      </c>
      <c r="K911" s="4">
        <v>4.7</v>
      </c>
      <c r="M911"/>
    </row>
    <row r="912" spans="1:13" x14ac:dyDescent="0.25">
      <c r="A912" s="3" t="s">
        <v>66</v>
      </c>
      <c r="B912" s="3" t="s">
        <v>243</v>
      </c>
      <c r="C912" s="3" t="s">
        <v>13</v>
      </c>
      <c r="D912" s="3" t="s">
        <v>10</v>
      </c>
      <c r="E912" s="5" t="s">
        <v>14</v>
      </c>
      <c r="F912" s="17">
        <v>90.02</v>
      </c>
      <c r="G912" s="3">
        <v>8</v>
      </c>
      <c r="H912" s="17">
        <f>Table1[[#This Row],[Unit price]]*Table1[[#This Row],[Quantity]]</f>
        <v>720.16</v>
      </c>
      <c r="I912" s="29">
        <f>Table1[[#This Row],[Total Revenue]]/$H$5056*100</f>
        <v>7.6405913204024123E-2</v>
      </c>
      <c r="J912" s="3" t="s">
        <v>12</v>
      </c>
      <c r="K912" s="4">
        <v>4.5</v>
      </c>
      <c r="M912"/>
    </row>
    <row r="913" spans="1:13" x14ac:dyDescent="0.25">
      <c r="A913" s="3" t="s">
        <v>66</v>
      </c>
      <c r="B913" s="3" t="s">
        <v>243</v>
      </c>
      <c r="C913" s="3" t="s">
        <v>9</v>
      </c>
      <c r="D913" s="3" t="s">
        <v>19</v>
      </c>
      <c r="E913" s="5" t="s">
        <v>20</v>
      </c>
      <c r="F913" s="17">
        <v>33.840000000000003</v>
      </c>
      <c r="G913" s="3">
        <v>9</v>
      </c>
      <c r="H913" s="17">
        <f>Table1[[#This Row],[Unit price]]*Table1[[#This Row],[Quantity]]</f>
        <v>304.56000000000006</v>
      </c>
      <c r="I913" s="29">
        <f>Table1[[#This Row],[Total Revenue]]/$H$5056*100</f>
        <v>3.231252072514107E-2</v>
      </c>
      <c r="J913" s="3" t="s">
        <v>17</v>
      </c>
      <c r="K913" s="4">
        <v>8.8000000000000007</v>
      </c>
      <c r="M913"/>
    </row>
    <row r="914" spans="1:13" x14ac:dyDescent="0.25">
      <c r="A914" s="3" t="s">
        <v>66</v>
      </c>
      <c r="B914" s="3" t="s">
        <v>243</v>
      </c>
      <c r="C914" s="3" t="s">
        <v>9</v>
      </c>
      <c r="D914" s="3" t="s">
        <v>10</v>
      </c>
      <c r="E914" s="5" t="s">
        <v>14</v>
      </c>
      <c r="F914" s="17">
        <v>28.45</v>
      </c>
      <c r="G914" s="3">
        <v>5</v>
      </c>
      <c r="H914" s="17">
        <f>Table1[[#This Row],[Unit price]]*Table1[[#This Row],[Quantity]]</f>
        <v>142.25</v>
      </c>
      <c r="I914" s="29">
        <f>Table1[[#This Row],[Total Revenue]]/$H$5056*100</f>
        <v>1.5092120019540703E-2</v>
      </c>
      <c r="J914" s="3" t="s">
        <v>12</v>
      </c>
      <c r="K914" s="4">
        <v>9.1</v>
      </c>
      <c r="M914"/>
    </row>
    <row r="915" spans="1:13" x14ac:dyDescent="0.25">
      <c r="A915" s="3" t="s">
        <v>66</v>
      </c>
      <c r="B915" s="3" t="s">
        <v>244</v>
      </c>
      <c r="C915" s="3" t="s">
        <v>9</v>
      </c>
      <c r="D915" s="3" t="s">
        <v>10</v>
      </c>
      <c r="E915" s="5" t="s">
        <v>16</v>
      </c>
      <c r="F915" s="17">
        <v>49.49</v>
      </c>
      <c r="G915" s="3">
        <v>4</v>
      </c>
      <c r="H915" s="17">
        <f>Table1[[#This Row],[Unit price]]*Table1[[#This Row],[Quantity]]</f>
        <v>197.96</v>
      </c>
      <c r="I915" s="29">
        <f>Table1[[#This Row],[Total Revenue]]/$H$5056*100</f>
        <v>2.1002714088353445E-2</v>
      </c>
      <c r="J915" s="3" t="s">
        <v>17</v>
      </c>
      <c r="K915" s="4">
        <v>6.6</v>
      </c>
      <c r="M915"/>
    </row>
    <row r="916" spans="1:13" x14ac:dyDescent="0.25">
      <c r="A916" s="3" t="s">
        <v>66</v>
      </c>
      <c r="B916" s="3" t="s">
        <v>245</v>
      </c>
      <c r="C916" s="3" t="s">
        <v>13</v>
      </c>
      <c r="D916" s="3" t="s">
        <v>10</v>
      </c>
      <c r="E916" s="5" t="s">
        <v>11</v>
      </c>
      <c r="F916" s="17">
        <v>57.29</v>
      </c>
      <c r="G916" s="3">
        <v>6</v>
      </c>
      <c r="H916" s="17">
        <f>Table1[[#This Row],[Unit price]]*Table1[[#This Row],[Quantity]]</f>
        <v>343.74</v>
      </c>
      <c r="I916" s="29">
        <f>Table1[[#This Row],[Total Revenue]]/$H$5056*100</f>
        <v>3.6469352095022292E-2</v>
      </c>
      <c r="J916" s="3" t="s">
        <v>17</v>
      </c>
      <c r="K916" s="4">
        <v>5.9</v>
      </c>
      <c r="M916"/>
    </row>
    <row r="917" spans="1:13" x14ac:dyDescent="0.25">
      <c r="A917" s="3" t="s">
        <v>67</v>
      </c>
      <c r="B917" s="3" t="s">
        <v>243</v>
      </c>
      <c r="C917" s="3" t="s">
        <v>9</v>
      </c>
      <c r="D917" s="3" t="s">
        <v>10</v>
      </c>
      <c r="E917" s="5" t="s">
        <v>20</v>
      </c>
      <c r="F917" s="17">
        <v>52.59</v>
      </c>
      <c r="G917" s="3">
        <v>8</v>
      </c>
      <c r="H917" s="17">
        <f>Table1[[#This Row],[Unit price]]*Table1[[#This Row],[Quantity]]</f>
        <v>420.72</v>
      </c>
      <c r="I917" s="29">
        <f>Table1[[#This Row],[Total Revenue]]/$H$5056*100</f>
        <v>4.463660270383947E-2</v>
      </c>
      <c r="J917" s="3" t="s">
        <v>12</v>
      </c>
      <c r="K917" s="4">
        <v>8.5</v>
      </c>
      <c r="M917"/>
    </row>
    <row r="918" spans="1:13" x14ac:dyDescent="0.25">
      <c r="A918" s="3" t="s">
        <v>67</v>
      </c>
      <c r="B918" s="3" t="s">
        <v>243</v>
      </c>
      <c r="C918" s="3" t="s">
        <v>13</v>
      </c>
      <c r="D918" s="3" t="s">
        <v>19</v>
      </c>
      <c r="E918" s="5" t="s">
        <v>20</v>
      </c>
      <c r="F918" s="17">
        <v>50.93</v>
      </c>
      <c r="G918" s="3">
        <v>8</v>
      </c>
      <c r="H918" s="17">
        <f>Table1[[#This Row],[Unit price]]*Table1[[#This Row],[Quantity]]</f>
        <v>407.44</v>
      </c>
      <c r="I918" s="29">
        <f>Table1[[#This Row],[Total Revenue]]/$H$5056*100</f>
        <v>4.3227651182858796E-2</v>
      </c>
      <c r="J918" s="3" t="s">
        <v>17</v>
      </c>
      <c r="K918" s="4">
        <v>9.1999999999999993</v>
      </c>
      <c r="M918"/>
    </row>
    <row r="919" spans="1:13" x14ac:dyDescent="0.25">
      <c r="A919" s="3" t="s">
        <v>67</v>
      </c>
      <c r="B919" s="3" t="s">
        <v>243</v>
      </c>
      <c r="C919" s="3" t="s">
        <v>13</v>
      </c>
      <c r="D919" s="3" t="s">
        <v>10</v>
      </c>
      <c r="E919" s="5" t="s">
        <v>11</v>
      </c>
      <c r="F919" s="17">
        <v>56.56</v>
      </c>
      <c r="G919" s="3">
        <v>5</v>
      </c>
      <c r="H919" s="17">
        <f>Table1[[#This Row],[Unit price]]*Table1[[#This Row],[Quantity]]</f>
        <v>282.8</v>
      </c>
      <c r="I919" s="29">
        <f>Table1[[#This Row],[Total Revenue]]/$H$5056*100</f>
        <v>3.000387726907635E-2</v>
      </c>
      <c r="J919" s="3" t="s">
        <v>12</v>
      </c>
      <c r="K919" s="4">
        <v>4.5</v>
      </c>
      <c r="M919"/>
    </row>
    <row r="920" spans="1:13" x14ac:dyDescent="0.25">
      <c r="A920" s="3" t="s">
        <v>67</v>
      </c>
      <c r="B920" s="3" t="s">
        <v>243</v>
      </c>
      <c r="C920" s="3" t="s">
        <v>13</v>
      </c>
      <c r="D920" s="3" t="s">
        <v>19</v>
      </c>
      <c r="E920" s="5" t="s">
        <v>16</v>
      </c>
      <c r="F920" s="17">
        <v>62.13</v>
      </c>
      <c r="G920" s="3">
        <v>6</v>
      </c>
      <c r="H920" s="17">
        <f>Table1[[#This Row],[Unit price]]*Table1[[#This Row],[Quantity]]</f>
        <v>372.78000000000003</v>
      </c>
      <c r="I920" s="29">
        <f>Table1[[#This Row],[Total Revenue]]/$H$5056*100</f>
        <v>3.9550372589696896E-2</v>
      </c>
      <c r="J920" s="3" t="s">
        <v>15</v>
      </c>
      <c r="K920" s="4">
        <v>7.4</v>
      </c>
      <c r="M920"/>
    </row>
    <row r="921" spans="1:13" x14ac:dyDescent="0.25">
      <c r="A921" s="3" t="s">
        <v>67</v>
      </c>
      <c r="B921" s="3" t="s">
        <v>243</v>
      </c>
      <c r="C921" s="3" t="s">
        <v>13</v>
      </c>
      <c r="D921" s="3" t="s">
        <v>19</v>
      </c>
      <c r="E921" s="5" t="s">
        <v>16</v>
      </c>
      <c r="F921" s="17">
        <v>85.91</v>
      </c>
      <c r="G921" s="3">
        <v>5</v>
      </c>
      <c r="H921" s="17">
        <f>Table1[[#This Row],[Unit price]]*Table1[[#This Row],[Quantity]]</f>
        <v>429.54999999999995</v>
      </c>
      <c r="I921" s="29">
        <f>Table1[[#This Row],[Total Revenue]]/$H$5056*100</f>
        <v>4.5573428150395133E-2</v>
      </c>
      <c r="J921" s="3" t="s">
        <v>12</v>
      </c>
      <c r="K921" s="4">
        <v>8.6</v>
      </c>
      <c r="M921"/>
    </row>
    <row r="922" spans="1:13" x14ac:dyDescent="0.25">
      <c r="A922" s="3" t="s">
        <v>67</v>
      </c>
      <c r="B922" s="3" t="s">
        <v>244</v>
      </c>
      <c r="C922" s="3" t="s">
        <v>9</v>
      </c>
      <c r="D922" s="3" t="s">
        <v>10</v>
      </c>
      <c r="E922" s="5" t="s">
        <v>18</v>
      </c>
      <c r="F922" s="17">
        <v>17.87</v>
      </c>
      <c r="G922" s="3">
        <v>4</v>
      </c>
      <c r="H922" s="17">
        <f>Table1[[#This Row],[Unit price]]*Table1[[#This Row],[Quantity]]</f>
        <v>71.48</v>
      </c>
      <c r="I922" s="29">
        <f>Table1[[#This Row],[Total Revenue]]/$H$5056*100</f>
        <v>7.583723999977289E-3</v>
      </c>
      <c r="J922" s="3" t="s">
        <v>17</v>
      </c>
      <c r="K922" s="4">
        <v>6.5</v>
      </c>
      <c r="M922"/>
    </row>
    <row r="923" spans="1:13" x14ac:dyDescent="0.25">
      <c r="A923" s="3" t="s">
        <v>67</v>
      </c>
      <c r="B923" s="3" t="s">
        <v>244</v>
      </c>
      <c r="C923" s="3" t="s">
        <v>9</v>
      </c>
      <c r="D923" s="3" t="s">
        <v>10</v>
      </c>
      <c r="E923" s="5" t="s">
        <v>16</v>
      </c>
      <c r="F923" s="17">
        <v>88.43</v>
      </c>
      <c r="G923" s="3">
        <v>8</v>
      </c>
      <c r="H923" s="17">
        <f>Table1[[#This Row],[Unit price]]*Table1[[#This Row],[Quantity]]</f>
        <v>707.44</v>
      </c>
      <c r="I923" s="29">
        <f>Table1[[#This Row],[Total Revenue]]/$H$5056*100</f>
        <v>7.5056375301398068E-2</v>
      </c>
      <c r="J923" s="3" t="s">
        <v>12</v>
      </c>
      <c r="K923" s="4">
        <v>4.3</v>
      </c>
      <c r="M923"/>
    </row>
    <row r="924" spans="1:13" x14ac:dyDescent="0.25">
      <c r="A924" s="3" t="s">
        <v>67</v>
      </c>
      <c r="B924" s="3" t="s">
        <v>243</v>
      </c>
      <c r="C924" s="3" t="s">
        <v>13</v>
      </c>
      <c r="D924" s="3" t="s">
        <v>19</v>
      </c>
      <c r="E924" s="5" t="s">
        <v>14</v>
      </c>
      <c r="F924" s="17">
        <v>95.15</v>
      </c>
      <c r="G924" s="3">
        <v>1</v>
      </c>
      <c r="H924" s="17">
        <f>Table1[[#This Row],[Unit price]]*Table1[[#This Row],[Quantity]]</f>
        <v>95.15</v>
      </c>
      <c r="I924" s="29">
        <f>Table1[[#This Row],[Total Revenue]]/$H$5056*100</f>
        <v>1.0095010332930039E-2</v>
      </c>
      <c r="J924" s="3" t="s">
        <v>15</v>
      </c>
      <c r="K924" s="4">
        <v>6</v>
      </c>
      <c r="M924"/>
    </row>
    <row r="925" spans="1:13" x14ac:dyDescent="0.25">
      <c r="A925" s="3" t="s">
        <v>67</v>
      </c>
      <c r="B925" s="3" t="s">
        <v>244</v>
      </c>
      <c r="C925" s="3" t="s">
        <v>13</v>
      </c>
      <c r="D925" s="3" t="s">
        <v>19</v>
      </c>
      <c r="E925" s="5" t="s">
        <v>16</v>
      </c>
      <c r="F925" s="17">
        <v>37.020000000000003</v>
      </c>
      <c r="G925" s="3">
        <v>6</v>
      </c>
      <c r="H925" s="17">
        <f>Table1[[#This Row],[Unit price]]*Table1[[#This Row],[Quantity]]</f>
        <v>222.12</v>
      </c>
      <c r="I925" s="29">
        <f>Table1[[#This Row],[Total Revenue]]/$H$5056*100</f>
        <v>2.3565987337366472E-2</v>
      </c>
      <c r="J925" s="3" t="s">
        <v>15</v>
      </c>
      <c r="K925" s="4">
        <v>4.5</v>
      </c>
      <c r="M925"/>
    </row>
    <row r="926" spans="1:13" x14ac:dyDescent="0.25">
      <c r="A926" s="3" t="s">
        <v>67</v>
      </c>
      <c r="B926" s="3" t="s">
        <v>243</v>
      </c>
      <c r="C926" s="3" t="s">
        <v>13</v>
      </c>
      <c r="D926" s="3" t="s">
        <v>19</v>
      </c>
      <c r="E926" s="5" t="s">
        <v>20</v>
      </c>
      <c r="F926" s="17">
        <v>18.28</v>
      </c>
      <c r="G926" s="3">
        <v>1</v>
      </c>
      <c r="H926" s="17">
        <f>Table1[[#This Row],[Unit price]]*Table1[[#This Row],[Quantity]]</f>
        <v>18.28</v>
      </c>
      <c r="I926" s="29">
        <f>Table1[[#This Row],[Total Revenue]]/$H$5056*100</f>
        <v>1.9394302562896592E-3</v>
      </c>
      <c r="J926" s="3" t="s">
        <v>12</v>
      </c>
      <c r="K926" s="4">
        <v>8.3000000000000007</v>
      </c>
      <c r="M926"/>
    </row>
    <row r="927" spans="1:13" x14ac:dyDescent="0.25">
      <c r="A927" s="3" t="s">
        <v>68</v>
      </c>
      <c r="B927" s="3" t="s">
        <v>243</v>
      </c>
      <c r="C927" s="3" t="s">
        <v>13</v>
      </c>
      <c r="D927" s="3" t="s">
        <v>19</v>
      </c>
      <c r="E927" s="5" t="s">
        <v>11</v>
      </c>
      <c r="F927" s="17">
        <v>52.75</v>
      </c>
      <c r="G927" s="3">
        <v>3</v>
      </c>
      <c r="H927" s="17">
        <f>Table1[[#This Row],[Unit price]]*Table1[[#This Row],[Quantity]]</f>
        <v>158.25</v>
      </c>
      <c r="I927" s="29">
        <f>Table1[[#This Row],[Total Revenue]]/$H$5056*100</f>
        <v>1.6789651972529462E-2</v>
      </c>
      <c r="J927" s="3" t="s">
        <v>17</v>
      </c>
      <c r="K927" s="4">
        <v>9.3000000000000007</v>
      </c>
      <c r="M927"/>
    </row>
    <row r="928" spans="1:13" x14ac:dyDescent="0.25">
      <c r="A928" s="3" t="s">
        <v>68</v>
      </c>
      <c r="B928" s="3" t="s">
        <v>243</v>
      </c>
      <c r="C928" s="3" t="s">
        <v>13</v>
      </c>
      <c r="D928" s="3" t="s">
        <v>10</v>
      </c>
      <c r="E928" s="5" t="s">
        <v>20</v>
      </c>
      <c r="F928" s="17">
        <v>25.29</v>
      </c>
      <c r="G928" s="3">
        <v>1</v>
      </c>
      <c r="H928" s="17">
        <f>Table1[[#This Row],[Unit price]]*Table1[[#This Row],[Quantity]]</f>
        <v>25.29</v>
      </c>
      <c r="I928" s="29">
        <f>Table1[[#This Row],[Total Revenue]]/$H$5056*100</f>
        <v>2.6831614431928599E-3</v>
      </c>
      <c r="J928" s="3" t="s">
        <v>17</v>
      </c>
      <c r="K928" s="4">
        <v>6.1</v>
      </c>
      <c r="M928"/>
    </row>
    <row r="929" spans="1:13" x14ac:dyDescent="0.25">
      <c r="A929" s="3" t="s">
        <v>68</v>
      </c>
      <c r="B929" s="3" t="s">
        <v>243</v>
      </c>
      <c r="C929" s="3" t="s">
        <v>13</v>
      </c>
      <c r="D929" s="3" t="s">
        <v>19</v>
      </c>
      <c r="E929" s="5" t="s">
        <v>18</v>
      </c>
      <c r="F929" s="17">
        <v>37.15</v>
      </c>
      <c r="G929" s="3">
        <v>4</v>
      </c>
      <c r="H929" s="17">
        <f>Table1[[#This Row],[Unit price]]*Table1[[#This Row],[Quantity]]</f>
        <v>148.6</v>
      </c>
      <c r="I929" s="29">
        <f>Table1[[#This Row],[Total Revenue]]/$H$5056*100</f>
        <v>1.5765828013383117E-2</v>
      </c>
      <c r="J929" s="3" t="s">
        <v>17</v>
      </c>
      <c r="K929" s="4">
        <v>8.3000000000000007</v>
      </c>
      <c r="M929"/>
    </row>
    <row r="930" spans="1:13" x14ac:dyDescent="0.25">
      <c r="A930" s="3" t="s">
        <v>68</v>
      </c>
      <c r="B930" s="3" t="s">
        <v>245</v>
      </c>
      <c r="C930" s="3" t="s">
        <v>9</v>
      </c>
      <c r="D930" s="3" t="s">
        <v>19</v>
      </c>
      <c r="E930" s="5" t="s">
        <v>18</v>
      </c>
      <c r="F930" s="17">
        <v>67.39</v>
      </c>
      <c r="G930" s="3">
        <v>7</v>
      </c>
      <c r="H930" s="17">
        <f>Table1[[#This Row],[Unit price]]*Table1[[#This Row],[Quantity]]</f>
        <v>471.73</v>
      </c>
      <c r="I930" s="29">
        <f>Table1[[#This Row],[Total Revenue]]/$H$5056*100</f>
        <v>5.0048546761461768E-2</v>
      </c>
      <c r="J930" s="3" t="s">
        <v>17</v>
      </c>
      <c r="K930" s="4">
        <v>6.9</v>
      </c>
      <c r="M930"/>
    </row>
    <row r="931" spans="1:13" x14ac:dyDescent="0.25">
      <c r="A931" s="3" t="s">
        <v>68</v>
      </c>
      <c r="B931" s="3" t="s">
        <v>243</v>
      </c>
      <c r="C931" s="3" t="s">
        <v>9</v>
      </c>
      <c r="D931" s="3" t="s">
        <v>10</v>
      </c>
      <c r="E931" s="5" t="s">
        <v>14</v>
      </c>
      <c r="F931" s="17">
        <v>73.47</v>
      </c>
      <c r="G931" s="3">
        <v>10</v>
      </c>
      <c r="H931" s="17">
        <f>Table1[[#This Row],[Unit price]]*Table1[[#This Row],[Quantity]]</f>
        <v>734.7</v>
      </c>
      <c r="I931" s="29">
        <f>Table1[[#This Row],[Total Revenue]]/$H$5056*100</f>
        <v>7.7948545366302663E-2</v>
      </c>
      <c r="J931" s="3" t="s">
        <v>17</v>
      </c>
      <c r="K931" s="4">
        <v>9.5</v>
      </c>
      <c r="M931"/>
    </row>
    <row r="932" spans="1:13" x14ac:dyDescent="0.25">
      <c r="A932" s="3" t="s">
        <v>68</v>
      </c>
      <c r="B932" s="3" t="s">
        <v>243</v>
      </c>
      <c r="C932" s="3" t="s">
        <v>9</v>
      </c>
      <c r="D932" s="3" t="s">
        <v>19</v>
      </c>
      <c r="E932" s="5" t="s">
        <v>16</v>
      </c>
      <c r="F932" s="17">
        <v>15.5</v>
      </c>
      <c r="G932" s="3">
        <v>10</v>
      </c>
      <c r="H932" s="17">
        <f>Table1[[#This Row],[Unit price]]*Table1[[#This Row],[Quantity]]</f>
        <v>155</v>
      </c>
      <c r="I932" s="29">
        <f>Table1[[#This Row],[Total Revenue]]/$H$5056*100</f>
        <v>1.644484079457862E-2</v>
      </c>
      <c r="J932" s="3" t="s">
        <v>17</v>
      </c>
      <c r="K932" s="4">
        <v>8</v>
      </c>
      <c r="M932"/>
    </row>
    <row r="933" spans="1:13" x14ac:dyDescent="0.25">
      <c r="A933" s="3" t="s">
        <v>68</v>
      </c>
      <c r="B933" s="3" t="s">
        <v>245</v>
      </c>
      <c r="C933" s="3" t="s">
        <v>13</v>
      </c>
      <c r="D933" s="3" t="s">
        <v>10</v>
      </c>
      <c r="E933" s="5" t="s">
        <v>21</v>
      </c>
      <c r="F933" s="17">
        <v>54.92</v>
      </c>
      <c r="G933" s="3">
        <v>8</v>
      </c>
      <c r="H933" s="17">
        <f>Table1[[#This Row],[Unit price]]*Table1[[#This Row],[Quantity]]</f>
        <v>439.36</v>
      </c>
      <c r="I933" s="29">
        <f>Table1[[#This Row],[Total Revenue]]/$H$5056*100</f>
        <v>4.6614227429071377E-2</v>
      </c>
      <c r="J933" s="3" t="s">
        <v>17</v>
      </c>
      <c r="K933" s="4">
        <v>7.6</v>
      </c>
      <c r="M933"/>
    </row>
    <row r="934" spans="1:13" x14ac:dyDescent="0.25">
      <c r="A934" s="3" t="s">
        <v>68</v>
      </c>
      <c r="B934" s="3" t="s">
        <v>244</v>
      </c>
      <c r="C934" s="3" t="s">
        <v>9</v>
      </c>
      <c r="D934" s="3" t="s">
        <v>10</v>
      </c>
      <c r="E934" s="5" t="s">
        <v>18</v>
      </c>
      <c r="F934" s="17">
        <v>91.54</v>
      </c>
      <c r="G934" s="3">
        <v>4</v>
      </c>
      <c r="H934" s="17">
        <f>Table1[[#This Row],[Unit price]]*Table1[[#This Row],[Quantity]]</f>
        <v>366.16</v>
      </c>
      <c r="I934" s="29">
        <f>Table1[[#This Row],[Total Revenue]]/$H$5056*100</f>
        <v>3.8848018744147797E-2</v>
      </c>
      <c r="J934" s="3" t="s">
        <v>12</v>
      </c>
      <c r="K934" s="4">
        <v>4.8</v>
      </c>
      <c r="M934"/>
    </row>
    <row r="935" spans="1:13" x14ac:dyDescent="0.25">
      <c r="A935" s="3" t="s">
        <v>68</v>
      </c>
      <c r="B935" s="3" t="s">
        <v>245</v>
      </c>
      <c r="C935" s="3" t="s">
        <v>9</v>
      </c>
      <c r="D935" s="3" t="s">
        <v>10</v>
      </c>
      <c r="E935" s="5" t="s">
        <v>20</v>
      </c>
      <c r="F935" s="17">
        <v>81.2</v>
      </c>
      <c r="G935" s="3">
        <v>7</v>
      </c>
      <c r="H935" s="17">
        <f>Table1[[#This Row],[Unit price]]*Table1[[#This Row],[Quantity]]</f>
        <v>568.4</v>
      </c>
      <c r="I935" s="29">
        <f>Table1[[#This Row],[Total Revenue]]/$H$5056*100</f>
        <v>6.0304822629925724E-2</v>
      </c>
      <c r="J935" s="3" t="s">
        <v>12</v>
      </c>
      <c r="K935" s="4">
        <v>8.1</v>
      </c>
      <c r="M935"/>
    </row>
    <row r="936" spans="1:13" x14ac:dyDescent="0.25">
      <c r="A936" s="3" t="s">
        <v>68</v>
      </c>
      <c r="B936" s="3" t="s">
        <v>245</v>
      </c>
      <c r="C936" s="3" t="s">
        <v>13</v>
      </c>
      <c r="D936" s="3" t="s">
        <v>19</v>
      </c>
      <c r="E936" s="5" t="s">
        <v>20</v>
      </c>
      <c r="F936" s="17">
        <v>55.61</v>
      </c>
      <c r="G936" s="3">
        <v>7</v>
      </c>
      <c r="H936" s="17">
        <f>Table1[[#This Row],[Unit price]]*Table1[[#This Row],[Quantity]]</f>
        <v>389.27</v>
      </c>
      <c r="I936" s="29">
        <f>Table1[[#This Row],[Total Revenue]]/$H$5056*100</f>
        <v>4.1299891458745928E-2</v>
      </c>
      <c r="J936" s="3" t="s">
        <v>15</v>
      </c>
      <c r="K936" s="4">
        <v>8.5</v>
      </c>
      <c r="M936"/>
    </row>
    <row r="937" spans="1:13" x14ac:dyDescent="0.25">
      <c r="A937" s="3" t="s">
        <v>68</v>
      </c>
      <c r="B937" s="3" t="s">
        <v>243</v>
      </c>
      <c r="C937" s="3" t="s">
        <v>13</v>
      </c>
      <c r="D937" s="3" t="s">
        <v>19</v>
      </c>
      <c r="E937" s="5" t="s">
        <v>11</v>
      </c>
      <c r="F937" s="17">
        <v>73.88</v>
      </c>
      <c r="G937" s="3">
        <v>6</v>
      </c>
      <c r="H937" s="17">
        <f>Table1[[#This Row],[Unit price]]*Table1[[#This Row],[Quantity]]</f>
        <v>443.28</v>
      </c>
      <c r="I937" s="29">
        <f>Table1[[#This Row],[Total Revenue]]/$H$5056*100</f>
        <v>4.7030122757553618E-2</v>
      </c>
      <c r="J937" s="3" t="s">
        <v>17</v>
      </c>
      <c r="K937" s="4">
        <v>4.4000000000000004</v>
      </c>
      <c r="M937"/>
    </row>
    <row r="938" spans="1:13" x14ac:dyDescent="0.25">
      <c r="A938" s="3" t="s">
        <v>69</v>
      </c>
      <c r="B938" s="3" t="s">
        <v>244</v>
      </c>
      <c r="C938" s="3" t="s">
        <v>9</v>
      </c>
      <c r="D938" s="3" t="s">
        <v>10</v>
      </c>
      <c r="E938" s="5" t="s">
        <v>18</v>
      </c>
      <c r="F938" s="17">
        <v>58.75</v>
      </c>
      <c r="G938" s="3">
        <v>6</v>
      </c>
      <c r="H938" s="17">
        <f>Table1[[#This Row],[Unit price]]*Table1[[#This Row],[Quantity]]</f>
        <v>352.5</v>
      </c>
      <c r="I938" s="29">
        <f>Table1[[#This Row],[Total Revenue]]/$H$5056*100</f>
        <v>3.7398750839283637E-2</v>
      </c>
      <c r="J938" s="3" t="s">
        <v>12</v>
      </c>
      <c r="K938" s="4">
        <v>5.9</v>
      </c>
      <c r="M938"/>
    </row>
    <row r="939" spans="1:13" x14ac:dyDescent="0.25">
      <c r="A939" s="3" t="s">
        <v>69</v>
      </c>
      <c r="B939" s="3" t="s">
        <v>243</v>
      </c>
      <c r="C939" s="3" t="s">
        <v>9</v>
      </c>
      <c r="D939" s="3" t="s">
        <v>19</v>
      </c>
      <c r="E939" s="5" t="s">
        <v>20</v>
      </c>
      <c r="F939" s="17">
        <v>65.94</v>
      </c>
      <c r="G939" s="3">
        <v>4</v>
      </c>
      <c r="H939" s="17">
        <f>Table1[[#This Row],[Unit price]]*Table1[[#This Row],[Quantity]]</f>
        <v>263.76</v>
      </c>
      <c r="I939" s="29">
        <f>Table1[[#This Row],[Total Revenue]]/$H$5056*100</f>
        <v>2.7983814245019722E-2</v>
      </c>
      <c r="J939" s="3" t="s">
        <v>15</v>
      </c>
      <c r="K939" s="4">
        <v>6</v>
      </c>
      <c r="M939"/>
    </row>
    <row r="940" spans="1:13" x14ac:dyDescent="0.25">
      <c r="A940" s="3" t="s">
        <v>69</v>
      </c>
      <c r="B940" s="3" t="s">
        <v>245</v>
      </c>
      <c r="C940" s="3" t="s">
        <v>9</v>
      </c>
      <c r="D940" s="3" t="s">
        <v>19</v>
      </c>
      <c r="E940" s="5" t="s">
        <v>16</v>
      </c>
      <c r="F940" s="17">
        <v>14.7</v>
      </c>
      <c r="G940" s="3">
        <v>5</v>
      </c>
      <c r="H940" s="17">
        <f>Table1[[#This Row],[Unit price]]*Table1[[#This Row],[Quantity]]</f>
        <v>73.5</v>
      </c>
      <c r="I940" s="29">
        <f>Table1[[#This Row],[Total Revenue]]/$H$5056*100</f>
        <v>7.7980374090421203E-3</v>
      </c>
      <c r="J940" s="3" t="s">
        <v>17</v>
      </c>
      <c r="K940" s="4">
        <v>8.5</v>
      </c>
      <c r="M940"/>
    </row>
    <row r="941" spans="1:13" x14ac:dyDescent="0.25">
      <c r="A941" s="3" t="s">
        <v>69</v>
      </c>
      <c r="B941" s="3" t="s">
        <v>244</v>
      </c>
      <c r="C941" s="3" t="s">
        <v>13</v>
      </c>
      <c r="D941" s="3" t="s">
        <v>10</v>
      </c>
      <c r="E941" s="5" t="s">
        <v>21</v>
      </c>
      <c r="F941" s="17">
        <v>82.88</v>
      </c>
      <c r="G941" s="3">
        <v>5</v>
      </c>
      <c r="H941" s="17">
        <f>Table1[[#This Row],[Unit price]]*Table1[[#This Row],[Quantity]]</f>
        <v>414.4</v>
      </c>
      <c r="I941" s="29">
        <f>Table1[[#This Row],[Total Revenue]]/$H$5056*100</f>
        <v>4.3966077582408905E-2</v>
      </c>
      <c r="J941" s="3" t="s">
        <v>12</v>
      </c>
      <c r="K941" s="4">
        <v>6.6</v>
      </c>
      <c r="M941"/>
    </row>
    <row r="942" spans="1:13" x14ac:dyDescent="0.25">
      <c r="A942" s="3" t="s">
        <v>69</v>
      </c>
      <c r="B942" s="3" t="s">
        <v>244</v>
      </c>
      <c r="C942" s="3" t="s">
        <v>13</v>
      </c>
      <c r="D942" s="3" t="s">
        <v>10</v>
      </c>
      <c r="E942" s="5" t="s">
        <v>16</v>
      </c>
      <c r="F942" s="17">
        <v>24.77</v>
      </c>
      <c r="G942" s="3">
        <v>5</v>
      </c>
      <c r="H942" s="17">
        <f>Table1[[#This Row],[Unit price]]*Table1[[#This Row],[Quantity]]</f>
        <v>123.85</v>
      </c>
      <c r="I942" s="29">
        <f>Table1[[#This Row],[Total Revenue]]/$H$5056*100</f>
        <v>1.3139958273603628E-2</v>
      </c>
      <c r="J942" s="3" t="s">
        <v>15</v>
      </c>
      <c r="K942" s="4">
        <v>8.5</v>
      </c>
      <c r="M942"/>
    </row>
    <row r="943" spans="1:13" x14ac:dyDescent="0.25">
      <c r="A943" s="3" t="s">
        <v>69</v>
      </c>
      <c r="B943" s="3" t="s">
        <v>245</v>
      </c>
      <c r="C943" s="3" t="s">
        <v>13</v>
      </c>
      <c r="D943" s="3" t="s">
        <v>19</v>
      </c>
      <c r="E943" s="5" t="s">
        <v>14</v>
      </c>
      <c r="F943" s="17">
        <v>64.95</v>
      </c>
      <c r="G943" s="3">
        <v>10</v>
      </c>
      <c r="H943" s="17">
        <f>Table1[[#This Row],[Unit price]]*Table1[[#This Row],[Quantity]]</f>
        <v>649.5</v>
      </c>
      <c r="I943" s="29">
        <f>Table1[[#This Row],[Total Revenue]]/$H$5056*100</f>
        <v>6.890918771663751E-2</v>
      </c>
      <c r="J943" s="3" t="s">
        <v>15</v>
      </c>
      <c r="K943" s="4">
        <v>5.2</v>
      </c>
      <c r="M943"/>
    </row>
    <row r="944" spans="1:13" x14ac:dyDescent="0.25">
      <c r="A944" s="3" t="s">
        <v>69</v>
      </c>
      <c r="B944" s="3" t="s">
        <v>245</v>
      </c>
      <c r="C944" s="3" t="s">
        <v>9</v>
      </c>
      <c r="D944" s="3" t="s">
        <v>10</v>
      </c>
      <c r="E944" s="5" t="s">
        <v>20</v>
      </c>
      <c r="F944" s="17">
        <v>78.38</v>
      </c>
      <c r="G944" s="3">
        <v>4</v>
      </c>
      <c r="H944" s="17">
        <f>Table1[[#This Row],[Unit price]]*Table1[[#This Row],[Quantity]]</f>
        <v>313.52</v>
      </c>
      <c r="I944" s="29">
        <f>Table1[[#This Row],[Total Revenue]]/$H$5056*100</f>
        <v>3.3263138618814768E-2</v>
      </c>
      <c r="J944" s="3" t="s">
        <v>15</v>
      </c>
      <c r="K944" s="4">
        <v>7.9</v>
      </c>
      <c r="M944"/>
    </row>
    <row r="945" spans="1:13" x14ac:dyDescent="0.25">
      <c r="A945" s="3" t="s">
        <v>69</v>
      </c>
      <c r="B945" s="3" t="s">
        <v>245</v>
      </c>
      <c r="C945" s="3" t="s">
        <v>13</v>
      </c>
      <c r="D945" s="3" t="s">
        <v>10</v>
      </c>
      <c r="E945" s="5" t="s">
        <v>11</v>
      </c>
      <c r="F945" s="17">
        <v>33.979999999999997</v>
      </c>
      <c r="G945" s="3">
        <v>9</v>
      </c>
      <c r="H945" s="17">
        <f>Table1[[#This Row],[Unit price]]*Table1[[#This Row],[Quantity]]</f>
        <v>305.82</v>
      </c>
      <c r="I945" s="29">
        <f>Table1[[#This Row],[Total Revenue]]/$H$5056*100</f>
        <v>3.2446201366438929E-2</v>
      </c>
      <c r="J945" s="3" t="s">
        <v>15</v>
      </c>
      <c r="K945" s="4">
        <v>4.2</v>
      </c>
      <c r="M945"/>
    </row>
    <row r="946" spans="1:13" x14ac:dyDescent="0.25">
      <c r="A946" s="3" t="s">
        <v>69</v>
      </c>
      <c r="B946" s="3" t="s">
        <v>243</v>
      </c>
      <c r="C946" s="3" t="s">
        <v>9</v>
      </c>
      <c r="D946" s="3" t="s">
        <v>10</v>
      </c>
      <c r="E946" s="5" t="s">
        <v>20</v>
      </c>
      <c r="F946" s="17">
        <v>70.319999999999993</v>
      </c>
      <c r="G946" s="3">
        <v>2</v>
      </c>
      <c r="H946" s="17">
        <f>Table1[[#This Row],[Unit price]]*Table1[[#This Row],[Quantity]]</f>
        <v>140.63999999999999</v>
      </c>
      <c r="I946" s="29">
        <f>Table1[[#This Row],[Total Revenue]]/$H$5056*100</f>
        <v>1.4921305866771206E-2</v>
      </c>
      <c r="J946" s="3" t="s">
        <v>17</v>
      </c>
      <c r="K946" s="4">
        <v>9.6</v>
      </c>
      <c r="M946"/>
    </row>
    <row r="947" spans="1:13" x14ac:dyDescent="0.25">
      <c r="A947" s="3" t="s">
        <v>69</v>
      </c>
      <c r="B947" s="3" t="s">
        <v>245</v>
      </c>
      <c r="C947" s="3" t="s">
        <v>9</v>
      </c>
      <c r="D947" s="3" t="s">
        <v>19</v>
      </c>
      <c r="E947" s="5" t="s">
        <v>20</v>
      </c>
      <c r="F947" s="17">
        <v>74.86</v>
      </c>
      <c r="G947" s="3">
        <v>1</v>
      </c>
      <c r="H947" s="17">
        <f>Table1[[#This Row],[Unit price]]*Table1[[#This Row],[Quantity]]</f>
        <v>74.86</v>
      </c>
      <c r="I947" s="29">
        <f>Table1[[#This Row],[Total Revenue]]/$H$5056*100</f>
        <v>7.9423276250461649E-3</v>
      </c>
      <c r="J947" s="3" t="s">
        <v>15</v>
      </c>
      <c r="K947" s="4">
        <v>6.9</v>
      </c>
      <c r="M947"/>
    </row>
    <row r="948" spans="1:13" x14ac:dyDescent="0.25">
      <c r="A948" s="3" t="s">
        <v>69</v>
      </c>
      <c r="B948" s="3" t="s">
        <v>244</v>
      </c>
      <c r="C948" s="3" t="s">
        <v>13</v>
      </c>
      <c r="D948" s="3" t="s">
        <v>19</v>
      </c>
      <c r="E948" s="5" t="s">
        <v>20</v>
      </c>
      <c r="F948" s="17">
        <v>99.92</v>
      </c>
      <c r="G948" s="3">
        <v>6</v>
      </c>
      <c r="H948" s="17">
        <f>Table1[[#This Row],[Unit price]]*Table1[[#This Row],[Quantity]]</f>
        <v>599.52</v>
      </c>
      <c r="I948" s="29">
        <f>Table1[[#This Row],[Total Revenue]]/$H$5056*100</f>
        <v>6.360652227848887E-2</v>
      </c>
      <c r="J948" s="3" t="s">
        <v>17</v>
      </c>
      <c r="K948" s="4">
        <v>7.1</v>
      </c>
      <c r="M948"/>
    </row>
    <row r="949" spans="1:13" x14ac:dyDescent="0.25">
      <c r="A949" s="3" t="s">
        <v>70</v>
      </c>
      <c r="B949" s="3" t="s">
        <v>244</v>
      </c>
      <c r="C949" s="3" t="s">
        <v>13</v>
      </c>
      <c r="D949" s="3" t="s">
        <v>10</v>
      </c>
      <c r="E949" s="5" t="s">
        <v>16</v>
      </c>
      <c r="F949" s="17">
        <v>93.31</v>
      </c>
      <c r="G949" s="3">
        <v>2</v>
      </c>
      <c r="H949" s="17">
        <f>Table1[[#This Row],[Unit price]]*Table1[[#This Row],[Quantity]]</f>
        <v>186.62</v>
      </c>
      <c r="I949" s="29">
        <f>Table1[[#This Row],[Total Revenue]]/$H$5056*100</f>
        <v>1.979958831667266E-2</v>
      </c>
      <c r="J949" s="3" t="s">
        <v>15</v>
      </c>
      <c r="K949" s="4">
        <v>6.3</v>
      </c>
      <c r="M949"/>
    </row>
    <row r="950" spans="1:13" x14ac:dyDescent="0.25">
      <c r="A950" s="3" t="s">
        <v>70</v>
      </c>
      <c r="B950" s="3" t="s">
        <v>244</v>
      </c>
      <c r="C950" s="3" t="s">
        <v>13</v>
      </c>
      <c r="D950" s="3" t="s">
        <v>19</v>
      </c>
      <c r="E950" s="5" t="s">
        <v>14</v>
      </c>
      <c r="F950" s="17">
        <v>52.89</v>
      </c>
      <c r="G950" s="3">
        <v>4</v>
      </c>
      <c r="H950" s="17">
        <f>Table1[[#This Row],[Unit price]]*Table1[[#This Row],[Quantity]]</f>
        <v>211.56</v>
      </c>
      <c r="I950" s="29">
        <f>Table1[[#This Row],[Total Revenue]]/$H$5056*100</f>
        <v>2.244561624839389E-2</v>
      </c>
      <c r="J950" s="3" t="s">
        <v>17</v>
      </c>
      <c r="K950" s="4">
        <v>6.7</v>
      </c>
      <c r="M950"/>
    </row>
    <row r="951" spans="1:13" x14ac:dyDescent="0.25">
      <c r="A951" s="3" t="s">
        <v>70</v>
      </c>
      <c r="B951" s="3" t="s">
        <v>245</v>
      </c>
      <c r="C951" s="3" t="s">
        <v>13</v>
      </c>
      <c r="D951" s="3" t="s">
        <v>19</v>
      </c>
      <c r="E951" s="5" t="s">
        <v>14</v>
      </c>
      <c r="F951" s="17">
        <v>85.39</v>
      </c>
      <c r="G951" s="3">
        <v>7</v>
      </c>
      <c r="H951" s="17">
        <f>Table1[[#This Row],[Unit price]]*Table1[[#This Row],[Quantity]]</f>
        <v>597.73</v>
      </c>
      <c r="I951" s="29">
        <f>Table1[[#This Row],[Total Revenue]]/$H$5056*100</f>
        <v>6.3416610891248254E-2</v>
      </c>
      <c r="J951" s="3" t="s">
        <v>17</v>
      </c>
      <c r="K951" s="4">
        <v>4.0999999999999996</v>
      </c>
      <c r="M951"/>
    </row>
    <row r="952" spans="1:13" x14ac:dyDescent="0.25">
      <c r="A952" s="3" t="s">
        <v>70</v>
      </c>
      <c r="B952" s="3" t="s">
        <v>245</v>
      </c>
      <c r="C952" s="3" t="s">
        <v>13</v>
      </c>
      <c r="D952" s="3" t="s">
        <v>10</v>
      </c>
      <c r="E952" s="5" t="s">
        <v>11</v>
      </c>
      <c r="F952" s="17">
        <v>39.43</v>
      </c>
      <c r="G952" s="3">
        <v>6</v>
      </c>
      <c r="H952" s="17">
        <f>Table1[[#This Row],[Unit price]]*Table1[[#This Row],[Quantity]]</f>
        <v>236.57999999999998</v>
      </c>
      <c r="I952" s="29">
        <f>Table1[[#This Row],[Total Revenue]]/$H$5056*100</f>
        <v>2.5100131839880066E-2</v>
      </c>
      <c r="J952" s="3" t="s">
        <v>12</v>
      </c>
      <c r="K952" s="4">
        <v>9.4</v>
      </c>
      <c r="M952"/>
    </row>
    <row r="953" spans="1:13" x14ac:dyDescent="0.25">
      <c r="A953" s="3" t="s">
        <v>70</v>
      </c>
      <c r="B953" s="3" t="s">
        <v>243</v>
      </c>
      <c r="C953" s="3" t="s">
        <v>13</v>
      </c>
      <c r="D953" s="3" t="s">
        <v>10</v>
      </c>
      <c r="E953" s="5" t="s">
        <v>21</v>
      </c>
      <c r="F953" s="17">
        <v>15.8</v>
      </c>
      <c r="G953" s="3">
        <v>3</v>
      </c>
      <c r="H953" s="17">
        <f>Table1[[#This Row],[Unit price]]*Table1[[#This Row],[Quantity]]</f>
        <v>47.400000000000006</v>
      </c>
      <c r="I953" s="29">
        <f>Table1[[#This Row],[Total Revenue]]/$H$5056*100</f>
        <v>5.0289384107292043E-3</v>
      </c>
      <c r="J953" s="3" t="s">
        <v>15</v>
      </c>
      <c r="K953" s="4">
        <v>9.5</v>
      </c>
      <c r="M953"/>
    </row>
    <row r="954" spans="1:13" x14ac:dyDescent="0.25">
      <c r="A954" s="3" t="s">
        <v>70</v>
      </c>
      <c r="B954" s="3" t="s">
        <v>245</v>
      </c>
      <c r="C954" s="3" t="s">
        <v>13</v>
      </c>
      <c r="D954" s="3" t="s">
        <v>19</v>
      </c>
      <c r="E954" s="5" t="s">
        <v>18</v>
      </c>
      <c r="F954" s="17">
        <v>76.52</v>
      </c>
      <c r="G954" s="3">
        <v>5</v>
      </c>
      <c r="H954" s="17">
        <f>Table1[[#This Row],[Unit price]]*Table1[[#This Row],[Quantity]]</f>
        <v>382.59999999999997</v>
      </c>
      <c r="I954" s="29">
        <f>Table1[[#This Row],[Total Revenue]]/$H$5056*100</f>
        <v>4.059223282584374E-2</v>
      </c>
      <c r="J954" s="3" t="s">
        <v>15</v>
      </c>
      <c r="K954" s="4">
        <v>9.9</v>
      </c>
      <c r="M954"/>
    </row>
    <row r="955" spans="1:13" x14ac:dyDescent="0.25">
      <c r="A955" s="3" t="s">
        <v>70</v>
      </c>
      <c r="B955" s="3" t="s">
        <v>243</v>
      </c>
      <c r="C955" s="3" t="s">
        <v>13</v>
      </c>
      <c r="D955" s="3" t="s">
        <v>10</v>
      </c>
      <c r="E955" s="5" t="s">
        <v>11</v>
      </c>
      <c r="F955" s="17">
        <v>55.39</v>
      </c>
      <c r="G955" s="3">
        <v>4</v>
      </c>
      <c r="H955" s="17">
        <f>Table1[[#This Row],[Unit price]]*Table1[[#This Row],[Quantity]]</f>
        <v>221.56</v>
      </c>
      <c r="I955" s="29">
        <f>Table1[[#This Row],[Total Revenue]]/$H$5056*100</f>
        <v>2.3506573719011867E-2</v>
      </c>
      <c r="J955" s="3" t="s">
        <v>17</v>
      </c>
      <c r="K955" s="4">
        <v>8</v>
      </c>
      <c r="M955"/>
    </row>
    <row r="956" spans="1:13" x14ac:dyDescent="0.25">
      <c r="A956" s="3" t="s">
        <v>70</v>
      </c>
      <c r="B956" s="3" t="s">
        <v>243</v>
      </c>
      <c r="C956" s="3" t="s">
        <v>9</v>
      </c>
      <c r="D956" s="3" t="s">
        <v>19</v>
      </c>
      <c r="E956" s="5" t="s">
        <v>14</v>
      </c>
      <c r="F956" s="17">
        <v>19.32</v>
      </c>
      <c r="G956" s="3">
        <v>7</v>
      </c>
      <c r="H956" s="17">
        <f>Table1[[#This Row],[Unit price]]*Table1[[#This Row],[Quantity]]</f>
        <v>135.24</v>
      </c>
      <c r="I956" s="29">
        <f>Table1[[#This Row],[Total Revenue]]/$H$5056*100</f>
        <v>1.4348388832637502E-2</v>
      </c>
      <c r="J956" s="3" t="s">
        <v>15</v>
      </c>
      <c r="K956" s="4">
        <v>6.9</v>
      </c>
      <c r="M956"/>
    </row>
    <row r="957" spans="1:13" x14ac:dyDescent="0.25">
      <c r="A957" s="3" t="s">
        <v>70</v>
      </c>
      <c r="B957" s="3" t="s">
        <v>243</v>
      </c>
      <c r="C957" s="3" t="s">
        <v>9</v>
      </c>
      <c r="D957" s="3" t="s">
        <v>19</v>
      </c>
      <c r="E957" s="5" t="s">
        <v>14</v>
      </c>
      <c r="F957" s="17">
        <v>36.36</v>
      </c>
      <c r="G957" s="3">
        <v>4</v>
      </c>
      <c r="H957" s="17">
        <f>Table1[[#This Row],[Unit price]]*Table1[[#This Row],[Quantity]]</f>
        <v>145.44</v>
      </c>
      <c r="I957" s="29">
        <f>Table1[[#This Row],[Total Revenue]]/$H$5056*100</f>
        <v>1.5430565452667836E-2</v>
      </c>
      <c r="J957" s="3" t="s">
        <v>15</v>
      </c>
      <c r="K957" s="4">
        <v>7.6</v>
      </c>
      <c r="M957"/>
    </row>
    <row r="958" spans="1:13" x14ac:dyDescent="0.25">
      <c r="A958" s="3" t="s">
        <v>71</v>
      </c>
      <c r="B958" s="3" t="s">
        <v>243</v>
      </c>
      <c r="C958" s="3" t="s">
        <v>13</v>
      </c>
      <c r="D958" s="3" t="s">
        <v>10</v>
      </c>
      <c r="E958" s="5" t="s">
        <v>21</v>
      </c>
      <c r="F958" s="17">
        <v>64.27</v>
      </c>
      <c r="G958" s="3">
        <v>4</v>
      </c>
      <c r="H958" s="17">
        <f>Table1[[#This Row],[Unit price]]*Table1[[#This Row],[Quantity]]</f>
        <v>257.08</v>
      </c>
      <c r="I958" s="29">
        <f>Table1[[#This Row],[Total Revenue]]/$H$5056*100</f>
        <v>2.7275094654646913E-2</v>
      </c>
      <c r="J958" s="3" t="s">
        <v>15</v>
      </c>
      <c r="K958" s="4">
        <v>7.7</v>
      </c>
      <c r="M958"/>
    </row>
    <row r="959" spans="1:13" x14ac:dyDescent="0.25">
      <c r="A959" s="3" t="s">
        <v>71</v>
      </c>
      <c r="B959" s="3" t="s">
        <v>243</v>
      </c>
      <c r="C959" s="3" t="s">
        <v>9</v>
      </c>
      <c r="D959" s="3" t="s">
        <v>10</v>
      </c>
      <c r="E959" s="5" t="s">
        <v>21</v>
      </c>
      <c r="F959" s="17">
        <v>27.73</v>
      </c>
      <c r="G959" s="3">
        <v>5</v>
      </c>
      <c r="H959" s="17">
        <f>Table1[[#This Row],[Unit price]]*Table1[[#This Row],[Quantity]]</f>
        <v>138.65</v>
      </c>
      <c r="I959" s="29">
        <f>Table1[[#This Row],[Total Revenue]]/$H$5056*100</f>
        <v>1.4710175330118232E-2</v>
      </c>
      <c r="J959" s="3" t="s">
        <v>12</v>
      </c>
      <c r="K959" s="4">
        <v>4.2</v>
      </c>
      <c r="M959"/>
    </row>
    <row r="960" spans="1:13" x14ac:dyDescent="0.25">
      <c r="A960" s="3" t="s">
        <v>71</v>
      </c>
      <c r="B960" s="3" t="s">
        <v>243</v>
      </c>
      <c r="C960" s="3" t="s">
        <v>9</v>
      </c>
      <c r="D960" s="3" t="s">
        <v>19</v>
      </c>
      <c r="E960" s="5" t="s">
        <v>14</v>
      </c>
      <c r="F960" s="17">
        <v>72.2</v>
      </c>
      <c r="G960" s="3">
        <v>7</v>
      </c>
      <c r="H960" s="17">
        <f>Table1[[#This Row],[Unit price]]*Table1[[#This Row],[Quantity]]</f>
        <v>505.40000000000003</v>
      </c>
      <c r="I960" s="29">
        <f>Table1[[#This Row],[Total Revenue]]/$H$5056*100</f>
        <v>5.3620790565032481E-2</v>
      </c>
      <c r="J960" s="3" t="s">
        <v>17</v>
      </c>
      <c r="K960" s="4">
        <v>4.3</v>
      </c>
      <c r="M960"/>
    </row>
    <row r="961" spans="1:13" x14ac:dyDescent="0.25">
      <c r="A961" s="3" t="s">
        <v>71</v>
      </c>
      <c r="B961" s="3" t="s">
        <v>245</v>
      </c>
      <c r="C961" s="3" t="s">
        <v>9</v>
      </c>
      <c r="D961" s="3" t="s">
        <v>19</v>
      </c>
      <c r="E961" s="5" t="s">
        <v>21</v>
      </c>
      <c r="F961" s="17">
        <v>43.7</v>
      </c>
      <c r="G961" s="3">
        <v>2</v>
      </c>
      <c r="H961" s="17">
        <f>Table1[[#This Row],[Unit price]]*Table1[[#This Row],[Quantity]]</f>
        <v>87.4</v>
      </c>
      <c r="I961" s="29">
        <f>Table1[[#This Row],[Total Revenue]]/$H$5056*100</f>
        <v>9.2727682932011064E-3</v>
      </c>
      <c r="J961" s="3" t="s">
        <v>15</v>
      </c>
      <c r="K961" s="4">
        <v>4.9000000000000004</v>
      </c>
      <c r="M961"/>
    </row>
    <row r="962" spans="1:13" x14ac:dyDescent="0.25">
      <c r="A962" s="3" t="s">
        <v>71</v>
      </c>
      <c r="B962" s="3" t="s">
        <v>243</v>
      </c>
      <c r="C962" s="3" t="s">
        <v>9</v>
      </c>
      <c r="D962" s="3" t="s">
        <v>19</v>
      </c>
      <c r="E962" s="5" t="s">
        <v>18</v>
      </c>
      <c r="F962" s="17">
        <v>41.28</v>
      </c>
      <c r="G962" s="3">
        <v>3</v>
      </c>
      <c r="H962" s="17">
        <f>Table1[[#This Row],[Unit price]]*Table1[[#This Row],[Quantity]]</f>
        <v>123.84</v>
      </c>
      <c r="I962" s="29">
        <f>Table1[[#This Row],[Total Revenue]]/$H$5056*100</f>
        <v>1.3138897316133009E-2</v>
      </c>
      <c r="J962" s="3" t="s">
        <v>12</v>
      </c>
      <c r="K962" s="4">
        <v>8.5</v>
      </c>
      <c r="M962"/>
    </row>
    <row r="963" spans="1:13" x14ac:dyDescent="0.25">
      <c r="A963" s="3" t="s">
        <v>71</v>
      </c>
      <c r="B963" s="3" t="s">
        <v>244</v>
      </c>
      <c r="C963" s="3" t="s">
        <v>13</v>
      </c>
      <c r="D963" s="3" t="s">
        <v>10</v>
      </c>
      <c r="E963" s="5" t="s">
        <v>14</v>
      </c>
      <c r="F963" s="17">
        <v>45.71</v>
      </c>
      <c r="G963" s="3">
        <v>3</v>
      </c>
      <c r="H963" s="17">
        <f>Table1[[#This Row],[Unit price]]*Table1[[#This Row],[Quantity]]</f>
        <v>137.13</v>
      </c>
      <c r="I963" s="29">
        <f>Table1[[#This Row],[Total Revenue]]/$H$5056*100</f>
        <v>1.4548909794584298E-2</v>
      </c>
      <c r="J963" s="3" t="s">
        <v>12</v>
      </c>
      <c r="K963" s="4">
        <v>7.7</v>
      </c>
      <c r="M963"/>
    </row>
    <row r="964" spans="1:13" x14ac:dyDescent="0.25">
      <c r="A964" s="3" t="s">
        <v>71</v>
      </c>
      <c r="B964" s="3" t="s">
        <v>244</v>
      </c>
      <c r="C964" s="3" t="s">
        <v>9</v>
      </c>
      <c r="D964" s="3" t="s">
        <v>10</v>
      </c>
      <c r="E964" s="5" t="s">
        <v>20</v>
      </c>
      <c r="F964" s="17">
        <v>12.29</v>
      </c>
      <c r="G964" s="3">
        <v>9</v>
      </c>
      <c r="H964" s="17">
        <f>Table1[[#This Row],[Unit price]]*Table1[[#This Row],[Quantity]]</f>
        <v>110.60999999999999</v>
      </c>
      <c r="I964" s="29">
        <f>Table1[[#This Row],[Total Revenue]]/$H$5056*100</f>
        <v>1.1735250582505425E-2</v>
      </c>
      <c r="J964" s="3" t="s">
        <v>12</v>
      </c>
      <c r="K964" s="4">
        <v>8</v>
      </c>
      <c r="M964"/>
    </row>
    <row r="965" spans="1:13" x14ac:dyDescent="0.25">
      <c r="A965" s="3" t="s">
        <v>71</v>
      </c>
      <c r="B965" s="3" t="s">
        <v>244</v>
      </c>
      <c r="C965" s="3" t="s">
        <v>9</v>
      </c>
      <c r="D965" s="3" t="s">
        <v>10</v>
      </c>
      <c r="E965" s="5" t="s">
        <v>16</v>
      </c>
      <c r="F965" s="17">
        <v>39.119999999999997</v>
      </c>
      <c r="G965" s="3">
        <v>1</v>
      </c>
      <c r="H965" s="17">
        <f>Table1[[#This Row],[Unit price]]*Table1[[#This Row],[Quantity]]</f>
        <v>39.119999999999997</v>
      </c>
      <c r="I965" s="29">
        <f>Table1[[#This Row],[Total Revenue]]/$H$5056*100</f>
        <v>4.1504656250575195E-3</v>
      </c>
      <c r="J965" s="3" t="s">
        <v>12</v>
      </c>
      <c r="K965" s="4">
        <v>9.6</v>
      </c>
      <c r="M965"/>
    </row>
    <row r="966" spans="1:13" x14ac:dyDescent="0.25">
      <c r="A966" s="3" t="s">
        <v>71</v>
      </c>
      <c r="B966" s="3" t="s">
        <v>243</v>
      </c>
      <c r="C966" s="3" t="s">
        <v>13</v>
      </c>
      <c r="D966" s="3" t="s">
        <v>19</v>
      </c>
      <c r="E966" s="5" t="s">
        <v>18</v>
      </c>
      <c r="F966" s="17">
        <v>52.38</v>
      </c>
      <c r="G966" s="3">
        <v>1</v>
      </c>
      <c r="H966" s="17">
        <f>Table1[[#This Row],[Unit price]]*Table1[[#This Row],[Quantity]]</f>
        <v>52.38</v>
      </c>
      <c r="I966" s="29">
        <f>Table1[[#This Row],[Total Revenue]]/$H$5056*100</f>
        <v>5.5572952310969561E-3</v>
      </c>
      <c r="J966" s="3" t="s">
        <v>15</v>
      </c>
      <c r="K966" s="4">
        <v>5.8</v>
      </c>
      <c r="M966"/>
    </row>
    <row r="967" spans="1:13" x14ac:dyDescent="0.25">
      <c r="A967" s="3" t="s">
        <v>71</v>
      </c>
      <c r="B967" s="3" t="s">
        <v>245</v>
      </c>
      <c r="C967" s="3" t="s">
        <v>9</v>
      </c>
      <c r="D967" s="3" t="s">
        <v>19</v>
      </c>
      <c r="E967" s="5" t="s">
        <v>14</v>
      </c>
      <c r="F967" s="17">
        <v>84.25</v>
      </c>
      <c r="G967" s="3">
        <v>2</v>
      </c>
      <c r="H967" s="17">
        <f>Table1[[#This Row],[Unit price]]*Table1[[#This Row],[Quantity]]</f>
        <v>168.5</v>
      </c>
      <c r="I967" s="29">
        <f>Table1[[#This Row],[Total Revenue]]/$H$5056*100</f>
        <v>1.7877133379912886E-2</v>
      </c>
      <c r="J967" s="3" t="s">
        <v>12</v>
      </c>
      <c r="K967" s="4">
        <v>5.3</v>
      </c>
      <c r="M967"/>
    </row>
    <row r="968" spans="1:13" x14ac:dyDescent="0.25">
      <c r="A968" s="3" t="s">
        <v>71</v>
      </c>
      <c r="B968" s="3" t="s">
        <v>245</v>
      </c>
      <c r="C968" s="3" t="s">
        <v>9</v>
      </c>
      <c r="D968" s="3" t="s">
        <v>19</v>
      </c>
      <c r="E968" s="5" t="s">
        <v>18</v>
      </c>
      <c r="F968" s="17">
        <v>48.71</v>
      </c>
      <c r="G968" s="3">
        <v>1</v>
      </c>
      <c r="H968" s="17">
        <f>Table1[[#This Row],[Unit price]]*Table1[[#This Row],[Quantity]]</f>
        <v>48.71</v>
      </c>
      <c r="I968" s="29">
        <f>Table1[[#This Row],[Total Revenue]]/$H$5056*100</f>
        <v>5.1679238393801587E-3</v>
      </c>
      <c r="J968" s="3" t="s">
        <v>15</v>
      </c>
      <c r="K968" s="4">
        <v>4.0999999999999996</v>
      </c>
      <c r="M968"/>
    </row>
    <row r="969" spans="1:13" x14ac:dyDescent="0.25">
      <c r="A969" s="3" t="s">
        <v>71</v>
      </c>
      <c r="B969" s="3" t="s">
        <v>245</v>
      </c>
      <c r="C969" s="3" t="s">
        <v>13</v>
      </c>
      <c r="D969" s="3" t="s">
        <v>10</v>
      </c>
      <c r="E969" s="5" t="s">
        <v>11</v>
      </c>
      <c r="F969" s="17">
        <v>16.309999999999999</v>
      </c>
      <c r="G969" s="3">
        <v>9</v>
      </c>
      <c r="H969" s="17">
        <f>Table1[[#This Row],[Unit price]]*Table1[[#This Row],[Quantity]]</f>
        <v>146.79</v>
      </c>
      <c r="I969" s="29">
        <f>Table1[[#This Row],[Total Revenue]]/$H$5056*100</f>
        <v>1.5573794711201263E-2</v>
      </c>
      <c r="J969" s="3" t="s">
        <v>17</v>
      </c>
      <c r="K969" s="4">
        <v>8.4</v>
      </c>
      <c r="M969"/>
    </row>
    <row r="970" spans="1:13" x14ac:dyDescent="0.25">
      <c r="A970" s="3" t="s">
        <v>71</v>
      </c>
      <c r="B970" s="3" t="s">
        <v>243</v>
      </c>
      <c r="C970" s="3" t="s">
        <v>9</v>
      </c>
      <c r="D970" s="3" t="s">
        <v>10</v>
      </c>
      <c r="E970" s="5" t="s">
        <v>21</v>
      </c>
      <c r="F970" s="17">
        <v>10.69</v>
      </c>
      <c r="G970" s="3">
        <v>5</v>
      </c>
      <c r="H970" s="17">
        <f>Table1[[#This Row],[Unit price]]*Table1[[#This Row],[Quantity]]</f>
        <v>53.449999999999996</v>
      </c>
      <c r="I970" s="29">
        <f>Table1[[#This Row],[Total Revenue]]/$H$5056*100</f>
        <v>5.6708176804530783E-3</v>
      </c>
      <c r="J970" s="3" t="s">
        <v>17</v>
      </c>
      <c r="K970" s="4">
        <v>7.6</v>
      </c>
      <c r="M970"/>
    </row>
    <row r="971" spans="1:13" x14ac:dyDescent="0.25">
      <c r="A971" s="3" t="s">
        <v>72</v>
      </c>
      <c r="B971" s="3" t="s">
        <v>243</v>
      </c>
      <c r="C971" s="3" t="s">
        <v>13</v>
      </c>
      <c r="D971" s="3" t="s">
        <v>10</v>
      </c>
      <c r="E971" s="5" t="s">
        <v>11</v>
      </c>
      <c r="F971" s="17">
        <v>52.34</v>
      </c>
      <c r="G971" s="3">
        <v>3</v>
      </c>
      <c r="H971" s="17">
        <f>Table1[[#This Row],[Unit price]]*Table1[[#This Row],[Quantity]]</f>
        <v>157.02000000000001</v>
      </c>
      <c r="I971" s="29">
        <f>Table1[[#This Row],[Total Revenue]]/$H$5056*100</f>
        <v>1.6659154203643455E-2</v>
      </c>
      <c r="J971" s="3" t="s">
        <v>15</v>
      </c>
      <c r="K971" s="4">
        <v>9.1999999999999993</v>
      </c>
      <c r="M971"/>
    </row>
    <row r="972" spans="1:13" x14ac:dyDescent="0.25">
      <c r="A972" s="3" t="s">
        <v>72</v>
      </c>
      <c r="B972" s="3" t="s">
        <v>243</v>
      </c>
      <c r="C972" s="3" t="s">
        <v>9</v>
      </c>
      <c r="D972" s="3" t="s">
        <v>19</v>
      </c>
      <c r="E972" s="5" t="s">
        <v>11</v>
      </c>
      <c r="F972" s="17">
        <v>49.38</v>
      </c>
      <c r="G972" s="3">
        <v>7</v>
      </c>
      <c r="H972" s="17">
        <f>Table1[[#This Row],[Unit price]]*Table1[[#This Row],[Quantity]]</f>
        <v>345.66</v>
      </c>
      <c r="I972" s="29">
        <f>Table1[[#This Row],[Total Revenue]]/$H$5056*100</f>
        <v>3.6673055929380943E-2</v>
      </c>
      <c r="J972" s="3" t="s">
        <v>12</v>
      </c>
      <c r="K972" s="4">
        <v>7.3</v>
      </c>
      <c r="M972"/>
    </row>
    <row r="973" spans="1:13" x14ac:dyDescent="0.25">
      <c r="A973" s="3" t="s">
        <v>72</v>
      </c>
      <c r="B973" s="3" t="s">
        <v>244</v>
      </c>
      <c r="C973" s="3" t="s">
        <v>13</v>
      </c>
      <c r="D973" s="3" t="s">
        <v>19</v>
      </c>
      <c r="E973" s="5" t="s">
        <v>16</v>
      </c>
      <c r="F973" s="17">
        <v>93.39</v>
      </c>
      <c r="G973" s="3">
        <v>6</v>
      </c>
      <c r="H973" s="17">
        <f>Table1[[#This Row],[Unit price]]*Table1[[#This Row],[Quantity]]</f>
        <v>560.34</v>
      </c>
      <c r="I973" s="29">
        <f>Table1[[#This Row],[Total Revenue]]/$H$5056*100</f>
        <v>5.944969090860764E-2</v>
      </c>
      <c r="J973" s="3" t="s">
        <v>17</v>
      </c>
      <c r="K973" s="4">
        <v>10</v>
      </c>
      <c r="M973"/>
    </row>
    <row r="974" spans="1:13" x14ac:dyDescent="0.25">
      <c r="A974" s="3" t="s">
        <v>72</v>
      </c>
      <c r="B974" s="3" t="s">
        <v>243</v>
      </c>
      <c r="C974" s="3" t="s">
        <v>9</v>
      </c>
      <c r="D974" s="3" t="s">
        <v>19</v>
      </c>
      <c r="E974" s="5" t="s">
        <v>20</v>
      </c>
      <c r="F974" s="17">
        <v>44.34</v>
      </c>
      <c r="G974" s="3">
        <v>2</v>
      </c>
      <c r="H974" s="17">
        <f>Table1[[#This Row],[Unit price]]*Table1[[#This Row],[Quantity]]</f>
        <v>88.68</v>
      </c>
      <c r="I974" s="29">
        <f>Table1[[#This Row],[Total Revenue]]/$H$5056*100</f>
        <v>9.4085708494402072E-3</v>
      </c>
      <c r="J974" s="3" t="s">
        <v>15</v>
      </c>
      <c r="K974" s="4">
        <v>5.8</v>
      </c>
      <c r="M974"/>
    </row>
    <row r="975" spans="1:13" x14ac:dyDescent="0.25">
      <c r="A975" s="3" t="s">
        <v>72</v>
      </c>
      <c r="B975" s="3" t="s">
        <v>243</v>
      </c>
      <c r="C975" s="3" t="s">
        <v>13</v>
      </c>
      <c r="D975" s="3" t="s">
        <v>19</v>
      </c>
      <c r="E975" s="5" t="s">
        <v>21</v>
      </c>
      <c r="F975" s="17">
        <v>32.46</v>
      </c>
      <c r="G975" s="3">
        <v>8</v>
      </c>
      <c r="H975" s="17">
        <f>Table1[[#This Row],[Unit price]]*Table1[[#This Row],[Quantity]]</f>
        <v>259.68</v>
      </c>
      <c r="I975" s="29">
        <f>Table1[[#This Row],[Total Revenue]]/$H$5056*100</f>
        <v>2.7550943597007591E-2</v>
      </c>
      <c r="J975" s="3" t="s">
        <v>12</v>
      </c>
      <c r="K975" s="4">
        <v>4.9000000000000004</v>
      </c>
      <c r="M975"/>
    </row>
    <row r="976" spans="1:13" x14ac:dyDescent="0.25">
      <c r="A976" s="3" t="s">
        <v>72</v>
      </c>
      <c r="B976" s="3" t="s">
        <v>244</v>
      </c>
      <c r="C976" s="3" t="s">
        <v>9</v>
      </c>
      <c r="D976" s="3" t="s">
        <v>10</v>
      </c>
      <c r="E976" s="5" t="s">
        <v>11</v>
      </c>
      <c r="F976" s="17">
        <v>29.15</v>
      </c>
      <c r="G976" s="3">
        <v>3</v>
      </c>
      <c r="H976" s="17">
        <f>Table1[[#This Row],[Unit price]]*Table1[[#This Row],[Quantity]]</f>
        <v>87.449999999999989</v>
      </c>
      <c r="I976" s="29">
        <f>Table1[[#This Row],[Total Revenue]]/$H$5056*100</f>
        <v>9.2780730805541948E-3</v>
      </c>
      <c r="J976" s="3" t="s">
        <v>12</v>
      </c>
      <c r="K976" s="4">
        <v>7.3</v>
      </c>
      <c r="M976"/>
    </row>
    <row r="977" spans="1:13" x14ac:dyDescent="0.25">
      <c r="A977" s="3" t="s">
        <v>72</v>
      </c>
      <c r="B977" s="3" t="s">
        <v>244</v>
      </c>
      <c r="C977" s="3" t="s">
        <v>9</v>
      </c>
      <c r="D977" s="3" t="s">
        <v>19</v>
      </c>
      <c r="E977" s="5" t="s">
        <v>14</v>
      </c>
      <c r="F977" s="17">
        <v>55.67</v>
      </c>
      <c r="G977" s="3">
        <v>2</v>
      </c>
      <c r="H977" s="17">
        <f>Table1[[#This Row],[Unit price]]*Table1[[#This Row],[Quantity]]</f>
        <v>111.34</v>
      </c>
      <c r="I977" s="29">
        <f>Table1[[#This Row],[Total Revenue]]/$H$5056*100</f>
        <v>1.181270047786054E-2</v>
      </c>
      <c r="J977" s="3" t="s">
        <v>17</v>
      </c>
      <c r="K977" s="4">
        <v>6</v>
      </c>
      <c r="M977"/>
    </row>
    <row r="978" spans="1:13" x14ac:dyDescent="0.25">
      <c r="A978" s="3" t="s">
        <v>72</v>
      </c>
      <c r="B978" s="3" t="s">
        <v>243</v>
      </c>
      <c r="C978" s="3" t="s">
        <v>9</v>
      </c>
      <c r="D978" s="3" t="s">
        <v>10</v>
      </c>
      <c r="E978" s="5" t="s">
        <v>11</v>
      </c>
      <c r="F978" s="17">
        <v>79.540000000000006</v>
      </c>
      <c r="G978" s="3">
        <v>2</v>
      </c>
      <c r="H978" s="17">
        <f>Table1[[#This Row],[Unit price]]*Table1[[#This Row],[Quantity]]</f>
        <v>159.08000000000001</v>
      </c>
      <c r="I978" s="29">
        <f>Table1[[#This Row],[Total Revenue]]/$H$5056*100</f>
        <v>1.6877711442590756E-2</v>
      </c>
      <c r="J978" s="3" t="s">
        <v>17</v>
      </c>
      <c r="K978" s="4">
        <v>6.2</v>
      </c>
      <c r="M978"/>
    </row>
    <row r="979" spans="1:13" x14ac:dyDescent="0.25">
      <c r="A979" s="3" t="s">
        <v>72</v>
      </c>
      <c r="B979" s="3" t="s">
        <v>244</v>
      </c>
      <c r="C979" s="3" t="s">
        <v>13</v>
      </c>
      <c r="D979" s="3" t="s">
        <v>19</v>
      </c>
      <c r="E979" s="5" t="s">
        <v>11</v>
      </c>
      <c r="F979" s="17">
        <v>32.32</v>
      </c>
      <c r="G979" s="3">
        <v>3</v>
      </c>
      <c r="H979" s="17">
        <f>Table1[[#This Row],[Unit price]]*Table1[[#This Row],[Quantity]]</f>
        <v>96.960000000000008</v>
      </c>
      <c r="I979" s="29">
        <f>Table1[[#This Row],[Total Revenue]]/$H$5056*100</f>
        <v>1.0287043635111891E-2</v>
      </c>
      <c r="J979" s="3" t="s">
        <v>12</v>
      </c>
      <c r="K979" s="4">
        <v>4.3</v>
      </c>
      <c r="M979"/>
    </row>
    <row r="980" spans="1:13" x14ac:dyDescent="0.25">
      <c r="A980" s="3" t="s">
        <v>72</v>
      </c>
      <c r="B980" s="3" t="s">
        <v>245</v>
      </c>
      <c r="C980" s="3" t="s">
        <v>9</v>
      </c>
      <c r="D980" s="3" t="s">
        <v>19</v>
      </c>
      <c r="E980" s="5" t="s">
        <v>18</v>
      </c>
      <c r="F980" s="17">
        <v>99.82</v>
      </c>
      <c r="G980" s="3">
        <v>9</v>
      </c>
      <c r="H980" s="17">
        <f>Table1[[#This Row],[Unit price]]*Table1[[#This Row],[Quantity]]</f>
        <v>898.37999999999988</v>
      </c>
      <c r="I980" s="29">
        <f>Table1[[#This Row],[Total Revenue]]/$H$5056*100</f>
        <v>9.5314297245377669E-2</v>
      </c>
      <c r="J980" s="3" t="s">
        <v>15</v>
      </c>
      <c r="K980" s="4">
        <v>6.6</v>
      </c>
      <c r="M980"/>
    </row>
    <row r="981" spans="1:13" x14ac:dyDescent="0.25">
      <c r="A981" s="3" t="s">
        <v>73</v>
      </c>
      <c r="B981" s="3" t="s">
        <v>243</v>
      </c>
      <c r="C981" s="3" t="s">
        <v>13</v>
      </c>
      <c r="D981" s="3" t="s">
        <v>19</v>
      </c>
      <c r="E981" s="5" t="s">
        <v>14</v>
      </c>
      <c r="F981" s="17">
        <v>26.02</v>
      </c>
      <c r="G981" s="3">
        <v>7</v>
      </c>
      <c r="H981" s="17">
        <f>Table1[[#This Row],[Unit price]]*Table1[[#This Row],[Quantity]]</f>
        <v>182.14</v>
      </c>
      <c r="I981" s="29">
        <f>Table1[[#This Row],[Total Revenue]]/$H$5056*100</f>
        <v>1.9324279369835808E-2</v>
      </c>
      <c r="J981" s="3" t="s">
        <v>15</v>
      </c>
      <c r="K981" s="4">
        <v>5.0999999999999996</v>
      </c>
      <c r="M981"/>
    </row>
    <row r="982" spans="1:13" x14ac:dyDescent="0.25">
      <c r="A982" s="3" t="s">
        <v>73</v>
      </c>
      <c r="B982" s="3" t="s">
        <v>245</v>
      </c>
      <c r="C982" s="3" t="s">
        <v>13</v>
      </c>
      <c r="D982" s="3" t="s">
        <v>10</v>
      </c>
      <c r="E982" s="5" t="s">
        <v>14</v>
      </c>
      <c r="F982" s="17">
        <v>47.65</v>
      </c>
      <c r="G982" s="3">
        <v>3</v>
      </c>
      <c r="H982" s="17">
        <f>Table1[[#This Row],[Unit price]]*Table1[[#This Row],[Quantity]]</f>
        <v>142.94999999999999</v>
      </c>
      <c r="I982" s="29">
        <f>Table1[[#This Row],[Total Revenue]]/$H$5056*100</f>
        <v>1.5166387042483959E-2</v>
      </c>
      <c r="J982" s="3" t="s">
        <v>12</v>
      </c>
      <c r="K982" s="4">
        <v>9.5</v>
      </c>
      <c r="M982"/>
    </row>
    <row r="983" spans="1:13" x14ac:dyDescent="0.25">
      <c r="A983" s="3" t="s">
        <v>73</v>
      </c>
      <c r="B983" s="3" t="s">
        <v>244</v>
      </c>
      <c r="C983" s="3" t="s">
        <v>13</v>
      </c>
      <c r="D983" s="3" t="s">
        <v>10</v>
      </c>
      <c r="E983" s="5" t="s">
        <v>18</v>
      </c>
      <c r="F983" s="17">
        <v>30.37</v>
      </c>
      <c r="G983" s="3">
        <v>3</v>
      </c>
      <c r="H983" s="17">
        <f>Table1[[#This Row],[Unit price]]*Table1[[#This Row],[Quantity]]</f>
        <v>91.11</v>
      </c>
      <c r="I983" s="29">
        <f>Table1[[#This Row],[Total Revenue]]/$H$5056*100</f>
        <v>9.6663835148003748E-3</v>
      </c>
      <c r="J983" s="3" t="s">
        <v>17</v>
      </c>
      <c r="K983" s="4">
        <v>5.0999999999999996</v>
      </c>
      <c r="M983"/>
    </row>
    <row r="984" spans="1:13" x14ac:dyDescent="0.25">
      <c r="A984" s="3" t="s">
        <v>73</v>
      </c>
      <c r="B984" s="3" t="s">
        <v>243</v>
      </c>
      <c r="C984" s="3" t="s">
        <v>9</v>
      </c>
      <c r="D984" s="3" t="s">
        <v>10</v>
      </c>
      <c r="E984" s="5" t="s">
        <v>18</v>
      </c>
      <c r="F984" s="17">
        <v>71.459999999999994</v>
      </c>
      <c r="G984" s="3">
        <v>7</v>
      </c>
      <c r="H984" s="17">
        <f>Table1[[#This Row],[Unit price]]*Table1[[#This Row],[Quantity]]</f>
        <v>500.21999999999997</v>
      </c>
      <c r="I984" s="29">
        <f>Table1[[#This Row],[Total Revenue]]/$H$5056*100</f>
        <v>5.3071214595252374E-2</v>
      </c>
      <c r="J984" s="3" t="s">
        <v>17</v>
      </c>
      <c r="K984" s="4">
        <v>4.5</v>
      </c>
      <c r="M984"/>
    </row>
    <row r="985" spans="1:13" x14ac:dyDescent="0.25">
      <c r="A985" s="3" t="s">
        <v>73</v>
      </c>
      <c r="B985" s="3" t="s">
        <v>243</v>
      </c>
      <c r="C985" s="3" t="s">
        <v>13</v>
      </c>
      <c r="D985" s="3" t="s">
        <v>10</v>
      </c>
      <c r="E985" s="5" t="s">
        <v>11</v>
      </c>
      <c r="F985" s="17">
        <v>71.680000000000007</v>
      </c>
      <c r="G985" s="3">
        <v>3</v>
      </c>
      <c r="H985" s="17">
        <f>Table1[[#This Row],[Unit price]]*Table1[[#This Row],[Quantity]]</f>
        <v>215.04000000000002</v>
      </c>
      <c r="I985" s="29">
        <f>Table1[[#This Row],[Total Revenue]]/$H$5056*100</f>
        <v>2.2814829448168948E-2</v>
      </c>
      <c r="J985" s="3" t="s">
        <v>12</v>
      </c>
      <c r="K985" s="4">
        <v>9.1999999999999993</v>
      </c>
      <c r="M985"/>
    </row>
    <row r="986" spans="1:13" x14ac:dyDescent="0.25">
      <c r="A986" s="3" t="s">
        <v>73</v>
      </c>
      <c r="B986" s="3" t="s">
        <v>243</v>
      </c>
      <c r="C986" s="3" t="s">
        <v>9</v>
      </c>
      <c r="D986" s="3" t="s">
        <v>19</v>
      </c>
      <c r="E986" s="5" t="s">
        <v>21</v>
      </c>
      <c r="F986" s="17">
        <v>10.08</v>
      </c>
      <c r="G986" s="3">
        <v>7</v>
      </c>
      <c r="H986" s="17">
        <f>Table1[[#This Row],[Unit price]]*Table1[[#This Row],[Quantity]]</f>
        <v>70.56</v>
      </c>
      <c r="I986" s="29">
        <f>Table1[[#This Row],[Total Revenue]]/$H$5056*100</f>
        <v>7.4861159126804362E-3</v>
      </c>
      <c r="J986" s="3" t="s">
        <v>15</v>
      </c>
      <c r="K986" s="4">
        <v>4.2</v>
      </c>
      <c r="M986"/>
    </row>
    <row r="987" spans="1:13" x14ac:dyDescent="0.25">
      <c r="A987" s="3" t="s">
        <v>73</v>
      </c>
      <c r="B987" s="3" t="s">
        <v>243</v>
      </c>
      <c r="C987" s="3" t="s">
        <v>9</v>
      </c>
      <c r="D987" s="3" t="s">
        <v>19</v>
      </c>
      <c r="E987" s="5" t="s">
        <v>11</v>
      </c>
      <c r="F987" s="17">
        <v>51.34</v>
      </c>
      <c r="G987" s="3">
        <v>5</v>
      </c>
      <c r="H987" s="17">
        <f>Table1[[#This Row],[Unit price]]*Table1[[#This Row],[Quantity]]</f>
        <v>256.70000000000005</v>
      </c>
      <c r="I987" s="29">
        <f>Table1[[#This Row],[Total Revenue]]/$H$5056*100</f>
        <v>2.7234778270763437E-2</v>
      </c>
      <c r="J987" s="3" t="s">
        <v>12</v>
      </c>
      <c r="K987" s="4">
        <v>9.1</v>
      </c>
      <c r="M987"/>
    </row>
    <row r="988" spans="1:13" x14ac:dyDescent="0.25">
      <c r="A988" s="3" t="s">
        <v>73</v>
      </c>
      <c r="B988" s="3" t="s">
        <v>243</v>
      </c>
      <c r="C988" s="3" t="s">
        <v>13</v>
      </c>
      <c r="D988" s="3" t="s">
        <v>19</v>
      </c>
      <c r="E988" s="5" t="s">
        <v>11</v>
      </c>
      <c r="F988" s="17">
        <v>58.26</v>
      </c>
      <c r="G988" s="3">
        <v>6</v>
      </c>
      <c r="H988" s="17">
        <f>Table1[[#This Row],[Unit price]]*Table1[[#This Row],[Quantity]]</f>
        <v>349.56</v>
      </c>
      <c r="I988" s="29">
        <f>Table1[[#This Row],[Total Revenue]]/$H$5056*100</f>
        <v>3.7086829342921949E-2</v>
      </c>
      <c r="J988" s="3" t="s">
        <v>15</v>
      </c>
      <c r="K988" s="4">
        <v>9.9</v>
      </c>
      <c r="M988"/>
    </row>
    <row r="989" spans="1:13" x14ac:dyDescent="0.25">
      <c r="A989" s="3" t="s">
        <v>73</v>
      </c>
      <c r="B989" s="3" t="s">
        <v>245</v>
      </c>
      <c r="C989" s="3" t="s">
        <v>9</v>
      </c>
      <c r="D989" s="3" t="s">
        <v>10</v>
      </c>
      <c r="E989" s="5" t="s">
        <v>11</v>
      </c>
      <c r="F989" s="17">
        <v>38.6</v>
      </c>
      <c r="G989" s="3">
        <v>3</v>
      </c>
      <c r="H989" s="17">
        <f>Table1[[#This Row],[Unit price]]*Table1[[#This Row],[Quantity]]</f>
        <v>115.80000000000001</v>
      </c>
      <c r="I989" s="29">
        <f>Table1[[#This Row],[Total Revenue]]/$H$5056*100</f>
        <v>1.2285887509756158E-2</v>
      </c>
      <c r="J989" s="3" t="s">
        <v>17</v>
      </c>
      <c r="K989" s="4">
        <v>7.5</v>
      </c>
      <c r="M989"/>
    </row>
    <row r="990" spans="1:13" x14ac:dyDescent="0.25">
      <c r="A990" s="3" t="s">
        <v>73</v>
      </c>
      <c r="B990" s="3" t="s">
        <v>245</v>
      </c>
      <c r="C990" s="3" t="s">
        <v>9</v>
      </c>
      <c r="D990" s="3" t="s">
        <v>10</v>
      </c>
      <c r="E990" s="5" t="s">
        <v>11</v>
      </c>
      <c r="F990" s="17">
        <v>49.79</v>
      </c>
      <c r="G990" s="3">
        <v>4</v>
      </c>
      <c r="H990" s="17">
        <f>Table1[[#This Row],[Unit price]]*Table1[[#This Row],[Quantity]]</f>
        <v>199.16</v>
      </c>
      <c r="I990" s="29">
        <f>Table1[[#This Row],[Total Revenue]]/$H$5056*100</f>
        <v>2.11300289848276E-2</v>
      </c>
      <c r="J990" s="3" t="s">
        <v>12</v>
      </c>
      <c r="K990" s="4">
        <v>6.4</v>
      </c>
      <c r="M990"/>
    </row>
    <row r="991" spans="1:13" x14ac:dyDescent="0.25">
      <c r="A991" s="3" t="s">
        <v>74</v>
      </c>
      <c r="B991" s="3" t="s">
        <v>244</v>
      </c>
      <c r="C991" s="3" t="s">
        <v>13</v>
      </c>
      <c r="D991" s="3" t="s">
        <v>19</v>
      </c>
      <c r="E991" s="5" t="s">
        <v>21</v>
      </c>
      <c r="F991" s="17">
        <v>71.77</v>
      </c>
      <c r="G991" s="3">
        <v>7</v>
      </c>
      <c r="H991" s="17">
        <f>Table1[[#This Row],[Unit price]]*Table1[[#This Row],[Quantity]]</f>
        <v>502.39</v>
      </c>
      <c r="I991" s="29">
        <f>Table1[[#This Row],[Total Revenue]]/$H$5056*100</f>
        <v>5.3301442366376475E-2</v>
      </c>
      <c r="J991" s="3" t="s">
        <v>15</v>
      </c>
      <c r="K991" s="4">
        <v>8.9</v>
      </c>
      <c r="M991"/>
    </row>
    <row r="992" spans="1:13" x14ac:dyDescent="0.25">
      <c r="A992" s="3" t="s">
        <v>74</v>
      </c>
      <c r="B992" s="3" t="s">
        <v>244</v>
      </c>
      <c r="C992" s="3" t="s">
        <v>13</v>
      </c>
      <c r="D992" s="3" t="s">
        <v>19</v>
      </c>
      <c r="E992" s="5" t="s">
        <v>21</v>
      </c>
      <c r="F992" s="17">
        <v>87.87</v>
      </c>
      <c r="G992" s="3">
        <v>10</v>
      </c>
      <c r="H992" s="17">
        <f>Table1[[#This Row],[Unit price]]*Table1[[#This Row],[Quantity]]</f>
        <v>878.7</v>
      </c>
      <c r="I992" s="29">
        <f>Table1[[#This Row],[Total Revenue]]/$H$5056*100</f>
        <v>9.3226332943201512E-2</v>
      </c>
      <c r="J992" s="3" t="s">
        <v>17</v>
      </c>
      <c r="K992" s="4">
        <v>5.0999999999999996</v>
      </c>
      <c r="M992"/>
    </row>
    <row r="993" spans="1:13" x14ac:dyDescent="0.25">
      <c r="A993" s="3" t="s">
        <v>74</v>
      </c>
      <c r="B993" s="3" t="s">
        <v>245</v>
      </c>
      <c r="C993" s="3" t="s">
        <v>9</v>
      </c>
      <c r="D993" s="3" t="s">
        <v>19</v>
      </c>
      <c r="E993" s="5" t="s">
        <v>14</v>
      </c>
      <c r="F993" s="17">
        <v>82.34</v>
      </c>
      <c r="G993" s="3">
        <v>10</v>
      </c>
      <c r="H993" s="17">
        <f>Table1[[#This Row],[Unit price]]*Table1[[#This Row],[Quantity]]</f>
        <v>823.40000000000009</v>
      </c>
      <c r="I993" s="29">
        <f>Table1[[#This Row],[Total Revenue]]/$H$5056*100</f>
        <v>8.7359238130684108E-2</v>
      </c>
      <c r="J993" s="3" t="s">
        <v>17</v>
      </c>
      <c r="K993" s="4">
        <v>4.3</v>
      </c>
      <c r="M993"/>
    </row>
    <row r="994" spans="1:13" x14ac:dyDescent="0.25">
      <c r="A994" s="3" t="s">
        <v>74</v>
      </c>
      <c r="B994" s="3" t="s">
        <v>243</v>
      </c>
      <c r="C994" s="3" t="s">
        <v>9</v>
      </c>
      <c r="D994" s="3" t="s">
        <v>10</v>
      </c>
      <c r="E994" s="5" t="s">
        <v>20</v>
      </c>
      <c r="F994" s="17">
        <v>72.42</v>
      </c>
      <c r="G994" s="3">
        <v>3</v>
      </c>
      <c r="H994" s="17">
        <f>Table1[[#This Row],[Unit price]]*Table1[[#This Row],[Quantity]]</f>
        <v>217.26</v>
      </c>
      <c r="I994" s="29">
        <f>Table1[[#This Row],[Total Revenue]]/$H$5056*100</f>
        <v>2.3050362006646136E-2</v>
      </c>
      <c r="J994" s="3" t="s">
        <v>17</v>
      </c>
      <c r="K994" s="4">
        <v>8.1999999999999993</v>
      </c>
      <c r="M994"/>
    </row>
    <row r="995" spans="1:13" x14ac:dyDescent="0.25">
      <c r="A995" s="3" t="s">
        <v>74</v>
      </c>
      <c r="B995" s="3" t="s">
        <v>244</v>
      </c>
      <c r="C995" s="3" t="s">
        <v>9</v>
      </c>
      <c r="D995" s="3" t="s">
        <v>19</v>
      </c>
      <c r="E995" s="5" t="s">
        <v>21</v>
      </c>
      <c r="F995" s="17">
        <v>54.86</v>
      </c>
      <c r="G995" s="3">
        <v>5</v>
      </c>
      <c r="H995" s="17">
        <f>Table1[[#This Row],[Unit price]]*Table1[[#This Row],[Quantity]]</f>
        <v>274.3</v>
      </c>
      <c r="I995" s="29">
        <f>Table1[[#This Row],[Total Revenue]]/$H$5056*100</f>
        <v>2.9102063419051073E-2</v>
      </c>
      <c r="J995" s="3" t="s">
        <v>17</v>
      </c>
      <c r="K995" s="4">
        <v>9.8000000000000007</v>
      </c>
      <c r="M995"/>
    </row>
    <row r="996" spans="1:13" x14ac:dyDescent="0.25">
      <c r="A996" s="3" t="s">
        <v>74</v>
      </c>
      <c r="B996" s="3" t="s">
        <v>245</v>
      </c>
      <c r="C996" s="3" t="s">
        <v>13</v>
      </c>
      <c r="D996" s="3" t="s">
        <v>19</v>
      </c>
      <c r="E996" s="5" t="s">
        <v>14</v>
      </c>
      <c r="F996" s="17">
        <v>28.84</v>
      </c>
      <c r="G996" s="3">
        <v>4</v>
      </c>
      <c r="H996" s="17">
        <f>Table1[[#This Row],[Unit price]]*Table1[[#This Row],[Quantity]]</f>
        <v>115.36</v>
      </c>
      <c r="I996" s="29">
        <f>Table1[[#This Row],[Total Revenue]]/$H$5056*100</f>
        <v>1.2239205381048964E-2</v>
      </c>
      <c r="J996" s="3" t="s">
        <v>15</v>
      </c>
      <c r="K996" s="4">
        <v>6.4</v>
      </c>
      <c r="M996"/>
    </row>
    <row r="997" spans="1:13" x14ac:dyDescent="0.25">
      <c r="A997" s="3" t="s">
        <v>74</v>
      </c>
      <c r="B997" s="3" t="s">
        <v>243</v>
      </c>
      <c r="C997" s="3" t="s">
        <v>13</v>
      </c>
      <c r="D997" s="3" t="s">
        <v>10</v>
      </c>
      <c r="E997" s="5" t="s">
        <v>21</v>
      </c>
      <c r="F997" s="17">
        <v>71.38</v>
      </c>
      <c r="G997" s="3">
        <v>10</v>
      </c>
      <c r="H997" s="17">
        <f>Table1[[#This Row],[Unit price]]*Table1[[#This Row],[Quantity]]</f>
        <v>713.8</v>
      </c>
      <c r="I997" s="29">
        <f>Table1[[#This Row],[Total Revenue]]/$H$5056*100</f>
        <v>7.5731144252711088E-2</v>
      </c>
      <c r="J997" s="3" t="s">
        <v>15</v>
      </c>
      <c r="K997" s="4">
        <v>5.7</v>
      </c>
      <c r="M997"/>
    </row>
    <row r="998" spans="1:13" x14ac:dyDescent="0.25">
      <c r="A998" s="3" t="s">
        <v>74</v>
      </c>
      <c r="B998" s="3" t="s">
        <v>244</v>
      </c>
      <c r="C998" s="3" t="s">
        <v>9</v>
      </c>
      <c r="D998" s="3" t="s">
        <v>19</v>
      </c>
      <c r="E998" s="5" t="s">
        <v>21</v>
      </c>
      <c r="F998" s="17">
        <v>61.29</v>
      </c>
      <c r="G998" s="3">
        <v>5</v>
      </c>
      <c r="H998" s="17">
        <f>Table1[[#This Row],[Unit price]]*Table1[[#This Row],[Quantity]]</f>
        <v>306.45</v>
      </c>
      <c r="I998" s="29">
        <f>Table1[[#This Row],[Total Revenue]]/$H$5056*100</f>
        <v>3.2513041687087858E-2</v>
      </c>
      <c r="J998" s="3" t="s">
        <v>15</v>
      </c>
      <c r="K998" s="4">
        <v>7</v>
      </c>
      <c r="M998"/>
    </row>
    <row r="999" spans="1:13" x14ac:dyDescent="0.25">
      <c r="A999" s="3" t="s">
        <v>75</v>
      </c>
      <c r="B999" s="3" t="s">
        <v>245</v>
      </c>
      <c r="C999" s="3" t="s">
        <v>9</v>
      </c>
      <c r="D999" s="3" t="s">
        <v>19</v>
      </c>
      <c r="E999" s="5" t="s">
        <v>14</v>
      </c>
      <c r="F999" s="17">
        <v>96.82</v>
      </c>
      <c r="G999" s="3">
        <v>3</v>
      </c>
      <c r="H999" s="17">
        <f>Table1[[#This Row],[Unit price]]*Table1[[#This Row],[Quantity]]</f>
        <v>290.45999999999998</v>
      </c>
      <c r="I999" s="29">
        <f>Table1[[#This Row],[Total Revenue]]/$H$5056*100</f>
        <v>3.0816570691569716E-2</v>
      </c>
      <c r="J999" s="3" t="s">
        <v>15</v>
      </c>
      <c r="K999" s="4">
        <v>6.7</v>
      </c>
      <c r="M999"/>
    </row>
    <row r="1000" spans="1:13" x14ac:dyDescent="0.25">
      <c r="A1000" s="3" t="s">
        <v>75</v>
      </c>
      <c r="B1000" s="3" t="s">
        <v>244</v>
      </c>
      <c r="C1000" s="3" t="s">
        <v>9</v>
      </c>
      <c r="D1000" s="3" t="s">
        <v>19</v>
      </c>
      <c r="E1000" s="5" t="s">
        <v>21</v>
      </c>
      <c r="F1000" s="17">
        <v>97.22</v>
      </c>
      <c r="G1000" s="3">
        <v>9</v>
      </c>
      <c r="H1000" s="17">
        <f>Table1[[#This Row],[Unit price]]*Table1[[#This Row],[Quantity]]</f>
        <v>874.98</v>
      </c>
      <c r="I1000" s="29">
        <f>Table1[[#This Row],[Total Revenue]]/$H$5056*100</f>
        <v>9.2831656764131618E-2</v>
      </c>
      <c r="J1000" s="3" t="s">
        <v>17</v>
      </c>
      <c r="K1000" s="4">
        <v>6</v>
      </c>
      <c r="M1000"/>
    </row>
    <row r="1001" spans="1:13" x14ac:dyDescent="0.25">
      <c r="A1001" s="3" t="s">
        <v>75</v>
      </c>
      <c r="B1001" s="3" t="s">
        <v>243</v>
      </c>
      <c r="C1001" s="3" t="s">
        <v>9</v>
      </c>
      <c r="D1001" s="3" t="s">
        <v>10</v>
      </c>
      <c r="E1001" s="5" t="s">
        <v>14</v>
      </c>
      <c r="F1001" s="17">
        <v>64.44</v>
      </c>
      <c r="G1001" s="3">
        <v>5</v>
      </c>
      <c r="H1001" s="17">
        <f>Table1[[#This Row],[Unit price]]*Table1[[#This Row],[Quantity]]</f>
        <v>322.2</v>
      </c>
      <c r="I1001" s="29">
        <f>Table1[[#This Row],[Total Revenue]]/$H$5056*100</f>
        <v>3.4184049703311174E-2</v>
      </c>
      <c r="J1001" s="3" t="s">
        <v>15</v>
      </c>
      <c r="K1001" s="4">
        <v>6.6</v>
      </c>
      <c r="M1001"/>
    </row>
    <row r="1002" spans="1:13" x14ac:dyDescent="0.25">
      <c r="A1002" s="3" t="s">
        <v>75</v>
      </c>
      <c r="B1002" s="3" t="s">
        <v>243</v>
      </c>
      <c r="C1002" s="3" t="s">
        <v>13</v>
      </c>
      <c r="D1002" s="3" t="s">
        <v>10</v>
      </c>
      <c r="E1002" s="5" t="s">
        <v>16</v>
      </c>
      <c r="F1002" s="17">
        <v>89.48</v>
      </c>
      <c r="G1002" s="3">
        <v>5</v>
      </c>
      <c r="H1002" s="17">
        <f>Table1[[#This Row],[Unit price]]*Table1[[#This Row],[Quantity]]</f>
        <v>447.40000000000003</v>
      </c>
      <c r="I1002" s="29">
        <f>Table1[[#This Row],[Total Revenue]]/$H$5056*100</f>
        <v>4.7467237235448233E-2</v>
      </c>
      <c r="J1002" s="3" t="s">
        <v>15</v>
      </c>
      <c r="K1002" s="4">
        <v>7.4</v>
      </c>
      <c r="M1002"/>
    </row>
    <row r="1003" spans="1:13" x14ac:dyDescent="0.25">
      <c r="A1003" s="3" t="s">
        <v>75</v>
      </c>
      <c r="B1003" s="3" t="s">
        <v>244</v>
      </c>
      <c r="C1003" s="3" t="s">
        <v>9</v>
      </c>
      <c r="D1003" s="3" t="s">
        <v>19</v>
      </c>
      <c r="E1003" s="5" t="s">
        <v>11</v>
      </c>
      <c r="F1003" s="17">
        <v>93.4</v>
      </c>
      <c r="G1003" s="3">
        <v>2</v>
      </c>
      <c r="H1003" s="17">
        <f>Table1[[#This Row],[Unit price]]*Table1[[#This Row],[Quantity]]</f>
        <v>186.8</v>
      </c>
      <c r="I1003" s="29">
        <f>Table1[[#This Row],[Total Revenue]]/$H$5056*100</f>
        <v>1.9818685551143782E-2</v>
      </c>
      <c r="J1003" s="3" t="s">
        <v>15</v>
      </c>
      <c r="K1003" s="4">
        <v>5.5</v>
      </c>
      <c r="M1003"/>
    </row>
    <row r="1004" spans="1:13" x14ac:dyDescent="0.25">
      <c r="A1004" s="3" t="s">
        <v>75</v>
      </c>
      <c r="B1004" s="3" t="s">
        <v>243</v>
      </c>
      <c r="C1004" s="3" t="s">
        <v>13</v>
      </c>
      <c r="D1004" s="3" t="s">
        <v>10</v>
      </c>
      <c r="E1004" s="5" t="s">
        <v>16</v>
      </c>
      <c r="F1004" s="17">
        <v>40.229999999999997</v>
      </c>
      <c r="G1004" s="3">
        <v>7</v>
      </c>
      <c r="H1004" s="17">
        <f>Table1[[#This Row],[Unit price]]*Table1[[#This Row],[Quantity]]</f>
        <v>281.60999999999996</v>
      </c>
      <c r="I1004" s="29">
        <f>Table1[[#This Row],[Total Revenue]]/$H$5056*100</f>
        <v>2.9877623330072801E-2</v>
      </c>
      <c r="J1004" s="3" t="s">
        <v>15</v>
      </c>
      <c r="K1004" s="4">
        <v>9.6</v>
      </c>
      <c r="M1004"/>
    </row>
    <row r="1005" spans="1:13" x14ac:dyDescent="0.25">
      <c r="A1005" s="3" t="s">
        <v>75</v>
      </c>
      <c r="B1005" s="3" t="s">
        <v>244</v>
      </c>
      <c r="C1005" s="3" t="s">
        <v>9</v>
      </c>
      <c r="D1005" s="3" t="s">
        <v>19</v>
      </c>
      <c r="E1005" s="5" t="s">
        <v>21</v>
      </c>
      <c r="F1005" s="17">
        <v>72.569999999999993</v>
      </c>
      <c r="G1005" s="3">
        <v>8</v>
      </c>
      <c r="H1005" s="17">
        <f>Table1[[#This Row],[Unit price]]*Table1[[#This Row],[Quantity]]</f>
        <v>580.55999999999995</v>
      </c>
      <c r="I1005" s="29">
        <f>Table1[[#This Row],[Total Revenue]]/$H$5056*100</f>
        <v>6.1594946914197188E-2</v>
      </c>
      <c r="J1005" s="3" t="s">
        <v>15</v>
      </c>
      <c r="K1005" s="4">
        <v>4.5999999999999996</v>
      </c>
      <c r="M1005"/>
    </row>
    <row r="1006" spans="1:13" x14ac:dyDescent="0.25">
      <c r="A1006" s="3" t="s">
        <v>75</v>
      </c>
      <c r="B1006" s="3" t="s">
        <v>245</v>
      </c>
      <c r="C1006" s="3" t="s">
        <v>9</v>
      </c>
      <c r="D1006" s="3" t="s">
        <v>10</v>
      </c>
      <c r="E1006" s="5" t="s">
        <v>11</v>
      </c>
      <c r="F1006" s="17">
        <v>72.52</v>
      </c>
      <c r="G1006" s="3">
        <v>8</v>
      </c>
      <c r="H1006" s="17">
        <f>Table1[[#This Row],[Unit price]]*Table1[[#This Row],[Quantity]]</f>
        <v>580.16</v>
      </c>
      <c r="I1006" s="29">
        <f>Table1[[#This Row],[Total Revenue]]/$H$5056*100</f>
        <v>6.1552508615372467E-2</v>
      </c>
      <c r="J1006" s="3" t="s">
        <v>12</v>
      </c>
      <c r="K1006" s="4">
        <v>4</v>
      </c>
      <c r="M1006"/>
    </row>
    <row r="1007" spans="1:13" x14ac:dyDescent="0.25">
      <c r="A1007" s="3" t="s">
        <v>75</v>
      </c>
      <c r="B1007" s="3" t="s">
        <v>245</v>
      </c>
      <c r="C1007" s="3" t="s">
        <v>9</v>
      </c>
      <c r="D1007" s="3" t="s">
        <v>10</v>
      </c>
      <c r="E1007" s="5" t="s">
        <v>18</v>
      </c>
      <c r="F1007" s="17">
        <v>10.18</v>
      </c>
      <c r="G1007" s="3">
        <v>8</v>
      </c>
      <c r="H1007" s="17">
        <f>Table1[[#This Row],[Unit price]]*Table1[[#This Row],[Quantity]]</f>
        <v>81.44</v>
      </c>
      <c r="I1007" s="29">
        <f>Table1[[#This Row],[Total Revenue]]/$H$5056*100</f>
        <v>8.6404376407127927E-3</v>
      </c>
      <c r="J1007" s="3" t="s">
        <v>12</v>
      </c>
      <c r="K1007" s="4">
        <v>9.5</v>
      </c>
      <c r="M1007"/>
    </row>
    <row r="1008" spans="1:13" x14ac:dyDescent="0.25">
      <c r="A1008" s="3" t="s">
        <v>75</v>
      </c>
      <c r="B1008" s="3" t="s">
        <v>243</v>
      </c>
      <c r="C1008" s="3" t="s">
        <v>9</v>
      </c>
      <c r="D1008" s="3" t="s">
        <v>10</v>
      </c>
      <c r="E1008" s="5" t="s">
        <v>20</v>
      </c>
      <c r="F1008" s="17">
        <v>34.42</v>
      </c>
      <c r="G1008" s="3">
        <v>6</v>
      </c>
      <c r="H1008" s="17">
        <f>Table1[[#This Row],[Unit price]]*Table1[[#This Row],[Quantity]]</f>
        <v>206.52</v>
      </c>
      <c r="I1008" s="29">
        <f>Table1[[#This Row],[Total Revenue]]/$H$5056*100</f>
        <v>2.1910893683202433E-2</v>
      </c>
      <c r="J1008" s="3" t="s">
        <v>17</v>
      </c>
      <c r="K1008" s="4">
        <v>7.5</v>
      </c>
      <c r="M1008"/>
    </row>
    <row r="1009" spans="1:13" x14ac:dyDescent="0.25">
      <c r="A1009" s="3" t="s">
        <v>75</v>
      </c>
      <c r="B1009" s="3" t="s">
        <v>245</v>
      </c>
      <c r="C1009" s="3" t="s">
        <v>13</v>
      </c>
      <c r="D1009" s="3" t="s">
        <v>19</v>
      </c>
      <c r="E1009" s="5" t="s">
        <v>21</v>
      </c>
      <c r="F1009" s="17">
        <v>70.209999999999994</v>
      </c>
      <c r="G1009" s="3">
        <v>6</v>
      </c>
      <c r="H1009" s="17">
        <f>Table1[[#This Row],[Unit price]]*Table1[[#This Row],[Quantity]]</f>
        <v>421.26</v>
      </c>
      <c r="I1009" s="29">
        <f>Table1[[#This Row],[Total Revenue]]/$H$5056*100</f>
        <v>4.4693894407252834E-2</v>
      </c>
      <c r="J1009" s="3" t="s">
        <v>15</v>
      </c>
      <c r="K1009" s="4">
        <v>7.4</v>
      </c>
      <c r="M1009"/>
    </row>
    <row r="1010" spans="1:13" x14ac:dyDescent="0.25">
      <c r="A1010" s="2">
        <v>45295</v>
      </c>
      <c r="B1010" s="3" t="s">
        <v>245</v>
      </c>
      <c r="C1010" s="3" t="s">
        <v>9</v>
      </c>
      <c r="D1010" s="3" t="s">
        <v>19</v>
      </c>
      <c r="E1010" s="5" t="s">
        <v>14</v>
      </c>
      <c r="F1010" s="17">
        <v>37.06</v>
      </c>
      <c r="G1010" s="3">
        <v>4</v>
      </c>
      <c r="H1010" s="17">
        <f>Table1[[#This Row],[Unit price]]*Table1[[#This Row],[Quantity]]</f>
        <v>148.24</v>
      </c>
      <c r="I1010" s="29">
        <f>Table1[[#This Row],[Total Revenue]]/$H$5056*100</f>
        <v>1.5727633544440869E-2</v>
      </c>
      <c r="J1010" s="3" t="s">
        <v>17</v>
      </c>
      <c r="K1010" s="4">
        <v>9.6999999999999993</v>
      </c>
      <c r="M1010"/>
    </row>
    <row r="1011" spans="1:13" x14ac:dyDescent="0.25">
      <c r="A1011" s="2">
        <v>45295</v>
      </c>
      <c r="B1011" s="3" t="s">
        <v>244</v>
      </c>
      <c r="C1011" s="3" t="s">
        <v>9</v>
      </c>
      <c r="D1011" s="3" t="s">
        <v>19</v>
      </c>
      <c r="E1011" s="5" t="s">
        <v>14</v>
      </c>
      <c r="F1011" s="17">
        <v>87.87</v>
      </c>
      <c r="G1011" s="3">
        <v>9</v>
      </c>
      <c r="H1011" s="17">
        <f>Table1[[#This Row],[Unit price]]*Table1[[#This Row],[Quantity]]</f>
        <v>790.83</v>
      </c>
      <c r="I1011" s="29">
        <f>Table1[[#This Row],[Total Revenue]]/$H$5056*100</f>
        <v>8.3903699648881364E-2</v>
      </c>
      <c r="J1011" s="3" t="s">
        <v>17</v>
      </c>
      <c r="K1011" s="4">
        <v>5.6</v>
      </c>
      <c r="M1011"/>
    </row>
    <row r="1012" spans="1:13" x14ac:dyDescent="0.25">
      <c r="A1012" s="2">
        <v>45295</v>
      </c>
      <c r="B1012" s="3" t="s">
        <v>244</v>
      </c>
      <c r="C1012" s="3" t="s">
        <v>13</v>
      </c>
      <c r="D1012" s="3" t="s">
        <v>19</v>
      </c>
      <c r="E1012" s="5" t="s">
        <v>14</v>
      </c>
      <c r="F1012" s="17">
        <v>45.35</v>
      </c>
      <c r="G1012" s="3">
        <v>6</v>
      </c>
      <c r="H1012" s="17">
        <f>Table1[[#This Row],[Unit price]]*Table1[[#This Row],[Quantity]]</f>
        <v>272.10000000000002</v>
      </c>
      <c r="I1012" s="29">
        <f>Table1[[#This Row],[Total Revenue]]/$H$5056*100</f>
        <v>2.8868652775515119E-2</v>
      </c>
      <c r="J1012" s="3" t="s">
        <v>17</v>
      </c>
      <c r="K1012" s="4">
        <v>6.1</v>
      </c>
      <c r="M1012"/>
    </row>
    <row r="1013" spans="1:13" x14ac:dyDescent="0.25">
      <c r="A1013" s="2">
        <v>45295</v>
      </c>
      <c r="B1013" s="3" t="s">
        <v>243</v>
      </c>
      <c r="C1013" s="3" t="s">
        <v>9</v>
      </c>
      <c r="D1013" s="3" t="s">
        <v>19</v>
      </c>
      <c r="E1013" s="5" t="s">
        <v>14</v>
      </c>
      <c r="F1013" s="17">
        <v>66.349999999999994</v>
      </c>
      <c r="G1013" s="3">
        <v>1</v>
      </c>
      <c r="H1013" s="17">
        <f>Table1[[#This Row],[Unit price]]*Table1[[#This Row],[Quantity]]</f>
        <v>66.349999999999994</v>
      </c>
      <c r="I1013" s="29">
        <f>Table1[[#This Row],[Total Revenue]]/$H$5056*100</f>
        <v>7.0394528175502669E-3</v>
      </c>
      <c r="J1013" s="3" t="s">
        <v>12</v>
      </c>
      <c r="K1013" s="4">
        <v>9.6999999999999993</v>
      </c>
      <c r="M1013"/>
    </row>
    <row r="1014" spans="1:13" x14ac:dyDescent="0.25">
      <c r="A1014" s="2">
        <v>45295</v>
      </c>
      <c r="B1014" s="3" t="s">
        <v>245</v>
      </c>
      <c r="C1014" s="3" t="s">
        <v>9</v>
      </c>
      <c r="D1014" s="3" t="s">
        <v>10</v>
      </c>
      <c r="E1014" s="5" t="s">
        <v>11</v>
      </c>
      <c r="F1014" s="17">
        <v>87.48</v>
      </c>
      <c r="G1014" s="3">
        <v>6</v>
      </c>
      <c r="H1014" s="17">
        <f>Table1[[#This Row],[Unit price]]*Table1[[#This Row],[Quantity]]</f>
        <v>524.88</v>
      </c>
      <c r="I1014" s="29">
        <f>Table1[[#This Row],[Total Revenue]]/$H$5056*100</f>
        <v>5.5687535717796298E-2</v>
      </c>
      <c r="J1014" s="3" t="s">
        <v>17</v>
      </c>
      <c r="K1014" s="4">
        <v>5.0999999999999996</v>
      </c>
      <c r="M1014"/>
    </row>
    <row r="1015" spans="1:13" x14ac:dyDescent="0.25">
      <c r="A1015" s="2">
        <v>45295</v>
      </c>
      <c r="B1015" s="3" t="s">
        <v>243</v>
      </c>
      <c r="C1015" s="3" t="s">
        <v>9</v>
      </c>
      <c r="D1015" s="3" t="s">
        <v>10</v>
      </c>
      <c r="E1015" s="5" t="s">
        <v>11</v>
      </c>
      <c r="F1015" s="17">
        <v>14.23</v>
      </c>
      <c r="G1015" s="3">
        <v>5</v>
      </c>
      <c r="H1015" s="17">
        <f>Table1[[#This Row],[Unit price]]*Table1[[#This Row],[Quantity]]</f>
        <v>71.150000000000006</v>
      </c>
      <c r="I1015" s="29">
        <f>Table1[[#This Row],[Total Revenue]]/$H$5056*100</f>
        <v>7.5487124034468965E-3</v>
      </c>
      <c r="J1015" s="3" t="s">
        <v>12</v>
      </c>
      <c r="K1015" s="4">
        <v>4.4000000000000004</v>
      </c>
      <c r="M1015"/>
    </row>
    <row r="1016" spans="1:13" x14ac:dyDescent="0.25">
      <c r="A1016" s="2">
        <v>45295</v>
      </c>
      <c r="B1016" s="3" t="s">
        <v>245</v>
      </c>
      <c r="C1016" s="3" t="s">
        <v>13</v>
      </c>
      <c r="D1016" s="3" t="s">
        <v>10</v>
      </c>
      <c r="E1016" s="5" t="s">
        <v>14</v>
      </c>
      <c r="F1016" s="17">
        <v>23.07</v>
      </c>
      <c r="G1016" s="3">
        <v>9</v>
      </c>
      <c r="H1016" s="17">
        <f>Table1[[#This Row],[Unit price]]*Table1[[#This Row],[Quantity]]</f>
        <v>207.63</v>
      </c>
      <c r="I1016" s="29">
        <f>Table1[[#This Row],[Total Revenue]]/$H$5056*100</f>
        <v>2.2028659962441025E-2</v>
      </c>
      <c r="J1016" s="3" t="s">
        <v>15</v>
      </c>
      <c r="K1016" s="4">
        <v>4.9000000000000004</v>
      </c>
      <c r="M1016"/>
    </row>
    <row r="1017" spans="1:13" x14ac:dyDescent="0.25">
      <c r="A1017" s="2">
        <v>45295</v>
      </c>
      <c r="B1017" s="3" t="s">
        <v>245</v>
      </c>
      <c r="C1017" s="3" t="s">
        <v>9</v>
      </c>
      <c r="D1017" s="3" t="s">
        <v>10</v>
      </c>
      <c r="E1017" s="5" t="s">
        <v>20</v>
      </c>
      <c r="F1017" s="17">
        <v>80.790000000000006</v>
      </c>
      <c r="G1017" s="3">
        <v>9</v>
      </c>
      <c r="H1017" s="17">
        <f>Table1[[#This Row],[Unit price]]*Table1[[#This Row],[Quantity]]</f>
        <v>727.11</v>
      </c>
      <c r="I1017" s="29">
        <f>Table1[[#This Row],[Total Revenue]]/$H$5056*100</f>
        <v>7.7143278646103625E-2</v>
      </c>
      <c r="J1017" s="3" t="s">
        <v>12</v>
      </c>
      <c r="K1017" s="4">
        <v>9.5</v>
      </c>
      <c r="M1017"/>
    </row>
    <row r="1018" spans="1:13" x14ac:dyDescent="0.25">
      <c r="A1018" s="2">
        <v>45295</v>
      </c>
      <c r="B1018" s="3" t="s">
        <v>244</v>
      </c>
      <c r="C1018" s="3" t="s">
        <v>9</v>
      </c>
      <c r="D1018" s="3" t="s">
        <v>10</v>
      </c>
      <c r="E1018" s="5" t="s">
        <v>14</v>
      </c>
      <c r="F1018" s="17">
        <v>26.26</v>
      </c>
      <c r="G1018" s="3">
        <v>7</v>
      </c>
      <c r="H1018" s="17">
        <f>Table1[[#This Row],[Unit price]]*Table1[[#This Row],[Quantity]]</f>
        <v>183.82000000000002</v>
      </c>
      <c r="I1018" s="29">
        <f>Table1[[#This Row],[Total Revenue]]/$H$5056*100</f>
        <v>1.9502520224899629E-2</v>
      </c>
      <c r="J1018" s="3" t="s">
        <v>15</v>
      </c>
      <c r="K1018" s="4">
        <v>9.9</v>
      </c>
      <c r="M1018"/>
    </row>
    <row r="1019" spans="1:13" x14ac:dyDescent="0.25">
      <c r="A1019" s="2">
        <v>45295</v>
      </c>
      <c r="B1019" s="3" t="s">
        <v>245</v>
      </c>
      <c r="C1019" s="3" t="s">
        <v>13</v>
      </c>
      <c r="D1019" s="3" t="s">
        <v>10</v>
      </c>
      <c r="E1019" s="5" t="s">
        <v>18</v>
      </c>
      <c r="F1019" s="17">
        <v>62.18</v>
      </c>
      <c r="G1019" s="3">
        <v>10</v>
      </c>
      <c r="H1019" s="17">
        <f>Table1[[#This Row],[Unit price]]*Table1[[#This Row],[Quantity]]</f>
        <v>621.79999999999995</v>
      </c>
      <c r="I1019" s="29">
        <f>Table1[[#This Row],[Total Revenue]]/$H$5056*100</f>
        <v>6.5970335523025725E-2</v>
      </c>
      <c r="J1019" s="3" t="s">
        <v>17</v>
      </c>
      <c r="K1019" s="4">
        <v>6</v>
      </c>
      <c r="M1019"/>
    </row>
    <row r="1020" spans="1:13" x14ac:dyDescent="0.25">
      <c r="A1020" s="2">
        <v>45295</v>
      </c>
      <c r="B1020" s="3" t="s">
        <v>244</v>
      </c>
      <c r="C1020" s="3" t="s">
        <v>13</v>
      </c>
      <c r="D1020" s="3" t="s">
        <v>19</v>
      </c>
      <c r="E1020" s="5" t="s">
        <v>18</v>
      </c>
      <c r="F1020" s="17">
        <v>69.08</v>
      </c>
      <c r="G1020" s="3">
        <v>2</v>
      </c>
      <c r="H1020" s="17">
        <f>Table1[[#This Row],[Unit price]]*Table1[[#This Row],[Quantity]]</f>
        <v>138.16</v>
      </c>
      <c r="I1020" s="29">
        <f>Table1[[#This Row],[Total Revenue]]/$H$5056*100</f>
        <v>1.465818841405795E-2</v>
      </c>
      <c r="J1020" s="3" t="s">
        <v>12</v>
      </c>
      <c r="K1020" s="4">
        <v>6.9</v>
      </c>
      <c r="M1020"/>
    </row>
    <row r="1021" spans="1:13" x14ac:dyDescent="0.25">
      <c r="A1021" s="2">
        <v>45295</v>
      </c>
      <c r="B1021" s="3" t="s">
        <v>243</v>
      </c>
      <c r="C1021" s="3" t="s">
        <v>9</v>
      </c>
      <c r="D1021" s="3" t="s">
        <v>10</v>
      </c>
      <c r="E1021" s="5" t="s">
        <v>21</v>
      </c>
      <c r="F1021" s="17">
        <v>77.680000000000007</v>
      </c>
      <c r="G1021" s="3">
        <v>4</v>
      </c>
      <c r="H1021" s="17">
        <f>Table1[[#This Row],[Unit price]]*Table1[[#This Row],[Quantity]]</f>
        <v>310.72000000000003</v>
      </c>
      <c r="I1021" s="29">
        <f>Table1[[#This Row],[Total Revenue]]/$H$5056*100</f>
        <v>3.2966070527041737E-2</v>
      </c>
      <c r="J1021" s="3" t="s">
        <v>15</v>
      </c>
      <c r="K1021" s="4">
        <v>8.4</v>
      </c>
      <c r="M1021"/>
    </row>
    <row r="1022" spans="1:13" x14ac:dyDescent="0.25">
      <c r="A1022" s="2">
        <v>45295</v>
      </c>
      <c r="B1022" s="3" t="s">
        <v>243</v>
      </c>
      <c r="C1022" s="3" t="s">
        <v>9</v>
      </c>
      <c r="D1022" s="3" t="s">
        <v>19</v>
      </c>
      <c r="E1022" s="5" t="s">
        <v>18</v>
      </c>
      <c r="F1022" s="17">
        <v>43.13</v>
      </c>
      <c r="G1022" s="3">
        <v>10</v>
      </c>
      <c r="H1022" s="17">
        <f>Table1[[#This Row],[Unit price]]*Table1[[#This Row],[Quantity]]</f>
        <v>431.3</v>
      </c>
      <c r="I1022" s="29">
        <f>Table1[[#This Row],[Total Revenue]]/$H$5056*100</f>
        <v>4.5759095707753286E-2</v>
      </c>
      <c r="J1022" s="3" t="s">
        <v>12</v>
      </c>
      <c r="K1022" s="4">
        <v>5.5</v>
      </c>
      <c r="M1022"/>
    </row>
    <row r="1023" spans="1:13" x14ac:dyDescent="0.25">
      <c r="A1023" s="2">
        <v>45295</v>
      </c>
      <c r="B1023" s="3" t="s">
        <v>244</v>
      </c>
      <c r="C1023" s="3" t="s">
        <v>13</v>
      </c>
      <c r="D1023" s="3" t="s">
        <v>10</v>
      </c>
      <c r="E1023" s="5" t="s">
        <v>18</v>
      </c>
      <c r="F1023" s="17">
        <v>25.56</v>
      </c>
      <c r="G1023" s="3">
        <v>7</v>
      </c>
      <c r="H1023" s="17">
        <f>Table1[[#This Row],[Unit price]]*Table1[[#This Row],[Quantity]]</f>
        <v>178.92</v>
      </c>
      <c r="I1023" s="29">
        <f>Table1[[#This Row],[Total Revenue]]/$H$5056*100</f>
        <v>1.8982651064296814E-2</v>
      </c>
      <c r="J1023" s="3" t="s">
        <v>15</v>
      </c>
      <c r="K1023" s="4">
        <v>7.1</v>
      </c>
      <c r="M1023"/>
    </row>
    <row r="1024" spans="1:13" x14ac:dyDescent="0.25">
      <c r="A1024" s="2">
        <v>45295</v>
      </c>
      <c r="B1024" s="3" t="s">
        <v>245</v>
      </c>
      <c r="C1024" s="3" t="s">
        <v>9</v>
      </c>
      <c r="D1024" s="3" t="s">
        <v>10</v>
      </c>
      <c r="E1024" s="5" t="s">
        <v>18</v>
      </c>
      <c r="F1024" s="17">
        <v>83.35</v>
      </c>
      <c r="G1024" s="3">
        <v>2</v>
      </c>
      <c r="H1024" s="17">
        <f>Table1[[#This Row],[Unit price]]*Table1[[#This Row],[Quantity]]</f>
        <v>166.7</v>
      </c>
      <c r="I1024" s="29">
        <f>Table1[[#This Row],[Total Revenue]]/$H$5056*100</f>
        <v>1.7686161035201653E-2</v>
      </c>
      <c r="J1024" s="3" t="s">
        <v>12</v>
      </c>
      <c r="K1024" s="4">
        <v>9.5</v>
      </c>
      <c r="M1024"/>
    </row>
    <row r="1025" spans="1:13" x14ac:dyDescent="0.25">
      <c r="A1025" s="2">
        <v>45295</v>
      </c>
      <c r="B1025" s="3" t="s">
        <v>243</v>
      </c>
      <c r="C1025" s="3" t="s">
        <v>9</v>
      </c>
      <c r="D1025" s="3" t="s">
        <v>10</v>
      </c>
      <c r="E1025" s="5" t="s">
        <v>21</v>
      </c>
      <c r="F1025" s="17">
        <v>18.329999999999998</v>
      </c>
      <c r="G1025" s="3">
        <v>1</v>
      </c>
      <c r="H1025" s="17">
        <f>Table1[[#This Row],[Unit price]]*Table1[[#This Row],[Quantity]]</f>
        <v>18.329999999999998</v>
      </c>
      <c r="I1025" s="29">
        <f>Table1[[#This Row],[Total Revenue]]/$H$5056*100</f>
        <v>1.9447350436427491E-3</v>
      </c>
      <c r="J1025" s="3" t="s">
        <v>15</v>
      </c>
      <c r="K1025" s="4">
        <v>4.3</v>
      </c>
      <c r="M1025"/>
    </row>
    <row r="1026" spans="1:13" x14ac:dyDescent="0.25">
      <c r="A1026" s="2">
        <v>45295</v>
      </c>
      <c r="B1026" s="3" t="s">
        <v>245</v>
      </c>
      <c r="C1026" s="3" t="s">
        <v>13</v>
      </c>
      <c r="D1026" s="3" t="s">
        <v>19</v>
      </c>
      <c r="E1026" s="5" t="s">
        <v>21</v>
      </c>
      <c r="F1026" s="17">
        <v>17.41</v>
      </c>
      <c r="G1026" s="3">
        <v>5</v>
      </c>
      <c r="H1026" s="17">
        <f>Table1[[#This Row],[Unit price]]*Table1[[#This Row],[Quantity]]</f>
        <v>87.05</v>
      </c>
      <c r="I1026" s="29">
        <f>Table1[[#This Row],[Total Revenue]]/$H$5056*100</f>
        <v>9.2356347817294758E-3</v>
      </c>
      <c r="J1026" s="3" t="s">
        <v>12</v>
      </c>
      <c r="K1026" s="4">
        <v>4.9000000000000004</v>
      </c>
      <c r="M1026"/>
    </row>
    <row r="1027" spans="1:13" x14ac:dyDescent="0.25">
      <c r="A1027" s="2">
        <v>45295</v>
      </c>
      <c r="B1027" s="3" t="s">
        <v>244</v>
      </c>
      <c r="C1027" s="3" t="s">
        <v>9</v>
      </c>
      <c r="D1027" s="3" t="s">
        <v>19</v>
      </c>
      <c r="E1027" s="5" t="s">
        <v>21</v>
      </c>
      <c r="F1027" s="17">
        <v>75.37</v>
      </c>
      <c r="G1027" s="3">
        <v>8</v>
      </c>
      <c r="H1027" s="17">
        <f>Table1[[#This Row],[Unit price]]*Table1[[#This Row],[Quantity]]</f>
        <v>602.96</v>
      </c>
      <c r="I1027" s="29">
        <f>Table1[[#This Row],[Total Revenue]]/$H$5056*100</f>
        <v>6.3971491648381465E-2</v>
      </c>
      <c r="J1027" s="3" t="s">
        <v>12</v>
      </c>
      <c r="K1027" s="4">
        <v>8.4</v>
      </c>
      <c r="M1027"/>
    </row>
    <row r="1028" spans="1:13" x14ac:dyDescent="0.25">
      <c r="A1028" s="2">
        <v>45295</v>
      </c>
      <c r="B1028" s="3" t="s">
        <v>244</v>
      </c>
      <c r="C1028" s="3" t="s">
        <v>9</v>
      </c>
      <c r="D1028" s="3" t="s">
        <v>19</v>
      </c>
      <c r="E1028" s="5" t="s">
        <v>16</v>
      </c>
      <c r="F1028" s="17">
        <v>79.930000000000007</v>
      </c>
      <c r="G1028" s="3">
        <v>6</v>
      </c>
      <c r="H1028" s="17">
        <f>Table1[[#This Row],[Unit price]]*Table1[[#This Row],[Quantity]]</f>
        <v>479.58000000000004</v>
      </c>
      <c r="I1028" s="29">
        <f>Table1[[#This Row],[Total Revenue]]/$H$5056*100</f>
        <v>5.088139837589687E-2</v>
      </c>
      <c r="J1028" s="3" t="s">
        <v>15</v>
      </c>
      <c r="K1028" s="4">
        <v>5.5</v>
      </c>
      <c r="M1028"/>
    </row>
    <row r="1029" spans="1:13" x14ac:dyDescent="0.25">
      <c r="A1029" s="2">
        <v>45295</v>
      </c>
      <c r="B1029" s="3" t="s">
        <v>243</v>
      </c>
      <c r="C1029" s="3" t="s">
        <v>9</v>
      </c>
      <c r="D1029" s="3" t="s">
        <v>19</v>
      </c>
      <c r="E1029" s="5" t="s">
        <v>16</v>
      </c>
      <c r="F1029" s="17">
        <v>69.52</v>
      </c>
      <c r="G1029" s="3">
        <v>7</v>
      </c>
      <c r="H1029" s="17">
        <f>Table1[[#This Row],[Unit price]]*Table1[[#This Row],[Quantity]]</f>
        <v>486.64</v>
      </c>
      <c r="I1029" s="29">
        <f>Table1[[#This Row],[Total Revenue]]/$H$5056*100</f>
        <v>5.1630434350153159E-2</v>
      </c>
      <c r="J1029" s="3" t="s">
        <v>12</v>
      </c>
      <c r="K1029" s="4">
        <v>8.5</v>
      </c>
      <c r="M1029"/>
    </row>
    <row r="1030" spans="1:13" x14ac:dyDescent="0.25">
      <c r="A1030" s="2">
        <v>45326</v>
      </c>
      <c r="B1030" s="3" t="s">
        <v>245</v>
      </c>
      <c r="C1030" s="3" t="s">
        <v>9</v>
      </c>
      <c r="D1030" s="3" t="s">
        <v>10</v>
      </c>
      <c r="E1030" s="5" t="s">
        <v>11</v>
      </c>
      <c r="F1030" s="17">
        <v>47.27</v>
      </c>
      <c r="G1030" s="3">
        <v>6</v>
      </c>
      <c r="H1030" s="17">
        <f>Table1[[#This Row],[Unit price]]*Table1[[#This Row],[Quantity]]</f>
        <v>283.62</v>
      </c>
      <c r="I1030" s="29">
        <f>Table1[[#This Row],[Total Revenue]]/$H$5056*100</f>
        <v>3.0090875781667022E-2</v>
      </c>
      <c r="J1030" s="3" t="s">
        <v>15</v>
      </c>
      <c r="K1030" s="4">
        <v>8.8000000000000007</v>
      </c>
      <c r="M1030"/>
    </row>
    <row r="1031" spans="1:13" x14ac:dyDescent="0.25">
      <c r="A1031" s="2">
        <v>45326</v>
      </c>
      <c r="B1031" s="3" t="s">
        <v>243</v>
      </c>
      <c r="C1031" s="3" t="s">
        <v>9</v>
      </c>
      <c r="D1031" s="3" t="s">
        <v>19</v>
      </c>
      <c r="E1031" s="5" t="s">
        <v>14</v>
      </c>
      <c r="F1031" s="17">
        <v>20.89</v>
      </c>
      <c r="G1031" s="3">
        <v>2</v>
      </c>
      <c r="H1031" s="17">
        <f>Table1[[#This Row],[Unit price]]*Table1[[#This Row],[Quantity]]</f>
        <v>41.78</v>
      </c>
      <c r="I1031" s="29">
        <f>Table1[[#This Row],[Total Revenue]]/$H$5056*100</f>
        <v>4.4326803122419021E-3</v>
      </c>
      <c r="J1031" s="3" t="s">
        <v>15</v>
      </c>
      <c r="K1031" s="4">
        <v>9.8000000000000007</v>
      </c>
      <c r="M1031"/>
    </row>
    <row r="1032" spans="1:13" x14ac:dyDescent="0.25">
      <c r="A1032" s="2">
        <v>45326</v>
      </c>
      <c r="B1032" s="3" t="s">
        <v>244</v>
      </c>
      <c r="C1032" s="3" t="s">
        <v>13</v>
      </c>
      <c r="D1032" s="3" t="s">
        <v>10</v>
      </c>
      <c r="E1032" s="5" t="s">
        <v>21</v>
      </c>
      <c r="F1032" s="17">
        <v>58.24</v>
      </c>
      <c r="G1032" s="3">
        <v>9</v>
      </c>
      <c r="H1032" s="17">
        <f>Table1[[#This Row],[Unit price]]*Table1[[#This Row],[Quantity]]</f>
        <v>524.16</v>
      </c>
      <c r="I1032" s="29">
        <f>Table1[[#This Row],[Total Revenue]]/$H$5056*100</f>
        <v>5.5611146779911802E-2</v>
      </c>
      <c r="J1032" s="3" t="s">
        <v>15</v>
      </c>
      <c r="K1032" s="4">
        <v>9.6999999999999993</v>
      </c>
      <c r="M1032"/>
    </row>
    <row r="1033" spans="1:13" x14ac:dyDescent="0.25">
      <c r="A1033" s="2">
        <v>45326</v>
      </c>
      <c r="B1033" s="3" t="s">
        <v>243</v>
      </c>
      <c r="C1033" s="3" t="s">
        <v>9</v>
      </c>
      <c r="D1033" s="3" t="s">
        <v>19</v>
      </c>
      <c r="E1033" s="5" t="s">
        <v>11</v>
      </c>
      <c r="F1033" s="17">
        <v>87.9</v>
      </c>
      <c r="G1033" s="3">
        <v>1</v>
      </c>
      <c r="H1033" s="17">
        <f>Table1[[#This Row],[Unit price]]*Table1[[#This Row],[Quantity]]</f>
        <v>87.9</v>
      </c>
      <c r="I1033" s="29">
        <f>Table1[[#This Row],[Total Revenue]]/$H$5056*100</f>
        <v>9.3258161667320056E-3</v>
      </c>
      <c r="J1033" s="3" t="s">
        <v>17</v>
      </c>
      <c r="K1033" s="4">
        <v>6.7</v>
      </c>
      <c r="M1033"/>
    </row>
    <row r="1034" spans="1:13" x14ac:dyDescent="0.25">
      <c r="A1034" s="2">
        <v>45326</v>
      </c>
      <c r="B1034" s="3" t="s">
        <v>245</v>
      </c>
      <c r="C1034" s="3" t="s">
        <v>9</v>
      </c>
      <c r="D1034" s="3" t="s">
        <v>10</v>
      </c>
      <c r="E1034" s="5" t="s">
        <v>21</v>
      </c>
      <c r="F1034" s="17">
        <v>68.599999999999994</v>
      </c>
      <c r="G1034" s="3">
        <v>10</v>
      </c>
      <c r="H1034" s="17">
        <f>Table1[[#This Row],[Unit price]]*Table1[[#This Row],[Quantity]]</f>
        <v>686</v>
      </c>
      <c r="I1034" s="29">
        <f>Table1[[#This Row],[Total Revenue]]/$H$5056*100</f>
        <v>7.2781682484393123E-2</v>
      </c>
      <c r="J1034" s="3" t="s">
        <v>15</v>
      </c>
      <c r="K1034" s="4">
        <v>9.1</v>
      </c>
      <c r="M1034"/>
    </row>
    <row r="1035" spans="1:13" x14ac:dyDescent="0.25">
      <c r="A1035" s="2">
        <v>45326</v>
      </c>
      <c r="B1035" s="3" t="s">
        <v>245</v>
      </c>
      <c r="C1035" s="3" t="s">
        <v>9</v>
      </c>
      <c r="D1035" s="3" t="s">
        <v>10</v>
      </c>
      <c r="E1035" s="5" t="s">
        <v>21</v>
      </c>
      <c r="F1035" s="17">
        <v>98.21</v>
      </c>
      <c r="G1035" s="3">
        <v>3</v>
      </c>
      <c r="H1035" s="17">
        <f>Table1[[#This Row],[Unit price]]*Table1[[#This Row],[Quantity]]</f>
        <v>294.63</v>
      </c>
      <c r="I1035" s="29">
        <f>Table1[[#This Row],[Total Revenue]]/$H$5056*100</f>
        <v>3.1258989956817411E-2</v>
      </c>
      <c r="J1035" s="3" t="s">
        <v>12</v>
      </c>
      <c r="K1035" s="4">
        <v>7.8</v>
      </c>
      <c r="M1035"/>
    </row>
    <row r="1036" spans="1:13" x14ac:dyDescent="0.25">
      <c r="A1036" s="2">
        <v>45326</v>
      </c>
      <c r="B1036" s="3" t="s">
        <v>245</v>
      </c>
      <c r="C1036" s="3" t="s">
        <v>13</v>
      </c>
      <c r="D1036" s="3" t="s">
        <v>19</v>
      </c>
      <c r="E1036" s="5" t="s">
        <v>21</v>
      </c>
      <c r="F1036" s="17">
        <v>89.75</v>
      </c>
      <c r="G1036" s="3">
        <v>1</v>
      </c>
      <c r="H1036" s="17">
        <f>Table1[[#This Row],[Unit price]]*Table1[[#This Row],[Quantity]]</f>
        <v>89.75</v>
      </c>
      <c r="I1036" s="29">
        <f>Table1[[#This Row],[Total Revenue]]/$H$5056*100</f>
        <v>9.5220932987963303E-3</v>
      </c>
      <c r="J1036" s="3" t="s">
        <v>12</v>
      </c>
      <c r="K1036" s="4">
        <v>6.6</v>
      </c>
      <c r="M1036"/>
    </row>
    <row r="1037" spans="1:13" x14ac:dyDescent="0.25">
      <c r="A1037" s="2">
        <v>45326</v>
      </c>
      <c r="B1037" s="3" t="s">
        <v>244</v>
      </c>
      <c r="C1037" s="3" t="s">
        <v>13</v>
      </c>
      <c r="D1037" s="3" t="s">
        <v>19</v>
      </c>
      <c r="E1037" s="5" t="s">
        <v>14</v>
      </c>
      <c r="F1037" s="17">
        <v>22.95</v>
      </c>
      <c r="G1037" s="3">
        <v>10</v>
      </c>
      <c r="H1037" s="17">
        <f>Table1[[#This Row],[Unit price]]*Table1[[#This Row],[Quantity]]</f>
        <v>229.5</v>
      </c>
      <c r="I1037" s="29">
        <f>Table1[[#This Row],[Total Revenue]]/$H$5056*100</f>
        <v>2.4348973950682539E-2</v>
      </c>
      <c r="J1037" s="3" t="s">
        <v>17</v>
      </c>
      <c r="K1037" s="4">
        <v>8.1999999999999993</v>
      </c>
      <c r="M1037"/>
    </row>
    <row r="1038" spans="1:13" x14ac:dyDescent="0.25">
      <c r="A1038" s="2">
        <v>45326</v>
      </c>
      <c r="B1038" s="3" t="s">
        <v>244</v>
      </c>
      <c r="C1038" s="3" t="s">
        <v>9</v>
      </c>
      <c r="D1038" s="3" t="s">
        <v>10</v>
      </c>
      <c r="E1038" s="5" t="s">
        <v>11</v>
      </c>
      <c r="F1038" s="17">
        <v>20.010000000000002</v>
      </c>
      <c r="G1038" s="3">
        <v>9</v>
      </c>
      <c r="H1038" s="17">
        <f>Table1[[#This Row],[Unit price]]*Table1[[#This Row],[Quantity]]</f>
        <v>180.09</v>
      </c>
      <c r="I1038" s="29">
        <f>Table1[[#This Row],[Total Revenue]]/$H$5056*100</f>
        <v>1.9106783088359121E-2</v>
      </c>
      <c r="J1038" s="3" t="s">
        <v>17</v>
      </c>
      <c r="K1038" s="4">
        <v>4.0999999999999996</v>
      </c>
      <c r="M1038"/>
    </row>
    <row r="1039" spans="1:13" x14ac:dyDescent="0.25">
      <c r="A1039" s="2">
        <v>45326</v>
      </c>
      <c r="B1039" s="3" t="s">
        <v>245</v>
      </c>
      <c r="C1039" s="3" t="s">
        <v>9</v>
      </c>
      <c r="D1039" s="3" t="s">
        <v>10</v>
      </c>
      <c r="E1039" s="5" t="s">
        <v>11</v>
      </c>
      <c r="F1039" s="17">
        <v>99.42</v>
      </c>
      <c r="G1039" s="3">
        <v>4</v>
      </c>
      <c r="H1039" s="17">
        <f>Table1[[#This Row],[Unit price]]*Table1[[#This Row],[Quantity]]</f>
        <v>397.68</v>
      </c>
      <c r="I1039" s="29">
        <f>Table1[[#This Row],[Total Revenue]]/$H$5056*100</f>
        <v>4.219215669153565E-2</v>
      </c>
      <c r="J1039" s="3" t="s">
        <v>17</v>
      </c>
      <c r="K1039" s="4">
        <v>7.5</v>
      </c>
      <c r="M1039"/>
    </row>
    <row r="1040" spans="1:13" x14ac:dyDescent="0.25">
      <c r="A1040" s="2">
        <v>45326</v>
      </c>
      <c r="B1040" s="3" t="s">
        <v>244</v>
      </c>
      <c r="C1040" s="3" t="s">
        <v>9</v>
      </c>
      <c r="D1040" s="3" t="s">
        <v>19</v>
      </c>
      <c r="E1040" s="5" t="s">
        <v>21</v>
      </c>
      <c r="F1040" s="17">
        <v>25.9</v>
      </c>
      <c r="G1040" s="3">
        <v>10</v>
      </c>
      <c r="H1040" s="17">
        <f>Table1[[#This Row],[Unit price]]*Table1[[#This Row],[Quantity]]</f>
        <v>259</v>
      </c>
      <c r="I1040" s="29">
        <f>Table1[[#This Row],[Total Revenue]]/$H$5056*100</f>
        <v>2.7478798489005564E-2</v>
      </c>
      <c r="J1040" s="3" t="s">
        <v>17</v>
      </c>
      <c r="K1040" s="4">
        <v>8.6999999999999993</v>
      </c>
      <c r="M1040"/>
    </row>
    <row r="1041" spans="1:13" x14ac:dyDescent="0.25">
      <c r="A1041" s="2">
        <v>45326</v>
      </c>
      <c r="B1041" s="3" t="s">
        <v>245</v>
      </c>
      <c r="C1041" s="3" t="s">
        <v>9</v>
      </c>
      <c r="D1041" s="3" t="s">
        <v>10</v>
      </c>
      <c r="E1041" s="5" t="s">
        <v>21</v>
      </c>
      <c r="F1041" s="17">
        <v>28.5</v>
      </c>
      <c r="G1041" s="3">
        <v>8</v>
      </c>
      <c r="H1041" s="17">
        <f>Table1[[#This Row],[Unit price]]*Table1[[#This Row],[Quantity]]</f>
        <v>228</v>
      </c>
      <c r="I1041" s="29">
        <f>Table1[[#This Row],[Total Revenue]]/$H$5056*100</f>
        <v>2.418983033008984E-2</v>
      </c>
      <c r="J1041" s="3" t="s">
        <v>15</v>
      </c>
      <c r="K1041" s="4">
        <v>6.6</v>
      </c>
      <c r="M1041"/>
    </row>
    <row r="1042" spans="1:13" x14ac:dyDescent="0.25">
      <c r="A1042" s="2">
        <v>45326</v>
      </c>
      <c r="B1042" s="3" t="s">
        <v>245</v>
      </c>
      <c r="C1042" s="3" t="s">
        <v>13</v>
      </c>
      <c r="D1042" s="3" t="s">
        <v>10</v>
      </c>
      <c r="E1042" s="5" t="s">
        <v>11</v>
      </c>
      <c r="F1042" s="17">
        <v>52.42</v>
      </c>
      <c r="G1042" s="3">
        <v>1</v>
      </c>
      <c r="H1042" s="17">
        <f>Table1[[#This Row],[Unit price]]*Table1[[#This Row],[Quantity]]</f>
        <v>52.42</v>
      </c>
      <c r="I1042" s="29">
        <f>Table1[[#This Row],[Total Revenue]]/$H$5056*100</f>
        <v>5.561539060979428E-3</v>
      </c>
      <c r="J1042" s="3" t="s">
        <v>12</v>
      </c>
      <c r="K1042" s="4">
        <v>6.3</v>
      </c>
      <c r="M1042"/>
    </row>
    <row r="1043" spans="1:13" x14ac:dyDescent="0.25">
      <c r="A1043" s="2">
        <v>45326</v>
      </c>
      <c r="B1043" s="3" t="s">
        <v>244</v>
      </c>
      <c r="C1043" s="3" t="s">
        <v>9</v>
      </c>
      <c r="D1043" s="3" t="s">
        <v>19</v>
      </c>
      <c r="E1043" s="5" t="s">
        <v>14</v>
      </c>
      <c r="F1043" s="17">
        <v>50.45</v>
      </c>
      <c r="G1043" s="3">
        <v>6</v>
      </c>
      <c r="H1043" s="17">
        <f>Table1[[#This Row],[Unit price]]*Table1[[#This Row],[Quantity]]</f>
        <v>302.70000000000005</v>
      </c>
      <c r="I1043" s="29">
        <f>Table1[[#This Row],[Total Revenue]]/$H$5056*100</f>
        <v>3.2115182635606129E-2</v>
      </c>
      <c r="J1043" s="3" t="s">
        <v>12</v>
      </c>
      <c r="K1043" s="4">
        <v>8.9</v>
      </c>
      <c r="M1043"/>
    </row>
    <row r="1044" spans="1:13" x14ac:dyDescent="0.25">
      <c r="A1044" s="2">
        <v>45326</v>
      </c>
      <c r="B1044" s="3" t="s">
        <v>243</v>
      </c>
      <c r="C1044" s="3" t="s">
        <v>13</v>
      </c>
      <c r="D1044" s="3" t="s">
        <v>10</v>
      </c>
      <c r="E1044" s="5" t="s">
        <v>21</v>
      </c>
      <c r="F1044" s="17">
        <v>35.68</v>
      </c>
      <c r="G1044" s="3">
        <v>5</v>
      </c>
      <c r="H1044" s="17">
        <f>Table1[[#This Row],[Unit price]]*Table1[[#This Row],[Quantity]]</f>
        <v>178.4</v>
      </c>
      <c r="I1044" s="29">
        <f>Table1[[#This Row],[Total Revenue]]/$H$5056*100</f>
        <v>1.8927481275824685E-2</v>
      </c>
      <c r="J1044" s="3" t="s">
        <v>12</v>
      </c>
      <c r="K1044" s="4">
        <v>6.6</v>
      </c>
      <c r="M1044"/>
    </row>
    <row r="1045" spans="1:13" x14ac:dyDescent="0.25">
      <c r="A1045" s="2">
        <v>45326</v>
      </c>
      <c r="B1045" s="3" t="s">
        <v>243</v>
      </c>
      <c r="C1045" s="3" t="s">
        <v>13</v>
      </c>
      <c r="D1045" s="3" t="s">
        <v>10</v>
      </c>
      <c r="E1045" s="5" t="s">
        <v>14</v>
      </c>
      <c r="F1045" s="17">
        <v>28.96</v>
      </c>
      <c r="G1045" s="3">
        <v>1</v>
      </c>
      <c r="H1045" s="17">
        <f>Table1[[#This Row],[Unit price]]*Table1[[#This Row],[Quantity]]</f>
        <v>28.96</v>
      </c>
      <c r="I1045" s="29">
        <f>Table1[[#This Row],[Total Revenue]]/$H$5056*100</f>
        <v>3.0725328349096572E-3</v>
      </c>
      <c r="J1045" s="3" t="s">
        <v>12</v>
      </c>
      <c r="K1045" s="4">
        <v>6.2</v>
      </c>
      <c r="M1045"/>
    </row>
    <row r="1046" spans="1:13" x14ac:dyDescent="0.25">
      <c r="A1046" s="2">
        <v>45326</v>
      </c>
      <c r="B1046" s="3" t="s">
        <v>243</v>
      </c>
      <c r="C1046" s="3" t="s">
        <v>13</v>
      </c>
      <c r="D1046" s="3" t="s">
        <v>19</v>
      </c>
      <c r="E1046" s="5" t="s">
        <v>21</v>
      </c>
      <c r="F1046" s="17">
        <v>89.6</v>
      </c>
      <c r="G1046" s="3">
        <v>8</v>
      </c>
      <c r="H1046" s="17">
        <f>Table1[[#This Row],[Unit price]]*Table1[[#This Row],[Quantity]]</f>
        <v>716.8</v>
      </c>
      <c r="I1046" s="29">
        <f>Table1[[#This Row],[Total Revenue]]/$H$5056*100</f>
        <v>7.604943149389648E-2</v>
      </c>
      <c r="J1046" s="3" t="s">
        <v>17</v>
      </c>
      <c r="K1046" s="4">
        <v>6.6</v>
      </c>
      <c r="M1046"/>
    </row>
    <row r="1047" spans="1:13" x14ac:dyDescent="0.25">
      <c r="A1047" s="2">
        <v>45326</v>
      </c>
      <c r="B1047" s="3" t="s">
        <v>244</v>
      </c>
      <c r="C1047" s="3" t="s">
        <v>9</v>
      </c>
      <c r="D1047" s="3" t="s">
        <v>10</v>
      </c>
      <c r="E1047" s="5" t="s">
        <v>16</v>
      </c>
      <c r="F1047" s="17">
        <v>16.489999999999998</v>
      </c>
      <c r="G1047" s="3">
        <v>2</v>
      </c>
      <c r="H1047" s="17">
        <f>Table1[[#This Row],[Unit price]]*Table1[[#This Row],[Quantity]]</f>
        <v>32.979999999999997</v>
      </c>
      <c r="I1047" s="29">
        <f>Table1[[#This Row],[Total Revenue]]/$H$5056*100</f>
        <v>3.4990377380980831E-3</v>
      </c>
      <c r="J1047" s="3" t="s">
        <v>17</v>
      </c>
      <c r="K1047" s="4">
        <v>4.5999999999999996</v>
      </c>
      <c r="M1047"/>
    </row>
    <row r="1048" spans="1:13" x14ac:dyDescent="0.25">
      <c r="A1048" s="2">
        <v>45326</v>
      </c>
      <c r="B1048" s="3" t="s">
        <v>245</v>
      </c>
      <c r="C1048" s="3" t="s">
        <v>9</v>
      </c>
      <c r="D1048" s="3" t="s">
        <v>19</v>
      </c>
      <c r="E1048" s="5" t="s">
        <v>18</v>
      </c>
      <c r="F1048" s="17">
        <v>69.33</v>
      </c>
      <c r="G1048" s="3">
        <v>2</v>
      </c>
      <c r="H1048" s="17">
        <f>Table1[[#This Row],[Unit price]]*Table1[[#This Row],[Quantity]]</f>
        <v>138.66</v>
      </c>
      <c r="I1048" s="29">
        <f>Table1[[#This Row],[Total Revenue]]/$H$5056*100</f>
        <v>1.4711236287588849E-2</v>
      </c>
      <c r="J1048" s="3" t="s">
        <v>17</v>
      </c>
      <c r="K1048" s="4">
        <v>9.6999999999999993</v>
      </c>
      <c r="M1048"/>
    </row>
    <row r="1049" spans="1:13" x14ac:dyDescent="0.25">
      <c r="A1049" s="2">
        <v>45326</v>
      </c>
      <c r="B1049" s="3" t="s">
        <v>243</v>
      </c>
      <c r="C1049" s="3" t="s">
        <v>9</v>
      </c>
      <c r="D1049" s="3" t="s">
        <v>10</v>
      </c>
      <c r="E1049" s="5" t="s">
        <v>16</v>
      </c>
      <c r="F1049" s="17">
        <v>75.2</v>
      </c>
      <c r="G1049" s="3">
        <v>3</v>
      </c>
      <c r="H1049" s="17">
        <f>Table1[[#This Row],[Unit price]]*Table1[[#This Row],[Quantity]]</f>
        <v>225.60000000000002</v>
      </c>
      <c r="I1049" s="29">
        <f>Table1[[#This Row],[Total Revenue]]/$H$5056*100</f>
        <v>2.3935200537141529E-2</v>
      </c>
      <c r="J1049" s="3" t="s">
        <v>17</v>
      </c>
      <c r="K1049" s="4">
        <v>4.8</v>
      </c>
      <c r="M1049"/>
    </row>
    <row r="1050" spans="1:13" x14ac:dyDescent="0.25">
      <c r="A1050" s="2">
        <v>45326</v>
      </c>
      <c r="B1050" s="3" t="s">
        <v>243</v>
      </c>
      <c r="C1050" s="3" t="s">
        <v>9</v>
      </c>
      <c r="D1050" s="3" t="s">
        <v>19</v>
      </c>
      <c r="E1050" s="5" t="s">
        <v>20</v>
      </c>
      <c r="F1050" s="17">
        <v>25.91</v>
      </c>
      <c r="G1050" s="3">
        <v>6</v>
      </c>
      <c r="H1050" s="17">
        <f>Table1[[#This Row],[Unit price]]*Table1[[#This Row],[Quantity]]</f>
        <v>155.46</v>
      </c>
      <c r="I1050" s="29">
        <f>Table1[[#This Row],[Total Revenue]]/$H$5056*100</f>
        <v>1.6493644838227049E-2</v>
      </c>
      <c r="J1050" s="3" t="s">
        <v>17</v>
      </c>
      <c r="K1050" s="4">
        <v>8.6999999999999993</v>
      </c>
      <c r="M1050"/>
    </row>
    <row r="1051" spans="1:13" x14ac:dyDescent="0.25">
      <c r="A1051" s="2">
        <v>45326</v>
      </c>
      <c r="B1051" s="3" t="s">
        <v>245</v>
      </c>
      <c r="C1051" s="3" t="s">
        <v>9</v>
      </c>
      <c r="D1051" s="3" t="s">
        <v>19</v>
      </c>
      <c r="E1051" s="5" t="s">
        <v>18</v>
      </c>
      <c r="F1051" s="17">
        <v>96.98</v>
      </c>
      <c r="G1051" s="3">
        <v>4</v>
      </c>
      <c r="H1051" s="17">
        <f>Table1[[#This Row],[Unit price]]*Table1[[#This Row],[Quantity]]</f>
        <v>387.92</v>
      </c>
      <c r="I1051" s="29">
        <f>Table1[[#This Row],[Total Revenue]]/$H$5056*100</f>
        <v>4.115666220021251E-2</v>
      </c>
      <c r="J1051" s="3" t="s">
        <v>17</v>
      </c>
      <c r="K1051" s="4">
        <v>9.4</v>
      </c>
      <c r="M1051"/>
    </row>
    <row r="1052" spans="1:13" x14ac:dyDescent="0.25">
      <c r="A1052" s="2">
        <v>45326</v>
      </c>
      <c r="B1052" s="3" t="s">
        <v>245</v>
      </c>
      <c r="C1052" s="3" t="s">
        <v>9</v>
      </c>
      <c r="D1052" s="3" t="s">
        <v>19</v>
      </c>
      <c r="E1052" s="5" t="s">
        <v>20</v>
      </c>
      <c r="F1052" s="17">
        <v>35.81</v>
      </c>
      <c r="G1052" s="3">
        <v>5</v>
      </c>
      <c r="H1052" s="17">
        <f>Table1[[#This Row],[Unit price]]*Table1[[#This Row],[Quantity]]</f>
        <v>179.05</v>
      </c>
      <c r="I1052" s="29">
        <f>Table1[[#This Row],[Total Revenue]]/$H$5056*100</f>
        <v>1.8996443511414853E-2</v>
      </c>
      <c r="J1052" s="3" t="s">
        <v>17</v>
      </c>
      <c r="K1052" s="4">
        <v>7.9</v>
      </c>
      <c r="M1052"/>
    </row>
    <row r="1053" spans="1:13" x14ac:dyDescent="0.25">
      <c r="A1053" s="2">
        <v>45326</v>
      </c>
      <c r="B1053" s="3" t="s">
        <v>243</v>
      </c>
      <c r="C1053" s="3" t="s">
        <v>9</v>
      </c>
      <c r="D1053" s="3" t="s">
        <v>10</v>
      </c>
      <c r="E1053" s="5" t="s">
        <v>20</v>
      </c>
      <c r="F1053" s="17">
        <v>37.44</v>
      </c>
      <c r="G1053" s="3">
        <v>6</v>
      </c>
      <c r="H1053" s="17">
        <f>Table1[[#This Row],[Unit price]]*Table1[[#This Row],[Quantity]]</f>
        <v>224.64</v>
      </c>
      <c r="I1053" s="29">
        <f>Table1[[#This Row],[Total Revenue]]/$H$5056*100</f>
        <v>2.38333486199622E-2</v>
      </c>
      <c r="J1053" s="3" t="s">
        <v>12</v>
      </c>
      <c r="K1053" s="4">
        <v>5.9</v>
      </c>
      <c r="M1053"/>
    </row>
    <row r="1054" spans="1:13" x14ac:dyDescent="0.25">
      <c r="A1054" s="2">
        <v>45326</v>
      </c>
      <c r="B1054" s="3" t="s">
        <v>244</v>
      </c>
      <c r="C1054" s="3" t="s">
        <v>9</v>
      </c>
      <c r="D1054" s="3" t="s">
        <v>10</v>
      </c>
      <c r="E1054" s="5" t="s">
        <v>18</v>
      </c>
      <c r="F1054" s="17">
        <v>14.48</v>
      </c>
      <c r="G1054" s="3">
        <v>4</v>
      </c>
      <c r="H1054" s="17">
        <f>Table1[[#This Row],[Unit price]]*Table1[[#This Row],[Quantity]]</f>
        <v>57.92</v>
      </c>
      <c r="I1054" s="29">
        <f>Table1[[#This Row],[Total Revenue]]/$H$5056*100</f>
        <v>6.1450656698193145E-3</v>
      </c>
      <c r="J1054" s="3" t="s">
        <v>17</v>
      </c>
      <c r="K1054" s="4">
        <v>4.5</v>
      </c>
      <c r="M1054"/>
    </row>
    <row r="1055" spans="1:13" x14ac:dyDescent="0.25">
      <c r="A1055" s="2">
        <v>45355</v>
      </c>
      <c r="B1055" s="3" t="s">
        <v>244</v>
      </c>
      <c r="C1055" s="3" t="s">
        <v>9</v>
      </c>
      <c r="D1055" s="3" t="s">
        <v>10</v>
      </c>
      <c r="E1055" s="5" t="s">
        <v>16</v>
      </c>
      <c r="F1055" s="17">
        <v>16.489999999999998</v>
      </c>
      <c r="G1055" s="3">
        <v>2</v>
      </c>
      <c r="H1055" s="17">
        <f>Table1[[#This Row],[Unit price]]*Table1[[#This Row],[Quantity]]</f>
        <v>32.979999999999997</v>
      </c>
      <c r="I1055" s="29">
        <f>Table1[[#This Row],[Total Revenue]]/$H$5056*100</f>
        <v>3.4990377380980831E-3</v>
      </c>
      <c r="J1055" s="3" t="s">
        <v>17</v>
      </c>
      <c r="K1055" s="4">
        <v>4.5999999999999996</v>
      </c>
      <c r="M1055"/>
    </row>
    <row r="1056" spans="1:13" x14ac:dyDescent="0.25">
      <c r="A1056" s="2">
        <v>45355</v>
      </c>
      <c r="B1056" s="3" t="s">
        <v>245</v>
      </c>
      <c r="C1056" s="3" t="s">
        <v>9</v>
      </c>
      <c r="D1056" s="3" t="s">
        <v>19</v>
      </c>
      <c r="E1056" s="5" t="s">
        <v>18</v>
      </c>
      <c r="F1056" s="17">
        <v>69.33</v>
      </c>
      <c r="G1056" s="3">
        <v>2</v>
      </c>
      <c r="H1056" s="17">
        <f>Table1[[#This Row],[Unit price]]*Table1[[#This Row],[Quantity]]</f>
        <v>138.66</v>
      </c>
      <c r="I1056" s="29">
        <f>Table1[[#This Row],[Total Revenue]]/$H$5056*100</f>
        <v>1.4711236287588849E-2</v>
      </c>
      <c r="J1056" s="3" t="s">
        <v>17</v>
      </c>
      <c r="K1056" s="4">
        <v>9.6999999999999993</v>
      </c>
      <c r="M1056"/>
    </row>
    <row r="1057" spans="1:13" x14ac:dyDescent="0.25">
      <c r="A1057" s="2">
        <v>45355</v>
      </c>
      <c r="B1057" s="3" t="s">
        <v>244</v>
      </c>
      <c r="C1057" s="3" t="s">
        <v>13</v>
      </c>
      <c r="D1057" s="3" t="s">
        <v>10</v>
      </c>
      <c r="E1057" s="5" t="s">
        <v>21</v>
      </c>
      <c r="F1057" s="17">
        <v>58.24</v>
      </c>
      <c r="G1057" s="3">
        <v>9</v>
      </c>
      <c r="H1057" s="17">
        <f>Table1[[#This Row],[Unit price]]*Table1[[#This Row],[Quantity]]</f>
        <v>524.16</v>
      </c>
      <c r="I1057" s="29">
        <f>Table1[[#This Row],[Total Revenue]]/$H$5056*100</f>
        <v>5.5611146779911802E-2</v>
      </c>
      <c r="J1057" s="3" t="s">
        <v>15</v>
      </c>
      <c r="K1057" s="4">
        <v>9.6999999999999993</v>
      </c>
      <c r="M1057"/>
    </row>
    <row r="1058" spans="1:13" x14ac:dyDescent="0.25">
      <c r="A1058" s="2">
        <v>45355</v>
      </c>
      <c r="B1058" s="3" t="s">
        <v>243</v>
      </c>
      <c r="C1058" s="3" t="s">
        <v>9</v>
      </c>
      <c r="D1058" s="3" t="s">
        <v>10</v>
      </c>
      <c r="E1058" s="5" t="s">
        <v>16</v>
      </c>
      <c r="F1058" s="17">
        <v>75.2</v>
      </c>
      <c r="G1058" s="3">
        <v>3</v>
      </c>
      <c r="H1058" s="17">
        <f>Table1[[#This Row],[Unit price]]*Table1[[#This Row],[Quantity]]</f>
        <v>225.60000000000002</v>
      </c>
      <c r="I1058" s="29">
        <f>Table1[[#This Row],[Total Revenue]]/$H$5056*100</f>
        <v>2.3935200537141529E-2</v>
      </c>
      <c r="J1058" s="3" t="s">
        <v>17</v>
      </c>
      <c r="K1058" s="4">
        <v>4.8</v>
      </c>
      <c r="M1058"/>
    </row>
    <row r="1059" spans="1:13" x14ac:dyDescent="0.25">
      <c r="A1059" s="2">
        <v>45355</v>
      </c>
      <c r="B1059" s="3" t="s">
        <v>245</v>
      </c>
      <c r="C1059" s="3" t="s">
        <v>9</v>
      </c>
      <c r="D1059" s="3" t="s">
        <v>10</v>
      </c>
      <c r="E1059" s="5" t="s">
        <v>21</v>
      </c>
      <c r="F1059" s="17">
        <v>68.599999999999994</v>
      </c>
      <c r="G1059" s="3">
        <v>10</v>
      </c>
      <c r="H1059" s="17">
        <f>Table1[[#This Row],[Unit price]]*Table1[[#This Row],[Quantity]]</f>
        <v>686</v>
      </c>
      <c r="I1059" s="29">
        <f>Table1[[#This Row],[Total Revenue]]/$H$5056*100</f>
        <v>7.2781682484393123E-2</v>
      </c>
      <c r="J1059" s="3" t="s">
        <v>15</v>
      </c>
      <c r="K1059" s="4">
        <v>9.1</v>
      </c>
      <c r="M1059"/>
    </row>
    <row r="1060" spans="1:13" x14ac:dyDescent="0.25">
      <c r="A1060" s="2">
        <v>45355</v>
      </c>
      <c r="B1060" s="3" t="s">
        <v>245</v>
      </c>
      <c r="C1060" s="3" t="s">
        <v>9</v>
      </c>
      <c r="D1060" s="3" t="s">
        <v>10</v>
      </c>
      <c r="E1060" s="5" t="s">
        <v>21</v>
      </c>
      <c r="F1060" s="17">
        <v>98.21</v>
      </c>
      <c r="G1060" s="3">
        <v>3</v>
      </c>
      <c r="H1060" s="17">
        <f>Table1[[#This Row],[Unit price]]*Table1[[#This Row],[Quantity]]</f>
        <v>294.63</v>
      </c>
      <c r="I1060" s="29">
        <f>Table1[[#This Row],[Total Revenue]]/$H$5056*100</f>
        <v>3.1258989956817411E-2</v>
      </c>
      <c r="J1060" s="3" t="s">
        <v>12</v>
      </c>
      <c r="K1060" s="4">
        <v>7.8</v>
      </c>
      <c r="M1060"/>
    </row>
    <row r="1061" spans="1:13" x14ac:dyDescent="0.25">
      <c r="A1061" s="2">
        <v>45355</v>
      </c>
      <c r="B1061" s="3" t="s">
        <v>243</v>
      </c>
      <c r="C1061" s="3" t="s">
        <v>9</v>
      </c>
      <c r="D1061" s="3" t="s">
        <v>19</v>
      </c>
      <c r="E1061" s="5" t="s">
        <v>20</v>
      </c>
      <c r="F1061" s="17">
        <v>25.91</v>
      </c>
      <c r="G1061" s="3">
        <v>6</v>
      </c>
      <c r="H1061" s="17">
        <f>Table1[[#This Row],[Unit price]]*Table1[[#This Row],[Quantity]]</f>
        <v>155.46</v>
      </c>
      <c r="I1061" s="29">
        <f>Table1[[#This Row],[Total Revenue]]/$H$5056*100</f>
        <v>1.6493644838227049E-2</v>
      </c>
      <c r="J1061" s="3" t="s">
        <v>17</v>
      </c>
      <c r="K1061" s="4">
        <v>8.6999999999999993</v>
      </c>
      <c r="M1061"/>
    </row>
    <row r="1062" spans="1:13" x14ac:dyDescent="0.25">
      <c r="A1062" s="2">
        <v>45355</v>
      </c>
      <c r="B1062" s="3" t="s">
        <v>245</v>
      </c>
      <c r="C1062" s="3" t="s">
        <v>13</v>
      </c>
      <c r="D1062" s="3" t="s">
        <v>19</v>
      </c>
      <c r="E1062" s="5" t="s">
        <v>21</v>
      </c>
      <c r="F1062" s="17">
        <v>89.75</v>
      </c>
      <c r="G1062" s="3">
        <v>1</v>
      </c>
      <c r="H1062" s="17">
        <f>Table1[[#This Row],[Unit price]]*Table1[[#This Row],[Quantity]]</f>
        <v>89.75</v>
      </c>
      <c r="I1062" s="29">
        <f>Table1[[#This Row],[Total Revenue]]/$H$5056*100</f>
        <v>9.5220932987963303E-3</v>
      </c>
      <c r="J1062" s="3" t="s">
        <v>12</v>
      </c>
      <c r="K1062" s="4">
        <v>6.6</v>
      </c>
      <c r="M1062"/>
    </row>
    <row r="1063" spans="1:13" x14ac:dyDescent="0.25">
      <c r="A1063" s="2">
        <v>45355</v>
      </c>
      <c r="B1063" s="3" t="s">
        <v>245</v>
      </c>
      <c r="C1063" s="3" t="s">
        <v>9</v>
      </c>
      <c r="D1063" s="3" t="s">
        <v>19</v>
      </c>
      <c r="E1063" s="5" t="s">
        <v>18</v>
      </c>
      <c r="F1063" s="17">
        <v>96.98</v>
      </c>
      <c r="G1063" s="3">
        <v>4</v>
      </c>
      <c r="H1063" s="17">
        <f>Table1[[#This Row],[Unit price]]*Table1[[#This Row],[Quantity]]</f>
        <v>387.92</v>
      </c>
      <c r="I1063" s="29">
        <f>Table1[[#This Row],[Total Revenue]]/$H$5056*100</f>
        <v>4.115666220021251E-2</v>
      </c>
      <c r="J1063" s="3" t="s">
        <v>17</v>
      </c>
      <c r="K1063" s="4">
        <v>9.4</v>
      </c>
      <c r="M1063"/>
    </row>
    <row r="1064" spans="1:13" x14ac:dyDescent="0.25">
      <c r="A1064" s="2">
        <v>45355</v>
      </c>
      <c r="B1064" s="3" t="s">
        <v>245</v>
      </c>
      <c r="C1064" s="3" t="s">
        <v>9</v>
      </c>
      <c r="D1064" s="3" t="s">
        <v>19</v>
      </c>
      <c r="E1064" s="5" t="s">
        <v>20</v>
      </c>
      <c r="F1064" s="17">
        <v>35.81</v>
      </c>
      <c r="G1064" s="3">
        <v>5</v>
      </c>
      <c r="H1064" s="17">
        <f>Table1[[#This Row],[Unit price]]*Table1[[#This Row],[Quantity]]</f>
        <v>179.05</v>
      </c>
      <c r="I1064" s="29">
        <f>Table1[[#This Row],[Total Revenue]]/$H$5056*100</f>
        <v>1.8996443511414853E-2</v>
      </c>
      <c r="J1064" s="3" t="s">
        <v>17</v>
      </c>
      <c r="K1064" s="4">
        <v>7.9</v>
      </c>
      <c r="M1064"/>
    </row>
    <row r="1065" spans="1:13" x14ac:dyDescent="0.25">
      <c r="A1065" s="2">
        <v>45355</v>
      </c>
      <c r="B1065" s="3" t="s">
        <v>244</v>
      </c>
      <c r="C1065" s="3" t="s">
        <v>9</v>
      </c>
      <c r="D1065" s="3" t="s">
        <v>19</v>
      </c>
      <c r="E1065" s="5" t="s">
        <v>21</v>
      </c>
      <c r="F1065" s="17">
        <v>25.9</v>
      </c>
      <c r="G1065" s="3">
        <v>10</v>
      </c>
      <c r="H1065" s="17">
        <f>Table1[[#This Row],[Unit price]]*Table1[[#This Row],[Quantity]]</f>
        <v>259</v>
      </c>
      <c r="I1065" s="29">
        <f>Table1[[#This Row],[Total Revenue]]/$H$5056*100</f>
        <v>2.7478798489005564E-2</v>
      </c>
      <c r="J1065" s="3" t="s">
        <v>17</v>
      </c>
      <c r="K1065" s="4">
        <v>8.6999999999999993</v>
      </c>
      <c r="M1065"/>
    </row>
    <row r="1066" spans="1:13" x14ac:dyDescent="0.25">
      <c r="A1066" s="2">
        <v>45355</v>
      </c>
      <c r="B1066" s="3" t="s">
        <v>243</v>
      </c>
      <c r="C1066" s="3" t="s">
        <v>9</v>
      </c>
      <c r="D1066" s="3" t="s">
        <v>10</v>
      </c>
      <c r="E1066" s="5" t="s">
        <v>20</v>
      </c>
      <c r="F1066" s="17">
        <v>37.44</v>
      </c>
      <c r="G1066" s="3">
        <v>6</v>
      </c>
      <c r="H1066" s="17">
        <f>Table1[[#This Row],[Unit price]]*Table1[[#This Row],[Quantity]]</f>
        <v>224.64</v>
      </c>
      <c r="I1066" s="29">
        <f>Table1[[#This Row],[Total Revenue]]/$H$5056*100</f>
        <v>2.38333486199622E-2</v>
      </c>
      <c r="J1066" s="3" t="s">
        <v>12</v>
      </c>
      <c r="K1066" s="4">
        <v>5.9</v>
      </c>
      <c r="M1066"/>
    </row>
    <row r="1067" spans="1:13" x14ac:dyDescent="0.25">
      <c r="A1067" s="2">
        <v>45355</v>
      </c>
      <c r="B1067" s="3" t="s">
        <v>244</v>
      </c>
      <c r="C1067" s="3" t="s">
        <v>9</v>
      </c>
      <c r="D1067" s="3" t="s">
        <v>10</v>
      </c>
      <c r="E1067" s="5" t="s">
        <v>18</v>
      </c>
      <c r="F1067" s="17">
        <v>14.48</v>
      </c>
      <c r="G1067" s="3">
        <v>4</v>
      </c>
      <c r="H1067" s="17">
        <f>Table1[[#This Row],[Unit price]]*Table1[[#This Row],[Quantity]]</f>
        <v>57.92</v>
      </c>
      <c r="I1067" s="29">
        <f>Table1[[#This Row],[Total Revenue]]/$H$5056*100</f>
        <v>6.1450656698193145E-3</v>
      </c>
      <c r="J1067" s="3" t="s">
        <v>17</v>
      </c>
      <c r="K1067" s="4">
        <v>4.5</v>
      </c>
      <c r="M1067"/>
    </row>
    <row r="1068" spans="1:13" x14ac:dyDescent="0.25">
      <c r="A1068" s="2">
        <v>45355</v>
      </c>
      <c r="B1068" s="3" t="s">
        <v>245</v>
      </c>
      <c r="C1068" s="3" t="s">
        <v>9</v>
      </c>
      <c r="D1068" s="3" t="s">
        <v>10</v>
      </c>
      <c r="E1068" s="5" t="s">
        <v>21</v>
      </c>
      <c r="F1068" s="17">
        <v>28.5</v>
      </c>
      <c r="G1068" s="3">
        <v>8</v>
      </c>
      <c r="H1068" s="17">
        <f>Table1[[#This Row],[Unit price]]*Table1[[#This Row],[Quantity]]</f>
        <v>228</v>
      </c>
      <c r="I1068" s="29">
        <f>Table1[[#This Row],[Total Revenue]]/$H$5056*100</f>
        <v>2.418983033008984E-2</v>
      </c>
      <c r="J1068" s="3" t="s">
        <v>15</v>
      </c>
      <c r="K1068" s="4">
        <v>6.6</v>
      </c>
      <c r="M1068"/>
    </row>
    <row r="1069" spans="1:13" x14ac:dyDescent="0.25">
      <c r="A1069" s="2">
        <v>45355</v>
      </c>
      <c r="B1069" s="3" t="s">
        <v>243</v>
      </c>
      <c r="C1069" s="3" t="s">
        <v>13</v>
      </c>
      <c r="D1069" s="3" t="s">
        <v>10</v>
      </c>
      <c r="E1069" s="5" t="s">
        <v>21</v>
      </c>
      <c r="F1069" s="17">
        <v>35.68</v>
      </c>
      <c r="G1069" s="3">
        <v>5</v>
      </c>
      <c r="H1069" s="17">
        <f>Table1[[#This Row],[Unit price]]*Table1[[#This Row],[Quantity]]</f>
        <v>178.4</v>
      </c>
      <c r="I1069" s="29">
        <f>Table1[[#This Row],[Total Revenue]]/$H$5056*100</f>
        <v>1.8927481275824685E-2</v>
      </c>
      <c r="J1069" s="3" t="s">
        <v>12</v>
      </c>
      <c r="K1069" s="4">
        <v>6.6</v>
      </c>
      <c r="M1069"/>
    </row>
    <row r="1070" spans="1:13" x14ac:dyDescent="0.25">
      <c r="A1070" s="2">
        <v>45355</v>
      </c>
      <c r="B1070" s="3" t="s">
        <v>243</v>
      </c>
      <c r="C1070" s="3" t="s">
        <v>9</v>
      </c>
      <c r="D1070" s="3" t="s">
        <v>19</v>
      </c>
      <c r="E1070" s="5" t="s">
        <v>11</v>
      </c>
      <c r="F1070" s="17">
        <v>35.04</v>
      </c>
      <c r="G1070" s="3">
        <v>9</v>
      </c>
      <c r="H1070" s="17">
        <f>Table1[[#This Row],[Unit price]]*Table1[[#This Row],[Quantity]]</f>
        <v>315.36</v>
      </c>
      <c r="I1070" s="29">
        <f>Table1[[#This Row],[Total Revenue]]/$H$5056*100</f>
        <v>3.345835479340848E-2</v>
      </c>
      <c r="J1070" s="3" t="s">
        <v>17</v>
      </c>
      <c r="K1070" s="4">
        <v>4.5999999999999996</v>
      </c>
      <c r="M1070"/>
    </row>
    <row r="1071" spans="1:13" x14ac:dyDescent="0.25">
      <c r="A1071" s="2">
        <v>45355</v>
      </c>
      <c r="B1071" s="3" t="s">
        <v>245</v>
      </c>
      <c r="C1071" s="3" t="s">
        <v>13</v>
      </c>
      <c r="D1071" s="3" t="s">
        <v>19</v>
      </c>
      <c r="E1071" s="5" t="s">
        <v>11</v>
      </c>
      <c r="F1071" s="17">
        <v>21.58</v>
      </c>
      <c r="G1071" s="3">
        <v>1</v>
      </c>
      <c r="H1071" s="17">
        <f>Table1[[#This Row],[Unit price]]*Table1[[#This Row],[Quantity]]</f>
        <v>21.58</v>
      </c>
      <c r="I1071" s="29">
        <f>Table1[[#This Row],[Total Revenue]]/$H$5056*100</f>
        <v>2.2895462215935911E-3</v>
      </c>
      <c r="J1071" s="3" t="s">
        <v>17</v>
      </c>
      <c r="K1071" s="4">
        <v>7.2</v>
      </c>
      <c r="M1071"/>
    </row>
    <row r="1072" spans="1:13" x14ac:dyDescent="0.25">
      <c r="A1072" s="2">
        <v>45355</v>
      </c>
      <c r="B1072" s="3" t="s">
        <v>244</v>
      </c>
      <c r="C1072" s="3" t="s">
        <v>9</v>
      </c>
      <c r="D1072" s="3" t="s">
        <v>10</v>
      </c>
      <c r="E1072" s="5" t="s">
        <v>14</v>
      </c>
      <c r="F1072" s="17">
        <v>81.400000000000006</v>
      </c>
      <c r="G1072" s="3">
        <v>3</v>
      </c>
      <c r="H1072" s="17">
        <f>Table1[[#This Row],[Unit price]]*Table1[[#This Row],[Quantity]]</f>
        <v>244.20000000000002</v>
      </c>
      <c r="I1072" s="29">
        <f>Table1[[#This Row],[Total Revenue]]/$H$5056*100</f>
        <v>2.5908581432490963E-2</v>
      </c>
      <c r="J1072" s="3" t="s">
        <v>15</v>
      </c>
      <c r="K1072" s="4">
        <v>4.8</v>
      </c>
      <c r="M1072"/>
    </row>
    <row r="1073" spans="1:13" x14ac:dyDescent="0.25">
      <c r="A1073" s="2">
        <v>45355</v>
      </c>
      <c r="B1073" s="3" t="s">
        <v>243</v>
      </c>
      <c r="C1073" s="3" t="s">
        <v>9</v>
      </c>
      <c r="D1073" s="3" t="s">
        <v>19</v>
      </c>
      <c r="E1073" s="5" t="s">
        <v>11</v>
      </c>
      <c r="F1073" s="17">
        <v>31.84</v>
      </c>
      <c r="G1073" s="3">
        <v>1</v>
      </c>
      <c r="H1073" s="17">
        <f>Table1[[#This Row],[Unit price]]*Table1[[#This Row],[Quantity]]</f>
        <v>31.84</v>
      </c>
      <c r="I1073" s="29">
        <f>Table1[[#This Row],[Total Revenue]]/$H$5056*100</f>
        <v>3.3780885864476344E-3</v>
      </c>
      <c r="J1073" s="3" t="s">
        <v>15</v>
      </c>
      <c r="K1073" s="4">
        <v>7.7</v>
      </c>
      <c r="M1073"/>
    </row>
    <row r="1074" spans="1:13" x14ac:dyDescent="0.25">
      <c r="A1074" s="2">
        <v>45355</v>
      </c>
      <c r="B1074" s="3" t="s">
        <v>245</v>
      </c>
      <c r="C1074" s="3" t="s">
        <v>9</v>
      </c>
      <c r="D1074" s="3" t="s">
        <v>10</v>
      </c>
      <c r="E1074" s="5" t="s">
        <v>11</v>
      </c>
      <c r="F1074" s="17">
        <v>21.08</v>
      </c>
      <c r="G1074" s="3">
        <v>3</v>
      </c>
      <c r="H1074" s="17">
        <f>Table1[[#This Row],[Unit price]]*Table1[[#This Row],[Quantity]]</f>
        <v>63.239999999999995</v>
      </c>
      <c r="I1074" s="29">
        <f>Table1[[#This Row],[Total Revenue]]/$H$5056*100</f>
        <v>6.7094950441880762E-3</v>
      </c>
      <c r="J1074" s="3" t="s">
        <v>15</v>
      </c>
      <c r="K1074" s="4">
        <v>7.3</v>
      </c>
      <c r="M1074"/>
    </row>
    <row r="1075" spans="1:13" x14ac:dyDescent="0.25">
      <c r="A1075" s="2">
        <v>45355</v>
      </c>
      <c r="B1075" s="3" t="s">
        <v>245</v>
      </c>
      <c r="C1075" s="3" t="s">
        <v>13</v>
      </c>
      <c r="D1075" s="3" t="s">
        <v>10</v>
      </c>
      <c r="E1075" s="5" t="s">
        <v>14</v>
      </c>
      <c r="F1075" s="17">
        <v>12.45</v>
      </c>
      <c r="G1075" s="3">
        <v>6</v>
      </c>
      <c r="H1075" s="17">
        <f>Table1[[#This Row],[Unit price]]*Table1[[#This Row],[Quantity]]</f>
        <v>74.699999999999989</v>
      </c>
      <c r="I1075" s="29">
        <f>Table1[[#This Row],[Total Revenue]]/$H$5056*100</f>
        <v>7.9253523055162756E-3</v>
      </c>
      <c r="J1075" s="3" t="s">
        <v>15</v>
      </c>
      <c r="K1075" s="4">
        <v>4.0999999999999996</v>
      </c>
      <c r="M1075"/>
    </row>
    <row r="1076" spans="1:13" x14ac:dyDescent="0.25">
      <c r="A1076" s="2">
        <v>45386</v>
      </c>
      <c r="B1076" s="3" t="s">
        <v>245</v>
      </c>
      <c r="C1076" s="3" t="s">
        <v>13</v>
      </c>
      <c r="D1076" s="3" t="s">
        <v>19</v>
      </c>
      <c r="E1076" s="5" t="s">
        <v>18</v>
      </c>
      <c r="F1076" s="17">
        <v>62.12</v>
      </c>
      <c r="G1076" s="3">
        <v>10</v>
      </c>
      <c r="H1076" s="17">
        <f>Table1[[#This Row],[Unit price]]*Table1[[#This Row],[Quantity]]</f>
        <v>621.19999999999993</v>
      </c>
      <c r="I1076" s="29">
        <f>Table1[[#This Row],[Total Revenue]]/$H$5056*100</f>
        <v>6.590667807478863E-2</v>
      </c>
      <c r="J1076" s="3" t="s">
        <v>15</v>
      </c>
      <c r="K1076" s="4">
        <v>5.9</v>
      </c>
      <c r="M1076"/>
    </row>
    <row r="1077" spans="1:13" x14ac:dyDescent="0.25">
      <c r="A1077" s="2">
        <v>45386</v>
      </c>
      <c r="B1077" s="3" t="s">
        <v>243</v>
      </c>
      <c r="C1077" s="3" t="s">
        <v>13</v>
      </c>
      <c r="D1077" s="3" t="s">
        <v>10</v>
      </c>
      <c r="E1077" s="5" t="s">
        <v>16</v>
      </c>
      <c r="F1077" s="17">
        <v>94.76</v>
      </c>
      <c r="G1077" s="3">
        <v>4</v>
      </c>
      <c r="H1077" s="17">
        <f>Table1[[#This Row],[Unit price]]*Table1[[#This Row],[Quantity]]</f>
        <v>379.04</v>
      </c>
      <c r="I1077" s="29">
        <f>Table1[[#This Row],[Total Revenue]]/$H$5056*100</f>
        <v>4.021453196630375E-2</v>
      </c>
      <c r="J1077" s="3" t="s">
        <v>17</v>
      </c>
      <c r="K1077" s="4">
        <v>7.8</v>
      </c>
      <c r="M1077"/>
    </row>
    <row r="1078" spans="1:13" x14ac:dyDescent="0.25">
      <c r="A1078" s="2">
        <v>45386</v>
      </c>
      <c r="B1078" s="3" t="s">
        <v>244</v>
      </c>
      <c r="C1078" s="3" t="s">
        <v>9</v>
      </c>
      <c r="D1078" s="3" t="s">
        <v>10</v>
      </c>
      <c r="E1078" s="5" t="s">
        <v>14</v>
      </c>
      <c r="F1078" s="17">
        <v>39.479999999999997</v>
      </c>
      <c r="G1078" s="3">
        <v>1</v>
      </c>
      <c r="H1078" s="17">
        <f>Table1[[#This Row],[Unit price]]*Table1[[#This Row],[Quantity]]</f>
        <v>39.479999999999997</v>
      </c>
      <c r="I1078" s="29">
        <f>Table1[[#This Row],[Total Revenue]]/$H$5056*100</f>
        <v>4.1886600939997675E-3</v>
      </c>
      <c r="J1078" s="3" t="s">
        <v>15</v>
      </c>
      <c r="K1078" s="4">
        <v>6.5</v>
      </c>
      <c r="M1078"/>
    </row>
    <row r="1079" spans="1:13" x14ac:dyDescent="0.25">
      <c r="A1079" s="2">
        <v>45386</v>
      </c>
      <c r="B1079" s="3" t="s">
        <v>245</v>
      </c>
      <c r="C1079" s="3" t="s">
        <v>9</v>
      </c>
      <c r="D1079" s="3" t="s">
        <v>10</v>
      </c>
      <c r="E1079" s="5" t="s">
        <v>11</v>
      </c>
      <c r="F1079" s="17">
        <v>87.1</v>
      </c>
      <c r="G1079" s="3">
        <v>10</v>
      </c>
      <c r="H1079" s="17">
        <f>Table1[[#This Row],[Unit price]]*Table1[[#This Row],[Quantity]]</f>
        <v>871</v>
      </c>
      <c r="I1079" s="29">
        <f>Table1[[#This Row],[Total Revenue]]/$H$5056*100</f>
        <v>9.2409395690825666E-2</v>
      </c>
      <c r="J1079" s="3" t="s">
        <v>12</v>
      </c>
      <c r="K1079" s="4">
        <v>9.9</v>
      </c>
      <c r="M1079"/>
    </row>
    <row r="1080" spans="1:13" x14ac:dyDescent="0.25">
      <c r="A1080" s="2">
        <v>45386</v>
      </c>
      <c r="B1080" s="3" t="s">
        <v>245</v>
      </c>
      <c r="C1080" s="3" t="s">
        <v>9</v>
      </c>
      <c r="D1080" s="3" t="s">
        <v>19</v>
      </c>
      <c r="E1080" s="5" t="s">
        <v>18</v>
      </c>
      <c r="F1080" s="17">
        <v>52.35</v>
      </c>
      <c r="G1080" s="3">
        <v>1</v>
      </c>
      <c r="H1080" s="17">
        <f>Table1[[#This Row],[Unit price]]*Table1[[#This Row],[Quantity]]</f>
        <v>52.35</v>
      </c>
      <c r="I1080" s="29">
        <f>Table1[[#This Row],[Total Revenue]]/$H$5056*100</f>
        <v>5.5541123586851024E-3</v>
      </c>
      <c r="J1080" s="3" t="s">
        <v>15</v>
      </c>
      <c r="K1080" s="4">
        <v>4</v>
      </c>
      <c r="M1080"/>
    </row>
    <row r="1081" spans="1:13" x14ac:dyDescent="0.25">
      <c r="A1081" s="2">
        <v>45386</v>
      </c>
      <c r="B1081" s="3" t="s">
        <v>244</v>
      </c>
      <c r="C1081" s="3" t="s">
        <v>13</v>
      </c>
      <c r="D1081" s="3" t="s">
        <v>19</v>
      </c>
      <c r="E1081" s="5" t="s">
        <v>18</v>
      </c>
      <c r="F1081" s="17">
        <v>94.87</v>
      </c>
      <c r="G1081" s="3">
        <v>8</v>
      </c>
      <c r="H1081" s="17">
        <f>Table1[[#This Row],[Unit price]]*Table1[[#This Row],[Quantity]]</f>
        <v>758.96</v>
      </c>
      <c r="I1081" s="29">
        <f>Table1[[#This Row],[Total Revenue]]/$H$5056*100</f>
        <v>8.052242819002188E-2</v>
      </c>
      <c r="J1081" s="3" t="s">
        <v>17</v>
      </c>
      <c r="K1081" s="4">
        <v>8.6999999999999993</v>
      </c>
      <c r="M1081"/>
    </row>
    <row r="1082" spans="1:13" x14ac:dyDescent="0.25">
      <c r="A1082" s="2">
        <v>45386</v>
      </c>
      <c r="B1082" s="3" t="s">
        <v>244</v>
      </c>
      <c r="C1082" s="3" t="s">
        <v>9</v>
      </c>
      <c r="D1082" s="3" t="s">
        <v>19</v>
      </c>
      <c r="E1082" s="5" t="s">
        <v>20</v>
      </c>
      <c r="F1082" s="17">
        <v>60.38</v>
      </c>
      <c r="G1082" s="3">
        <v>10</v>
      </c>
      <c r="H1082" s="17">
        <f>Table1[[#This Row],[Unit price]]*Table1[[#This Row],[Quantity]]</f>
        <v>603.80000000000007</v>
      </c>
      <c r="I1082" s="29">
        <f>Table1[[#This Row],[Total Revenue]]/$H$5056*100</f>
        <v>6.4060612075913362E-2</v>
      </c>
      <c r="J1082" s="3" t="s">
        <v>15</v>
      </c>
      <c r="K1082" s="4">
        <v>6</v>
      </c>
      <c r="M1082"/>
    </row>
    <row r="1083" spans="1:13" x14ac:dyDescent="0.25">
      <c r="A1083" s="2">
        <v>45386</v>
      </c>
      <c r="B1083" s="3" t="s">
        <v>243</v>
      </c>
      <c r="C1083" s="3" t="s">
        <v>13</v>
      </c>
      <c r="D1083" s="3" t="s">
        <v>10</v>
      </c>
      <c r="E1083" s="5" t="s">
        <v>14</v>
      </c>
      <c r="F1083" s="17">
        <v>46.95</v>
      </c>
      <c r="G1083" s="3">
        <v>5</v>
      </c>
      <c r="H1083" s="17">
        <f>Table1[[#This Row],[Unit price]]*Table1[[#This Row],[Quantity]]</f>
        <v>234.75</v>
      </c>
      <c r="I1083" s="29">
        <f>Table1[[#This Row],[Total Revenue]]/$H$5056*100</f>
        <v>2.4905976622756978E-2</v>
      </c>
      <c r="J1083" s="3" t="s">
        <v>17</v>
      </c>
      <c r="K1083" s="4">
        <v>7.1</v>
      </c>
      <c r="M1083"/>
    </row>
    <row r="1084" spans="1:13" x14ac:dyDescent="0.25">
      <c r="A1084" s="2">
        <v>45386</v>
      </c>
      <c r="B1084" s="3" t="s">
        <v>243</v>
      </c>
      <c r="C1084" s="3" t="s">
        <v>13</v>
      </c>
      <c r="D1084" s="3" t="s">
        <v>19</v>
      </c>
      <c r="E1084" s="5" t="s">
        <v>21</v>
      </c>
      <c r="F1084" s="17">
        <v>25.43</v>
      </c>
      <c r="G1084" s="3">
        <v>6</v>
      </c>
      <c r="H1084" s="17">
        <f>Table1[[#This Row],[Unit price]]*Table1[[#This Row],[Quantity]]</f>
        <v>152.57999999999998</v>
      </c>
      <c r="I1084" s="29">
        <f>Table1[[#This Row],[Total Revenue]]/$H$5056*100</f>
        <v>1.6188089086689068E-2</v>
      </c>
      <c r="J1084" s="3" t="s">
        <v>17</v>
      </c>
      <c r="K1084" s="4">
        <v>7</v>
      </c>
      <c r="M1084"/>
    </row>
    <row r="1085" spans="1:13" x14ac:dyDescent="0.25">
      <c r="A1085" s="2">
        <v>45386</v>
      </c>
      <c r="B1085" s="3" t="s">
        <v>243</v>
      </c>
      <c r="C1085" s="3" t="s">
        <v>9</v>
      </c>
      <c r="D1085" s="3" t="s">
        <v>10</v>
      </c>
      <c r="E1085" s="5" t="s">
        <v>16</v>
      </c>
      <c r="F1085" s="17">
        <v>71.63</v>
      </c>
      <c r="G1085" s="3">
        <v>2</v>
      </c>
      <c r="H1085" s="17">
        <f>Table1[[#This Row],[Unit price]]*Table1[[#This Row],[Quantity]]</f>
        <v>143.26</v>
      </c>
      <c r="I1085" s="29">
        <f>Table1[[#This Row],[Total Revenue]]/$H$5056*100</f>
        <v>1.5199276724073117E-2</v>
      </c>
      <c r="J1085" s="3" t="s">
        <v>17</v>
      </c>
      <c r="K1085" s="4">
        <v>8.8000000000000007</v>
      </c>
      <c r="M1085"/>
    </row>
    <row r="1086" spans="1:13" x14ac:dyDescent="0.25">
      <c r="A1086" s="2">
        <v>45386</v>
      </c>
      <c r="B1086" s="3" t="s">
        <v>243</v>
      </c>
      <c r="C1086" s="3" t="s">
        <v>9</v>
      </c>
      <c r="D1086" s="3" t="s">
        <v>19</v>
      </c>
      <c r="E1086" s="5" t="s">
        <v>14</v>
      </c>
      <c r="F1086" s="17">
        <v>76.819999999999993</v>
      </c>
      <c r="G1086" s="3">
        <v>1</v>
      </c>
      <c r="H1086" s="17">
        <f>Table1[[#This Row],[Unit price]]*Table1[[#This Row],[Quantity]]</f>
        <v>76.819999999999993</v>
      </c>
      <c r="I1086" s="29">
        <f>Table1[[#This Row],[Total Revenue]]/$H$5056*100</f>
        <v>8.1502752892872871E-3</v>
      </c>
      <c r="J1086" s="3" t="s">
        <v>17</v>
      </c>
      <c r="K1086" s="4">
        <v>7.2</v>
      </c>
      <c r="M1086"/>
    </row>
    <row r="1087" spans="1:13" x14ac:dyDescent="0.25">
      <c r="A1087" s="2">
        <v>45386</v>
      </c>
      <c r="B1087" s="3" t="s">
        <v>244</v>
      </c>
      <c r="C1087" s="3" t="s">
        <v>9</v>
      </c>
      <c r="D1087" s="3" t="s">
        <v>10</v>
      </c>
      <c r="E1087" s="5" t="s">
        <v>16</v>
      </c>
      <c r="F1087" s="17">
        <v>20.18</v>
      </c>
      <c r="G1087" s="3">
        <v>4</v>
      </c>
      <c r="H1087" s="17">
        <f>Table1[[#This Row],[Unit price]]*Table1[[#This Row],[Quantity]]</f>
        <v>80.72</v>
      </c>
      <c r="I1087" s="29">
        <f>Table1[[#This Row],[Total Revenue]]/$H$5056*100</f>
        <v>8.5640487028282985E-3</v>
      </c>
      <c r="J1087" s="3" t="s">
        <v>12</v>
      </c>
      <c r="K1087" s="4">
        <v>5</v>
      </c>
      <c r="M1087"/>
    </row>
    <row r="1088" spans="1:13" x14ac:dyDescent="0.25">
      <c r="A1088" s="2">
        <v>45386</v>
      </c>
      <c r="B1088" s="3" t="s">
        <v>245</v>
      </c>
      <c r="C1088" s="3" t="s">
        <v>9</v>
      </c>
      <c r="D1088" s="3" t="s">
        <v>10</v>
      </c>
      <c r="E1088" s="5" t="s">
        <v>18</v>
      </c>
      <c r="F1088" s="17">
        <v>92.98</v>
      </c>
      <c r="G1088" s="3">
        <v>2</v>
      </c>
      <c r="H1088" s="17">
        <f>Table1[[#This Row],[Unit price]]*Table1[[#This Row],[Quantity]]</f>
        <v>185.96</v>
      </c>
      <c r="I1088" s="29">
        <f>Table1[[#This Row],[Total Revenue]]/$H$5056*100</f>
        <v>1.9729565123611875E-2</v>
      </c>
      <c r="J1088" s="3" t="s">
        <v>12</v>
      </c>
      <c r="K1088" s="4">
        <v>8</v>
      </c>
      <c r="M1088"/>
    </row>
    <row r="1089" spans="1:13" x14ac:dyDescent="0.25">
      <c r="A1089" s="2">
        <v>45386</v>
      </c>
      <c r="B1089" s="3" t="s">
        <v>244</v>
      </c>
      <c r="C1089" s="3" t="s">
        <v>9</v>
      </c>
      <c r="D1089" s="3" t="s">
        <v>10</v>
      </c>
      <c r="E1089" s="5" t="s">
        <v>18</v>
      </c>
      <c r="F1089" s="17">
        <v>29.56</v>
      </c>
      <c r="G1089" s="3">
        <v>5</v>
      </c>
      <c r="H1089" s="17">
        <f>Table1[[#This Row],[Unit price]]*Table1[[#This Row],[Quantity]]</f>
        <v>147.79999999999998</v>
      </c>
      <c r="I1089" s="29">
        <f>Table1[[#This Row],[Total Revenue]]/$H$5056*100</f>
        <v>1.5680951415733675E-2</v>
      </c>
      <c r="J1089" s="3" t="s">
        <v>15</v>
      </c>
      <c r="K1089" s="4">
        <v>6.9</v>
      </c>
      <c r="M1089"/>
    </row>
    <row r="1090" spans="1:13" x14ac:dyDescent="0.25">
      <c r="A1090" s="2">
        <v>45386</v>
      </c>
      <c r="B1090" s="3" t="s">
        <v>245</v>
      </c>
      <c r="C1090" s="3" t="s">
        <v>13</v>
      </c>
      <c r="D1090" s="3" t="s">
        <v>10</v>
      </c>
      <c r="E1090" s="5" t="s">
        <v>18</v>
      </c>
      <c r="F1090" s="17">
        <v>22.51</v>
      </c>
      <c r="G1090" s="3">
        <v>7</v>
      </c>
      <c r="H1090" s="17">
        <f>Table1[[#This Row],[Unit price]]*Table1[[#This Row],[Quantity]]</f>
        <v>157.57000000000002</v>
      </c>
      <c r="I1090" s="29">
        <f>Table1[[#This Row],[Total Revenue]]/$H$5056*100</f>
        <v>1.6717506864527443E-2</v>
      </c>
      <c r="J1090" s="3" t="s">
        <v>12</v>
      </c>
      <c r="K1090" s="4">
        <v>4.8</v>
      </c>
      <c r="M1090"/>
    </row>
    <row r="1091" spans="1:13" x14ac:dyDescent="0.25">
      <c r="A1091" s="2">
        <v>45386</v>
      </c>
      <c r="B1091" s="3" t="s">
        <v>245</v>
      </c>
      <c r="C1091" s="3" t="s">
        <v>9</v>
      </c>
      <c r="D1091" s="3" t="s">
        <v>10</v>
      </c>
      <c r="E1091" s="5" t="s">
        <v>11</v>
      </c>
      <c r="F1091" s="17">
        <v>14.87</v>
      </c>
      <c r="G1091" s="3">
        <v>2</v>
      </c>
      <c r="H1091" s="17">
        <f>Table1[[#This Row],[Unit price]]*Table1[[#This Row],[Quantity]]</f>
        <v>29.74</v>
      </c>
      <c r="I1091" s="29">
        <f>Table1[[#This Row],[Total Revenue]]/$H$5056*100</f>
        <v>3.1552875176178588E-3</v>
      </c>
      <c r="J1091" s="3" t="s">
        <v>12</v>
      </c>
      <c r="K1091" s="4">
        <v>8.9</v>
      </c>
      <c r="M1091"/>
    </row>
    <row r="1092" spans="1:13" x14ac:dyDescent="0.25">
      <c r="A1092" s="2">
        <v>45386</v>
      </c>
      <c r="B1092" s="3" t="s">
        <v>243</v>
      </c>
      <c r="C1092" s="3" t="s">
        <v>9</v>
      </c>
      <c r="D1092" s="3" t="s">
        <v>19</v>
      </c>
      <c r="E1092" s="5" t="s">
        <v>14</v>
      </c>
      <c r="F1092" s="17">
        <v>32.25</v>
      </c>
      <c r="G1092" s="3">
        <v>4</v>
      </c>
      <c r="H1092" s="17">
        <f>Table1[[#This Row],[Unit price]]*Table1[[#This Row],[Quantity]]</f>
        <v>129</v>
      </c>
      <c r="I1092" s="29">
        <f>Table1[[#This Row],[Total Revenue]]/$H$5056*100</f>
        <v>1.3686351370971885E-2</v>
      </c>
      <c r="J1092" s="3" t="s">
        <v>17</v>
      </c>
      <c r="K1092" s="4">
        <v>6.5</v>
      </c>
      <c r="M1092"/>
    </row>
    <row r="1093" spans="1:13" x14ac:dyDescent="0.25">
      <c r="A1093" s="2">
        <v>45386</v>
      </c>
      <c r="B1093" s="3" t="s">
        <v>244</v>
      </c>
      <c r="C1093" s="3" t="s">
        <v>13</v>
      </c>
      <c r="D1093" s="3" t="s">
        <v>19</v>
      </c>
      <c r="E1093" s="5" t="s">
        <v>16</v>
      </c>
      <c r="F1093" s="17">
        <v>13.69</v>
      </c>
      <c r="G1093" s="3">
        <v>6</v>
      </c>
      <c r="H1093" s="17">
        <f>Table1[[#This Row],[Unit price]]*Table1[[#This Row],[Quantity]]</f>
        <v>82.14</v>
      </c>
      <c r="I1093" s="29">
        <f>Table1[[#This Row],[Total Revenue]]/$H$5056*100</f>
        <v>8.7147046636560505E-3</v>
      </c>
      <c r="J1093" s="3" t="s">
        <v>15</v>
      </c>
      <c r="K1093" s="4">
        <v>6.3</v>
      </c>
      <c r="M1093"/>
    </row>
    <row r="1094" spans="1:13" x14ac:dyDescent="0.25">
      <c r="A1094" s="2">
        <v>45386</v>
      </c>
      <c r="B1094" s="3" t="s">
        <v>243</v>
      </c>
      <c r="C1094" s="3" t="s">
        <v>9</v>
      </c>
      <c r="D1094" s="3" t="s">
        <v>19</v>
      </c>
      <c r="E1094" s="5" t="s">
        <v>21</v>
      </c>
      <c r="F1094" s="17">
        <v>91.3</v>
      </c>
      <c r="G1094" s="3">
        <v>1</v>
      </c>
      <c r="H1094" s="17">
        <f>Table1[[#This Row],[Unit price]]*Table1[[#This Row],[Quantity]]</f>
        <v>91.3</v>
      </c>
      <c r="I1094" s="29">
        <f>Table1[[#This Row],[Total Revenue]]/$H$5056*100</f>
        <v>9.6865417067421161E-3</v>
      </c>
      <c r="J1094" s="3" t="s">
        <v>17</v>
      </c>
      <c r="K1094" s="4">
        <v>9.1999999999999993</v>
      </c>
      <c r="M1094"/>
    </row>
    <row r="1095" spans="1:13" x14ac:dyDescent="0.25">
      <c r="A1095" s="2">
        <v>45386</v>
      </c>
      <c r="B1095" s="3" t="s">
        <v>243</v>
      </c>
      <c r="C1095" s="3" t="s">
        <v>13</v>
      </c>
      <c r="D1095" s="3" t="s">
        <v>19</v>
      </c>
      <c r="E1095" s="5" t="s">
        <v>16</v>
      </c>
      <c r="F1095" s="17">
        <v>44.65</v>
      </c>
      <c r="G1095" s="3">
        <v>3</v>
      </c>
      <c r="H1095" s="17">
        <f>Table1[[#This Row],[Unit price]]*Table1[[#This Row],[Quantity]]</f>
        <v>133.94999999999999</v>
      </c>
      <c r="I1095" s="29">
        <f>Table1[[#This Row],[Total Revenue]]/$H$5056*100</f>
        <v>1.4211525318927781E-2</v>
      </c>
      <c r="J1095" s="3" t="s">
        <v>15</v>
      </c>
      <c r="K1095" s="4">
        <v>6.2</v>
      </c>
      <c r="M1095"/>
    </row>
    <row r="1096" spans="1:13" x14ac:dyDescent="0.25">
      <c r="A1096" s="2">
        <v>45386</v>
      </c>
      <c r="B1096" s="3" t="s">
        <v>244</v>
      </c>
      <c r="C1096" s="3" t="s">
        <v>9</v>
      </c>
      <c r="D1096" s="3" t="s">
        <v>19</v>
      </c>
      <c r="E1096" s="5" t="s">
        <v>21</v>
      </c>
      <c r="F1096" s="17">
        <v>75.739999999999995</v>
      </c>
      <c r="G1096" s="3">
        <v>4</v>
      </c>
      <c r="H1096" s="17">
        <f>Table1[[#This Row],[Unit price]]*Table1[[#This Row],[Quantity]]</f>
        <v>302.95999999999998</v>
      </c>
      <c r="I1096" s="29">
        <f>Table1[[#This Row],[Total Revenue]]/$H$5056*100</f>
        <v>3.2142767529842187E-2</v>
      </c>
      <c r="J1096" s="3" t="s">
        <v>15</v>
      </c>
      <c r="K1096" s="4">
        <v>7.6</v>
      </c>
      <c r="M1096"/>
    </row>
    <row r="1097" spans="1:13" x14ac:dyDescent="0.25">
      <c r="A1097" s="2">
        <v>45386</v>
      </c>
      <c r="B1097" s="3" t="s">
        <v>244</v>
      </c>
      <c r="C1097" s="3" t="s">
        <v>9</v>
      </c>
      <c r="D1097" s="3" t="s">
        <v>10</v>
      </c>
      <c r="E1097" s="5" t="s">
        <v>16</v>
      </c>
      <c r="F1097" s="17">
        <v>60.08</v>
      </c>
      <c r="G1097" s="3">
        <v>7</v>
      </c>
      <c r="H1097" s="17">
        <f>Table1[[#This Row],[Unit price]]*Table1[[#This Row],[Quantity]]</f>
        <v>420.56</v>
      </c>
      <c r="I1097" s="29">
        <f>Table1[[#This Row],[Total Revenue]]/$H$5056*100</f>
        <v>4.4619627384309579E-2</v>
      </c>
      <c r="J1097" s="3" t="s">
        <v>12</v>
      </c>
      <c r="K1097" s="4">
        <v>4.5</v>
      </c>
      <c r="M1097"/>
    </row>
    <row r="1098" spans="1:13" x14ac:dyDescent="0.25">
      <c r="A1098" s="2">
        <v>45386</v>
      </c>
      <c r="B1098" s="3" t="s">
        <v>245</v>
      </c>
      <c r="C1098" s="3" t="s">
        <v>9</v>
      </c>
      <c r="D1098" s="3" t="s">
        <v>19</v>
      </c>
      <c r="E1098" s="5" t="s">
        <v>11</v>
      </c>
      <c r="F1098" s="17">
        <v>27.66</v>
      </c>
      <c r="G1098" s="3">
        <v>10</v>
      </c>
      <c r="H1098" s="17">
        <f>Table1[[#This Row],[Unit price]]*Table1[[#This Row],[Quantity]]</f>
        <v>276.60000000000002</v>
      </c>
      <c r="I1098" s="29">
        <f>Table1[[#This Row],[Total Revenue]]/$H$5056*100</f>
        <v>2.9346083637293206E-2</v>
      </c>
      <c r="J1098" s="3" t="s">
        <v>12</v>
      </c>
      <c r="K1098" s="4">
        <v>8.9</v>
      </c>
      <c r="M1098"/>
    </row>
    <row r="1099" spans="1:13" x14ac:dyDescent="0.25">
      <c r="A1099" s="2">
        <v>45416</v>
      </c>
      <c r="B1099" s="3" t="s">
        <v>245</v>
      </c>
      <c r="C1099" s="3" t="s">
        <v>13</v>
      </c>
      <c r="D1099" s="3" t="s">
        <v>19</v>
      </c>
      <c r="E1099" s="5" t="s">
        <v>21</v>
      </c>
      <c r="F1099" s="17">
        <v>33.64</v>
      </c>
      <c r="G1099" s="3">
        <v>8</v>
      </c>
      <c r="H1099" s="17">
        <f>Table1[[#This Row],[Unit price]]*Table1[[#This Row],[Quantity]]</f>
        <v>269.12</v>
      </c>
      <c r="I1099" s="29">
        <f>Table1[[#This Row],[Total Revenue]]/$H$5056*100</f>
        <v>2.8552487449270959E-2</v>
      </c>
      <c r="J1099" s="3" t="s">
        <v>12</v>
      </c>
      <c r="K1099" s="4">
        <v>9.3000000000000007</v>
      </c>
      <c r="M1099"/>
    </row>
    <row r="1100" spans="1:13" x14ac:dyDescent="0.25">
      <c r="A1100" s="2">
        <v>45416</v>
      </c>
      <c r="B1100" s="3" t="s">
        <v>245</v>
      </c>
      <c r="C1100" s="3" t="s">
        <v>9</v>
      </c>
      <c r="D1100" s="3" t="s">
        <v>19</v>
      </c>
      <c r="E1100" s="5" t="s">
        <v>21</v>
      </c>
      <c r="F1100" s="17">
        <v>68.55</v>
      </c>
      <c r="G1100" s="3">
        <v>4</v>
      </c>
      <c r="H1100" s="17">
        <f>Table1[[#This Row],[Unit price]]*Table1[[#This Row],[Quantity]]</f>
        <v>274.2</v>
      </c>
      <c r="I1100" s="29">
        <f>Table1[[#This Row],[Total Revenue]]/$H$5056*100</f>
        <v>2.9091453844344889E-2</v>
      </c>
      <c r="J1100" s="3" t="s">
        <v>12</v>
      </c>
      <c r="K1100" s="4">
        <v>9.1999999999999993</v>
      </c>
      <c r="M1100"/>
    </row>
    <row r="1101" spans="1:13" x14ac:dyDescent="0.25">
      <c r="A1101" s="2">
        <v>45416</v>
      </c>
      <c r="B1101" s="3" t="s">
        <v>245</v>
      </c>
      <c r="C1101" s="3" t="s">
        <v>9</v>
      </c>
      <c r="D1101" s="3" t="s">
        <v>10</v>
      </c>
      <c r="E1101" s="5" t="s">
        <v>16</v>
      </c>
      <c r="F1101" s="17">
        <v>24.74</v>
      </c>
      <c r="G1101" s="3">
        <v>3</v>
      </c>
      <c r="H1101" s="17">
        <f>Table1[[#This Row],[Unit price]]*Table1[[#This Row],[Quantity]]</f>
        <v>74.22</v>
      </c>
      <c r="I1101" s="29">
        <f>Table1[[#This Row],[Total Revenue]]/$H$5056*100</f>
        <v>7.8744263469266145E-3</v>
      </c>
      <c r="J1101" s="3" t="s">
        <v>12</v>
      </c>
      <c r="K1101" s="4">
        <v>10</v>
      </c>
      <c r="M1101"/>
    </row>
    <row r="1102" spans="1:13" x14ac:dyDescent="0.25">
      <c r="A1102" s="2">
        <v>45416</v>
      </c>
      <c r="B1102" s="3" t="s">
        <v>243</v>
      </c>
      <c r="C1102" s="3" t="s">
        <v>13</v>
      </c>
      <c r="D1102" s="3" t="s">
        <v>19</v>
      </c>
      <c r="E1102" s="5" t="s">
        <v>21</v>
      </c>
      <c r="F1102" s="17">
        <v>15.26</v>
      </c>
      <c r="G1102" s="3">
        <v>6</v>
      </c>
      <c r="H1102" s="17">
        <f>Table1[[#This Row],[Unit price]]*Table1[[#This Row],[Quantity]]</f>
        <v>91.56</v>
      </c>
      <c r="I1102" s="29">
        <f>Table1[[#This Row],[Total Revenue]]/$H$5056*100</f>
        <v>9.7141266009781839E-3</v>
      </c>
      <c r="J1102" s="3" t="s">
        <v>17</v>
      </c>
      <c r="K1102" s="4">
        <v>9.8000000000000007</v>
      </c>
      <c r="M1102"/>
    </row>
    <row r="1103" spans="1:13" x14ac:dyDescent="0.25">
      <c r="A1103" s="2">
        <v>45416</v>
      </c>
      <c r="B1103" s="3" t="s">
        <v>244</v>
      </c>
      <c r="C1103" s="3" t="s">
        <v>9</v>
      </c>
      <c r="D1103" s="3" t="s">
        <v>19</v>
      </c>
      <c r="E1103" s="5" t="s">
        <v>16</v>
      </c>
      <c r="F1103" s="17">
        <v>88.31</v>
      </c>
      <c r="G1103" s="3">
        <v>1</v>
      </c>
      <c r="H1103" s="17">
        <f>Table1[[#This Row],[Unit price]]*Table1[[#This Row],[Quantity]]</f>
        <v>88.31</v>
      </c>
      <c r="I1103" s="29">
        <f>Table1[[#This Row],[Total Revenue]]/$H$5056*100</f>
        <v>9.3693154230273419E-3</v>
      </c>
      <c r="J1103" s="3" t="s">
        <v>12</v>
      </c>
      <c r="K1103" s="4">
        <v>5.2</v>
      </c>
      <c r="M1103"/>
    </row>
    <row r="1104" spans="1:13" x14ac:dyDescent="0.25">
      <c r="A1104" s="2">
        <v>45416</v>
      </c>
      <c r="B1104" s="3" t="s">
        <v>244</v>
      </c>
      <c r="C1104" s="3" t="s">
        <v>13</v>
      </c>
      <c r="D1104" s="3" t="s">
        <v>10</v>
      </c>
      <c r="E1104" s="5" t="s">
        <v>14</v>
      </c>
      <c r="F1104" s="17">
        <v>88.25</v>
      </c>
      <c r="G1104" s="3">
        <v>9</v>
      </c>
      <c r="H1104" s="17">
        <f>Table1[[#This Row],[Unit price]]*Table1[[#This Row],[Quantity]]</f>
        <v>794.25</v>
      </c>
      <c r="I1104" s="29">
        <f>Table1[[#This Row],[Total Revenue]]/$H$5056*100</f>
        <v>8.4266547103832704E-2</v>
      </c>
      <c r="J1104" s="3" t="s">
        <v>12</v>
      </c>
      <c r="K1104" s="4">
        <v>7.6</v>
      </c>
      <c r="M1104"/>
    </row>
    <row r="1105" spans="1:13" x14ac:dyDescent="0.25">
      <c r="A1105" s="2">
        <v>45416</v>
      </c>
      <c r="B1105" s="3" t="s">
        <v>244</v>
      </c>
      <c r="C1105" s="3" t="s">
        <v>13</v>
      </c>
      <c r="D1105" s="3" t="s">
        <v>19</v>
      </c>
      <c r="E1105" s="5" t="s">
        <v>21</v>
      </c>
      <c r="F1105" s="17">
        <v>57.59</v>
      </c>
      <c r="G1105" s="3">
        <v>6</v>
      </c>
      <c r="H1105" s="17">
        <f>Table1[[#This Row],[Unit price]]*Table1[[#This Row],[Quantity]]</f>
        <v>345.54</v>
      </c>
      <c r="I1105" s="29">
        <f>Table1[[#This Row],[Total Revenue]]/$H$5056*100</f>
        <v>3.6660324439733528E-2</v>
      </c>
      <c r="J1105" s="3" t="s">
        <v>15</v>
      </c>
      <c r="K1105" s="4">
        <v>5.0999999999999996</v>
      </c>
      <c r="M1105"/>
    </row>
    <row r="1106" spans="1:13" x14ac:dyDescent="0.25">
      <c r="A1106" s="2">
        <v>45416</v>
      </c>
      <c r="B1106" s="3" t="s">
        <v>245</v>
      </c>
      <c r="C1106" s="3" t="s">
        <v>9</v>
      </c>
      <c r="D1106" s="3" t="s">
        <v>10</v>
      </c>
      <c r="E1106" s="5" t="s">
        <v>18</v>
      </c>
      <c r="F1106" s="17">
        <v>80.48</v>
      </c>
      <c r="G1106" s="3">
        <v>3</v>
      </c>
      <c r="H1106" s="17">
        <f>Table1[[#This Row],[Unit price]]*Table1[[#This Row],[Quantity]]</f>
        <v>241.44</v>
      </c>
      <c r="I1106" s="29">
        <f>Table1[[#This Row],[Total Revenue]]/$H$5056*100</f>
        <v>2.5615757170600401E-2</v>
      </c>
      <c r="J1106" s="3" t="s">
        <v>15</v>
      </c>
      <c r="K1106" s="4">
        <v>8.1</v>
      </c>
      <c r="M1106"/>
    </row>
    <row r="1107" spans="1:13" x14ac:dyDescent="0.25">
      <c r="A1107" s="2">
        <v>45416</v>
      </c>
      <c r="B1107" s="3" t="s">
        <v>244</v>
      </c>
      <c r="C1107" s="3" t="s">
        <v>9</v>
      </c>
      <c r="D1107" s="3" t="s">
        <v>19</v>
      </c>
      <c r="E1107" s="5" t="s">
        <v>20</v>
      </c>
      <c r="F1107" s="17">
        <v>17.77</v>
      </c>
      <c r="G1107" s="3">
        <v>5</v>
      </c>
      <c r="H1107" s="17">
        <f>Table1[[#This Row],[Unit price]]*Table1[[#This Row],[Quantity]]</f>
        <v>88.85</v>
      </c>
      <c r="I1107" s="29">
        <f>Table1[[#This Row],[Total Revenue]]/$H$5056*100</f>
        <v>9.4266071264407121E-3</v>
      </c>
      <c r="J1107" s="3" t="s">
        <v>12</v>
      </c>
      <c r="K1107" s="4">
        <v>5.4</v>
      </c>
      <c r="M1107"/>
    </row>
    <row r="1108" spans="1:13" x14ac:dyDescent="0.25">
      <c r="A1108" s="2">
        <v>45416</v>
      </c>
      <c r="B1108" s="3" t="s">
        <v>245</v>
      </c>
      <c r="C1108" s="3" t="s">
        <v>9</v>
      </c>
      <c r="D1108" s="3" t="s">
        <v>10</v>
      </c>
      <c r="E1108" s="5" t="s">
        <v>18</v>
      </c>
      <c r="F1108" s="17">
        <v>99.3</v>
      </c>
      <c r="G1108" s="3">
        <v>10</v>
      </c>
      <c r="H1108" s="17">
        <f>Table1[[#This Row],[Unit price]]*Table1[[#This Row],[Quantity]]</f>
        <v>993</v>
      </c>
      <c r="I1108" s="29">
        <f>Table1[[#This Row],[Total Revenue]]/$H$5056*100</f>
        <v>0.10535307683236497</v>
      </c>
      <c r="J1108" s="3" t="s">
        <v>12</v>
      </c>
      <c r="K1108" s="4">
        <v>6.6</v>
      </c>
      <c r="M1108"/>
    </row>
    <row r="1109" spans="1:13" x14ac:dyDescent="0.25">
      <c r="A1109" s="2">
        <v>45416</v>
      </c>
      <c r="B1109" s="3" t="s">
        <v>243</v>
      </c>
      <c r="C1109" s="3" t="s">
        <v>13</v>
      </c>
      <c r="D1109" s="3" t="s">
        <v>19</v>
      </c>
      <c r="E1109" s="5" t="s">
        <v>18</v>
      </c>
      <c r="F1109" s="17">
        <v>51.94</v>
      </c>
      <c r="G1109" s="3">
        <v>3</v>
      </c>
      <c r="H1109" s="17">
        <f>Table1[[#This Row],[Unit price]]*Table1[[#This Row],[Quantity]]</f>
        <v>155.82</v>
      </c>
      <c r="I1109" s="29">
        <f>Table1[[#This Row],[Total Revenue]]/$H$5056*100</f>
        <v>1.6531839307169293E-2</v>
      </c>
      <c r="J1109" s="3" t="s">
        <v>15</v>
      </c>
      <c r="K1109" s="4">
        <v>7.9</v>
      </c>
      <c r="M1109"/>
    </row>
    <row r="1110" spans="1:13" x14ac:dyDescent="0.25">
      <c r="A1110" s="2">
        <v>45416</v>
      </c>
      <c r="B1110" s="3" t="s">
        <v>245</v>
      </c>
      <c r="C1110" s="3" t="s">
        <v>9</v>
      </c>
      <c r="D1110" s="3" t="s">
        <v>10</v>
      </c>
      <c r="E1110" s="5" t="s">
        <v>21</v>
      </c>
      <c r="F1110" s="17">
        <v>47.71</v>
      </c>
      <c r="G1110" s="3">
        <v>6</v>
      </c>
      <c r="H1110" s="17">
        <f>Table1[[#This Row],[Unit price]]*Table1[[#This Row],[Quantity]]</f>
        <v>286.26</v>
      </c>
      <c r="I1110" s="29">
        <f>Table1[[#This Row],[Total Revenue]]/$H$5056*100</f>
        <v>3.0370968553910166E-2</v>
      </c>
      <c r="J1110" s="3" t="s">
        <v>17</v>
      </c>
      <c r="K1110" s="4">
        <v>4.4000000000000004</v>
      </c>
      <c r="M1110"/>
    </row>
    <row r="1111" spans="1:13" x14ac:dyDescent="0.25">
      <c r="A1111" s="2">
        <v>45416</v>
      </c>
      <c r="B1111" s="3" t="s">
        <v>243</v>
      </c>
      <c r="C1111" s="3" t="s">
        <v>9</v>
      </c>
      <c r="D1111" s="3" t="s">
        <v>19</v>
      </c>
      <c r="E1111" s="5" t="s">
        <v>11</v>
      </c>
      <c r="F1111" s="17">
        <v>24.82</v>
      </c>
      <c r="G1111" s="3">
        <v>7</v>
      </c>
      <c r="H1111" s="17">
        <f>Table1[[#This Row],[Unit price]]*Table1[[#This Row],[Quantity]]</f>
        <v>173.74</v>
      </c>
      <c r="I1111" s="29">
        <f>Table1[[#This Row],[Total Revenue]]/$H$5056*100</f>
        <v>1.8433075094516707E-2</v>
      </c>
      <c r="J1111" s="3" t="s">
        <v>12</v>
      </c>
      <c r="K1111" s="4">
        <v>7.1</v>
      </c>
      <c r="M1111"/>
    </row>
    <row r="1112" spans="1:13" x14ac:dyDescent="0.25">
      <c r="A1112" s="2">
        <v>45416</v>
      </c>
      <c r="B1112" s="3" t="s">
        <v>245</v>
      </c>
      <c r="C1112" s="3" t="s">
        <v>9</v>
      </c>
      <c r="D1112" s="3" t="s">
        <v>19</v>
      </c>
      <c r="E1112" s="5" t="s">
        <v>14</v>
      </c>
      <c r="F1112" s="17">
        <v>12.05</v>
      </c>
      <c r="G1112" s="3">
        <v>5</v>
      </c>
      <c r="H1112" s="17">
        <f>Table1[[#This Row],[Unit price]]*Table1[[#This Row],[Quantity]]</f>
        <v>60.25</v>
      </c>
      <c r="I1112" s="29">
        <f>Table1[[#This Row],[Total Revenue]]/$H$5056*100</f>
        <v>6.3922687604733028E-3</v>
      </c>
      <c r="J1112" s="3" t="s">
        <v>17</v>
      </c>
      <c r="K1112" s="4">
        <v>5.5</v>
      </c>
      <c r="M1112"/>
    </row>
    <row r="1113" spans="1:13" x14ac:dyDescent="0.25">
      <c r="A1113" s="2">
        <v>45416</v>
      </c>
      <c r="B1113" s="3" t="s">
        <v>244</v>
      </c>
      <c r="C1113" s="3" t="s">
        <v>13</v>
      </c>
      <c r="D1113" s="3" t="s">
        <v>19</v>
      </c>
      <c r="E1113" s="5" t="s">
        <v>16</v>
      </c>
      <c r="F1113" s="17">
        <v>51.91</v>
      </c>
      <c r="G1113" s="3">
        <v>10</v>
      </c>
      <c r="H1113" s="17">
        <f>Table1[[#This Row],[Unit price]]*Table1[[#This Row],[Quantity]]</f>
        <v>519.09999999999991</v>
      </c>
      <c r="I1113" s="29">
        <f>Table1[[#This Row],[Total Revenue]]/$H$5056*100</f>
        <v>5.5074302299779096E-2</v>
      </c>
      <c r="J1113" s="3" t="s">
        <v>15</v>
      </c>
      <c r="K1113" s="4">
        <v>8.1999999999999993</v>
      </c>
      <c r="M1113"/>
    </row>
    <row r="1114" spans="1:13" x14ac:dyDescent="0.25">
      <c r="A1114" s="2">
        <v>45416</v>
      </c>
      <c r="B1114" s="3" t="s">
        <v>244</v>
      </c>
      <c r="C1114" s="3" t="s">
        <v>13</v>
      </c>
      <c r="D1114" s="3" t="s">
        <v>10</v>
      </c>
      <c r="E1114" s="5" t="s">
        <v>18</v>
      </c>
      <c r="F1114" s="17">
        <v>36.51</v>
      </c>
      <c r="G1114" s="3">
        <v>9</v>
      </c>
      <c r="H1114" s="17">
        <f>Table1[[#This Row],[Unit price]]*Table1[[#This Row],[Quantity]]</f>
        <v>328.59</v>
      </c>
      <c r="I1114" s="29">
        <f>Table1[[#This Row],[Total Revenue]]/$H$5056*100</f>
        <v>3.4862001527036057E-2</v>
      </c>
      <c r="J1114" s="3" t="s">
        <v>15</v>
      </c>
      <c r="K1114" s="4">
        <v>4.2</v>
      </c>
      <c r="M1114"/>
    </row>
    <row r="1115" spans="1:13" x14ac:dyDescent="0.25">
      <c r="A1115" s="2">
        <v>45416</v>
      </c>
      <c r="B1115" s="3" t="s">
        <v>244</v>
      </c>
      <c r="C1115" s="3" t="s">
        <v>9</v>
      </c>
      <c r="D1115" s="3" t="s">
        <v>19</v>
      </c>
      <c r="E1115" s="5" t="s">
        <v>18</v>
      </c>
      <c r="F1115" s="17">
        <v>60.18</v>
      </c>
      <c r="G1115" s="3">
        <v>4</v>
      </c>
      <c r="H1115" s="17">
        <f>Table1[[#This Row],[Unit price]]*Table1[[#This Row],[Quantity]]</f>
        <v>240.72</v>
      </c>
      <c r="I1115" s="29">
        <f>Table1[[#This Row],[Total Revenue]]/$H$5056*100</f>
        <v>2.5539368232715905E-2</v>
      </c>
      <c r="J1115" s="3" t="s">
        <v>12</v>
      </c>
      <c r="K1115" s="4">
        <v>9.4</v>
      </c>
      <c r="M1115"/>
    </row>
    <row r="1116" spans="1:13" x14ac:dyDescent="0.25">
      <c r="A1116" s="2">
        <v>45416</v>
      </c>
      <c r="B1116" s="3" t="s">
        <v>245</v>
      </c>
      <c r="C1116" s="3" t="s">
        <v>9</v>
      </c>
      <c r="D1116" s="3" t="s">
        <v>10</v>
      </c>
      <c r="E1116" s="5" t="s">
        <v>18</v>
      </c>
      <c r="F1116" s="17">
        <v>97.79</v>
      </c>
      <c r="G1116" s="3">
        <v>7</v>
      </c>
      <c r="H1116" s="17">
        <f>Table1[[#This Row],[Unit price]]*Table1[[#This Row],[Quantity]]</f>
        <v>684.53000000000009</v>
      </c>
      <c r="I1116" s="29">
        <f>Table1[[#This Row],[Total Revenue]]/$H$5056*100</f>
        <v>7.262572173621229E-2</v>
      </c>
      <c r="J1116" s="3" t="s">
        <v>17</v>
      </c>
      <c r="K1116" s="4">
        <v>4.9000000000000004</v>
      </c>
      <c r="M1116"/>
    </row>
    <row r="1117" spans="1:13" x14ac:dyDescent="0.25">
      <c r="A1117" s="2">
        <v>45416</v>
      </c>
      <c r="B1117" s="3" t="s">
        <v>244</v>
      </c>
      <c r="C1117" s="3" t="s">
        <v>9</v>
      </c>
      <c r="D1117" s="3" t="s">
        <v>19</v>
      </c>
      <c r="E1117" s="5" t="s">
        <v>18</v>
      </c>
      <c r="F1117" s="17">
        <v>91.35</v>
      </c>
      <c r="G1117" s="3">
        <v>1</v>
      </c>
      <c r="H1117" s="17">
        <f>Table1[[#This Row],[Unit price]]*Table1[[#This Row],[Quantity]]</f>
        <v>91.35</v>
      </c>
      <c r="I1117" s="29">
        <f>Table1[[#This Row],[Total Revenue]]/$H$5056*100</f>
        <v>9.6918464940952062E-3</v>
      </c>
      <c r="J1117" s="3" t="s">
        <v>15</v>
      </c>
      <c r="K1117" s="4">
        <v>6.8</v>
      </c>
      <c r="M1117"/>
    </row>
    <row r="1118" spans="1:13" x14ac:dyDescent="0.25">
      <c r="A1118" s="2">
        <v>45416</v>
      </c>
      <c r="B1118" s="3" t="s">
        <v>245</v>
      </c>
      <c r="C1118" s="3" t="s">
        <v>13</v>
      </c>
      <c r="D1118" s="3" t="s">
        <v>10</v>
      </c>
      <c r="E1118" s="5" t="s">
        <v>16</v>
      </c>
      <c r="F1118" s="17">
        <v>46.66</v>
      </c>
      <c r="G1118" s="3">
        <v>9</v>
      </c>
      <c r="H1118" s="17">
        <f>Table1[[#This Row],[Unit price]]*Table1[[#This Row],[Quantity]]</f>
        <v>419.93999999999994</v>
      </c>
      <c r="I1118" s="29">
        <f>Table1[[#This Row],[Total Revenue]]/$H$5056*100</f>
        <v>4.4553848021131257E-2</v>
      </c>
      <c r="J1118" s="3" t="s">
        <v>17</v>
      </c>
      <c r="K1118" s="4">
        <v>5.3</v>
      </c>
      <c r="M1118"/>
    </row>
    <row r="1119" spans="1:13" x14ac:dyDescent="0.25">
      <c r="A1119" s="2">
        <v>45416</v>
      </c>
      <c r="B1119" s="3" t="s">
        <v>244</v>
      </c>
      <c r="C1119" s="3" t="s">
        <v>9</v>
      </c>
      <c r="D1119" s="3" t="s">
        <v>10</v>
      </c>
      <c r="E1119" s="5" t="s">
        <v>14</v>
      </c>
      <c r="F1119" s="17">
        <v>35.74</v>
      </c>
      <c r="G1119" s="3">
        <v>8</v>
      </c>
      <c r="H1119" s="17">
        <f>Table1[[#This Row],[Unit price]]*Table1[[#This Row],[Quantity]]</f>
        <v>285.92</v>
      </c>
      <c r="I1119" s="29">
        <f>Table1[[#This Row],[Total Revenue]]/$H$5056*100</f>
        <v>3.0334895999909156E-2</v>
      </c>
      <c r="J1119" s="3" t="s">
        <v>17</v>
      </c>
      <c r="K1119" s="4">
        <v>4.9000000000000004</v>
      </c>
      <c r="M1119"/>
    </row>
    <row r="1120" spans="1:13" x14ac:dyDescent="0.25">
      <c r="A1120" s="2">
        <v>45416</v>
      </c>
      <c r="B1120" s="3" t="s">
        <v>245</v>
      </c>
      <c r="C1120" s="3" t="s">
        <v>9</v>
      </c>
      <c r="D1120" s="3" t="s">
        <v>10</v>
      </c>
      <c r="E1120" s="5" t="s">
        <v>16</v>
      </c>
      <c r="F1120" s="17">
        <v>67.989999999999995</v>
      </c>
      <c r="G1120" s="3">
        <v>7</v>
      </c>
      <c r="H1120" s="17">
        <f>Table1[[#This Row],[Unit price]]*Table1[[#This Row],[Quantity]]</f>
        <v>475.92999999999995</v>
      </c>
      <c r="I1120" s="29">
        <f>Table1[[#This Row],[Total Revenue]]/$H$5056*100</f>
        <v>5.0494148899121308E-2</v>
      </c>
      <c r="J1120" s="3" t="s">
        <v>17</v>
      </c>
      <c r="K1120" s="4">
        <v>5.7</v>
      </c>
      <c r="M1120"/>
    </row>
    <row r="1121" spans="1:13" x14ac:dyDescent="0.25">
      <c r="A1121" s="2">
        <v>45416</v>
      </c>
      <c r="B1121" s="3" t="s">
        <v>243</v>
      </c>
      <c r="C1121" s="3" t="s">
        <v>9</v>
      </c>
      <c r="D1121" s="3" t="s">
        <v>10</v>
      </c>
      <c r="E1121" s="5" t="s">
        <v>20</v>
      </c>
      <c r="F1121" s="17">
        <v>88.79</v>
      </c>
      <c r="G1121" s="3">
        <v>8</v>
      </c>
      <c r="H1121" s="17">
        <f>Table1[[#This Row],[Unit price]]*Table1[[#This Row],[Quantity]]</f>
        <v>710.32</v>
      </c>
      <c r="I1121" s="29">
        <f>Table1[[#This Row],[Total Revenue]]/$H$5056*100</f>
        <v>7.5361931052936038E-2</v>
      </c>
      <c r="J1121" s="3" t="s">
        <v>15</v>
      </c>
      <c r="K1121" s="4">
        <v>4.0999999999999996</v>
      </c>
      <c r="M1121"/>
    </row>
    <row r="1122" spans="1:13" x14ac:dyDescent="0.25">
      <c r="A1122" s="2">
        <v>45416</v>
      </c>
      <c r="B1122" s="3" t="s">
        <v>245</v>
      </c>
      <c r="C1122" s="3" t="s">
        <v>13</v>
      </c>
      <c r="D1122" s="3" t="s">
        <v>19</v>
      </c>
      <c r="E1122" s="5" t="s">
        <v>14</v>
      </c>
      <c r="F1122" s="17">
        <v>11.81</v>
      </c>
      <c r="G1122" s="3">
        <v>5</v>
      </c>
      <c r="H1122" s="17">
        <f>Table1[[#This Row],[Unit price]]*Table1[[#This Row],[Quantity]]</f>
        <v>59.050000000000004</v>
      </c>
      <c r="I1122" s="29">
        <f>Table1[[#This Row],[Total Revenue]]/$H$5056*100</f>
        <v>6.2649538639991459E-3</v>
      </c>
      <c r="J1122" s="3" t="s">
        <v>15</v>
      </c>
      <c r="K1122" s="4">
        <v>9.4</v>
      </c>
      <c r="M1122"/>
    </row>
    <row r="1123" spans="1:13" x14ac:dyDescent="0.25">
      <c r="A1123" s="2">
        <v>45416</v>
      </c>
      <c r="B1123" s="3" t="s">
        <v>243</v>
      </c>
      <c r="C1123" s="3" t="s">
        <v>9</v>
      </c>
      <c r="D1123" s="3" t="s">
        <v>19</v>
      </c>
      <c r="E1123" s="5" t="s">
        <v>11</v>
      </c>
      <c r="F1123" s="17">
        <v>80.959999999999994</v>
      </c>
      <c r="G1123" s="3">
        <v>8</v>
      </c>
      <c r="H1123" s="17">
        <f>Table1[[#This Row],[Unit price]]*Table1[[#This Row],[Quantity]]</f>
        <v>647.67999999999995</v>
      </c>
      <c r="I1123" s="29">
        <f>Table1[[#This Row],[Total Revenue]]/$H$5056*100</f>
        <v>6.8716093456985039E-2</v>
      </c>
      <c r="J1123" s="3" t="s">
        <v>12</v>
      </c>
      <c r="K1123" s="4">
        <v>7.4</v>
      </c>
      <c r="M1123"/>
    </row>
    <row r="1124" spans="1:13" x14ac:dyDescent="0.25">
      <c r="A1124" s="2">
        <v>45416</v>
      </c>
      <c r="B1124" s="3" t="s">
        <v>244</v>
      </c>
      <c r="C1124" s="3" t="s">
        <v>9</v>
      </c>
      <c r="D1124" s="3" t="s">
        <v>19</v>
      </c>
      <c r="E1124" s="5" t="s">
        <v>14</v>
      </c>
      <c r="F1124" s="17">
        <v>87.45</v>
      </c>
      <c r="G1124" s="3">
        <v>6</v>
      </c>
      <c r="H1124" s="17">
        <f>Table1[[#This Row],[Unit price]]*Table1[[#This Row],[Quantity]]</f>
        <v>524.70000000000005</v>
      </c>
      <c r="I1124" s="29">
        <f>Table1[[#This Row],[Total Revenue]]/$H$5056*100</f>
        <v>5.5668438483325186E-2</v>
      </c>
      <c r="J1124" s="3" t="s">
        <v>12</v>
      </c>
      <c r="K1124" s="4">
        <v>8.8000000000000007</v>
      </c>
      <c r="M1124"/>
    </row>
    <row r="1125" spans="1:13" x14ac:dyDescent="0.25">
      <c r="A1125" s="2">
        <v>45416</v>
      </c>
      <c r="B1125" s="3" t="s">
        <v>243</v>
      </c>
      <c r="C1125" s="3" t="s">
        <v>13</v>
      </c>
      <c r="D1125" s="3" t="s">
        <v>19</v>
      </c>
      <c r="E1125" s="5" t="s">
        <v>14</v>
      </c>
      <c r="F1125" s="17">
        <v>34.56</v>
      </c>
      <c r="G1125" s="3">
        <v>5</v>
      </c>
      <c r="H1125" s="17">
        <f>Table1[[#This Row],[Unit price]]*Table1[[#This Row],[Quantity]]</f>
        <v>172.8</v>
      </c>
      <c r="I1125" s="29">
        <f>Table1[[#This Row],[Total Revenue]]/$H$5056*100</f>
        <v>1.833334509227862E-2</v>
      </c>
      <c r="J1125" s="3" t="s">
        <v>17</v>
      </c>
      <c r="K1125" s="4">
        <v>9.9</v>
      </c>
      <c r="M1125"/>
    </row>
    <row r="1126" spans="1:13" x14ac:dyDescent="0.25">
      <c r="A1126" s="2">
        <v>45416</v>
      </c>
      <c r="B1126" s="3" t="s">
        <v>243</v>
      </c>
      <c r="C1126" s="3" t="s">
        <v>13</v>
      </c>
      <c r="D1126" s="3" t="s">
        <v>19</v>
      </c>
      <c r="E1126" s="5" t="s">
        <v>11</v>
      </c>
      <c r="F1126" s="17">
        <v>32.9</v>
      </c>
      <c r="G1126" s="3">
        <v>3</v>
      </c>
      <c r="H1126" s="17">
        <f>Table1[[#This Row],[Unit price]]*Table1[[#This Row],[Quantity]]</f>
        <v>98.699999999999989</v>
      </c>
      <c r="I1126" s="29">
        <f>Table1[[#This Row],[Total Revenue]]/$H$5056*100</f>
        <v>1.0471650234999417E-2</v>
      </c>
      <c r="J1126" s="3" t="s">
        <v>12</v>
      </c>
      <c r="K1126" s="4">
        <v>9.1</v>
      </c>
      <c r="M1126"/>
    </row>
    <row r="1127" spans="1:13" x14ac:dyDescent="0.25">
      <c r="A1127" s="2">
        <v>45447</v>
      </c>
      <c r="B1127" s="3" t="s">
        <v>244</v>
      </c>
      <c r="C1127" s="3" t="s">
        <v>9</v>
      </c>
      <c r="D1127" s="3" t="s">
        <v>10</v>
      </c>
      <c r="E1127" s="5" t="s">
        <v>20</v>
      </c>
      <c r="F1127" s="17">
        <v>88.39</v>
      </c>
      <c r="G1127" s="3">
        <v>9</v>
      </c>
      <c r="H1127" s="17">
        <f>Table1[[#This Row],[Unit price]]*Table1[[#This Row],[Quantity]]</f>
        <v>795.51</v>
      </c>
      <c r="I1127" s="29">
        <f>Table1[[#This Row],[Total Revenue]]/$H$5056*100</f>
        <v>8.4400227745130563E-2</v>
      </c>
      <c r="J1127" s="3" t="s">
        <v>15</v>
      </c>
      <c r="K1127" s="4">
        <v>6.3</v>
      </c>
      <c r="M1127"/>
    </row>
    <row r="1128" spans="1:13" x14ac:dyDescent="0.25">
      <c r="A1128" s="2">
        <v>45447</v>
      </c>
      <c r="B1128" s="3" t="s">
        <v>243</v>
      </c>
      <c r="C1128" s="3" t="s">
        <v>9</v>
      </c>
      <c r="D1128" s="3" t="s">
        <v>19</v>
      </c>
      <c r="E1128" s="5" t="s">
        <v>16</v>
      </c>
      <c r="F1128" s="17">
        <v>88.63</v>
      </c>
      <c r="G1128" s="3">
        <v>3</v>
      </c>
      <c r="H1128" s="17">
        <f>Table1[[#This Row],[Unit price]]*Table1[[#This Row],[Quantity]]</f>
        <v>265.89</v>
      </c>
      <c r="I1128" s="29">
        <f>Table1[[#This Row],[Total Revenue]]/$H$5056*100</f>
        <v>2.8209798186261348E-2</v>
      </c>
      <c r="J1128" s="3" t="s">
        <v>17</v>
      </c>
      <c r="K1128" s="4">
        <v>6</v>
      </c>
      <c r="M1128"/>
    </row>
    <row r="1129" spans="1:13" x14ac:dyDescent="0.25">
      <c r="A1129" s="2">
        <v>45447</v>
      </c>
      <c r="B1129" s="3" t="s">
        <v>245</v>
      </c>
      <c r="C1129" s="3" t="s">
        <v>9</v>
      </c>
      <c r="D1129" s="3" t="s">
        <v>19</v>
      </c>
      <c r="E1129" s="5" t="s">
        <v>21</v>
      </c>
      <c r="F1129" s="17">
        <v>85.6</v>
      </c>
      <c r="G1129" s="3">
        <v>7</v>
      </c>
      <c r="H1129" s="17">
        <f>Table1[[#This Row],[Unit price]]*Table1[[#This Row],[Quantity]]</f>
        <v>599.19999999999993</v>
      </c>
      <c r="I1129" s="29">
        <f>Table1[[#This Row],[Total Revenue]]/$H$5056*100</f>
        <v>6.3572571639429087E-2</v>
      </c>
      <c r="J1129" s="3" t="s">
        <v>15</v>
      </c>
      <c r="K1129" s="4">
        <v>5.3</v>
      </c>
      <c r="M1129"/>
    </row>
    <row r="1130" spans="1:13" x14ac:dyDescent="0.25">
      <c r="A1130" s="2">
        <v>45447</v>
      </c>
      <c r="B1130" s="3" t="s">
        <v>245</v>
      </c>
      <c r="C1130" s="3" t="s">
        <v>13</v>
      </c>
      <c r="D1130" s="3" t="s">
        <v>10</v>
      </c>
      <c r="E1130" s="5" t="s">
        <v>16</v>
      </c>
      <c r="F1130" s="17">
        <v>73.98</v>
      </c>
      <c r="G1130" s="3">
        <v>7</v>
      </c>
      <c r="H1130" s="17">
        <f>Table1[[#This Row],[Unit price]]*Table1[[#This Row],[Quantity]]</f>
        <v>517.86</v>
      </c>
      <c r="I1130" s="29">
        <f>Table1[[#This Row],[Total Revenue]]/$H$5056*100</f>
        <v>5.4942743573422485E-2</v>
      </c>
      <c r="J1130" s="3" t="s">
        <v>17</v>
      </c>
      <c r="K1130" s="4">
        <v>4.0999999999999996</v>
      </c>
      <c r="M1130"/>
    </row>
    <row r="1131" spans="1:13" x14ac:dyDescent="0.25">
      <c r="A1131" s="2">
        <v>45447</v>
      </c>
      <c r="B1131" s="3" t="s">
        <v>244</v>
      </c>
      <c r="C1131" s="3" t="s">
        <v>13</v>
      </c>
      <c r="D1131" s="3" t="s">
        <v>19</v>
      </c>
      <c r="E1131" s="5" t="s">
        <v>16</v>
      </c>
      <c r="F1131" s="17">
        <v>25.31</v>
      </c>
      <c r="G1131" s="3">
        <v>2</v>
      </c>
      <c r="H1131" s="17">
        <f>Table1[[#This Row],[Unit price]]*Table1[[#This Row],[Quantity]]</f>
        <v>50.62</v>
      </c>
      <c r="I1131" s="29">
        <f>Table1[[#This Row],[Total Revenue]]/$H$5056*100</f>
        <v>5.3705667162681917E-3</v>
      </c>
      <c r="J1131" s="3" t="s">
        <v>17</v>
      </c>
      <c r="K1131" s="4">
        <v>7.2</v>
      </c>
      <c r="M1131"/>
    </row>
    <row r="1132" spans="1:13" x14ac:dyDescent="0.25">
      <c r="A1132" s="2">
        <v>45447</v>
      </c>
      <c r="B1132" s="3" t="s">
        <v>244</v>
      </c>
      <c r="C1132" s="3" t="s">
        <v>13</v>
      </c>
      <c r="D1132" s="3" t="s">
        <v>10</v>
      </c>
      <c r="E1132" s="5" t="s">
        <v>21</v>
      </c>
      <c r="F1132" s="17">
        <v>73.41</v>
      </c>
      <c r="G1132" s="3">
        <v>3</v>
      </c>
      <c r="H1132" s="17">
        <f>Table1[[#This Row],[Unit price]]*Table1[[#This Row],[Quantity]]</f>
        <v>220.23</v>
      </c>
      <c r="I1132" s="29">
        <f>Table1[[#This Row],[Total Revenue]]/$H$5056*100</f>
        <v>2.3365466375419672E-2</v>
      </c>
      <c r="J1132" s="3" t="s">
        <v>17</v>
      </c>
      <c r="K1132" s="4">
        <v>4</v>
      </c>
      <c r="M1132"/>
    </row>
    <row r="1133" spans="1:13" x14ac:dyDescent="0.25">
      <c r="A1133" s="2">
        <v>45447</v>
      </c>
      <c r="B1133" s="3" t="s">
        <v>245</v>
      </c>
      <c r="C1133" s="3" t="s">
        <v>13</v>
      </c>
      <c r="D1133" s="3" t="s">
        <v>10</v>
      </c>
      <c r="E1133" s="5" t="s">
        <v>16</v>
      </c>
      <c r="F1133" s="17">
        <v>14.39</v>
      </c>
      <c r="G1133" s="3">
        <v>2</v>
      </c>
      <c r="H1133" s="17">
        <f>Table1[[#This Row],[Unit price]]*Table1[[#This Row],[Quantity]]</f>
        <v>28.78</v>
      </c>
      <c r="I1133" s="29">
        <f>Table1[[#This Row],[Total Revenue]]/$H$5056*100</f>
        <v>3.0534356004385337E-3</v>
      </c>
      <c r="J1133" s="3" t="s">
        <v>12</v>
      </c>
      <c r="K1133" s="4">
        <v>7.2</v>
      </c>
      <c r="M1133"/>
    </row>
    <row r="1134" spans="1:13" x14ac:dyDescent="0.25">
      <c r="A1134" s="2">
        <v>45447</v>
      </c>
      <c r="B1134" s="3" t="s">
        <v>245</v>
      </c>
      <c r="C1134" s="3" t="s">
        <v>9</v>
      </c>
      <c r="D1134" s="3" t="s">
        <v>19</v>
      </c>
      <c r="E1134" s="5" t="s">
        <v>21</v>
      </c>
      <c r="F1134" s="17">
        <v>46.53</v>
      </c>
      <c r="G1134" s="3">
        <v>6</v>
      </c>
      <c r="H1134" s="17">
        <f>Table1[[#This Row],[Unit price]]*Table1[[#This Row],[Quantity]]</f>
        <v>279.18</v>
      </c>
      <c r="I1134" s="29">
        <f>Table1[[#This Row],[Total Revenue]]/$H$5056*100</f>
        <v>2.9619810664712642E-2</v>
      </c>
      <c r="J1134" s="3" t="s">
        <v>12</v>
      </c>
      <c r="K1134" s="4">
        <v>4.3</v>
      </c>
      <c r="M1134"/>
    </row>
    <row r="1135" spans="1:13" x14ac:dyDescent="0.25">
      <c r="A1135" s="2">
        <v>45447</v>
      </c>
      <c r="B1135" s="3" t="s">
        <v>245</v>
      </c>
      <c r="C1135" s="3" t="s">
        <v>13</v>
      </c>
      <c r="D1135" s="3" t="s">
        <v>10</v>
      </c>
      <c r="E1135" s="5" t="s">
        <v>20</v>
      </c>
      <c r="F1135" s="17">
        <v>44.01</v>
      </c>
      <c r="G1135" s="3">
        <v>8</v>
      </c>
      <c r="H1135" s="17">
        <f>Table1[[#This Row],[Unit price]]*Table1[[#This Row],[Quantity]]</f>
        <v>352.08</v>
      </c>
      <c r="I1135" s="29">
        <f>Table1[[#This Row],[Total Revenue]]/$H$5056*100</f>
        <v>3.7354190625517682E-2</v>
      </c>
      <c r="J1135" s="3" t="s">
        <v>15</v>
      </c>
      <c r="K1135" s="4">
        <v>8.8000000000000007</v>
      </c>
      <c r="M1135"/>
    </row>
    <row r="1136" spans="1:13" x14ac:dyDescent="0.25">
      <c r="A1136" s="2">
        <v>45447</v>
      </c>
      <c r="B1136" s="3" t="s">
        <v>243</v>
      </c>
      <c r="C1136" s="3" t="s">
        <v>13</v>
      </c>
      <c r="D1136" s="3" t="s">
        <v>19</v>
      </c>
      <c r="E1136" s="5" t="s">
        <v>21</v>
      </c>
      <c r="F1136" s="17">
        <v>25</v>
      </c>
      <c r="G1136" s="3">
        <v>1</v>
      </c>
      <c r="H1136" s="17">
        <f>Table1[[#This Row],[Unit price]]*Table1[[#This Row],[Quantity]]</f>
        <v>25</v>
      </c>
      <c r="I1136" s="29">
        <f>Table1[[#This Row],[Total Revenue]]/$H$5056*100</f>
        <v>2.6523936765449388E-3</v>
      </c>
      <c r="J1136" s="3" t="s">
        <v>17</v>
      </c>
      <c r="K1136" s="4">
        <v>5.5</v>
      </c>
      <c r="M1136"/>
    </row>
    <row r="1137" spans="1:13" x14ac:dyDescent="0.25">
      <c r="A1137" s="2">
        <v>45447</v>
      </c>
      <c r="B1137" s="3" t="s">
        <v>243</v>
      </c>
      <c r="C1137" s="3" t="s">
        <v>13</v>
      </c>
      <c r="D1137" s="3" t="s">
        <v>19</v>
      </c>
      <c r="E1137" s="5" t="s">
        <v>21</v>
      </c>
      <c r="F1137" s="17">
        <v>28.95</v>
      </c>
      <c r="G1137" s="3">
        <v>7</v>
      </c>
      <c r="H1137" s="17">
        <f>Table1[[#This Row],[Unit price]]*Table1[[#This Row],[Quantity]]</f>
        <v>202.65</v>
      </c>
      <c r="I1137" s="29">
        <f>Table1[[#This Row],[Total Revenue]]/$H$5056*100</f>
        <v>2.1500303142073275E-2</v>
      </c>
      <c r="J1137" s="3" t="s">
        <v>12</v>
      </c>
      <c r="K1137" s="4">
        <v>6</v>
      </c>
      <c r="M1137"/>
    </row>
    <row r="1138" spans="1:13" x14ac:dyDescent="0.25">
      <c r="A1138" s="2">
        <v>45447</v>
      </c>
      <c r="B1138" s="3" t="s">
        <v>244</v>
      </c>
      <c r="C1138" s="3" t="s">
        <v>9</v>
      </c>
      <c r="D1138" s="3" t="s">
        <v>10</v>
      </c>
      <c r="E1138" s="5" t="s">
        <v>20</v>
      </c>
      <c r="F1138" s="17">
        <v>94.49</v>
      </c>
      <c r="G1138" s="3">
        <v>8</v>
      </c>
      <c r="H1138" s="17">
        <f>Table1[[#This Row],[Unit price]]*Table1[[#This Row],[Quantity]]</f>
        <v>755.92</v>
      </c>
      <c r="I1138" s="29">
        <f>Table1[[#This Row],[Total Revenue]]/$H$5056*100</f>
        <v>8.0199897118953992E-2</v>
      </c>
      <c r="J1138" s="3" t="s">
        <v>17</v>
      </c>
      <c r="K1138" s="4">
        <v>7.5</v>
      </c>
      <c r="M1138"/>
    </row>
    <row r="1139" spans="1:13" x14ac:dyDescent="0.25">
      <c r="A1139" s="2">
        <v>45447</v>
      </c>
      <c r="B1139" s="3" t="s">
        <v>244</v>
      </c>
      <c r="C1139" s="3" t="s">
        <v>9</v>
      </c>
      <c r="D1139" s="3" t="s">
        <v>19</v>
      </c>
      <c r="E1139" s="5" t="s">
        <v>20</v>
      </c>
      <c r="F1139" s="17">
        <v>30.12</v>
      </c>
      <c r="G1139" s="3">
        <v>8</v>
      </c>
      <c r="H1139" s="17">
        <f>Table1[[#This Row],[Unit price]]*Table1[[#This Row],[Quantity]]</f>
        <v>240.96</v>
      </c>
      <c r="I1139" s="29">
        <f>Table1[[#This Row],[Total Revenue]]/$H$5056*100</f>
        <v>2.5564831212010742E-2</v>
      </c>
      <c r="J1139" s="3" t="s">
        <v>15</v>
      </c>
      <c r="K1139" s="4">
        <v>7.7</v>
      </c>
      <c r="M1139"/>
    </row>
    <row r="1140" spans="1:13" x14ac:dyDescent="0.25">
      <c r="A1140" s="2">
        <v>45447</v>
      </c>
      <c r="B1140" s="3" t="s">
        <v>243</v>
      </c>
      <c r="C1140" s="3" t="s">
        <v>13</v>
      </c>
      <c r="D1140" s="3" t="s">
        <v>19</v>
      </c>
      <c r="E1140" s="5" t="s">
        <v>20</v>
      </c>
      <c r="F1140" s="17">
        <v>46.33</v>
      </c>
      <c r="G1140" s="3">
        <v>7</v>
      </c>
      <c r="H1140" s="17">
        <f>Table1[[#This Row],[Unit price]]*Table1[[#This Row],[Quantity]]</f>
        <v>324.31</v>
      </c>
      <c r="I1140" s="29">
        <f>Table1[[#This Row],[Total Revenue]]/$H$5056*100</f>
        <v>3.4407911729611565E-2</v>
      </c>
      <c r="J1140" s="3" t="s">
        <v>12</v>
      </c>
      <c r="K1140" s="4">
        <v>7.4</v>
      </c>
      <c r="M1140"/>
    </row>
    <row r="1141" spans="1:13" x14ac:dyDescent="0.25">
      <c r="A1141" s="2">
        <v>45447</v>
      </c>
      <c r="B1141" s="3" t="s">
        <v>243</v>
      </c>
      <c r="C1141" s="3" t="s">
        <v>13</v>
      </c>
      <c r="D1141" s="3" t="s">
        <v>10</v>
      </c>
      <c r="E1141" s="5" t="s">
        <v>20</v>
      </c>
      <c r="F1141" s="17">
        <v>33.299999999999997</v>
      </c>
      <c r="G1141" s="3">
        <v>9</v>
      </c>
      <c r="H1141" s="17">
        <f>Table1[[#This Row],[Unit price]]*Table1[[#This Row],[Quantity]]</f>
        <v>299.7</v>
      </c>
      <c r="I1141" s="29">
        <f>Table1[[#This Row],[Total Revenue]]/$H$5056*100</f>
        <v>3.1796895394420731E-2</v>
      </c>
      <c r="J1141" s="3" t="s">
        <v>17</v>
      </c>
      <c r="K1141" s="4">
        <v>7.2</v>
      </c>
      <c r="M1141"/>
    </row>
    <row r="1142" spans="1:13" x14ac:dyDescent="0.25">
      <c r="A1142" s="2">
        <v>45447</v>
      </c>
      <c r="B1142" s="3" t="s">
        <v>243</v>
      </c>
      <c r="C1142" s="3" t="s">
        <v>13</v>
      </c>
      <c r="D1142" s="3" t="s">
        <v>10</v>
      </c>
      <c r="E1142" s="5" t="s">
        <v>21</v>
      </c>
      <c r="F1142" s="17">
        <v>68.709999999999994</v>
      </c>
      <c r="G1142" s="3">
        <v>3</v>
      </c>
      <c r="H1142" s="17">
        <f>Table1[[#This Row],[Unit price]]*Table1[[#This Row],[Quantity]]</f>
        <v>206.13</v>
      </c>
      <c r="I1142" s="29">
        <f>Table1[[#This Row],[Total Revenue]]/$H$5056*100</f>
        <v>2.1869516341848329E-2</v>
      </c>
      <c r="J1142" s="3" t="s">
        <v>15</v>
      </c>
      <c r="K1142" s="4">
        <v>8.6999999999999993</v>
      </c>
      <c r="M1142"/>
    </row>
    <row r="1143" spans="1:13" x14ac:dyDescent="0.25">
      <c r="A1143" s="2">
        <v>45447</v>
      </c>
      <c r="B1143" s="3" t="s">
        <v>243</v>
      </c>
      <c r="C1143" s="3" t="s">
        <v>9</v>
      </c>
      <c r="D1143" s="3" t="s">
        <v>19</v>
      </c>
      <c r="E1143" s="5" t="s">
        <v>11</v>
      </c>
      <c r="F1143" s="17">
        <v>18.850000000000001</v>
      </c>
      <c r="G1143" s="3">
        <v>10</v>
      </c>
      <c r="H1143" s="17">
        <f>Table1[[#This Row],[Unit price]]*Table1[[#This Row],[Quantity]]</f>
        <v>188.5</v>
      </c>
      <c r="I1143" s="29">
        <f>Table1[[#This Row],[Total Revenue]]/$H$5056*100</f>
        <v>1.9999048321148839E-2</v>
      </c>
      <c r="J1143" s="3" t="s">
        <v>17</v>
      </c>
      <c r="K1143" s="4">
        <v>5.6</v>
      </c>
      <c r="M1143"/>
    </row>
    <row r="1144" spans="1:13" x14ac:dyDescent="0.25">
      <c r="A1144" s="2">
        <v>45447</v>
      </c>
      <c r="B1144" s="3" t="s">
        <v>244</v>
      </c>
      <c r="C1144" s="3" t="s">
        <v>13</v>
      </c>
      <c r="D1144" s="3" t="s">
        <v>19</v>
      </c>
      <c r="E1144" s="5" t="s">
        <v>18</v>
      </c>
      <c r="F1144" s="17">
        <v>52.42</v>
      </c>
      <c r="G1144" s="3">
        <v>3</v>
      </c>
      <c r="H1144" s="17">
        <f>Table1[[#This Row],[Unit price]]*Table1[[#This Row],[Quantity]]</f>
        <v>157.26</v>
      </c>
      <c r="I1144" s="29">
        <f>Table1[[#This Row],[Total Revenue]]/$H$5056*100</f>
        <v>1.6684617182938281E-2</v>
      </c>
      <c r="J1144" s="3" t="s">
        <v>17</v>
      </c>
      <c r="K1144" s="4">
        <v>7.5</v>
      </c>
      <c r="M1144"/>
    </row>
    <row r="1145" spans="1:13" x14ac:dyDescent="0.25">
      <c r="A1145" s="2">
        <v>45447</v>
      </c>
      <c r="B1145" s="3" t="s">
        <v>245</v>
      </c>
      <c r="C1145" s="3" t="s">
        <v>13</v>
      </c>
      <c r="D1145" s="3" t="s">
        <v>10</v>
      </c>
      <c r="E1145" s="5" t="s">
        <v>14</v>
      </c>
      <c r="F1145" s="17">
        <v>85.98</v>
      </c>
      <c r="G1145" s="3">
        <v>8</v>
      </c>
      <c r="H1145" s="17">
        <f>Table1[[#This Row],[Unit price]]*Table1[[#This Row],[Quantity]]</f>
        <v>687.84</v>
      </c>
      <c r="I1145" s="29">
        <f>Table1[[#This Row],[Total Revenue]]/$H$5056*100</f>
        <v>7.2976898658986822E-2</v>
      </c>
      <c r="J1145" s="3" t="s">
        <v>15</v>
      </c>
      <c r="K1145" s="4">
        <v>8.1999999999999993</v>
      </c>
      <c r="M1145"/>
    </row>
    <row r="1146" spans="1:13" x14ac:dyDescent="0.25">
      <c r="A1146" s="2">
        <v>45477</v>
      </c>
      <c r="B1146" s="3" t="s">
        <v>243</v>
      </c>
      <c r="C1146" s="3" t="s">
        <v>13</v>
      </c>
      <c r="D1146" s="3" t="s">
        <v>19</v>
      </c>
      <c r="E1146" s="5" t="s">
        <v>14</v>
      </c>
      <c r="F1146" s="17">
        <v>78.31</v>
      </c>
      <c r="G1146" s="3">
        <v>3</v>
      </c>
      <c r="H1146" s="17">
        <f>Table1[[#This Row],[Unit price]]*Table1[[#This Row],[Quantity]]</f>
        <v>234.93</v>
      </c>
      <c r="I1146" s="29">
        <f>Table1[[#This Row],[Total Revenue]]/$H$5056*100</f>
        <v>2.49250738572281E-2</v>
      </c>
      <c r="J1146" s="3" t="s">
        <v>17</v>
      </c>
      <c r="K1146" s="4">
        <v>5.4</v>
      </c>
      <c r="M1146"/>
    </row>
    <row r="1147" spans="1:13" x14ac:dyDescent="0.25">
      <c r="A1147" s="2">
        <v>45477</v>
      </c>
      <c r="B1147" s="3" t="s">
        <v>245</v>
      </c>
      <c r="C1147" s="3" t="s">
        <v>9</v>
      </c>
      <c r="D1147" s="3" t="s">
        <v>19</v>
      </c>
      <c r="E1147" s="5" t="s">
        <v>21</v>
      </c>
      <c r="F1147" s="17">
        <v>65.31</v>
      </c>
      <c r="G1147" s="3">
        <v>7</v>
      </c>
      <c r="H1147" s="17">
        <f>Table1[[#This Row],[Unit price]]*Table1[[#This Row],[Quantity]]</f>
        <v>457.17</v>
      </c>
      <c r="I1147" s="29">
        <f>Table1[[#This Row],[Total Revenue]]/$H$5056*100</f>
        <v>4.8503792684241986E-2</v>
      </c>
      <c r="J1147" s="3" t="s">
        <v>12</v>
      </c>
      <c r="K1147" s="4">
        <v>4.2</v>
      </c>
      <c r="M1147"/>
    </row>
    <row r="1148" spans="1:13" x14ac:dyDescent="0.25">
      <c r="A1148" s="2">
        <v>45477</v>
      </c>
      <c r="B1148" s="3" t="s">
        <v>244</v>
      </c>
      <c r="C1148" s="3" t="s">
        <v>9</v>
      </c>
      <c r="D1148" s="3" t="s">
        <v>19</v>
      </c>
      <c r="E1148" s="5" t="s">
        <v>18</v>
      </c>
      <c r="F1148" s="17">
        <v>21.94</v>
      </c>
      <c r="G1148" s="3">
        <v>5</v>
      </c>
      <c r="H1148" s="17">
        <f>Table1[[#This Row],[Unit price]]*Table1[[#This Row],[Quantity]]</f>
        <v>109.7</v>
      </c>
      <c r="I1148" s="29">
        <f>Table1[[#This Row],[Total Revenue]]/$H$5056*100</f>
        <v>1.1638703452679191E-2</v>
      </c>
      <c r="J1148" s="3" t="s">
        <v>17</v>
      </c>
      <c r="K1148" s="4">
        <v>5.3</v>
      </c>
      <c r="M1148"/>
    </row>
    <row r="1149" spans="1:13" x14ac:dyDescent="0.25">
      <c r="A1149" s="2">
        <v>45477</v>
      </c>
      <c r="B1149" s="3" t="s">
        <v>243</v>
      </c>
      <c r="C1149" s="3" t="s">
        <v>13</v>
      </c>
      <c r="D1149" s="3" t="s">
        <v>10</v>
      </c>
      <c r="E1149" s="5" t="s">
        <v>18</v>
      </c>
      <c r="F1149" s="17">
        <v>81.91</v>
      </c>
      <c r="G1149" s="3">
        <v>2</v>
      </c>
      <c r="H1149" s="17">
        <f>Table1[[#This Row],[Unit price]]*Table1[[#This Row],[Quantity]]</f>
        <v>163.82</v>
      </c>
      <c r="I1149" s="29">
        <f>Table1[[#This Row],[Total Revenue]]/$H$5056*100</f>
        <v>1.7380605283663673E-2</v>
      </c>
      <c r="J1149" s="3" t="s">
        <v>15</v>
      </c>
      <c r="K1149" s="4">
        <v>7.8</v>
      </c>
      <c r="M1149"/>
    </row>
    <row r="1150" spans="1:13" x14ac:dyDescent="0.25">
      <c r="A1150" s="2">
        <v>45477</v>
      </c>
      <c r="B1150" s="3" t="s">
        <v>245</v>
      </c>
      <c r="C1150" s="3" t="s">
        <v>13</v>
      </c>
      <c r="D1150" s="3" t="s">
        <v>10</v>
      </c>
      <c r="E1150" s="5" t="s">
        <v>16</v>
      </c>
      <c r="F1150" s="17">
        <v>83.06</v>
      </c>
      <c r="G1150" s="3">
        <v>7</v>
      </c>
      <c r="H1150" s="17">
        <f>Table1[[#This Row],[Unit price]]*Table1[[#This Row],[Quantity]]</f>
        <v>581.42000000000007</v>
      </c>
      <c r="I1150" s="29">
        <f>Table1[[#This Row],[Total Revenue]]/$H$5056*100</f>
        <v>6.168618925667034E-2</v>
      </c>
      <c r="J1150" s="3" t="s">
        <v>17</v>
      </c>
      <c r="K1150" s="4">
        <v>4</v>
      </c>
      <c r="M1150"/>
    </row>
    <row r="1151" spans="1:13" x14ac:dyDescent="0.25">
      <c r="A1151" s="2">
        <v>45477</v>
      </c>
      <c r="B1151" s="3" t="s">
        <v>244</v>
      </c>
      <c r="C1151" s="3" t="s">
        <v>13</v>
      </c>
      <c r="D1151" s="3" t="s">
        <v>19</v>
      </c>
      <c r="E1151" s="5" t="s">
        <v>21</v>
      </c>
      <c r="F1151" s="17">
        <v>87.98</v>
      </c>
      <c r="G1151" s="3">
        <v>3</v>
      </c>
      <c r="H1151" s="17">
        <f>Table1[[#This Row],[Unit price]]*Table1[[#This Row],[Quantity]]</f>
        <v>263.94</v>
      </c>
      <c r="I1151" s="29">
        <f>Table1[[#This Row],[Total Revenue]]/$H$5056*100</f>
        <v>2.8002911479490845E-2</v>
      </c>
      <c r="J1151" s="3" t="s">
        <v>17</v>
      </c>
      <c r="K1151" s="4">
        <v>5.0999999999999996</v>
      </c>
      <c r="M1151"/>
    </row>
    <row r="1152" spans="1:13" x14ac:dyDescent="0.25">
      <c r="A1152" s="2">
        <v>45477</v>
      </c>
      <c r="B1152" s="3" t="s">
        <v>245</v>
      </c>
      <c r="C1152" s="3" t="s">
        <v>9</v>
      </c>
      <c r="D1152" s="3" t="s">
        <v>10</v>
      </c>
      <c r="E1152" s="5" t="s">
        <v>11</v>
      </c>
      <c r="F1152" s="17">
        <v>78.31</v>
      </c>
      <c r="G1152" s="3">
        <v>10</v>
      </c>
      <c r="H1152" s="17">
        <f>Table1[[#This Row],[Unit price]]*Table1[[#This Row],[Quantity]]</f>
        <v>783.1</v>
      </c>
      <c r="I1152" s="29">
        <f>Table1[[#This Row],[Total Revenue]]/$H$5056*100</f>
        <v>8.3083579524093662E-2</v>
      </c>
      <c r="J1152" s="3" t="s">
        <v>17</v>
      </c>
      <c r="K1152" s="4">
        <v>6.6</v>
      </c>
      <c r="M1152"/>
    </row>
    <row r="1153" spans="1:13" x14ac:dyDescent="0.25">
      <c r="A1153" s="2">
        <v>45477</v>
      </c>
      <c r="B1153" s="3" t="s">
        <v>244</v>
      </c>
      <c r="C1153" s="3" t="s">
        <v>9</v>
      </c>
      <c r="D1153" s="3" t="s">
        <v>19</v>
      </c>
      <c r="E1153" s="5" t="s">
        <v>16</v>
      </c>
      <c r="F1153" s="17">
        <v>37.32</v>
      </c>
      <c r="G1153" s="3">
        <v>9</v>
      </c>
      <c r="H1153" s="17">
        <f>Table1[[#This Row],[Unit price]]*Table1[[#This Row],[Quantity]]</f>
        <v>335.88</v>
      </c>
      <c r="I1153" s="29">
        <f>Table1[[#This Row],[Total Revenue]]/$H$5056*100</f>
        <v>3.5635439523116562E-2</v>
      </c>
      <c r="J1153" s="3" t="s">
        <v>17</v>
      </c>
      <c r="K1153" s="4">
        <v>5.0999999999999996</v>
      </c>
      <c r="M1153"/>
    </row>
    <row r="1154" spans="1:13" x14ac:dyDescent="0.25">
      <c r="A1154" s="2">
        <v>45477</v>
      </c>
      <c r="B1154" s="3" t="s">
        <v>244</v>
      </c>
      <c r="C1154" s="3" t="s">
        <v>13</v>
      </c>
      <c r="D1154" s="3" t="s">
        <v>19</v>
      </c>
      <c r="E1154" s="5" t="s">
        <v>14</v>
      </c>
      <c r="F1154" s="17">
        <v>28.38</v>
      </c>
      <c r="G1154" s="3">
        <v>5</v>
      </c>
      <c r="H1154" s="17">
        <f>Table1[[#This Row],[Unit price]]*Table1[[#This Row],[Quantity]]</f>
        <v>141.9</v>
      </c>
      <c r="I1154" s="29">
        <f>Table1[[#This Row],[Total Revenue]]/$H$5056*100</f>
        <v>1.5054986508069074E-2</v>
      </c>
      <c r="J1154" s="3" t="s">
        <v>15</v>
      </c>
      <c r="K1154" s="4">
        <v>9.4</v>
      </c>
      <c r="M1154"/>
    </row>
    <row r="1155" spans="1:13" x14ac:dyDescent="0.25">
      <c r="A1155" s="2">
        <v>45477</v>
      </c>
      <c r="B1155" s="3" t="s">
        <v>243</v>
      </c>
      <c r="C1155" s="3" t="s">
        <v>9</v>
      </c>
      <c r="D1155" s="3" t="s">
        <v>10</v>
      </c>
      <c r="E1155" s="5" t="s">
        <v>16</v>
      </c>
      <c r="F1155" s="17">
        <v>92.13</v>
      </c>
      <c r="G1155" s="3">
        <v>6</v>
      </c>
      <c r="H1155" s="17">
        <f>Table1[[#This Row],[Unit price]]*Table1[[#This Row],[Quantity]]</f>
        <v>552.78</v>
      </c>
      <c r="I1155" s="29">
        <f>Table1[[#This Row],[Total Revenue]]/$H$5056*100</f>
        <v>5.8647607060820443E-2</v>
      </c>
      <c r="J1155" s="3" t="s">
        <v>15</v>
      </c>
      <c r="K1155" s="4">
        <v>8.3000000000000007</v>
      </c>
      <c r="M1155"/>
    </row>
    <row r="1156" spans="1:13" x14ac:dyDescent="0.25">
      <c r="A1156" s="2">
        <v>45477</v>
      </c>
      <c r="B1156" s="3" t="s">
        <v>244</v>
      </c>
      <c r="C1156" s="3" t="s">
        <v>13</v>
      </c>
      <c r="D1156" s="3" t="s">
        <v>19</v>
      </c>
      <c r="E1156" s="5" t="s">
        <v>11</v>
      </c>
      <c r="F1156" s="17">
        <v>62.08</v>
      </c>
      <c r="G1156" s="3">
        <v>7</v>
      </c>
      <c r="H1156" s="17">
        <f>Table1[[#This Row],[Unit price]]*Table1[[#This Row],[Quantity]]</f>
        <v>434.56</v>
      </c>
      <c r="I1156" s="29">
        <f>Table1[[#This Row],[Total Revenue]]/$H$5056*100</f>
        <v>4.6104967843174749E-2</v>
      </c>
      <c r="J1156" s="3" t="s">
        <v>17</v>
      </c>
      <c r="K1156" s="4">
        <v>5.4</v>
      </c>
      <c r="M1156"/>
    </row>
    <row r="1157" spans="1:13" x14ac:dyDescent="0.25">
      <c r="A1157" s="2">
        <v>45477</v>
      </c>
      <c r="B1157" s="3" t="s">
        <v>244</v>
      </c>
      <c r="C1157" s="3" t="s">
        <v>13</v>
      </c>
      <c r="D1157" s="3" t="s">
        <v>10</v>
      </c>
      <c r="E1157" s="5" t="s">
        <v>16</v>
      </c>
      <c r="F1157" s="17">
        <v>67.430000000000007</v>
      </c>
      <c r="G1157" s="3">
        <v>5</v>
      </c>
      <c r="H1157" s="17">
        <f>Table1[[#This Row],[Unit price]]*Table1[[#This Row],[Quantity]]</f>
        <v>337.15000000000003</v>
      </c>
      <c r="I1157" s="29">
        <f>Table1[[#This Row],[Total Revenue]]/$H$5056*100</f>
        <v>3.5770181121885049E-2</v>
      </c>
      <c r="J1157" s="3" t="s">
        <v>17</v>
      </c>
      <c r="K1157" s="4">
        <v>6.3</v>
      </c>
      <c r="M1157"/>
    </row>
    <row r="1158" spans="1:13" x14ac:dyDescent="0.25">
      <c r="A1158" s="2">
        <v>45477</v>
      </c>
      <c r="B1158" s="3" t="s">
        <v>243</v>
      </c>
      <c r="C1158" s="3" t="s">
        <v>9</v>
      </c>
      <c r="D1158" s="3" t="s">
        <v>19</v>
      </c>
      <c r="E1158" s="5" t="s">
        <v>16</v>
      </c>
      <c r="F1158" s="17">
        <v>15.81</v>
      </c>
      <c r="G1158" s="3">
        <v>10</v>
      </c>
      <c r="H1158" s="17">
        <f>Table1[[#This Row],[Unit price]]*Table1[[#This Row],[Quantity]]</f>
        <v>158.1</v>
      </c>
      <c r="I1158" s="29">
        <f>Table1[[#This Row],[Total Revenue]]/$H$5056*100</f>
        <v>1.6773737610470192E-2</v>
      </c>
      <c r="J1158" s="3" t="s">
        <v>12</v>
      </c>
      <c r="K1158" s="4">
        <v>8.6</v>
      </c>
      <c r="M1158"/>
    </row>
    <row r="1159" spans="1:13" x14ac:dyDescent="0.25">
      <c r="A1159" s="2">
        <v>45477</v>
      </c>
      <c r="B1159" s="3" t="s">
        <v>243</v>
      </c>
      <c r="C1159" s="3" t="s">
        <v>13</v>
      </c>
      <c r="D1159" s="3" t="s">
        <v>10</v>
      </c>
      <c r="E1159" s="5" t="s">
        <v>21</v>
      </c>
      <c r="F1159" s="17">
        <v>79.739999999999995</v>
      </c>
      <c r="G1159" s="3">
        <v>1</v>
      </c>
      <c r="H1159" s="17">
        <f>Table1[[#This Row],[Unit price]]*Table1[[#This Row],[Quantity]]</f>
        <v>79.739999999999995</v>
      </c>
      <c r="I1159" s="29">
        <f>Table1[[#This Row],[Total Revenue]]/$H$5056*100</f>
        <v>8.4600748707077365E-3</v>
      </c>
      <c r="J1159" s="3" t="s">
        <v>17</v>
      </c>
      <c r="K1159" s="4">
        <v>7.3</v>
      </c>
      <c r="M1159"/>
    </row>
    <row r="1160" spans="1:13" x14ac:dyDescent="0.25">
      <c r="A1160" s="2">
        <v>45477</v>
      </c>
      <c r="B1160" s="3" t="s">
        <v>243</v>
      </c>
      <c r="C1160" s="3" t="s">
        <v>9</v>
      </c>
      <c r="D1160" s="3" t="s">
        <v>19</v>
      </c>
      <c r="E1160" s="5" t="s">
        <v>14</v>
      </c>
      <c r="F1160" s="17">
        <v>21.5</v>
      </c>
      <c r="G1160" s="3">
        <v>9</v>
      </c>
      <c r="H1160" s="17">
        <f>Table1[[#This Row],[Unit price]]*Table1[[#This Row],[Quantity]]</f>
        <v>193.5</v>
      </c>
      <c r="I1160" s="29">
        <f>Table1[[#This Row],[Total Revenue]]/$H$5056*100</f>
        <v>2.0529527056457827E-2</v>
      </c>
      <c r="J1160" s="3" t="s">
        <v>12</v>
      </c>
      <c r="K1160" s="4">
        <v>7.8</v>
      </c>
      <c r="M1160"/>
    </row>
    <row r="1161" spans="1:13" x14ac:dyDescent="0.25">
      <c r="A1161" s="2">
        <v>45477</v>
      </c>
      <c r="B1161" s="3" t="s">
        <v>244</v>
      </c>
      <c r="C1161" s="3" t="s">
        <v>9</v>
      </c>
      <c r="D1161" s="3" t="s">
        <v>19</v>
      </c>
      <c r="E1161" s="5" t="s">
        <v>20</v>
      </c>
      <c r="F1161" s="17">
        <v>71.86</v>
      </c>
      <c r="G1161" s="3">
        <v>8</v>
      </c>
      <c r="H1161" s="17">
        <f>Table1[[#This Row],[Unit price]]*Table1[[#This Row],[Quantity]]</f>
        <v>574.88</v>
      </c>
      <c r="I1161" s="29">
        <f>Table1[[#This Row],[Total Revenue]]/$H$5056*100</f>
        <v>6.099232307088618E-2</v>
      </c>
      <c r="J1161" s="3" t="s">
        <v>12</v>
      </c>
      <c r="K1161" s="4">
        <v>6.2</v>
      </c>
      <c r="M1161"/>
    </row>
    <row r="1162" spans="1:13" x14ac:dyDescent="0.25">
      <c r="A1162" s="2">
        <v>45477</v>
      </c>
      <c r="B1162" s="3" t="s">
        <v>244</v>
      </c>
      <c r="C1162" s="3" t="s">
        <v>9</v>
      </c>
      <c r="D1162" s="3" t="s">
        <v>19</v>
      </c>
      <c r="E1162" s="5" t="s">
        <v>18</v>
      </c>
      <c r="F1162" s="17">
        <v>49.92</v>
      </c>
      <c r="G1162" s="3">
        <v>2</v>
      </c>
      <c r="H1162" s="17">
        <f>Table1[[#This Row],[Unit price]]*Table1[[#This Row],[Quantity]]</f>
        <v>99.84</v>
      </c>
      <c r="I1162" s="29">
        <f>Table1[[#This Row],[Total Revenue]]/$H$5056*100</f>
        <v>1.0592599386649868E-2</v>
      </c>
      <c r="J1162" s="3" t="s">
        <v>12</v>
      </c>
      <c r="K1162" s="4">
        <v>7</v>
      </c>
      <c r="M1162"/>
    </row>
    <row r="1163" spans="1:13" x14ac:dyDescent="0.25">
      <c r="A1163" s="2">
        <v>45508</v>
      </c>
      <c r="B1163" s="3" t="s">
        <v>245</v>
      </c>
      <c r="C1163" s="3" t="s">
        <v>13</v>
      </c>
      <c r="D1163" s="3" t="s">
        <v>19</v>
      </c>
      <c r="E1163" s="5" t="s">
        <v>20</v>
      </c>
      <c r="F1163" s="17">
        <v>37</v>
      </c>
      <c r="G1163" s="3">
        <v>1</v>
      </c>
      <c r="H1163" s="17">
        <f>Table1[[#This Row],[Unit price]]*Table1[[#This Row],[Quantity]]</f>
        <v>37</v>
      </c>
      <c r="I1163" s="29">
        <f>Table1[[#This Row],[Total Revenue]]/$H$5056*100</f>
        <v>3.9255426412865098E-3</v>
      </c>
      <c r="J1163" s="3" t="s">
        <v>12</v>
      </c>
      <c r="K1163" s="4">
        <v>7.9</v>
      </c>
      <c r="M1163"/>
    </row>
    <row r="1164" spans="1:13" x14ac:dyDescent="0.25">
      <c r="A1164" s="2">
        <v>45508</v>
      </c>
      <c r="B1164" s="3" t="s">
        <v>245</v>
      </c>
      <c r="C1164" s="3" t="s">
        <v>13</v>
      </c>
      <c r="D1164" s="3" t="s">
        <v>19</v>
      </c>
      <c r="E1164" s="5" t="s">
        <v>14</v>
      </c>
      <c r="F1164" s="17">
        <v>84.07</v>
      </c>
      <c r="G1164" s="3">
        <v>4</v>
      </c>
      <c r="H1164" s="17">
        <f>Table1[[#This Row],[Unit price]]*Table1[[#This Row],[Quantity]]</f>
        <v>336.28</v>
      </c>
      <c r="I1164" s="29">
        <f>Table1[[#This Row],[Total Revenue]]/$H$5056*100</f>
        <v>3.5677877821941276E-2</v>
      </c>
      <c r="J1164" s="3" t="s">
        <v>17</v>
      </c>
      <c r="K1164" s="4">
        <v>4.4000000000000004</v>
      </c>
      <c r="M1164"/>
    </row>
    <row r="1165" spans="1:13" x14ac:dyDescent="0.25">
      <c r="A1165" s="2">
        <v>45508</v>
      </c>
      <c r="B1165" s="3" t="s">
        <v>244</v>
      </c>
      <c r="C1165" s="3" t="s">
        <v>13</v>
      </c>
      <c r="D1165" s="3" t="s">
        <v>19</v>
      </c>
      <c r="E1165" s="5" t="s">
        <v>20</v>
      </c>
      <c r="F1165" s="17">
        <v>16.16</v>
      </c>
      <c r="G1165" s="3">
        <v>2</v>
      </c>
      <c r="H1165" s="17">
        <f>Table1[[#This Row],[Unit price]]*Table1[[#This Row],[Quantity]]</f>
        <v>32.32</v>
      </c>
      <c r="I1165" s="29">
        <f>Table1[[#This Row],[Total Revenue]]/$H$5056*100</f>
        <v>3.4290145450372972E-3</v>
      </c>
      <c r="J1165" s="3" t="s">
        <v>17</v>
      </c>
      <c r="K1165" s="4">
        <v>6.5</v>
      </c>
      <c r="M1165"/>
    </row>
    <row r="1166" spans="1:13" x14ac:dyDescent="0.25">
      <c r="A1166" s="2">
        <v>45508</v>
      </c>
      <c r="B1166" s="3" t="s">
        <v>245</v>
      </c>
      <c r="C1166" s="3" t="s">
        <v>13</v>
      </c>
      <c r="D1166" s="3" t="s">
        <v>10</v>
      </c>
      <c r="E1166" s="5" t="s">
        <v>18</v>
      </c>
      <c r="F1166" s="17">
        <v>16.45</v>
      </c>
      <c r="G1166" s="3">
        <v>4</v>
      </c>
      <c r="H1166" s="17">
        <f>Table1[[#This Row],[Unit price]]*Table1[[#This Row],[Quantity]]</f>
        <v>65.8</v>
      </c>
      <c r="I1166" s="29">
        <f>Table1[[#This Row],[Total Revenue]]/$H$5056*100</f>
        <v>6.9811001566662785E-3</v>
      </c>
      <c r="J1166" s="3" t="s">
        <v>17</v>
      </c>
      <c r="K1166" s="4">
        <v>5.6</v>
      </c>
      <c r="M1166"/>
    </row>
    <row r="1167" spans="1:13" x14ac:dyDescent="0.25">
      <c r="A1167" s="2">
        <v>45508</v>
      </c>
      <c r="B1167" s="3" t="s">
        <v>245</v>
      </c>
      <c r="C1167" s="3" t="s">
        <v>13</v>
      </c>
      <c r="D1167" s="3" t="s">
        <v>19</v>
      </c>
      <c r="E1167" s="5" t="s">
        <v>11</v>
      </c>
      <c r="F1167" s="17">
        <v>99.79</v>
      </c>
      <c r="G1167" s="3">
        <v>2</v>
      </c>
      <c r="H1167" s="17">
        <f>Table1[[#This Row],[Unit price]]*Table1[[#This Row],[Quantity]]</f>
        <v>199.58</v>
      </c>
      <c r="I1167" s="29">
        <f>Table1[[#This Row],[Total Revenue]]/$H$5056*100</f>
        <v>2.1174589198593559E-2</v>
      </c>
      <c r="J1167" s="3" t="s">
        <v>17</v>
      </c>
      <c r="K1167" s="4">
        <v>8</v>
      </c>
      <c r="M1167"/>
    </row>
    <row r="1168" spans="1:13" x14ac:dyDescent="0.25">
      <c r="A1168" s="2">
        <v>45508</v>
      </c>
      <c r="B1168" s="3" t="s">
        <v>243</v>
      </c>
      <c r="C1168" s="3" t="s">
        <v>9</v>
      </c>
      <c r="D1168" s="3" t="s">
        <v>10</v>
      </c>
      <c r="E1168" s="5" t="s">
        <v>21</v>
      </c>
      <c r="F1168" s="17">
        <v>15.55</v>
      </c>
      <c r="G1168" s="3">
        <v>9</v>
      </c>
      <c r="H1168" s="17">
        <f>Table1[[#This Row],[Unit price]]*Table1[[#This Row],[Quantity]]</f>
        <v>139.95000000000002</v>
      </c>
      <c r="I1168" s="29">
        <f>Table1[[#This Row],[Total Revenue]]/$H$5056*100</f>
        <v>1.4848099801298569E-2</v>
      </c>
      <c r="J1168" s="3" t="s">
        <v>15</v>
      </c>
      <c r="K1168" s="4">
        <v>5</v>
      </c>
      <c r="M1168"/>
    </row>
    <row r="1169" spans="1:13" x14ac:dyDescent="0.25">
      <c r="A1169" s="2">
        <v>45508</v>
      </c>
      <c r="B1169" s="3" t="s">
        <v>243</v>
      </c>
      <c r="C1169" s="3" t="s">
        <v>9</v>
      </c>
      <c r="D1169" s="3" t="s">
        <v>10</v>
      </c>
      <c r="E1169" s="5" t="s">
        <v>20</v>
      </c>
      <c r="F1169" s="17">
        <v>28.31</v>
      </c>
      <c r="G1169" s="3">
        <v>4</v>
      </c>
      <c r="H1169" s="17">
        <f>Table1[[#This Row],[Unit price]]*Table1[[#This Row],[Quantity]]</f>
        <v>113.24</v>
      </c>
      <c r="I1169" s="29">
        <f>Table1[[#This Row],[Total Revenue]]/$H$5056*100</f>
        <v>1.2014282397277955E-2</v>
      </c>
      <c r="J1169" s="3" t="s">
        <v>15</v>
      </c>
      <c r="K1169" s="4">
        <v>8.1999999999999993</v>
      </c>
      <c r="M1169"/>
    </row>
    <row r="1170" spans="1:13" x14ac:dyDescent="0.25">
      <c r="A1170" s="2">
        <v>45508</v>
      </c>
      <c r="B1170" s="3" t="s">
        <v>243</v>
      </c>
      <c r="C1170" s="3" t="s">
        <v>13</v>
      </c>
      <c r="D1170" s="3" t="s">
        <v>19</v>
      </c>
      <c r="E1170" s="5" t="s">
        <v>20</v>
      </c>
      <c r="F1170" s="17">
        <v>97.94</v>
      </c>
      <c r="G1170" s="3">
        <v>1</v>
      </c>
      <c r="H1170" s="17">
        <f>Table1[[#This Row],[Unit price]]*Table1[[#This Row],[Quantity]]</f>
        <v>97.94</v>
      </c>
      <c r="I1170" s="29">
        <f>Table1[[#This Row],[Total Revenue]]/$H$5056*100</f>
        <v>1.0391017467232453E-2</v>
      </c>
      <c r="J1170" s="3" t="s">
        <v>17</v>
      </c>
      <c r="K1170" s="4">
        <v>6.9</v>
      </c>
      <c r="M1170"/>
    </row>
    <row r="1171" spans="1:13" x14ac:dyDescent="0.25">
      <c r="A1171" s="2">
        <v>45508</v>
      </c>
      <c r="B1171" s="3" t="s">
        <v>245</v>
      </c>
      <c r="C1171" s="3" t="s">
        <v>13</v>
      </c>
      <c r="D1171" s="3" t="s">
        <v>19</v>
      </c>
      <c r="E1171" s="5" t="s">
        <v>14</v>
      </c>
      <c r="F1171" s="17">
        <v>22.21</v>
      </c>
      <c r="G1171" s="3">
        <v>6</v>
      </c>
      <c r="H1171" s="17">
        <f>Table1[[#This Row],[Unit price]]*Table1[[#This Row],[Quantity]]</f>
        <v>133.26</v>
      </c>
      <c r="I1171" s="29">
        <f>Table1[[#This Row],[Total Revenue]]/$H$5056*100</f>
        <v>1.4138319253455142E-2</v>
      </c>
      <c r="J1171" s="3" t="s">
        <v>12</v>
      </c>
      <c r="K1171" s="4">
        <v>8.6</v>
      </c>
      <c r="M1171"/>
    </row>
    <row r="1172" spans="1:13" x14ac:dyDescent="0.25">
      <c r="A1172" s="2">
        <v>45508</v>
      </c>
      <c r="B1172" s="3" t="s">
        <v>244</v>
      </c>
      <c r="C1172" s="3" t="s">
        <v>13</v>
      </c>
      <c r="D1172" s="3" t="s">
        <v>19</v>
      </c>
      <c r="E1172" s="5" t="s">
        <v>20</v>
      </c>
      <c r="F1172" s="17">
        <v>50.28</v>
      </c>
      <c r="G1172" s="3">
        <v>5</v>
      </c>
      <c r="H1172" s="17">
        <f>Table1[[#This Row],[Unit price]]*Table1[[#This Row],[Quantity]]</f>
        <v>251.4</v>
      </c>
      <c r="I1172" s="29">
        <f>Table1[[#This Row],[Total Revenue]]/$H$5056*100</f>
        <v>2.6672470811335905E-2</v>
      </c>
      <c r="J1172" s="3" t="s">
        <v>17</v>
      </c>
      <c r="K1172" s="4">
        <v>9.6999999999999993</v>
      </c>
      <c r="M1172"/>
    </row>
    <row r="1173" spans="1:13" x14ac:dyDescent="0.25">
      <c r="A1173" s="2">
        <v>45508</v>
      </c>
      <c r="B1173" s="3" t="s">
        <v>243</v>
      </c>
      <c r="C1173" s="3" t="s">
        <v>13</v>
      </c>
      <c r="D1173" s="3" t="s">
        <v>19</v>
      </c>
      <c r="E1173" s="5" t="s">
        <v>14</v>
      </c>
      <c r="F1173" s="17">
        <v>97.16</v>
      </c>
      <c r="G1173" s="3">
        <v>1</v>
      </c>
      <c r="H1173" s="17">
        <f>Table1[[#This Row],[Unit price]]*Table1[[#This Row],[Quantity]]</f>
        <v>97.16</v>
      </c>
      <c r="I1173" s="29">
        <f>Table1[[#This Row],[Total Revenue]]/$H$5056*100</f>
        <v>1.030826278452425E-2</v>
      </c>
      <c r="J1173" s="3" t="s">
        <v>17</v>
      </c>
      <c r="K1173" s="4">
        <v>7.2</v>
      </c>
      <c r="M1173"/>
    </row>
    <row r="1174" spans="1:13" x14ac:dyDescent="0.25">
      <c r="A1174" s="2">
        <v>45508</v>
      </c>
      <c r="B1174" s="3" t="s">
        <v>245</v>
      </c>
      <c r="C1174" s="3" t="s">
        <v>9</v>
      </c>
      <c r="D1174" s="3" t="s">
        <v>19</v>
      </c>
      <c r="E1174" s="5" t="s">
        <v>11</v>
      </c>
      <c r="F1174" s="17">
        <v>17.04</v>
      </c>
      <c r="G1174" s="3">
        <v>4</v>
      </c>
      <c r="H1174" s="17">
        <f>Table1[[#This Row],[Unit price]]*Table1[[#This Row],[Quantity]]</f>
        <v>68.16</v>
      </c>
      <c r="I1174" s="29">
        <f>Table1[[#This Row],[Total Revenue]]/$H$5056*100</f>
        <v>7.2314861197321206E-3</v>
      </c>
      <c r="J1174" s="3" t="s">
        <v>17</v>
      </c>
      <c r="K1174" s="4">
        <v>7</v>
      </c>
      <c r="M1174"/>
    </row>
    <row r="1175" spans="1:13" x14ac:dyDescent="0.25">
      <c r="A1175" s="2">
        <v>45508</v>
      </c>
      <c r="B1175" s="3" t="s">
        <v>245</v>
      </c>
      <c r="C1175" s="3" t="s">
        <v>13</v>
      </c>
      <c r="D1175" s="3" t="s">
        <v>10</v>
      </c>
      <c r="E1175" s="5" t="s">
        <v>14</v>
      </c>
      <c r="F1175" s="17">
        <v>15.28</v>
      </c>
      <c r="G1175" s="3">
        <v>5</v>
      </c>
      <c r="H1175" s="17">
        <f>Table1[[#This Row],[Unit price]]*Table1[[#This Row],[Quantity]]</f>
        <v>76.399999999999991</v>
      </c>
      <c r="I1175" s="29">
        <f>Table1[[#This Row],[Total Revenue]]/$H$5056*100</f>
        <v>8.1057150755213317E-3</v>
      </c>
      <c r="J1175" s="3" t="s">
        <v>15</v>
      </c>
      <c r="K1175" s="4">
        <v>9.6</v>
      </c>
      <c r="M1175"/>
    </row>
    <row r="1176" spans="1:13" x14ac:dyDescent="0.25">
      <c r="A1176" s="2">
        <v>45508</v>
      </c>
      <c r="B1176" s="3" t="s">
        <v>243</v>
      </c>
      <c r="C1176" s="3" t="s">
        <v>13</v>
      </c>
      <c r="D1176" s="3" t="s">
        <v>19</v>
      </c>
      <c r="E1176" s="5" t="s">
        <v>20</v>
      </c>
      <c r="F1176" s="17">
        <v>33.99</v>
      </c>
      <c r="G1176" s="3">
        <v>6</v>
      </c>
      <c r="H1176" s="17">
        <f>Table1[[#This Row],[Unit price]]*Table1[[#This Row],[Quantity]]</f>
        <v>203.94</v>
      </c>
      <c r="I1176" s="29">
        <f>Table1[[#This Row],[Total Revenue]]/$H$5056*100</f>
        <v>2.1637166655782993E-2</v>
      </c>
      <c r="J1176" s="3" t="s">
        <v>12</v>
      </c>
      <c r="K1176" s="4">
        <v>7.7</v>
      </c>
      <c r="M1176"/>
    </row>
    <row r="1177" spans="1:13" x14ac:dyDescent="0.25">
      <c r="A1177" s="2">
        <v>45508</v>
      </c>
      <c r="B1177" s="3" t="s">
        <v>243</v>
      </c>
      <c r="C1177" s="3" t="s">
        <v>13</v>
      </c>
      <c r="D1177" s="3" t="s">
        <v>10</v>
      </c>
      <c r="E1177" s="5" t="s">
        <v>18</v>
      </c>
      <c r="F1177" s="17">
        <v>61.77</v>
      </c>
      <c r="G1177" s="3">
        <v>5</v>
      </c>
      <c r="H1177" s="17">
        <f>Table1[[#This Row],[Unit price]]*Table1[[#This Row],[Quantity]]</f>
        <v>308.85000000000002</v>
      </c>
      <c r="I1177" s="29">
        <f>Table1[[#This Row],[Total Revenue]]/$H$5056*100</f>
        <v>3.2767671480036176E-2</v>
      </c>
      <c r="J1177" s="3" t="s">
        <v>15</v>
      </c>
      <c r="K1177" s="4">
        <v>6.7</v>
      </c>
      <c r="M1177"/>
    </row>
    <row r="1178" spans="1:13" x14ac:dyDescent="0.25">
      <c r="A1178" s="2">
        <v>45508</v>
      </c>
      <c r="B1178" s="3" t="s">
        <v>245</v>
      </c>
      <c r="C1178" s="3" t="s">
        <v>13</v>
      </c>
      <c r="D1178" s="3" t="s">
        <v>19</v>
      </c>
      <c r="E1178" s="5" t="s">
        <v>11</v>
      </c>
      <c r="F1178" s="17">
        <v>43.27</v>
      </c>
      <c r="G1178" s="3">
        <v>2</v>
      </c>
      <c r="H1178" s="17">
        <f>Table1[[#This Row],[Unit price]]*Table1[[#This Row],[Quantity]]</f>
        <v>86.54</v>
      </c>
      <c r="I1178" s="29">
        <f>Table1[[#This Row],[Total Revenue]]/$H$5056*100</f>
        <v>9.181525950727961E-3</v>
      </c>
      <c r="J1178" s="3" t="s">
        <v>17</v>
      </c>
      <c r="K1178" s="4">
        <v>5.7</v>
      </c>
      <c r="M1178"/>
    </row>
    <row r="1179" spans="1:13" x14ac:dyDescent="0.25">
      <c r="A1179" s="2">
        <v>45539</v>
      </c>
      <c r="B1179" s="3" t="s">
        <v>245</v>
      </c>
      <c r="C1179" s="3" t="s">
        <v>13</v>
      </c>
      <c r="D1179" s="3" t="s">
        <v>10</v>
      </c>
      <c r="E1179" s="5" t="s">
        <v>18</v>
      </c>
      <c r="F1179" s="17">
        <v>37.549999999999997</v>
      </c>
      <c r="G1179" s="3">
        <v>10</v>
      </c>
      <c r="H1179" s="17">
        <f>Table1[[#This Row],[Unit price]]*Table1[[#This Row],[Quantity]]</f>
        <v>375.5</v>
      </c>
      <c r="I1179" s="29">
        <f>Table1[[#This Row],[Total Revenue]]/$H$5056*100</f>
        <v>3.9838953021704981E-2</v>
      </c>
      <c r="J1179" s="3" t="s">
        <v>12</v>
      </c>
      <c r="K1179" s="4">
        <v>9.3000000000000007</v>
      </c>
      <c r="M1179"/>
    </row>
    <row r="1180" spans="1:13" x14ac:dyDescent="0.25">
      <c r="A1180" s="2">
        <v>45539</v>
      </c>
      <c r="B1180" s="3" t="s">
        <v>245</v>
      </c>
      <c r="C1180" s="3" t="s">
        <v>13</v>
      </c>
      <c r="D1180" s="3" t="s">
        <v>10</v>
      </c>
      <c r="E1180" s="5" t="s">
        <v>21</v>
      </c>
      <c r="F1180" s="17">
        <v>81.3</v>
      </c>
      <c r="G1180" s="3">
        <v>6</v>
      </c>
      <c r="H1180" s="17">
        <f>Table1[[#This Row],[Unit price]]*Table1[[#This Row],[Quantity]]</f>
        <v>487.79999999999995</v>
      </c>
      <c r="I1180" s="29">
        <f>Table1[[#This Row],[Total Revenue]]/$H$5056*100</f>
        <v>5.1753505416744838E-2</v>
      </c>
      <c r="J1180" s="3" t="s">
        <v>17</v>
      </c>
      <c r="K1180" s="4">
        <v>5.3</v>
      </c>
      <c r="M1180"/>
    </row>
    <row r="1181" spans="1:13" x14ac:dyDescent="0.25">
      <c r="A1181" s="2">
        <v>45539</v>
      </c>
      <c r="B1181" s="3" t="s">
        <v>245</v>
      </c>
      <c r="C1181" s="3" t="s">
        <v>13</v>
      </c>
      <c r="D1181" s="3" t="s">
        <v>10</v>
      </c>
      <c r="E1181" s="5" t="s">
        <v>21</v>
      </c>
      <c r="F1181" s="17">
        <v>46.26</v>
      </c>
      <c r="G1181" s="3">
        <v>6</v>
      </c>
      <c r="H1181" s="17">
        <f>Table1[[#This Row],[Unit price]]*Table1[[#This Row],[Quantity]]</f>
        <v>277.56</v>
      </c>
      <c r="I1181" s="29">
        <f>Table1[[#This Row],[Total Revenue]]/$H$5056*100</f>
        <v>2.9447935554472528E-2</v>
      </c>
      <c r="J1181" s="3" t="s">
        <v>12</v>
      </c>
      <c r="K1181" s="4">
        <v>9.5</v>
      </c>
      <c r="M1181"/>
    </row>
    <row r="1182" spans="1:13" x14ac:dyDescent="0.25">
      <c r="A1182" s="2">
        <v>45539</v>
      </c>
      <c r="B1182" s="3" t="s">
        <v>244</v>
      </c>
      <c r="C1182" s="3" t="s">
        <v>9</v>
      </c>
      <c r="D1182" s="3" t="s">
        <v>10</v>
      </c>
      <c r="E1182" s="5" t="s">
        <v>14</v>
      </c>
      <c r="F1182" s="17">
        <v>93.96</v>
      </c>
      <c r="G1182" s="3">
        <v>4</v>
      </c>
      <c r="H1182" s="17">
        <f>Table1[[#This Row],[Unit price]]*Table1[[#This Row],[Quantity]]</f>
        <v>375.84</v>
      </c>
      <c r="I1182" s="29">
        <f>Table1[[#This Row],[Total Revenue]]/$H$5056*100</f>
        <v>3.9875025575705991E-2</v>
      </c>
      <c r="J1182" s="3" t="s">
        <v>15</v>
      </c>
      <c r="K1182" s="4">
        <v>9.5</v>
      </c>
      <c r="M1182"/>
    </row>
    <row r="1183" spans="1:13" x14ac:dyDescent="0.25">
      <c r="A1183" s="2">
        <v>45539</v>
      </c>
      <c r="B1183" s="3" t="s">
        <v>243</v>
      </c>
      <c r="C1183" s="3" t="s">
        <v>13</v>
      </c>
      <c r="D1183" s="3" t="s">
        <v>19</v>
      </c>
      <c r="E1183" s="5" t="s">
        <v>21</v>
      </c>
      <c r="F1183" s="17">
        <v>51.71</v>
      </c>
      <c r="G1183" s="3">
        <v>4</v>
      </c>
      <c r="H1183" s="17">
        <f>Table1[[#This Row],[Unit price]]*Table1[[#This Row],[Quantity]]</f>
        <v>206.84</v>
      </c>
      <c r="I1183" s="29">
        <f>Table1[[#This Row],[Total Revenue]]/$H$5056*100</f>
        <v>2.1944844322262205E-2</v>
      </c>
      <c r="J1183" s="3" t="s">
        <v>12</v>
      </c>
      <c r="K1183" s="4">
        <v>9.8000000000000007</v>
      </c>
      <c r="M1183"/>
    </row>
    <row r="1184" spans="1:13" x14ac:dyDescent="0.25">
      <c r="A1184" s="2">
        <v>45539</v>
      </c>
      <c r="B1184" s="3" t="s">
        <v>245</v>
      </c>
      <c r="C1184" s="3" t="s">
        <v>9</v>
      </c>
      <c r="D1184" s="3" t="s">
        <v>10</v>
      </c>
      <c r="E1184" s="5" t="s">
        <v>11</v>
      </c>
      <c r="F1184" s="17">
        <v>98.97</v>
      </c>
      <c r="G1184" s="3">
        <v>9</v>
      </c>
      <c r="H1184" s="17">
        <f>Table1[[#This Row],[Unit price]]*Table1[[#This Row],[Quantity]]</f>
        <v>890.73</v>
      </c>
      <c r="I1184" s="29">
        <f>Table1[[#This Row],[Total Revenue]]/$H$5056*100</f>
        <v>9.4502664780354934E-2</v>
      </c>
      <c r="J1184" s="3" t="s">
        <v>15</v>
      </c>
      <c r="K1184" s="4">
        <v>6.7</v>
      </c>
      <c r="M1184"/>
    </row>
    <row r="1185" spans="1:13" x14ac:dyDescent="0.25">
      <c r="A1185" s="2">
        <v>45539</v>
      </c>
      <c r="B1185" s="3" t="s">
        <v>244</v>
      </c>
      <c r="C1185" s="3" t="s">
        <v>9</v>
      </c>
      <c r="D1185" s="3" t="s">
        <v>19</v>
      </c>
      <c r="E1185" s="5" t="s">
        <v>16</v>
      </c>
      <c r="F1185" s="17">
        <v>99.96</v>
      </c>
      <c r="G1185" s="3">
        <v>9</v>
      </c>
      <c r="H1185" s="17">
        <f>Table1[[#This Row],[Unit price]]*Table1[[#This Row],[Quantity]]</f>
        <v>899.64</v>
      </c>
      <c r="I1185" s="29">
        <f>Table1[[#This Row],[Total Revenue]]/$H$5056*100</f>
        <v>9.5447977886675556E-2</v>
      </c>
      <c r="J1185" s="3" t="s">
        <v>12</v>
      </c>
      <c r="K1185" s="4">
        <v>4.2</v>
      </c>
      <c r="M1185"/>
    </row>
    <row r="1186" spans="1:13" x14ac:dyDescent="0.25">
      <c r="A1186" s="2">
        <v>45539</v>
      </c>
      <c r="B1186" s="3" t="s">
        <v>243</v>
      </c>
      <c r="C1186" s="3" t="s">
        <v>13</v>
      </c>
      <c r="D1186" s="3" t="s">
        <v>19</v>
      </c>
      <c r="E1186" s="5" t="s">
        <v>16</v>
      </c>
      <c r="F1186" s="17">
        <v>60.87</v>
      </c>
      <c r="G1186" s="3">
        <v>2</v>
      </c>
      <c r="H1186" s="17">
        <f>Table1[[#This Row],[Unit price]]*Table1[[#This Row],[Quantity]]</f>
        <v>121.74</v>
      </c>
      <c r="I1186" s="29">
        <f>Table1[[#This Row],[Total Revenue]]/$H$5056*100</f>
        <v>1.2916096247303234E-2</v>
      </c>
      <c r="J1186" s="3" t="s">
        <v>17</v>
      </c>
      <c r="K1186" s="4">
        <v>8.6999999999999993</v>
      </c>
      <c r="M1186"/>
    </row>
    <row r="1187" spans="1:13" x14ac:dyDescent="0.25">
      <c r="A1187" s="2">
        <v>45539</v>
      </c>
      <c r="B1187" s="3" t="s">
        <v>243</v>
      </c>
      <c r="C1187" s="3" t="s">
        <v>9</v>
      </c>
      <c r="D1187" s="3" t="s">
        <v>19</v>
      </c>
      <c r="E1187" s="5" t="s">
        <v>21</v>
      </c>
      <c r="F1187" s="17">
        <v>51.94</v>
      </c>
      <c r="G1187" s="3">
        <v>10</v>
      </c>
      <c r="H1187" s="17">
        <f>Table1[[#This Row],[Unit price]]*Table1[[#This Row],[Quantity]]</f>
        <v>519.4</v>
      </c>
      <c r="I1187" s="29">
        <f>Table1[[#This Row],[Total Revenue]]/$H$5056*100</f>
        <v>5.510613102389765E-2</v>
      </c>
      <c r="J1187" s="3" t="s">
        <v>17</v>
      </c>
      <c r="K1187" s="4">
        <v>6.5</v>
      </c>
      <c r="M1187"/>
    </row>
    <row r="1188" spans="1:13" x14ac:dyDescent="0.25">
      <c r="A1188" s="2">
        <v>45539</v>
      </c>
      <c r="B1188" s="3" t="s">
        <v>243</v>
      </c>
      <c r="C1188" s="3" t="s">
        <v>9</v>
      </c>
      <c r="D1188" s="3" t="s">
        <v>10</v>
      </c>
      <c r="E1188" s="5" t="s">
        <v>16</v>
      </c>
      <c r="F1188" s="17">
        <v>52.26</v>
      </c>
      <c r="G1188" s="3">
        <v>10</v>
      </c>
      <c r="H1188" s="17">
        <f>Table1[[#This Row],[Unit price]]*Table1[[#This Row],[Quantity]]</f>
        <v>522.6</v>
      </c>
      <c r="I1188" s="29">
        <f>Table1[[#This Row],[Total Revenue]]/$H$5056*100</f>
        <v>5.5445637414495402E-2</v>
      </c>
      <c r="J1188" s="3" t="s">
        <v>12</v>
      </c>
      <c r="K1188" s="4">
        <v>6.2</v>
      </c>
      <c r="M1188"/>
    </row>
    <row r="1189" spans="1:13" x14ac:dyDescent="0.25">
      <c r="A1189" s="2">
        <v>45539</v>
      </c>
      <c r="B1189" s="3" t="s">
        <v>244</v>
      </c>
      <c r="C1189" s="3" t="s">
        <v>13</v>
      </c>
      <c r="D1189" s="3" t="s">
        <v>19</v>
      </c>
      <c r="E1189" s="5" t="s">
        <v>18</v>
      </c>
      <c r="F1189" s="17">
        <v>95.54</v>
      </c>
      <c r="G1189" s="3">
        <v>7</v>
      </c>
      <c r="H1189" s="17">
        <f>Table1[[#This Row],[Unit price]]*Table1[[#This Row],[Quantity]]</f>
        <v>668.78000000000009</v>
      </c>
      <c r="I1189" s="29">
        <f>Table1[[#This Row],[Total Revenue]]/$H$5056*100</f>
        <v>7.0954713719988974E-2</v>
      </c>
      <c r="J1189" s="3" t="s">
        <v>12</v>
      </c>
      <c r="K1189" s="4">
        <v>9.6</v>
      </c>
      <c r="M1189"/>
    </row>
    <row r="1190" spans="1:13" x14ac:dyDescent="0.25">
      <c r="A1190" s="2">
        <v>45539</v>
      </c>
      <c r="B1190" s="3" t="s">
        <v>244</v>
      </c>
      <c r="C1190" s="3" t="s">
        <v>13</v>
      </c>
      <c r="D1190" s="3" t="s">
        <v>10</v>
      </c>
      <c r="E1190" s="5" t="s">
        <v>14</v>
      </c>
      <c r="F1190" s="17">
        <v>25.45</v>
      </c>
      <c r="G1190" s="3">
        <v>1</v>
      </c>
      <c r="H1190" s="17">
        <f>Table1[[#This Row],[Unit price]]*Table1[[#This Row],[Quantity]]</f>
        <v>25.45</v>
      </c>
      <c r="I1190" s="29">
        <f>Table1[[#This Row],[Total Revenue]]/$H$5056*100</f>
        <v>2.7001367627227475E-3</v>
      </c>
      <c r="J1190" s="3" t="s">
        <v>12</v>
      </c>
      <c r="K1190" s="4">
        <v>5.0999999999999996</v>
      </c>
      <c r="M1190"/>
    </row>
    <row r="1191" spans="1:13" x14ac:dyDescent="0.25">
      <c r="A1191" s="2">
        <v>45539</v>
      </c>
      <c r="B1191" s="3" t="s">
        <v>244</v>
      </c>
      <c r="C1191" s="3" t="s">
        <v>13</v>
      </c>
      <c r="D1191" s="3" t="s">
        <v>19</v>
      </c>
      <c r="E1191" s="5" t="s">
        <v>11</v>
      </c>
      <c r="F1191" s="17">
        <v>18.22</v>
      </c>
      <c r="G1191" s="3">
        <v>7</v>
      </c>
      <c r="H1191" s="17">
        <f>Table1[[#This Row],[Unit price]]*Table1[[#This Row],[Quantity]]</f>
        <v>127.53999999999999</v>
      </c>
      <c r="I1191" s="29">
        <f>Table1[[#This Row],[Total Revenue]]/$H$5056*100</f>
        <v>1.3531451580261658E-2</v>
      </c>
      <c r="J1191" s="3" t="s">
        <v>12</v>
      </c>
      <c r="K1191" s="4">
        <v>6.6</v>
      </c>
      <c r="M1191"/>
    </row>
    <row r="1192" spans="1:13" x14ac:dyDescent="0.25">
      <c r="A1192" s="2">
        <v>45569</v>
      </c>
      <c r="B1192" s="3" t="s">
        <v>245</v>
      </c>
      <c r="C1192" s="3" t="s">
        <v>9</v>
      </c>
      <c r="D1192" s="3" t="s">
        <v>19</v>
      </c>
      <c r="E1192" s="5" t="s">
        <v>21</v>
      </c>
      <c r="F1192" s="17">
        <v>81.95</v>
      </c>
      <c r="G1192" s="3">
        <v>10</v>
      </c>
      <c r="H1192" s="17">
        <f>Table1[[#This Row],[Unit price]]*Table1[[#This Row],[Quantity]]</f>
        <v>819.5</v>
      </c>
      <c r="I1192" s="29">
        <f>Table1[[#This Row],[Total Revenue]]/$H$5056*100</f>
        <v>8.6945464717143095E-2</v>
      </c>
      <c r="J1192" s="3" t="s">
        <v>12</v>
      </c>
      <c r="K1192" s="4">
        <v>6</v>
      </c>
      <c r="M1192"/>
    </row>
    <row r="1193" spans="1:13" x14ac:dyDescent="0.25">
      <c r="A1193" s="2">
        <v>45569</v>
      </c>
      <c r="B1193" s="3" t="s">
        <v>243</v>
      </c>
      <c r="C1193" s="3" t="s">
        <v>13</v>
      </c>
      <c r="D1193" s="3" t="s">
        <v>10</v>
      </c>
      <c r="E1193" s="5" t="s">
        <v>20</v>
      </c>
      <c r="F1193" s="17">
        <v>93.69</v>
      </c>
      <c r="G1193" s="3">
        <v>7</v>
      </c>
      <c r="H1193" s="17">
        <f>Table1[[#This Row],[Unit price]]*Table1[[#This Row],[Quantity]]</f>
        <v>655.82999999999993</v>
      </c>
      <c r="I1193" s="29">
        <f>Table1[[#This Row],[Total Revenue]]/$H$5056*100</f>
        <v>6.9580773795538675E-2</v>
      </c>
      <c r="J1193" s="3" t="s">
        <v>12</v>
      </c>
      <c r="K1193" s="4">
        <v>4.5</v>
      </c>
      <c r="M1193"/>
    </row>
    <row r="1194" spans="1:13" x14ac:dyDescent="0.25">
      <c r="A1194" s="2">
        <v>45569</v>
      </c>
      <c r="B1194" s="3" t="s">
        <v>245</v>
      </c>
      <c r="C1194" s="3" t="s">
        <v>9</v>
      </c>
      <c r="D1194" s="3" t="s">
        <v>10</v>
      </c>
      <c r="E1194" s="5" t="s">
        <v>20</v>
      </c>
      <c r="F1194" s="17">
        <v>35.79</v>
      </c>
      <c r="G1194" s="3">
        <v>9</v>
      </c>
      <c r="H1194" s="17">
        <f>Table1[[#This Row],[Unit price]]*Table1[[#This Row],[Quantity]]</f>
        <v>322.11</v>
      </c>
      <c r="I1194" s="29">
        <f>Table1[[#This Row],[Total Revenue]]/$H$5056*100</f>
        <v>3.4174501086075608E-2</v>
      </c>
      <c r="J1194" s="3" t="s">
        <v>12</v>
      </c>
      <c r="K1194" s="4">
        <v>5.0999999999999996</v>
      </c>
      <c r="M1194"/>
    </row>
    <row r="1195" spans="1:13" x14ac:dyDescent="0.25">
      <c r="A1195" s="2">
        <v>45569</v>
      </c>
      <c r="B1195" s="3" t="s">
        <v>243</v>
      </c>
      <c r="C1195" s="3" t="s">
        <v>9</v>
      </c>
      <c r="D1195" s="3" t="s">
        <v>19</v>
      </c>
      <c r="E1195" s="5" t="s">
        <v>16</v>
      </c>
      <c r="F1195" s="17">
        <v>62.62</v>
      </c>
      <c r="G1195" s="3">
        <v>5</v>
      </c>
      <c r="H1195" s="17">
        <f>Table1[[#This Row],[Unit price]]*Table1[[#This Row],[Quantity]]</f>
        <v>313.09999999999997</v>
      </c>
      <c r="I1195" s="29">
        <f>Table1[[#This Row],[Total Revenue]]/$H$5056*100</f>
        <v>3.3218578405048806E-2</v>
      </c>
      <c r="J1195" s="3" t="s">
        <v>17</v>
      </c>
      <c r="K1195" s="4">
        <v>7</v>
      </c>
      <c r="M1195"/>
    </row>
    <row r="1196" spans="1:13" x14ac:dyDescent="0.25">
      <c r="A1196" s="2">
        <v>45569</v>
      </c>
      <c r="B1196" s="3" t="s">
        <v>243</v>
      </c>
      <c r="C1196" s="3" t="s">
        <v>13</v>
      </c>
      <c r="D1196" s="3" t="s">
        <v>10</v>
      </c>
      <c r="E1196" s="5" t="s">
        <v>18</v>
      </c>
      <c r="F1196" s="17">
        <v>87.67</v>
      </c>
      <c r="G1196" s="3">
        <v>2</v>
      </c>
      <c r="H1196" s="17">
        <f>Table1[[#This Row],[Unit price]]*Table1[[#This Row],[Quantity]]</f>
        <v>175.34</v>
      </c>
      <c r="I1196" s="29">
        <f>Table1[[#This Row],[Total Revenue]]/$H$5056*100</f>
        <v>1.8602828289815583E-2</v>
      </c>
      <c r="J1196" s="3" t="s">
        <v>12</v>
      </c>
      <c r="K1196" s="4">
        <v>7.7</v>
      </c>
      <c r="M1196"/>
    </row>
    <row r="1197" spans="1:13" x14ac:dyDescent="0.25">
      <c r="A1197" s="2">
        <v>45569</v>
      </c>
      <c r="B1197" s="3" t="s">
        <v>245</v>
      </c>
      <c r="C1197" s="3" t="s">
        <v>13</v>
      </c>
      <c r="D1197" s="3" t="s">
        <v>19</v>
      </c>
      <c r="E1197" s="5" t="s">
        <v>18</v>
      </c>
      <c r="F1197" s="17">
        <v>45.74</v>
      </c>
      <c r="G1197" s="3">
        <v>3</v>
      </c>
      <c r="H1197" s="17">
        <f>Table1[[#This Row],[Unit price]]*Table1[[#This Row],[Quantity]]</f>
        <v>137.22</v>
      </c>
      <c r="I1197" s="29">
        <f>Table1[[#This Row],[Total Revenue]]/$H$5056*100</f>
        <v>1.4558458411819861E-2</v>
      </c>
      <c r="J1197" s="3" t="s">
        <v>12</v>
      </c>
      <c r="K1197" s="4">
        <v>6.5</v>
      </c>
      <c r="M1197"/>
    </row>
    <row r="1198" spans="1:13" x14ac:dyDescent="0.25">
      <c r="A1198" s="2">
        <v>45569</v>
      </c>
      <c r="B1198" s="3" t="s">
        <v>243</v>
      </c>
      <c r="C1198" s="3" t="s">
        <v>9</v>
      </c>
      <c r="D1198" s="3" t="s">
        <v>19</v>
      </c>
      <c r="E1198" s="5" t="s">
        <v>11</v>
      </c>
      <c r="F1198" s="17">
        <v>10.130000000000001</v>
      </c>
      <c r="G1198" s="3">
        <v>7</v>
      </c>
      <c r="H1198" s="17">
        <f>Table1[[#This Row],[Unit price]]*Table1[[#This Row],[Quantity]]</f>
        <v>70.910000000000011</v>
      </c>
      <c r="I1198" s="29">
        <f>Table1[[#This Row],[Total Revenue]]/$H$5056*100</f>
        <v>7.523249424152066E-3</v>
      </c>
      <c r="J1198" s="3" t="s">
        <v>17</v>
      </c>
      <c r="K1198" s="4">
        <v>8.3000000000000007</v>
      </c>
      <c r="M1198"/>
    </row>
    <row r="1199" spans="1:13" x14ac:dyDescent="0.25">
      <c r="A1199" s="2">
        <v>45569</v>
      </c>
      <c r="B1199" s="3" t="s">
        <v>244</v>
      </c>
      <c r="C1199" s="3" t="s">
        <v>13</v>
      </c>
      <c r="D1199" s="3" t="s">
        <v>10</v>
      </c>
      <c r="E1199" s="5" t="s">
        <v>20</v>
      </c>
      <c r="F1199" s="17">
        <v>40.299999999999997</v>
      </c>
      <c r="G1199" s="3">
        <v>2</v>
      </c>
      <c r="H1199" s="17">
        <f>Table1[[#This Row],[Unit price]]*Table1[[#This Row],[Quantity]]</f>
        <v>80.599999999999994</v>
      </c>
      <c r="I1199" s="29">
        <f>Table1[[#This Row],[Total Revenue]]/$H$5056*100</f>
        <v>8.5513172131808819E-3</v>
      </c>
      <c r="J1199" s="3" t="s">
        <v>17</v>
      </c>
      <c r="K1199" s="4">
        <v>4.4000000000000004</v>
      </c>
      <c r="M1199"/>
    </row>
    <row r="1200" spans="1:13" x14ac:dyDescent="0.25">
      <c r="A1200" s="2">
        <v>45569</v>
      </c>
      <c r="B1200" s="3" t="s">
        <v>243</v>
      </c>
      <c r="C1200" s="3" t="s">
        <v>9</v>
      </c>
      <c r="D1200" s="3" t="s">
        <v>10</v>
      </c>
      <c r="E1200" s="5" t="s">
        <v>21</v>
      </c>
      <c r="F1200" s="17">
        <v>68.930000000000007</v>
      </c>
      <c r="G1200" s="3">
        <v>7</v>
      </c>
      <c r="H1200" s="17">
        <f>Table1[[#This Row],[Unit price]]*Table1[[#This Row],[Quantity]]</f>
        <v>482.51000000000005</v>
      </c>
      <c r="I1200" s="29">
        <f>Table1[[#This Row],[Total Revenue]]/$H$5056*100</f>
        <v>5.1192258914787937E-2</v>
      </c>
      <c r="J1200" s="3" t="s">
        <v>12</v>
      </c>
      <c r="K1200" s="4">
        <v>4.5999999999999996</v>
      </c>
      <c r="M1200"/>
    </row>
    <row r="1201" spans="1:13" x14ac:dyDescent="0.25">
      <c r="A1201" s="2">
        <v>45569</v>
      </c>
      <c r="B1201" s="3" t="s">
        <v>245</v>
      </c>
      <c r="C1201" s="3" t="s">
        <v>13</v>
      </c>
      <c r="D1201" s="3" t="s">
        <v>19</v>
      </c>
      <c r="E1201" s="5" t="s">
        <v>11</v>
      </c>
      <c r="F1201" s="17">
        <v>46.77</v>
      </c>
      <c r="G1201" s="3">
        <v>6</v>
      </c>
      <c r="H1201" s="17">
        <f>Table1[[#This Row],[Unit price]]*Table1[[#This Row],[Quantity]]</f>
        <v>280.62</v>
      </c>
      <c r="I1201" s="29">
        <f>Table1[[#This Row],[Total Revenue]]/$H$5056*100</f>
        <v>2.9772588540481627E-2</v>
      </c>
      <c r="J1201" s="3" t="s">
        <v>15</v>
      </c>
      <c r="K1201" s="4">
        <v>6</v>
      </c>
      <c r="M1201"/>
    </row>
    <row r="1202" spans="1:13" x14ac:dyDescent="0.25">
      <c r="A1202" s="2">
        <v>45569</v>
      </c>
      <c r="B1202" s="3" t="s">
        <v>245</v>
      </c>
      <c r="C1202" s="3" t="s">
        <v>9</v>
      </c>
      <c r="D1202" s="3" t="s">
        <v>19</v>
      </c>
      <c r="E1202" s="5" t="s">
        <v>16</v>
      </c>
      <c r="F1202" s="17">
        <v>34.56</v>
      </c>
      <c r="G1202" s="3">
        <v>7</v>
      </c>
      <c r="H1202" s="17">
        <f>Table1[[#This Row],[Unit price]]*Table1[[#This Row],[Quantity]]</f>
        <v>241.92000000000002</v>
      </c>
      <c r="I1202" s="29">
        <f>Table1[[#This Row],[Total Revenue]]/$H$5056*100</f>
        <v>2.5666683129190068E-2</v>
      </c>
      <c r="J1202" s="3" t="s">
        <v>12</v>
      </c>
      <c r="K1202" s="4">
        <v>7.3</v>
      </c>
      <c r="M1202"/>
    </row>
    <row r="1203" spans="1:13" x14ac:dyDescent="0.25">
      <c r="A1203" s="2">
        <v>45569</v>
      </c>
      <c r="B1203" s="3" t="s">
        <v>243</v>
      </c>
      <c r="C1203" s="3" t="s">
        <v>13</v>
      </c>
      <c r="D1203" s="3" t="s">
        <v>19</v>
      </c>
      <c r="E1203" s="5" t="s">
        <v>21</v>
      </c>
      <c r="F1203" s="17">
        <v>59.77</v>
      </c>
      <c r="G1203" s="3">
        <v>2</v>
      </c>
      <c r="H1203" s="17">
        <f>Table1[[#This Row],[Unit price]]*Table1[[#This Row],[Quantity]]</f>
        <v>119.54</v>
      </c>
      <c r="I1203" s="29">
        <f>Table1[[#This Row],[Total Revenue]]/$H$5056*100</f>
        <v>1.2682685603767278E-2</v>
      </c>
      <c r="J1203" s="3" t="s">
        <v>12</v>
      </c>
      <c r="K1203" s="4">
        <v>5.8</v>
      </c>
      <c r="M1203"/>
    </row>
    <row r="1204" spans="1:13" x14ac:dyDescent="0.25">
      <c r="A1204" s="2">
        <v>45569</v>
      </c>
      <c r="B1204" s="3" t="s">
        <v>243</v>
      </c>
      <c r="C1204" s="3" t="s">
        <v>13</v>
      </c>
      <c r="D1204" s="3" t="s">
        <v>10</v>
      </c>
      <c r="E1204" s="5" t="s">
        <v>20</v>
      </c>
      <c r="F1204" s="17">
        <v>63.42</v>
      </c>
      <c r="G1204" s="3">
        <v>8</v>
      </c>
      <c r="H1204" s="17">
        <f>Table1[[#This Row],[Unit price]]*Table1[[#This Row],[Quantity]]</f>
        <v>507.36</v>
      </c>
      <c r="I1204" s="29">
        <f>Table1[[#This Row],[Total Revenue]]/$H$5056*100</f>
        <v>5.3828738229273615E-2</v>
      </c>
      <c r="J1204" s="3" t="s">
        <v>17</v>
      </c>
      <c r="K1204" s="4">
        <v>7.4</v>
      </c>
      <c r="M1204"/>
    </row>
    <row r="1205" spans="1:13" x14ac:dyDescent="0.25">
      <c r="A1205" s="2">
        <v>45600</v>
      </c>
      <c r="B1205" s="3" t="s">
        <v>244</v>
      </c>
      <c r="C1205" s="3" t="s">
        <v>9</v>
      </c>
      <c r="D1205" s="3" t="s">
        <v>19</v>
      </c>
      <c r="E1205" s="5" t="s">
        <v>14</v>
      </c>
      <c r="F1205" s="17">
        <v>72.17</v>
      </c>
      <c r="G1205" s="3">
        <v>1</v>
      </c>
      <c r="H1205" s="17">
        <f>Table1[[#This Row],[Unit price]]*Table1[[#This Row],[Quantity]]</f>
        <v>72.17</v>
      </c>
      <c r="I1205" s="29">
        <f>Table1[[#This Row],[Total Revenue]]/$H$5056*100</f>
        <v>7.6569300654499295E-3</v>
      </c>
      <c r="J1205" s="3" t="s">
        <v>15</v>
      </c>
      <c r="K1205" s="4">
        <v>6.1</v>
      </c>
      <c r="M1205"/>
    </row>
    <row r="1206" spans="1:13" x14ac:dyDescent="0.25">
      <c r="A1206" s="2">
        <v>45600</v>
      </c>
      <c r="B1206" s="3" t="s">
        <v>245</v>
      </c>
      <c r="C1206" s="3" t="s">
        <v>9</v>
      </c>
      <c r="D1206" s="3" t="s">
        <v>10</v>
      </c>
      <c r="E1206" s="5" t="s">
        <v>18</v>
      </c>
      <c r="F1206" s="17">
        <v>31.9</v>
      </c>
      <c r="G1206" s="3">
        <v>1</v>
      </c>
      <c r="H1206" s="17">
        <f>Table1[[#This Row],[Unit price]]*Table1[[#This Row],[Quantity]]</f>
        <v>31.9</v>
      </c>
      <c r="I1206" s="29">
        <f>Table1[[#This Row],[Total Revenue]]/$H$5056*100</f>
        <v>3.3844543312713418E-3</v>
      </c>
      <c r="J1206" s="3" t="s">
        <v>17</v>
      </c>
      <c r="K1206" s="4">
        <v>9.1</v>
      </c>
      <c r="M1206"/>
    </row>
    <row r="1207" spans="1:13" x14ac:dyDescent="0.25">
      <c r="A1207" s="2">
        <v>45600</v>
      </c>
      <c r="B1207" s="3" t="s">
        <v>245</v>
      </c>
      <c r="C1207" s="3" t="s">
        <v>13</v>
      </c>
      <c r="D1207" s="3" t="s">
        <v>19</v>
      </c>
      <c r="E1207" s="5" t="s">
        <v>18</v>
      </c>
      <c r="F1207" s="17">
        <v>27.38</v>
      </c>
      <c r="G1207" s="3">
        <v>6</v>
      </c>
      <c r="H1207" s="17">
        <f>Table1[[#This Row],[Unit price]]*Table1[[#This Row],[Quantity]]</f>
        <v>164.28</v>
      </c>
      <c r="I1207" s="29">
        <f>Table1[[#This Row],[Total Revenue]]/$H$5056*100</f>
        <v>1.7429409327312101E-2</v>
      </c>
      <c r="J1207" s="3" t="s">
        <v>12</v>
      </c>
      <c r="K1207" s="4">
        <v>7.9</v>
      </c>
      <c r="M1207"/>
    </row>
    <row r="1208" spans="1:13" x14ac:dyDescent="0.25">
      <c r="A1208" s="2">
        <v>45600</v>
      </c>
      <c r="B1208" s="3" t="s">
        <v>244</v>
      </c>
      <c r="C1208" s="3" t="s">
        <v>9</v>
      </c>
      <c r="D1208" s="3" t="s">
        <v>10</v>
      </c>
      <c r="E1208" s="5" t="s">
        <v>20</v>
      </c>
      <c r="F1208" s="17">
        <v>35.380000000000003</v>
      </c>
      <c r="G1208" s="3">
        <v>9</v>
      </c>
      <c r="H1208" s="17">
        <f>Table1[[#This Row],[Unit price]]*Table1[[#This Row],[Quantity]]</f>
        <v>318.42</v>
      </c>
      <c r="I1208" s="29">
        <f>Table1[[#This Row],[Total Revenue]]/$H$5056*100</f>
        <v>3.3783007779417576E-2</v>
      </c>
      <c r="J1208" s="3" t="s">
        <v>12</v>
      </c>
      <c r="K1208" s="4">
        <v>9.6</v>
      </c>
      <c r="M1208"/>
    </row>
    <row r="1209" spans="1:13" x14ac:dyDescent="0.25">
      <c r="A1209" s="2">
        <v>45600</v>
      </c>
      <c r="B1209" s="3" t="s">
        <v>245</v>
      </c>
      <c r="C1209" s="3" t="s">
        <v>13</v>
      </c>
      <c r="D1209" s="3" t="s">
        <v>10</v>
      </c>
      <c r="E1209" s="5" t="s">
        <v>18</v>
      </c>
      <c r="F1209" s="17">
        <v>76.06</v>
      </c>
      <c r="G1209" s="3">
        <v>3</v>
      </c>
      <c r="H1209" s="17">
        <f>Table1[[#This Row],[Unit price]]*Table1[[#This Row],[Quantity]]</f>
        <v>228.18</v>
      </c>
      <c r="I1209" s="29">
        <f>Table1[[#This Row],[Total Revenue]]/$H$5056*100</f>
        <v>2.4208927564560966E-2</v>
      </c>
      <c r="J1209" s="3" t="s">
        <v>12</v>
      </c>
      <c r="K1209" s="4">
        <v>9.8000000000000007</v>
      </c>
      <c r="M1209"/>
    </row>
    <row r="1210" spans="1:13" x14ac:dyDescent="0.25">
      <c r="A1210" s="2">
        <v>45600</v>
      </c>
      <c r="B1210" s="3" t="s">
        <v>243</v>
      </c>
      <c r="C1210" s="3" t="s">
        <v>9</v>
      </c>
      <c r="D1210" s="3" t="s">
        <v>10</v>
      </c>
      <c r="E1210" s="5" t="s">
        <v>21</v>
      </c>
      <c r="F1210" s="17">
        <v>74.69</v>
      </c>
      <c r="G1210" s="3">
        <v>7</v>
      </c>
      <c r="H1210" s="17">
        <f>Table1[[#This Row],[Unit price]]*Table1[[#This Row],[Quantity]]</f>
        <v>522.82999999999993</v>
      </c>
      <c r="I1210" s="29">
        <f>Table1[[#This Row],[Total Revenue]]/$H$5056*100</f>
        <v>5.5470039436319604E-2</v>
      </c>
      <c r="J1210" s="3" t="s">
        <v>17</v>
      </c>
      <c r="K1210" s="4">
        <v>9.1</v>
      </c>
      <c r="M1210"/>
    </row>
    <row r="1211" spans="1:13" x14ac:dyDescent="0.25">
      <c r="A1211" s="2">
        <v>45600</v>
      </c>
      <c r="B1211" s="3" t="s">
        <v>244</v>
      </c>
      <c r="C1211" s="3" t="s">
        <v>13</v>
      </c>
      <c r="D1211" s="3" t="s">
        <v>10</v>
      </c>
      <c r="E1211" s="5" t="s">
        <v>11</v>
      </c>
      <c r="F1211" s="17">
        <v>71.2</v>
      </c>
      <c r="G1211" s="3">
        <v>1</v>
      </c>
      <c r="H1211" s="17">
        <f>Table1[[#This Row],[Unit price]]*Table1[[#This Row],[Quantity]]</f>
        <v>71.2</v>
      </c>
      <c r="I1211" s="29">
        <f>Table1[[#This Row],[Total Revenue]]/$H$5056*100</f>
        <v>7.5540171907999866E-3</v>
      </c>
      <c r="J1211" s="3" t="s">
        <v>12</v>
      </c>
      <c r="K1211" s="4">
        <v>9.1999999999999993</v>
      </c>
      <c r="M1211"/>
    </row>
    <row r="1212" spans="1:13" x14ac:dyDescent="0.25">
      <c r="A1212" s="2">
        <v>45600</v>
      </c>
      <c r="B1212" s="3" t="s">
        <v>243</v>
      </c>
      <c r="C1212" s="3" t="s">
        <v>9</v>
      </c>
      <c r="D1212" s="3" t="s">
        <v>19</v>
      </c>
      <c r="E1212" s="5" t="s">
        <v>20</v>
      </c>
      <c r="F1212" s="17">
        <v>70.739999999999995</v>
      </c>
      <c r="G1212" s="3">
        <v>4</v>
      </c>
      <c r="H1212" s="17">
        <f>Table1[[#This Row],[Unit price]]*Table1[[#This Row],[Quantity]]</f>
        <v>282.95999999999998</v>
      </c>
      <c r="I1212" s="29">
        <f>Table1[[#This Row],[Total Revenue]]/$H$5056*100</f>
        <v>3.0020852588606234E-2</v>
      </c>
      <c r="J1212" s="3" t="s">
        <v>12</v>
      </c>
      <c r="K1212" s="4">
        <v>4.4000000000000004</v>
      </c>
      <c r="M1212"/>
    </row>
    <row r="1213" spans="1:13" x14ac:dyDescent="0.25">
      <c r="A1213" s="2">
        <v>45600</v>
      </c>
      <c r="B1213" s="3" t="s">
        <v>243</v>
      </c>
      <c r="C1213" s="3" t="s">
        <v>13</v>
      </c>
      <c r="D1213" s="3" t="s">
        <v>10</v>
      </c>
      <c r="E1213" s="5" t="s">
        <v>14</v>
      </c>
      <c r="F1213" s="17">
        <v>93.88</v>
      </c>
      <c r="G1213" s="3">
        <v>7</v>
      </c>
      <c r="H1213" s="17">
        <f>Table1[[#This Row],[Unit price]]*Table1[[#This Row],[Quantity]]</f>
        <v>657.16</v>
      </c>
      <c r="I1213" s="29">
        <f>Table1[[#This Row],[Total Revenue]]/$H$5056*100</f>
        <v>6.9721881139130873E-2</v>
      </c>
      <c r="J1213" s="3" t="s">
        <v>12</v>
      </c>
      <c r="K1213" s="4">
        <v>7.3</v>
      </c>
      <c r="M1213"/>
    </row>
    <row r="1214" spans="1:13" x14ac:dyDescent="0.25">
      <c r="A1214" s="2">
        <v>45600</v>
      </c>
      <c r="B1214" s="3" t="s">
        <v>245</v>
      </c>
      <c r="C1214" s="3" t="s">
        <v>13</v>
      </c>
      <c r="D1214" s="3" t="s">
        <v>10</v>
      </c>
      <c r="E1214" s="5" t="s">
        <v>21</v>
      </c>
      <c r="F1214" s="17">
        <v>78.89</v>
      </c>
      <c r="G1214" s="3">
        <v>7</v>
      </c>
      <c r="H1214" s="17">
        <f>Table1[[#This Row],[Unit price]]*Table1[[#This Row],[Quantity]]</f>
        <v>552.23</v>
      </c>
      <c r="I1214" s="29">
        <f>Table1[[#This Row],[Total Revenue]]/$H$5056*100</f>
        <v>5.8589254399936459E-2</v>
      </c>
      <c r="J1214" s="3" t="s">
        <v>17</v>
      </c>
      <c r="K1214" s="4">
        <v>7.5</v>
      </c>
      <c r="M1214"/>
    </row>
    <row r="1215" spans="1:13" x14ac:dyDescent="0.25">
      <c r="A1215" s="2">
        <v>45600</v>
      </c>
      <c r="B1215" s="3" t="s">
        <v>244</v>
      </c>
      <c r="C1215" s="3" t="s">
        <v>9</v>
      </c>
      <c r="D1215" s="3" t="s">
        <v>10</v>
      </c>
      <c r="E1215" s="5" t="s">
        <v>18</v>
      </c>
      <c r="F1215" s="17">
        <v>73.959999999999994</v>
      </c>
      <c r="G1215" s="3">
        <v>1</v>
      </c>
      <c r="H1215" s="17">
        <f>Table1[[#This Row],[Unit price]]*Table1[[#This Row],[Quantity]]</f>
        <v>73.959999999999994</v>
      </c>
      <c r="I1215" s="29">
        <f>Table1[[#This Row],[Total Revenue]]/$H$5056*100</f>
        <v>7.846841452690545E-3</v>
      </c>
      <c r="J1215" s="3" t="s">
        <v>12</v>
      </c>
      <c r="K1215" s="4">
        <v>5</v>
      </c>
      <c r="M1215"/>
    </row>
    <row r="1216" spans="1:13" x14ac:dyDescent="0.25">
      <c r="A1216" s="2">
        <v>45600</v>
      </c>
      <c r="B1216" s="3" t="s">
        <v>243</v>
      </c>
      <c r="C1216" s="3" t="s">
        <v>9</v>
      </c>
      <c r="D1216" s="3" t="s">
        <v>19</v>
      </c>
      <c r="E1216" s="5" t="s">
        <v>20</v>
      </c>
      <c r="F1216" s="17">
        <v>62.65</v>
      </c>
      <c r="G1216" s="3">
        <v>4</v>
      </c>
      <c r="H1216" s="17">
        <f>Table1[[#This Row],[Unit price]]*Table1[[#This Row],[Quantity]]</f>
        <v>250.6</v>
      </c>
      <c r="I1216" s="29">
        <f>Table1[[#This Row],[Total Revenue]]/$H$5056*100</f>
        <v>2.6587594213686467E-2</v>
      </c>
      <c r="J1216" s="3" t="s">
        <v>15</v>
      </c>
      <c r="K1216" s="4">
        <v>4.2</v>
      </c>
      <c r="M1216"/>
    </row>
    <row r="1217" spans="1:13" x14ac:dyDescent="0.25">
      <c r="A1217" s="2">
        <v>45600</v>
      </c>
      <c r="B1217" s="3" t="s">
        <v>243</v>
      </c>
      <c r="C1217" s="3" t="s">
        <v>13</v>
      </c>
      <c r="D1217" s="3" t="s">
        <v>10</v>
      </c>
      <c r="E1217" s="5" t="s">
        <v>20</v>
      </c>
      <c r="F1217" s="17">
        <v>42.91</v>
      </c>
      <c r="G1217" s="3">
        <v>5</v>
      </c>
      <c r="H1217" s="17">
        <f>Table1[[#This Row],[Unit price]]*Table1[[#This Row],[Quantity]]</f>
        <v>214.54999999999998</v>
      </c>
      <c r="I1217" s="29">
        <f>Table1[[#This Row],[Total Revenue]]/$H$5056*100</f>
        <v>2.2762842532108661E-2</v>
      </c>
      <c r="J1217" s="3" t="s">
        <v>17</v>
      </c>
      <c r="K1217" s="4">
        <v>6.1</v>
      </c>
      <c r="M1217"/>
    </row>
    <row r="1218" spans="1:13" x14ac:dyDescent="0.25">
      <c r="A1218" s="2">
        <v>45600</v>
      </c>
      <c r="B1218" s="3" t="s">
        <v>244</v>
      </c>
      <c r="C1218" s="3" t="s">
        <v>13</v>
      </c>
      <c r="D1218" s="3" t="s">
        <v>19</v>
      </c>
      <c r="E1218" s="5" t="s">
        <v>20</v>
      </c>
      <c r="F1218" s="17">
        <v>62.19</v>
      </c>
      <c r="G1218" s="3">
        <v>4</v>
      </c>
      <c r="H1218" s="17">
        <f>Table1[[#This Row],[Unit price]]*Table1[[#This Row],[Quantity]]</f>
        <v>248.76</v>
      </c>
      <c r="I1218" s="29">
        <f>Table1[[#This Row],[Total Revenue]]/$H$5056*100</f>
        <v>2.6392378039092761E-2</v>
      </c>
      <c r="J1218" s="3" t="s">
        <v>17</v>
      </c>
      <c r="K1218" s="4">
        <v>4.3</v>
      </c>
      <c r="M1218"/>
    </row>
    <row r="1219" spans="1:13" x14ac:dyDescent="0.25">
      <c r="A1219" s="2">
        <v>45600</v>
      </c>
      <c r="B1219" s="3" t="s">
        <v>245</v>
      </c>
      <c r="C1219" s="3" t="s">
        <v>13</v>
      </c>
      <c r="D1219" s="3" t="s">
        <v>19</v>
      </c>
      <c r="E1219" s="5" t="s">
        <v>11</v>
      </c>
      <c r="F1219" s="17">
        <v>89.48</v>
      </c>
      <c r="G1219" s="3">
        <v>10</v>
      </c>
      <c r="H1219" s="17">
        <f>Table1[[#This Row],[Unit price]]*Table1[[#This Row],[Quantity]]</f>
        <v>894.80000000000007</v>
      </c>
      <c r="I1219" s="29">
        <f>Table1[[#This Row],[Total Revenue]]/$H$5056*100</f>
        <v>9.4934474470896466E-2</v>
      </c>
      <c r="J1219" s="3" t="s">
        <v>12</v>
      </c>
      <c r="K1219" s="4">
        <v>9.6</v>
      </c>
      <c r="M1219"/>
    </row>
    <row r="1220" spans="1:13" x14ac:dyDescent="0.25">
      <c r="A1220" s="2">
        <v>45600</v>
      </c>
      <c r="B1220" s="3" t="s">
        <v>243</v>
      </c>
      <c r="C1220" s="3" t="s">
        <v>13</v>
      </c>
      <c r="D1220" s="3" t="s">
        <v>10</v>
      </c>
      <c r="E1220" s="5" t="s">
        <v>16</v>
      </c>
      <c r="F1220" s="17">
        <v>15.34</v>
      </c>
      <c r="G1220" s="3">
        <v>1</v>
      </c>
      <c r="H1220" s="17">
        <f>Table1[[#This Row],[Unit price]]*Table1[[#This Row],[Quantity]]</f>
        <v>15.34</v>
      </c>
      <c r="I1220" s="29">
        <f>Table1[[#This Row],[Total Revenue]]/$H$5056*100</f>
        <v>1.6275087599279744E-3</v>
      </c>
      <c r="J1220" s="3" t="s">
        <v>15</v>
      </c>
      <c r="K1220" s="4">
        <v>6.5</v>
      </c>
      <c r="M1220"/>
    </row>
    <row r="1221" spans="1:13" x14ac:dyDescent="0.25">
      <c r="A1221" s="2">
        <v>45600</v>
      </c>
      <c r="B1221" s="3" t="s">
        <v>244</v>
      </c>
      <c r="C1221" s="3" t="s">
        <v>9</v>
      </c>
      <c r="D1221" s="3" t="s">
        <v>19</v>
      </c>
      <c r="E1221" s="5" t="s">
        <v>21</v>
      </c>
      <c r="F1221" s="17">
        <v>80.47</v>
      </c>
      <c r="G1221" s="3">
        <v>9</v>
      </c>
      <c r="H1221" s="17">
        <f>Table1[[#This Row],[Unit price]]*Table1[[#This Row],[Quantity]]</f>
        <v>724.23</v>
      </c>
      <c r="I1221" s="29">
        <f>Table1[[#This Row],[Total Revenue]]/$H$5056*100</f>
        <v>7.6837722894565641E-2</v>
      </c>
      <c r="J1221" s="3" t="s">
        <v>15</v>
      </c>
      <c r="K1221" s="4">
        <v>9.1999999999999993</v>
      </c>
      <c r="M1221"/>
    </row>
    <row r="1222" spans="1:13" x14ac:dyDescent="0.25">
      <c r="A1222" s="2">
        <v>45600</v>
      </c>
      <c r="B1222" s="3" t="s">
        <v>243</v>
      </c>
      <c r="C1222" s="3" t="s">
        <v>9</v>
      </c>
      <c r="D1222" s="3" t="s">
        <v>19</v>
      </c>
      <c r="E1222" s="5" t="s">
        <v>20</v>
      </c>
      <c r="F1222" s="17">
        <v>58.9</v>
      </c>
      <c r="G1222" s="3">
        <v>8</v>
      </c>
      <c r="H1222" s="17">
        <f>Table1[[#This Row],[Unit price]]*Table1[[#This Row],[Quantity]]</f>
        <v>471.2</v>
      </c>
      <c r="I1222" s="29">
        <f>Table1[[#This Row],[Total Revenue]]/$H$5056*100</f>
        <v>4.9992316015519012E-2</v>
      </c>
      <c r="J1222" s="3" t="s">
        <v>15</v>
      </c>
      <c r="K1222" s="4">
        <v>8.9</v>
      </c>
      <c r="M1222"/>
    </row>
    <row r="1223" spans="1:13" x14ac:dyDescent="0.25">
      <c r="A1223" s="2">
        <v>45630</v>
      </c>
      <c r="B1223" s="3" t="s">
        <v>245</v>
      </c>
      <c r="C1223" s="3" t="s">
        <v>9</v>
      </c>
      <c r="D1223" s="3" t="s">
        <v>10</v>
      </c>
      <c r="E1223" s="5" t="s">
        <v>11</v>
      </c>
      <c r="F1223" s="17">
        <v>49.79</v>
      </c>
      <c r="G1223" s="3">
        <v>4</v>
      </c>
      <c r="H1223" s="17">
        <f>Table1[[#This Row],[Unit price]]*Table1[[#This Row],[Quantity]]</f>
        <v>199.16</v>
      </c>
      <c r="I1223" s="29">
        <f>Table1[[#This Row],[Total Revenue]]/$H$5056*100</f>
        <v>2.11300289848276E-2</v>
      </c>
      <c r="J1223" s="3" t="s">
        <v>12</v>
      </c>
      <c r="K1223" s="4">
        <v>6.4</v>
      </c>
      <c r="M1223"/>
    </row>
    <row r="1224" spans="1:13" x14ac:dyDescent="0.25">
      <c r="A1224" s="2">
        <v>45630</v>
      </c>
      <c r="B1224" s="3" t="s">
        <v>244</v>
      </c>
      <c r="C1224" s="3" t="s">
        <v>13</v>
      </c>
      <c r="D1224" s="3" t="s">
        <v>19</v>
      </c>
      <c r="E1224" s="5" t="s">
        <v>21</v>
      </c>
      <c r="F1224" s="17">
        <v>71.77</v>
      </c>
      <c r="G1224" s="3">
        <v>7</v>
      </c>
      <c r="H1224" s="17">
        <f>Table1[[#This Row],[Unit price]]*Table1[[#This Row],[Quantity]]</f>
        <v>502.39</v>
      </c>
      <c r="I1224" s="29">
        <f>Table1[[#This Row],[Total Revenue]]/$H$5056*100</f>
        <v>5.3301442366376475E-2</v>
      </c>
      <c r="J1224" s="3" t="s">
        <v>15</v>
      </c>
      <c r="K1224" s="4">
        <v>8.9</v>
      </c>
      <c r="M1224"/>
    </row>
    <row r="1225" spans="1:13" x14ac:dyDescent="0.25">
      <c r="A1225" s="2">
        <v>45630</v>
      </c>
      <c r="B1225" s="3" t="s">
        <v>244</v>
      </c>
      <c r="C1225" s="3" t="s">
        <v>13</v>
      </c>
      <c r="D1225" s="3" t="s">
        <v>19</v>
      </c>
      <c r="E1225" s="5" t="s">
        <v>21</v>
      </c>
      <c r="F1225" s="17">
        <v>87.87</v>
      </c>
      <c r="G1225" s="3">
        <v>10</v>
      </c>
      <c r="H1225" s="17">
        <f>Table1[[#This Row],[Unit price]]*Table1[[#This Row],[Quantity]]</f>
        <v>878.7</v>
      </c>
      <c r="I1225" s="29">
        <f>Table1[[#This Row],[Total Revenue]]/$H$5056*100</f>
        <v>9.3226332943201512E-2</v>
      </c>
      <c r="J1225" s="3" t="s">
        <v>17</v>
      </c>
      <c r="K1225" s="4">
        <v>5.0999999999999996</v>
      </c>
      <c r="M1225"/>
    </row>
    <row r="1226" spans="1:13" x14ac:dyDescent="0.25">
      <c r="A1226" s="2">
        <v>45630</v>
      </c>
      <c r="B1226" s="3" t="s">
        <v>245</v>
      </c>
      <c r="C1226" s="3" t="s">
        <v>9</v>
      </c>
      <c r="D1226" s="3" t="s">
        <v>19</v>
      </c>
      <c r="E1226" s="5" t="s">
        <v>14</v>
      </c>
      <c r="F1226" s="17">
        <v>82.34</v>
      </c>
      <c r="G1226" s="3">
        <v>10</v>
      </c>
      <c r="H1226" s="17">
        <f>Table1[[#This Row],[Unit price]]*Table1[[#This Row],[Quantity]]</f>
        <v>823.40000000000009</v>
      </c>
      <c r="I1226" s="29">
        <f>Table1[[#This Row],[Total Revenue]]/$H$5056*100</f>
        <v>8.7359238130684108E-2</v>
      </c>
      <c r="J1226" s="3" t="s">
        <v>17</v>
      </c>
      <c r="K1226" s="4">
        <v>4.3</v>
      </c>
      <c r="M1226"/>
    </row>
    <row r="1227" spans="1:13" x14ac:dyDescent="0.25">
      <c r="A1227" s="2">
        <v>45630</v>
      </c>
      <c r="B1227" s="3" t="s">
        <v>243</v>
      </c>
      <c r="C1227" s="3" t="s">
        <v>9</v>
      </c>
      <c r="D1227" s="3" t="s">
        <v>10</v>
      </c>
      <c r="E1227" s="5" t="s">
        <v>20</v>
      </c>
      <c r="F1227" s="17">
        <v>72.42</v>
      </c>
      <c r="G1227" s="3">
        <v>3</v>
      </c>
      <c r="H1227" s="17">
        <f>Table1[[#This Row],[Unit price]]*Table1[[#This Row],[Quantity]]</f>
        <v>217.26</v>
      </c>
      <c r="I1227" s="29">
        <f>Table1[[#This Row],[Total Revenue]]/$H$5056*100</f>
        <v>2.3050362006646136E-2</v>
      </c>
      <c r="J1227" s="3" t="s">
        <v>17</v>
      </c>
      <c r="K1227" s="4">
        <v>8.1999999999999993</v>
      </c>
      <c r="M1227"/>
    </row>
    <row r="1228" spans="1:13" x14ac:dyDescent="0.25">
      <c r="A1228" s="2">
        <v>45630</v>
      </c>
      <c r="B1228" s="3" t="s">
        <v>244</v>
      </c>
      <c r="C1228" s="3" t="s">
        <v>9</v>
      </c>
      <c r="D1228" s="3" t="s">
        <v>19</v>
      </c>
      <c r="E1228" s="5" t="s">
        <v>21</v>
      </c>
      <c r="F1228" s="17">
        <v>54.86</v>
      </c>
      <c r="G1228" s="3">
        <v>5</v>
      </c>
      <c r="H1228" s="17">
        <f>Table1[[#This Row],[Unit price]]*Table1[[#This Row],[Quantity]]</f>
        <v>274.3</v>
      </c>
      <c r="I1228" s="29">
        <f>Table1[[#This Row],[Total Revenue]]/$H$5056*100</f>
        <v>2.9102063419051073E-2</v>
      </c>
      <c r="J1228" s="3" t="s">
        <v>17</v>
      </c>
      <c r="K1228" s="4">
        <v>9.8000000000000007</v>
      </c>
      <c r="M1228"/>
    </row>
    <row r="1229" spans="1:13" x14ac:dyDescent="0.25">
      <c r="A1229" s="2">
        <v>45630</v>
      </c>
      <c r="B1229" s="3" t="s">
        <v>245</v>
      </c>
      <c r="C1229" s="3" t="s">
        <v>13</v>
      </c>
      <c r="D1229" s="3" t="s">
        <v>19</v>
      </c>
      <c r="E1229" s="5" t="s">
        <v>14</v>
      </c>
      <c r="F1229" s="17">
        <v>28.84</v>
      </c>
      <c r="G1229" s="3">
        <v>4</v>
      </c>
      <c r="H1229" s="17">
        <f>Table1[[#This Row],[Unit price]]*Table1[[#This Row],[Quantity]]</f>
        <v>115.36</v>
      </c>
      <c r="I1229" s="29">
        <f>Table1[[#This Row],[Total Revenue]]/$H$5056*100</f>
        <v>1.2239205381048964E-2</v>
      </c>
      <c r="J1229" s="3" t="s">
        <v>15</v>
      </c>
      <c r="K1229" s="4">
        <v>6.4</v>
      </c>
      <c r="M1229"/>
    </row>
    <row r="1230" spans="1:13" x14ac:dyDescent="0.25">
      <c r="A1230" s="2">
        <v>45630</v>
      </c>
      <c r="B1230" s="3" t="s">
        <v>243</v>
      </c>
      <c r="C1230" s="3" t="s">
        <v>13</v>
      </c>
      <c r="D1230" s="3" t="s">
        <v>10</v>
      </c>
      <c r="E1230" s="5" t="s">
        <v>21</v>
      </c>
      <c r="F1230" s="17">
        <v>71.38</v>
      </c>
      <c r="G1230" s="3">
        <v>10</v>
      </c>
      <c r="H1230" s="17">
        <f>Table1[[#This Row],[Unit price]]*Table1[[#This Row],[Quantity]]</f>
        <v>713.8</v>
      </c>
      <c r="I1230" s="29">
        <f>Table1[[#This Row],[Total Revenue]]/$H$5056*100</f>
        <v>7.5731144252711088E-2</v>
      </c>
      <c r="J1230" s="3" t="s">
        <v>15</v>
      </c>
      <c r="K1230" s="4">
        <v>5.7</v>
      </c>
      <c r="M1230"/>
    </row>
    <row r="1231" spans="1:13" x14ac:dyDescent="0.25">
      <c r="A1231" s="2">
        <v>45630</v>
      </c>
      <c r="B1231" s="3" t="s">
        <v>244</v>
      </c>
      <c r="C1231" s="3" t="s">
        <v>9</v>
      </c>
      <c r="D1231" s="3" t="s">
        <v>19</v>
      </c>
      <c r="E1231" s="5" t="s">
        <v>21</v>
      </c>
      <c r="F1231" s="17">
        <v>61.29</v>
      </c>
      <c r="G1231" s="3">
        <v>5</v>
      </c>
      <c r="H1231" s="17">
        <f>Table1[[#This Row],[Unit price]]*Table1[[#This Row],[Quantity]]</f>
        <v>306.45</v>
      </c>
      <c r="I1231" s="29">
        <f>Table1[[#This Row],[Total Revenue]]/$H$5056*100</f>
        <v>3.2513041687087858E-2</v>
      </c>
      <c r="J1231" s="3" t="s">
        <v>15</v>
      </c>
      <c r="K1231" s="4">
        <v>7</v>
      </c>
      <c r="M1231"/>
    </row>
    <row r="1232" spans="1:13" x14ac:dyDescent="0.25">
      <c r="A1232" s="2">
        <v>45630</v>
      </c>
      <c r="B1232" s="3" t="s">
        <v>245</v>
      </c>
      <c r="C1232" s="3" t="s">
        <v>9</v>
      </c>
      <c r="D1232" s="3" t="s">
        <v>19</v>
      </c>
      <c r="E1232" s="5" t="s">
        <v>14</v>
      </c>
      <c r="F1232" s="17">
        <v>96.82</v>
      </c>
      <c r="G1232" s="3">
        <v>3</v>
      </c>
      <c r="H1232" s="17">
        <f>Table1[[#This Row],[Unit price]]*Table1[[#This Row],[Quantity]]</f>
        <v>290.45999999999998</v>
      </c>
      <c r="I1232" s="29">
        <f>Table1[[#This Row],[Total Revenue]]/$H$5056*100</f>
        <v>3.0816570691569716E-2</v>
      </c>
      <c r="J1232" s="3" t="s">
        <v>15</v>
      </c>
      <c r="K1232" s="4">
        <v>6.7</v>
      </c>
      <c r="M1232"/>
    </row>
    <row r="1233" spans="1:13" x14ac:dyDescent="0.25">
      <c r="A1233" s="2">
        <v>45630</v>
      </c>
      <c r="B1233" s="3" t="s">
        <v>244</v>
      </c>
      <c r="C1233" s="3" t="s">
        <v>9</v>
      </c>
      <c r="D1233" s="3" t="s">
        <v>19</v>
      </c>
      <c r="E1233" s="5" t="s">
        <v>21</v>
      </c>
      <c r="F1233" s="17">
        <v>97.22</v>
      </c>
      <c r="G1233" s="3">
        <v>9</v>
      </c>
      <c r="H1233" s="17">
        <f>Table1[[#This Row],[Unit price]]*Table1[[#This Row],[Quantity]]</f>
        <v>874.98</v>
      </c>
      <c r="I1233" s="29">
        <f>Table1[[#This Row],[Total Revenue]]/$H$5056*100</f>
        <v>9.2831656764131618E-2</v>
      </c>
      <c r="J1233" s="3" t="s">
        <v>17</v>
      </c>
      <c r="K1233" s="4">
        <v>6</v>
      </c>
      <c r="M1233"/>
    </row>
    <row r="1234" spans="1:13" x14ac:dyDescent="0.25">
      <c r="A1234" s="2">
        <v>45630</v>
      </c>
      <c r="B1234" s="3" t="s">
        <v>243</v>
      </c>
      <c r="C1234" s="3" t="s">
        <v>9</v>
      </c>
      <c r="D1234" s="3" t="s">
        <v>10</v>
      </c>
      <c r="E1234" s="5" t="s">
        <v>14</v>
      </c>
      <c r="F1234" s="17">
        <v>64.44</v>
      </c>
      <c r="G1234" s="3">
        <v>5</v>
      </c>
      <c r="H1234" s="17">
        <f>Table1[[#This Row],[Unit price]]*Table1[[#This Row],[Quantity]]</f>
        <v>322.2</v>
      </c>
      <c r="I1234" s="29">
        <f>Table1[[#This Row],[Total Revenue]]/$H$5056*100</f>
        <v>3.4184049703311174E-2</v>
      </c>
      <c r="J1234" s="3" t="s">
        <v>15</v>
      </c>
      <c r="K1234" s="4">
        <v>6.6</v>
      </c>
      <c r="M1234"/>
    </row>
    <row r="1235" spans="1:13" x14ac:dyDescent="0.25">
      <c r="A1235" s="2">
        <v>45630</v>
      </c>
      <c r="B1235" s="3" t="s">
        <v>243</v>
      </c>
      <c r="C1235" s="3" t="s">
        <v>13</v>
      </c>
      <c r="D1235" s="3" t="s">
        <v>10</v>
      </c>
      <c r="E1235" s="5" t="s">
        <v>16</v>
      </c>
      <c r="F1235" s="17">
        <v>89.48</v>
      </c>
      <c r="G1235" s="3">
        <v>5</v>
      </c>
      <c r="H1235" s="17">
        <f>Table1[[#This Row],[Unit price]]*Table1[[#This Row],[Quantity]]</f>
        <v>447.40000000000003</v>
      </c>
      <c r="I1235" s="29">
        <f>Table1[[#This Row],[Total Revenue]]/$H$5056*100</f>
        <v>4.7467237235448233E-2</v>
      </c>
      <c r="J1235" s="3" t="s">
        <v>15</v>
      </c>
      <c r="K1235" s="4">
        <v>7.4</v>
      </c>
      <c r="M1235"/>
    </row>
    <row r="1236" spans="1:13" x14ac:dyDescent="0.25">
      <c r="A1236" s="2">
        <v>45630</v>
      </c>
      <c r="B1236" s="3" t="s">
        <v>244</v>
      </c>
      <c r="C1236" s="3" t="s">
        <v>9</v>
      </c>
      <c r="D1236" s="3" t="s">
        <v>19</v>
      </c>
      <c r="E1236" s="5" t="s">
        <v>11</v>
      </c>
      <c r="F1236" s="17">
        <v>93.4</v>
      </c>
      <c r="G1236" s="3">
        <v>2</v>
      </c>
      <c r="H1236" s="17">
        <f>Table1[[#This Row],[Unit price]]*Table1[[#This Row],[Quantity]]</f>
        <v>186.8</v>
      </c>
      <c r="I1236" s="29">
        <f>Table1[[#This Row],[Total Revenue]]/$H$5056*100</f>
        <v>1.9818685551143782E-2</v>
      </c>
      <c r="J1236" s="3" t="s">
        <v>15</v>
      </c>
      <c r="K1236" s="4">
        <v>5.5</v>
      </c>
      <c r="M1236"/>
    </row>
    <row r="1237" spans="1:13" x14ac:dyDescent="0.25">
      <c r="A1237" s="2">
        <v>45630</v>
      </c>
      <c r="B1237" s="3" t="s">
        <v>243</v>
      </c>
      <c r="C1237" s="3" t="s">
        <v>13</v>
      </c>
      <c r="D1237" s="3" t="s">
        <v>10</v>
      </c>
      <c r="E1237" s="5" t="s">
        <v>16</v>
      </c>
      <c r="F1237" s="17">
        <v>40.229999999999997</v>
      </c>
      <c r="G1237" s="3">
        <v>7</v>
      </c>
      <c r="H1237" s="17">
        <f>Table1[[#This Row],[Unit price]]*Table1[[#This Row],[Quantity]]</f>
        <v>281.60999999999996</v>
      </c>
      <c r="I1237" s="29">
        <f>Table1[[#This Row],[Total Revenue]]/$H$5056*100</f>
        <v>2.9877623330072801E-2</v>
      </c>
      <c r="J1237" s="3" t="s">
        <v>15</v>
      </c>
      <c r="K1237" s="4">
        <v>9.6</v>
      </c>
      <c r="M1237"/>
    </row>
    <row r="1238" spans="1:13" x14ac:dyDescent="0.25">
      <c r="A1238" s="2">
        <v>45630</v>
      </c>
      <c r="B1238" s="3" t="s">
        <v>244</v>
      </c>
      <c r="C1238" s="3" t="s">
        <v>9</v>
      </c>
      <c r="D1238" s="3" t="s">
        <v>19</v>
      </c>
      <c r="E1238" s="5" t="s">
        <v>21</v>
      </c>
      <c r="F1238" s="17">
        <v>72.569999999999993</v>
      </c>
      <c r="G1238" s="3">
        <v>8</v>
      </c>
      <c r="H1238" s="17">
        <f>Table1[[#This Row],[Unit price]]*Table1[[#This Row],[Quantity]]</f>
        <v>580.55999999999995</v>
      </c>
      <c r="I1238" s="29">
        <f>Table1[[#This Row],[Total Revenue]]/$H$5056*100</f>
        <v>6.1594946914197188E-2</v>
      </c>
      <c r="J1238" s="3" t="s">
        <v>15</v>
      </c>
      <c r="K1238" s="4">
        <v>4.5999999999999996</v>
      </c>
      <c r="M1238"/>
    </row>
    <row r="1239" spans="1:13" x14ac:dyDescent="0.25">
      <c r="A1239" s="2">
        <v>45630</v>
      </c>
      <c r="B1239" s="3" t="s">
        <v>245</v>
      </c>
      <c r="C1239" s="3" t="s">
        <v>9</v>
      </c>
      <c r="D1239" s="3" t="s">
        <v>10</v>
      </c>
      <c r="E1239" s="5" t="s">
        <v>11</v>
      </c>
      <c r="F1239" s="17">
        <v>72.52</v>
      </c>
      <c r="G1239" s="3">
        <v>8</v>
      </c>
      <c r="H1239" s="17">
        <f>Table1[[#This Row],[Unit price]]*Table1[[#This Row],[Quantity]]</f>
        <v>580.16</v>
      </c>
      <c r="I1239" s="29">
        <f>Table1[[#This Row],[Total Revenue]]/$H$5056*100</f>
        <v>6.1552508615372467E-2</v>
      </c>
      <c r="J1239" s="3" t="s">
        <v>12</v>
      </c>
      <c r="K1239" s="4">
        <v>4</v>
      </c>
      <c r="M1239"/>
    </row>
    <row r="1240" spans="1:13" x14ac:dyDescent="0.25">
      <c r="A1240" s="2">
        <v>45630</v>
      </c>
      <c r="B1240" s="3" t="s">
        <v>245</v>
      </c>
      <c r="C1240" s="3" t="s">
        <v>9</v>
      </c>
      <c r="D1240" s="3" t="s">
        <v>10</v>
      </c>
      <c r="E1240" s="5" t="s">
        <v>18</v>
      </c>
      <c r="F1240" s="17">
        <v>10.18</v>
      </c>
      <c r="G1240" s="3">
        <v>8</v>
      </c>
      <c r="H1240" s="17">
        <f>Table1[[#This Row],[Unit price]]*Table1[[#This Row],[Quantity]]</f>
        <v>81.44</v>
      </c>
      <c r="I1240" s="29">
        <f>Table1[[#This Row],[Total Revenue]]/$H$5056*100</f>
        <v>8.6404376407127927E-3</v>
      </c>
      <c r="J1240" s="3" t="s">
        <v>12</v>
      </c>
      <c r="K1240" s="4">
        <v>9.5</v>
      </c>
      <c r="M1240"/>
    </row>
    <row r="1241" spans="1:13" x14ac:dyDescent="0.25">
      <c r="A1241" s="2">
        <v>45630</v>
      </c>
      <c r="B1241" s="3" t="s">
        <v>243</v>
      </c>
      <c r="C1241" s="3" t="s">
        <v>9</v>
      </c>
      <c r="D1241" s="3" t="s">
        <v>10</v>
      </c>
      <c r="E1241" s="5" t="s">
        <v>20</v>
      </c>
      <c r="F1241" s="17">
        <v>34.42</v>
      </c>
      <c r="G1241" s="3">
        <v>6</v>
      </c>
      <c r="H1241" s="17">
        <f>Table1[[#This Row],[Unit price]]*Table1[[#This Row],[Quantity]]</f>
        <v>206.52</v>
      </c>
      <c r="I1241" s="29">
        <f>Table1[[#This Row],[Total Revenue]]/$H$5056*100</f>
        <v>2.1910893683202433E-2</v>
      </c>
      <c r="J1241" s="3" t="s">
        <v>17</v>
      </c>
      <c r="K1241" s="4">
        <v>7.5</v>
      </c>
      <c r="M1241"/>
    </row>
    <row r="1242" spans="1:13" x14ac:dyDescent="0.25">
      <c r="A1242" s="2">
        <v>45630</v>
      </c>
      <c r="B1242" s="3" t="s">
        <v>245</v>
      </c>
      <c r="C1242" s="3" t="s">
        <v>13</v>
      </c>
      <c r="D1242" s="3" t="s">
        <v>19</v>
      </c>
      <c r="E1242" s="5" t="s">
        <v>21</v>
      </c>
      <c r="F1242" s="17">
        <v>70.209999999999994</v>
      </c>
      <c r="G1242" s="3">
        <v>6</v>
      </c>
      <c r="H1242" s="17">
        <f>Table1[[#This Row],[Unit price]]*Table1[[#This Row],[Quantity]]</f>
        <v>421.26</v>
      </c>
      <c r="I1242" s="29">
        <f>Table1[[#This Row],[Total Revenue]]/$H$5056*100</f>
        <v>4.4693894407252834E-2</v>
      </c>
      <c r="J1242" s="3" t="s">
        <v>15</v>
      </c>
      <c r="K1242" s="4">
        <v>7.4</v>
      </c>
      <c r="M1242"/>
    </row>
    <row r="1243" spans="1:13" x14ac:dyDescent="0.25">
      <c r="A1243" s="3" t="s">
        <v>76</v>
      </c>
      <c r="B1243" s="3" t="s">
        <v>244</v>
      </c>
      <c r="C1243" s="3" t="s">
        <v>13</v>
      </c>
      <c r="D1243" s="3" t="s">
        <v>19</v>
      </c>
      <c r="E1243" s="5" t="s">
        <v>18</v>
      </c>
      <c r="F1243" s="17">
        <v>69.08</v>
      </c>
      <c r="G1243" s="3">
        <v>2</v>
      </c>
      <c r="H1243" s="17">
        <f>Table1[[#This Row],[Unit price]]*Table1[[#This Row],[Quantity]]</f>
        <v>138.16</v>
      </c>
      <c r="I1243" s="29">
        <f>Table1[[#This Row],[Total Revenue]]/$H$5056*100</f>
        <v>1.465818841405795E-2</v>
      </c>
      <c r="J1243" s="3" t="s">
        <v>12</v>
      </c>
      <c r="K1243" s="4">
        <v>6.9</v>
      </c>
      <c r="M1243"/>
    </row>
    <row r="1244" spans="1:13" x14ac:dyDescent="0.25">
      <c r="A1244" s="3" t="s">
        <v>76</v>
      </c>
      <c r="B1244" s="3" t="s">
        <v>244</v>
      </c>
      <c r="C1244" s="3" t="s">
        <v>13</v>
      </c>
      <c r="D1244" s="3" t="s">
        <v>19</v>
      </c>
      <c r="E1244" s="5" t="s">
        <v>14</v>
      </c>
      <c r="F1244" s="17">
        <v>45.35</v>
      </c>
      <c r="G1244" s="3">
        <v>6</v>
      </c>
      <c r="H1244" s="17">
        <f>Table1[[#This Row],[Unit price]]*Table1[[#This Row],[Quantity]]</f>
        <v>272.10000000000002</v>
      </c>
      <c r="I1244" s="29">
        <f>Table1[[#This Row],[Total Revenue]]/$H$5056*100</f>
        <v>2.8868652775515119E-2</v>
      </c>
      <c r="J1244" s="3" t="s">
        <v>17</v>
      </c>
      <c r="K1244" s="4">
        <v>6.1</v>
      </c>
      <c r="M1244"/>
    </row>
    <row r="1245" spans="1:13" x14ac:dyDescent="0.25">
      <c r="A1245" s="3" t="s">
        <v>76</v>
      </c>
      <c r="B1245" s="3" t="s">
        <v>243</v>
      </c>
      <c r="C1245" s="3" t="s">
        <v>9</v>
      </c>
      <c r="D1245" s="3" t="s">
        <v>19</v>
      </c>
      <c r="E1245" s="5" t="s">
        <v>14</v>
      </c>
      <c r="F1245" s="17">
        <v>66.349999999999994</v>
      </c>
      <c r="G1245" s="3">
        <v>1</v>
      </c>
      <c r="H1245" s="17">
        <f>Table1[[#This Row],[Unit price]]*Table1[[#This Row],[Quantity]]</f>
        <v>66.349999999999994</v>
      </c>
      <c r="I1245" s="29">
        <f>Table1[[#This Row],[Total Revenue]]/$H$5056*100</f>
        <v>7.0394528175502669E-3</v>
      </c>
      <c r="J1245" s="3" t="s">
        <v>12</v>
      </c>
      <c r="K1245" s="4">
        <v>9.6999999999999993</v>
      </c>
      <c r="M1245"/>
    </row>
    <row r="1246" spans="1:13" x14ac:dyDescent="0.25">
      <c r="A1246" s="3" t="s">
        <v>76</v>
      </c>
      <c r="B1246" s="3" t="s">
        <v>245</v>
      </c>
      <c r="C1246" s="3" t="s">
        <v>9</v>
      </c>
      <c r="D1246" s="3" t="s">
        <v>10</v>
      </c>
      <c r="E1246" s="5" t="s">
        <v>11</v>
      </c>
      <c r="F1246" s="17">
        <v>87.48</v>
      </c>
      <c r="G1246" s="3">
        <v>6</v>
      </c>
      <c r="H1246" s="17">
        <f>Table1[[#This Row],[Unit price]]*Table1[[#This Row],[Quantity]]</f>
        <v>524.88</v>
      </c>
      <c r="I1246" s="29">
        <f>Table1[[#This Row],[Total Revenue]]/$H$5056*100</f>
        <v>5.5687535717796298E-2</v>
      </c>
      <c r="J1246" s="3" t="s">
        <v>17</v>
      </c>
      <c r="K1246" s="4">
        <v>5.0999999999999996</v>
      </c>
      <c r="M1246"/>
    </row>
    <row r="1247" spans="1:13" x14ac:dyDescent="0.25">
      <c r="A1247" s="3" t="s">
        <v>76</v>
      </c>
      <c r="B1247" s="3" t="s">
        <v>243</v>
      </c>
      <c r="C1247" s="3" t="s">
        <v>9</v>
      </c>
      <c r="D1247" s="3" t="s">
        <v>10</v>
      </c>
      <c r="E1247" s="5" t="s">
        <v>11</v>
      </c>
      <c r="F1247" s="17">
        <v>14.23</v>
      </c>
      <c r="G1247" s="3">
        <v>5</v>
      </c>
      <c r="H1247" s="17">
        <f>Table1[[#This Row],[Unit price]]*Table1[[#This Row],[Quantity]]</f>
        <v>71.150000000000006</v>
      </c>
      <c r="I1247" s="29">
        <f>Table1[[#This Row],[Total Revenue]]/$H$5056*100</f>
        <v>7.5487124034468965E-3</v>
      </c>
      <c r="J1247" s="3" t="s">
        <v>12</v>
      </c>
      <c r="K1247" s="4">
        <v>4.4000000000000004</v>
      </c>
      <c r="M1247"/>
    </row>
    <row r="1248" spans="1:13" x14ac:dyDescent="0.25">
      <c r="A1248" s="3" t="s">
        <v>76</v>
      </c>
      <c r="B1248" s="3" t="s">
        <v>243</v>
      </c>
      <c r="C1248" s="3" t="s">
        <v>9</v>
      </c>
      <c r="D1248" s="3" t="s">
        <v>19</v>
      </c>
      <c r="E1248" s="5" t="s">
        <v>16</v>
      </c>
      <c r="F1248" s="17">
        <v>69.52</v>
      </c>
      <c r="G1248" s="3">
        <v>7</v>
      </c>
      <c r="H1248" s="17">
        <f>Table1[[#This Row],[Unit price]]*Table1[[#This Row],[Quantity]]</f>
        <v>486.64</v>
      </c>
      <c r="I1248" s="29">
        <f>Table1[[#This Row],[Total Revenue]]/$H$5056*100</f>
        <v>5.1630434350153159E-2</v>
      </c>
      <c r="J1248" s="3" t="s">
        <v>12</v>
      </c>
      <c r="K1248" s="4">
        <v>8.5</v>
      </c>
      <c r="M1248"/>
    </row>
    <row r="1249" spans="1:13" x14ac:dyDescent="0.25">
      <c r="A1249" s="3" t="s">
        <v>76</v>
      </c>
      <c r="B1249" s="3" t="s">
        <v>245</v>
      </c>
      <c r="C1249" s="3" t="s">
        <v>13</v>
      </c>
      <c r="D1249" s="3" t="s">
        <v>10</v>
      </c>
      <c r="E1249" s="5" t="s">
        <v>14</v>
      </c>
      <c r="F1249" s="17">
        <v>23.07</v>
      </c>
      <c r="G1249" s="3">
        <v>9</v>
      </c>
      <c r="H1249" s="17">
        <f>Table1[[#This Row],[Unit price]]*Table1[[#This Row],[Quantity]]</f>
        <v>207.63</v>
      </c>
      <c r="I1249" s="29">
        <f>Table1[[#This Row],[Total Revenue]]/$H$5056*100</f>
        <v>2.2028659962441025E-2</v>
      </c>
      <c r="J1249" s="3" t="s">
        <v>15</v>
      </c>
      <c r="K1249" s="4">
        <v>4.9000000000000004</v>
      </c>
      <c r="M1249"/>
    </row>
    <row r="1250" spans="1:13" x14ac:dyDescent="0.25">
      <c r="A1250" s="3" t="s">
        <v>76</v>
      </c>
      <c r="B1250" s="3" t="s">
        <v>245</v>
      </c>
      <c r="C1250" s="3" t="s">
        <v>9</v>
      </c>
      <c r="D1250" s="3" t="s">
        <v>10</v>
      </c>
      <c r="E1250" s="5" t="s">
        <v>20</v>
      </c>
      <c r="F1250" s="17">
        <v>80.790000000000006</v>
      </c>
      <c r="G1250" s="3">
        <v>9</v>
      </c>
      <c r="H1250" s="17">
        <f>Table1[[#This Row],[Unit price]]*Table1[[#This Row],[Quantity]]</f>
        <v>727.11</v>
      </c>
      <c r="I1250" s="29">
        <f>Table1[[#This Row],[Total Revenue]]/$H$5056*100</f>
        <v>7.7143278646103625E-2</v>
      </c>
      <c r="J1250" s="3" t="s">
        <v>12</v>
      </c>
      <c r="K1250" s="4">
        <v>9.5</v>
      </c>
      <c r="M1250"/>
    </row>
    <row r="1251" spans="1:13" x14ac:dyDescent="0.25">
      <c r="A1251" s="3" t="s">
        <v>76</v>
      </c>
      <c r="B1251" s="3" t="s">
        <v>243</v>
      </c>
      <c r="C1251" s="3" t="s">
        <v>9</v>
      </c>
      <c r="D1251" s="3" t="s">
        <v>10</v>
      </c>
      <c r="E1251" s="5" t="s">
        <v>21</v>
      </c>
      <c r="F1251" s="17">
        <v>77.680000000000007</v>
      </c>
      <c r="G1251" s="3">
        <v>4</v>
      </c>
      <c r="H1251" s="17">
        <f>Table1[[#This Row],[Unit price]]*Table1[[#This Row],[Quantity]]</f>
        <v>310.72000000000003</v>
      </c>
      <c r="I1251" s="29">
        <f>Table1[[#This Row],[Total Revenue]]/$H$5056*100</f>
        <v>3.2966070527041737E-2</v>
      </c>
      <c r="J1251" s="3" t="s">
        <v>15</v>
      </c>
      <c r="K1251" s="4">
        <v>8.4</v>
      </c>
      <c r="M1251"/>
    </row>
    <row r="1252" spans="1:13" x14ac:dyDescent="0.25">
      <c r="A1252" s="3" t="s">
        <v>76</v>
      </c>
      <c r="B1252" s="3" t="s">
        <v>244</v>
      </c>
      <c r="C1252" s="3" t="s">
        <v>9</v>
      </c>
      <c r="D1252" s="3" t="s">
        <v>10</v>
      </c>
      <c r="E1252" s="5" t="s">
        <v>14</v>
      </c>
      <c r="F1252" s="17">
        <v>26.26</v>
      </c>
      <c r="G1252" s="3">
        <v>7</v>
      </c>
      <c r="H1252" s="17">
        <f>Table1[[#This Row],[Unit price]]*Table1[[#This Row],[Quantity]]</f>
        <v>183.82000000000002</v>
      </c>
      <c r="I1252" s="29">
        <f>Table1[[#This Row],[Total Revenue]]/$H$5056*100</f>
        <v>1.9502520224899629E-2</v>
      </c>
      <c r="J1252" s="3" t="s">
        <v>15</v>
      </c>
      <c r="K1252" s="4">
        <v>9.9</v>
      </c>
      <c r="M1252"/>
    </row>
    <row r="1253" spans="1:13" x14ac:dyDescent="0.25">
      <c r="A1253" s="3" t="s">
        <v>76</v>
      </c>
      <c r="B1253" s="3" t="s">
        <v>243</v>
      </c>
      <c r="C1253" s="3" t="s">
        <v>9</v>
      </c>
      <c r="D1253" s="3" t="s">
        <v>19</v>
      </c>
      <c r="E1253" s="5" t="s">
        <v>18</v>
      </c>
      <c r="F1253" s="17">
        <v>43.13</v>
      </c>
      <c r="G1253" s="3">
        <v>10</v>
      </c>
      <c r="H1253" s="17">
        <f>Table1[[#This Row],[Unit price]]*Table1[[#This Row],[Quantity]]</f>
        <v>431.3</v>
      </c>
      <c r="I1253" s="29">
        <f>Table1[[#This Row],[Total Revenue]]/$H$5056*100</f>
        <v>4.5759095707753286E-2</v>
      </c>
      <c r="J1253" s="3" t="s">
        <v>12</v>
      </c>
      <c r="K1253" s="4">
        <v>5.5</v>
      </c>
      <c r="M1253"/>
    </row>
    <row r="1254" spans="1:13" x14ac:dyDescent="0.25">
      <c r="A1254" s="3" t="s">
        <v>76</v>
      </c>
      <c r="B1254" s="3" t="s">
        <v>244</v>
      </c>
      <c r="C1254" s="3" t="s">
        <v>13</v>
      </c>
      <c r="D1254" s="3" t="s">
        <v>10</v>
      </c>
      <c r="E1254" s="5" t="s">
        <v>18</v>
      </c>
      <c r="F1254" s="17">
        <v>25.56</v>
      </c>
      <c r="G1254" s="3">
        <v>7</v>
      </c>
      <c r="H1254" s="17">
        <f>Table1[[#This Row],[Unit price]]*Table1[[#This Row],[Quantity]]</f>
        <v>178.92</v>
      </c>
      <c r="I1254" s="29">
        <f>Table1[[#This Row],[Total Revenue]]/$H$5056*100</f>
        <v>1.8982651064296814E-2</v>
      </c>
      <c r="J1254" s="3" t="s">
        <v>15</v>
      </c>
      <c r="K1254" s="4">
        <v>7.1</v>
      </c>
      <c r="M1254"/>
    </row>
    <row r="1255" spans="1:13" x14ac:dyDescent="0.25">
      <c r="A1255" s="3" t="s">
        <v>76</v>
      </c>
      <c r="B1255" s="3" t="s">
        <v>245</v>
      </c>
      <c r="C1255" s="3" t="s">
        <v>9</v>
      </c>
      <c r="D1255" s="3" t="s">
        <v>10</v>
      </c>
      <c r="E1255" s="5" t="s">
        <v>11</v>
      </c>
      <c r="F1255" s="17">
        <v>38.42</v>
      </c>
      <c r="G1255" s="3">
        <v>1</v>
      </c>
      <c r="H1255" s="17">
        <f>Table1[[#This Row],[Unit price]]*Table1[[#This Row],[Quantity]]</f>
        <v>38.42</v>
      </c>
      <c r="I1255" s="29">
        <f>Table1[[#This Row],[Total Revenue]]/$H$5056*100</f>
        <v>4.0761986021142626E-3</v>
      </c>
      <c r="J1255" s="3" t="s">
        <v>15</v>
      </c>
      <c r="K1255" s="4">
        <v>8.6</v>
      </c>
      <c r="M1255"/>
    </row>
    <row r="1256" spans="1:13" x14ac:dyDescent="0.25">
      <c r="A1256" s="3" t="s">
        <v>76</v>
      </c>
      <c r="B1256" s="3" t="s">
        <v>243</v>
      </c>
      <c r="C1256" s="3" t="s">
        <v>13</v>
      </c>
      <c r="D1256" s="3" t="s">
        <v>10</v>
      </c>
      <c r="E1256" s="5" t="s">
        <v>21</v>
      </c>
      <c r="F1256" s="17">
        <v>71.38</v>
      </c>
      <c r="G1256" s="3">
        <v>10</v>
      </c>
      <c r="H1256" s="17">
        <f>Table1[[#This Row],[Unit price]]*Table1[[#This Row],[Quantity]]</f>
        <v>713.8</v>
      </c>
      <c r="I1256" s="29">
        <f>Table1[[#This Row],[Total Revenue]]/$H$5056*100</f>
        <v>7.5731144252711088E-2</v>
      </c>
      <c r="J1256" s="3" t="s">
        <v>15</v>
      </c>
      <c r="K1256" s="4">
        <v>5.7</v>
      </c>
      <c r="M1256"/>
    </row>
    <row r="1257" spans="1:13" x14ac:dyDescent="0.25">
      <c r="A1257" s="3" t="s">
        <v>77</v>
      </c>
      <c r="B1257" s="3" t="s">
        <v>244</v>
      </c>
      <c r="C1257" s="3" t="s">
        <v>9</v>
      </c>
      <c r="D1257" s="3" t="s">
        <v>10</v>
      </c>
      <c r="E1257" s="5" t="s">
        <v>18</v>
      </c>
      <c r="F1257" s="17">
        <v>72.040000000000006</v>
      </c>
      <c r="G1257" s="3">
        <v>2</v>
      </c>
      <c r="H1257" s="17">
        <f>Table1[[#This Row],[Unit price]]*Table1[[#This Row],[Quantity]]</f>
        <v>144.08000000000001</v>
      </c>
      <c r="I1257" s="29">
        <f>Table1[[#This Row],[Total Revenue]]/$H$5056*100</f>
        <v>1.5286275236663793E-2</v>
      </c>
      <c r="J1257" s="3" t="s">
        <v>15</v>
      </c>
      <c r="K1257" s="4">
        <v>9.5</v>
      </c>
      <c r="M1257"/>
    </row>
    <row r="1258" spans="1:13" x14ac:dyDescent="0.25">
      <c r="A1258" s="3" t="s">
        <v>77</v>
      </c>
      <c r="B1258" s="3" t="s">
        <v>243</v>
      </c>
      <c r="C1258" s="3" t="s">
        <v>13</v>
      </c>
      <c r="D1258" s="3" t="s">
        <v>10</v>
      </c>
      <c r="E1258" s="5" t="s">
        <v>18</v>
      </c>
      <c r="F1258" s="17">
        <v>48.63</v>
      </c>
      <c r="G1258" s="3">
        <v>4</v>
      </c>
      <c r="H1258" s="17">
        <f>Table1[[#This Row],[Unit price]]*Table1[[#This Row],[Quantity]]</f>
        <v>194.52</v>
      </c>
      <c r="I1258" s="29">
        <f>Table1[[#This Row],[Total Revenue]]/$H$5056*100</f>
        <v>2.0637744718460863E-2</v>
      </c>
      <c r="J1258" s="3" t="s">
        <v>17</v>
      </c>
      <c r="K1258" s="4">
        <v>7.6</v>
      </c>
      <c r="M1258"/>
    </row>
    <row r="1259" spans="1:13" x14ac:dyDescent="0.25">
      <c r="A1259" s="3" t="s">
        <v>77</v>
      </c>
      <c r="B1259" s="3" t="s">
        <v>244</v>
      </c>
      <c r="C1259" s="3" t="s">
        <v>9</v>
      </c>
      <c r="D1259" s="3" t="s">
        <v>10</v>
      </c>
      <c r="E1259" s="5" t="s">
        <v>20</v>
      </c>
      <c r="F1259" s="17">
        <v>77.680000000000007</v>
      </c>
      <c r="G1259" s="3">
        <v>9</v>
      </c>
      <c r="H1259" s="17">
        <f>Table1[[#This Row],[Unit price]]*Table1[[#This Row],[Quantity]]</f>
        <v>699.12000000000012</v>
      </c>
      <c r="I1259" s="29">
        <f>Table1[[#This Row],[Total Revenue]]/$H$5056*100</f>
        <v>7.4173658685843927E-2</v>
      </c>
      <c r="J1259" s="3" t="s">
        <v>17</v>
      </c>
      <c r="K1259" s="4">
        <v>9.8000000000000007</v>
      </c>
      <c r="M1259"/>
    </row>
    <row r="1260" spans="1:13" x14ac:dyDescent="0.25">
      <c r="A1260" s="3" t="s">
        <v>77</v>
      </c>
      <c r="B1260" s="3" t="s">
        <v>243</v>
      </c>
      <c r="C1260" s="3" t="s">
        <v>9</v>
      </c>
      <c r="D1260" s="3" t="s">
        <v>10</v>
      </c>
      <c r="E1260" s="5" t="s">
        <v>18</v>
      </c>
      <c r="F1260" s="17">
        <v>30.62</v>
      </c>
      <c r="G1260" s="3">
        <v>1</v>
      </c>
      <c r="H1260" s="17">
        <f>Table1[[#This Row],[Unit price]]*Table1[[#This Row],[Quantity]]</f>
        <v>30.62</v>
      </c>
      <c r="I1260" s="29">
        <f>Table1[[#This Row],[Total Revenue]]/$H$5056*100</f>
        <v>3.2486517750322415E-3</v>
      </c>
      <c r="J1260" s="3" t="s">
        <v>12</v>
      </c>
      <c r="K1260" s="4">
        <v>4.0999999999999996</v>
      </c>
      <c r="M1260"/>
    </row>
    <row r="1261" spans="1:13" x14ac:dyDescent="0.25">
      <c r="A1261" s="3" t="s">
        <v>77</v>
      </c>
      <c r="B1261" s="3" t="s">
        <v>244</v>
      </c>
      <c r="C1261" s="3" t="s">
        <v>9</v>
      </c>
      <c r="D1261" s="3" t="s">
        <v>10</v>
      </c>
      <c r="E1261" s="5" t="s">
        <v>11</v>
      </c>
      <c r="F1261" s="17">
        <v>42.82</v>
      </c>
      <c r="G1261" s="3">
        <v>9</v>
      </c>
      <c r="H1261" s="17">
        <f>Table1[[#This Row],[Unit price]]*Table1[[#This Row],[Quantity]]</f>
        <v>385.38</v>
      </c>
      <c r="I1261" s="29">
        <f>Table1[[#This Row],[Total Revenue]]/$H$5056*100</f>
        <v>4.0887179002675536E-2</v>
      </c>
      <c r="J1261" s="3" t="s">
        <v>12</v>
      </c>
      <c r="K1261" s="4">
        <v>8.9</v>
      </c>
      <c r="M1261"/>
    </row>
    <row r="1262" spans="1:13" x14ac:dyDescent="0.25">
      <c r="A1262" s="3" t="s">
        <v>77</v>
      </c>
      <c r="B1262" s="3" t="s">
        <v>245</v>
      </c>
      <c r="C1262" s="3" t="s">
        <v>9</v>
      </c>
      <c r="D1262" s="3" t="s">
        <v>10</v>
      </c>
      <c r="E1262" s="5" t="s">
        <v>11</v>
      </c>
      <c r="F1262" s="17">
        <v>21.04</v>
      </c>
      <c r="G1262" s="3">
        <v>4</v>
      </c>
      <c r="H1262" s="17">
        <f>Table1[[#This Row],[Unit price]]*Table1[[#This Row],[Quantity]]</f>
        <v>84.16</v>
      </c>
      <c r="I1262" s="29">
        <f>Table1[[#This Row],[Total Revenue]]/$H$5056*100</f>
        <v>8.9290180727208818E-3</v>
      </c>
      <c r="J1262" s="3" t="s">
        <v>15</v>
      </c>
      <c r="K1262" s="4">
        <v>7.6</v>
      </c>
      <c r="M1262"/>
    </row>
    <row r="1263" spans="1:13" x14ac:dyDescent="0.25">
      <c r="A1263" s="3" t="s">
        <v>77</v>
      </c>
      <c r="B1263" s="3" t="s">
        <v>244</v>
      </c>
      <c r="C1263" s="3" t="s">
        <v>9</v>
      </c>
      <c r="D1263" s="3" t="s">
        <v>19</v>
      </c>
      <c r="E1263" s="5" t="s">
        <v>18</v>
      </c>
      <c r="F1263" s="17">
        <v>59.86</v>
      </c>
      <c r="G1263" s="3">
        <v>2</v>
      </c>
      <c r="H1263" s="17">
        <f>Table1[[#This Row],[Unit price]]*Table1[[#This Row],[Quantity]]</f>
        <v>119.72</v>
      </c>
      <c r="I1263" s="29">
        <f>Table1[[#This Row],[Total Revenue]]/$H$5056*100</f>
        <v>1.2701782838238402E-2</v>
      </c>
      <c r="J1263" s="3" t="s">
        <v>17</v>
      </c>
      <c r="K1263" s="4">
        <v>6.7</v>
      </c>
      <c r="M1263"/>
    </row>
    <row r="1264" spans="1:13" x14ac:dyDescent="0.25">
      <c r="A1264" s="3" t="s">
        <v>77</v>
      </c>
      <c r="B1264" s="3" t="s">
        <v>244</v>
      </c>
      <c r="C1264" s="3" t="s">
        <v>13</v>
      </c>
      <c r="D1264" s="3" t="s">
        <v>19</v>
      </c>
      <c r="E1264" s="5" t="s">
        <v>11</v>
      </c>
      <c r="F1264" s="17">
        <v>72.39</v>
      </c>
      <c r="G1264" s="3">
        <v>2</v>
      </c>
      <c r="H1264" s="17">
        <f>Table1[[#This Row],[Unit price]]*Table1[[#This Row],[Quantity]]</f>
        <v>144.78</v>
      </c>
      <c r="I1264" s="29">
        <f>Table1[[#This Row],[Total Revenue]]/$H$5056*100</f>
        <v>1.5360542259607049E-2</v>
      </c>
      <c r="J1264" s="3" t="s">
        <v>12</v>
      </c>
      <c r="K1264" s="4">
        <v>8.1</v>
      </c>
      <c r="M1264"/>
    </row>
    <row r="1265" spans="1:13" x14ac:dyDescent="0.25">
      <c r="A1265" s="3" t="s">
        <v>77</v>
      </c>
      <c r="B1265" s="3" t="s">
        <v>243</v>
      </c>
      <c r="C1265" s="3" t="s">
        <v>13</v>
      </c>
      <c r="D1265" s="3" t="s">
        <v>19</v>
      </c>
      <c r="E1265" s="5" t="s">
        <v>16</v>
      </c>
      <c r="F1265" s="17">
        <v>45.58</v>
      </c>
      <c r="G1265" s="3">
        <v>7</v>
      </c>
      <c r="H1265" s="17">
        <f>Table1[[#This Row],[Unit price]]*Table1[[#This Row],[Quantity]]</f>
        <v>319.06</v>
      </c>
      <c r="I1265" s="29">
        <f>Table1[[#This Row],[Total Revenue]]/$H$5056*100</f>
        <v>3.3850909057537126E-2</v>
      </c>
      <c r="J1265" s="3" t="s">
        <v>15</v>
      </c>
      <c r="K1265" s="4">
        <v>5</v>
      </c>
      <c r="M1265"/>
    </row>
    <row r="1266" spans="1:13" x14ac:dyDescent="0.25">
      <c r="A1266" s="3" t="s">
        <v>77</v>
      </c>
      <c r="B1266" s="3" t="s">
        <v>245</v>
      </c>
      <c r="C1266" s="3" t="s">
        <v>13</v>
      </c>
      <c r="D1266" s="3" t="s">
        <v>10</v>
      </c>
      <c r="E1266" s="5" t="s">
        <v>14</v>
      </c>
      <c r="F1266" s="17">
        <v>41.65</v>
      </c>
      <c r="G1266" s="3">
        <v>10</v>
      </c>
      <c r="H1266" s="17">
        <f>Table1[[#This Row],[Unit price]]*Table1[[#This Row],[Quantity]]</f>
        <v>416.5</v>
      </c>
      <c r="I1266" s="29">
        <f>Table1[[#This Row],[Total Revenue]]/$H$5056*100</f>
        <v>4.4188878651238682E-2</v>
      </c>
      <c r="J1266" s="3" t="s">
        <v>12</v>
      </c>
      <c r="K1266" s="4">
        <v>5.4</v>
      </c>
      <c r="M1266"/>
    </row>
    <row r="1267" spans="1:13" x14ac:dyDescent="0.25">
      <c r="A1267" s="3" t="s">
        <v>77</v>
      </c>
      <c r="B1267" s="3" t="s">
        <v>245</v>
      </c>
      <c r="C1267" s="3" t="s">
        <v>9</v>
      </c>
      <c r="D1267" s="3" t="s">
        <v>19</v>
      </c>
      <c r="E1267" s="5" t="s">
        <v>21</v>
      </c>
      <c r="F1267" s="17">
        <v>60.47</v>
      </c>
      <c r="G1267" s="3">
        <v>3</v>
      </c>
      <c r="H1267" s="17">
        <f>Table1[[#This Row],[Unit price]]*Table1[[#This Row],[Quantity]]</f>
        <v>181.41</v>
      </c>
      <c r="I1267" s="29">
        <f>Table1[[#This Row],[Total Revenue]]/$H$5056*100</f>
        <v>1.9246829474480694E-2</v>
      </c>
      <c r="J1267" s="3" t="s">
        <v>12</v>
      </c>
      <c r="K1267" s="4">
        <v>5.6</v>
      </c>
      <c r="M1267"/>
    </row>
    <row r="1268" spans="1:13" x14ac:dyDescent="0.25">
      <c r="A1268" s="3" t="s">
        <v>77</v>
      </c>
      <c r="B1268" s="3" t="s">
        <v>244</v>
      </c>
      <c r="C1268" s="3" t="s">
        <v>13</v>
      </c>
      <c r="D1268" s="3" t="s">
        <v>10</v>
      </c>
      <c r="E1268" s="5" t="s">
        <v>16</v>
      </c>
      <c r="F1268" s="17">
        <v>34.81</v>
      </c>
      <c r="G1268" s="3">
        <v>1</v>
      </c>
      <c r="H1268" s="17">
        <f>Table1[[#This Row],[Unit price]]*Table1[[#This Row],[Quantity]]</f>
        <v>34.81</v>
      </c>
      <c r="I1268" s="29">
        <f>Table1[[#This Row],[Total Revenue]]/$H$5056*100</f>
        <v>3.6931929552211731E-3</v>
      </c>
      <c r="J1268" s="3" t="s">
        <v>12</v>
      </c>
      <c r="K1268" s="4">
        <v>7</v>
      </c>
      <c r="M1268"/>
    </row>
    <row r="1269" spans="1:13" x14ac:dyDescent="0.25">
      <c r="A1269" s="3" t="s">
        <v>77</v>
      </c>
      <c r="B1269" s="3" t="s">
        <v>245</v>
      </c>
      <c r="C1269" s="3" t="s">
        <v>13</v>
      </c>
      <c r="D1269" s="3" t="s">
        <v>19</v>
      </c>
      <c r="E1269" s="5" t="s">
        <v>11</v>
      </c>
      <c r="F1269" s="17">
        <v>77.56</v>
      </c>
      <c r="G1269" s="3">
        <v>10</v>
      </c>
      <c r="H1269" s="17">
        <f>Table1[[#This Row],[Unit price]]*Table1[[#This Row],[Quantity]]</f>
        <v>775.6</v>
      </c>
      <c r="I1269" s="29">
        <f>Table1[[#This Row],[Total Revenue]]/$H$5056*100</f>
        <v>8.2287861421130176E-2</v>
      </c>
      <c r="J1269" s="3" t="s">
        <v>17</v>
      </c>
      <c r="K1269" s="4">
        <v>6.9</v>
      </c>
      <c r="M1269"/>
    </row>
    <row r="1270" spans="1:13" x14ac:dyDescent="0.25">
      <c r="A1270" s="3" t="s">
        <v>78</v>
      </c>
      <c r="B1270" s="3" t="s">
        <v>244</v>
      </c>
      <c r="C1270" s="3" t="s">
        <v>9</v>
      </c>
      <c r="D1270" s="3" t="s">
        <v>19</v>
      </c>
      <c r="E1270" s="5" t="s">
        <v>11</v>
      </c>
      <c r="F1270" s="17">
        <v>93.4</v>
      </c>
      <c r="G1270" s="3">
        <v>2</v>
      </c>
      <c r="H1270" s="17">
        <f>Table1[[#This Row],[Unit price]]*Table1[[#This Row],[Quantity]]</f>
        <v>186.8</v>
      </c>
      <c r="I1270" s="29">
        <f>Table1[[#This Row],[Total Revenue]]/$H$5056*100</f>
        <v>1.9818685551143782E-2</v>
      </c>
      <c r="J1270" s="3" t="s">
        <v>15</v>
      </c>
      <c r="K1270" s="4">
        <v>5.5</v>
      </c>
      <c r="M1270"/>
    </row>
    <row r="1271" spans="1:13" x14ac:dyDescent="0.25">
      <c r="A1271" s="3" t="s">
        <v>78</v>
      </c>
      <c r="B1271" s="3" t="s">
        <v>243</v>
      </c>
      <c r="C1271" s="3" t="s">
        <v>13</v>
      </c>
      <c r="D1271" s="3" t="s">
        <v>10</v>
      </c>
      <c r="E1271" s="5" t="s">
        <v>16</v>
      </c>
      <c r="F1271" s="17">
        <v>40.229999999999997</v>
      </c>
      <c r="G1271" s="3">
        <v>7</v>
      </c>
      <c r="H1271" s="17">
        <f>Table1[[#This Row],[Unit price]]*Table1[[#This Row],[Quantity]]</f>
        <v>281.60999999999996</v>
      </c>
      <c r="I1271" s="29">
        <f>Table1[[#This Row],[Total Revenue]]/$H$5056*100</f>
        <v>2.9877623330072801E-2</v>
      </c>
      <c r="J1271" s="3" t="s">
        <v>15</v>
      </c>
      <c r="K1271" s="4">
        <v>9.6</v>
      </c>
      <c r="M1271"/>
    </row>
    <row r="1272" spans="1:13" x14ac:dyDescent="0.25">
      <c r="A1272" s="3" t="s">
        <v>78</v>
      </c>
      <c r="B1272" s="3" t="s">
        <v>244</v>
      </c>
      <c r="C1272" s="3" t="s">
        <v>9</v>
      </c>
      <c r="D1272" s="3" t="s">
        <v>19</v>
      </c>
      <c r="E1272" s="5" t="s">
        <v>21</v>
      </c>
      <c r="F1272" s="17">
        <v>72.569999999999993</v>
      </c>
      <c r="G1272" s="3">
        <v>8</v>
      </c>
      <c r="H1272" s="17">
        <f>Table1[[#This Row],[Unit price]]*Table1[[#This Row],[Quantity]]</f>
        <v>580.55999999999995</v>
      </c>
      <c r="I1272" s="29">
        <f>Table1[[#This Row],[Total Revenue]]/$H$5056*100</f>
        <v>6.1594946914197188E-2</v>
      </c>
      <c r="J1272" s="3" t="s">
        <v>15</v>
      </c>
      <c r="K1272" s="4">
        <v>4.5999999999999996</v>
      </c>
      <c r="M1272"/>
    </row>
    <row r="1273" spans="1:13" x14ac:dyDescent="0.25">
      <c r="A1273" s="3" t="s">
        <v>78</v>
      </c>
      <c r="B1273" s="3" t="s">
        <v>245</v>
      </c>
      <c r="C1273" s="3" t="s">
        <v>9</v>
      </c>
      <c r="D1273" s="3" t="s">
        <v>10</v>
      </c>
      <c r="E1273" s="5" t="s">
        <v>11</v>
      </c>
      <c r="F1273" s="17">
        <v>72.52</v>
      </c>
      <c r="G1273" s="3">
        <v>8</v>
      </c>
      <c r="H1273" s="17">
        <f>Table1[[#This Row],[Unit price]]*Table1[[#This Row],[Quantity]]</f>
        <v>580.16</v>
      </c>
      <c r="I1273" s="29">
        <f>Table1[[#This Row],[Total Revenue]]/$H$5056*100</f>
        <v>6.1552508615372467E-2</v>
      </c>
      <c r="J1273" s="3" t="s">
        <v>12</v>
      </c>
      <c r="K1273" s="4">
        <v>4</v>
      </c>
      <c r="M1273"/>
    </row>
    <row r="1274" spans="1:13" x14ac:dyDescent="0.25">
      <c r="A1274" s="3" t="s">
        <v>78</v>
      </c>
      <c r="B1274" s="3" t="s">
        <v>245</v>
      </c>
      <c r="C1274" s="3" t="s">
        <v>9</v>
      </c>
      <c r="D1274" s="3" t="s">
        <v>10</v>
      </c>
      <c r="E1274" s="5" t="s">
        <v>18</v>
      </c>
      <c r="F1274" s="17">
        <v>10.18</v>
      </c>
      <c r="G1274" s="3">
        <v>8</v>
      </c>
      <c r="H1274" s="17">
        <f>Table1[[#This Row],[Unit price]]*Table1[[#This Row],[Quantity]]</f>
        <v>81.44</v>
      </c>
      <c r="I1274" s="29">
        <f>Table1[[#This Row],[Total Revenue]]/$H$5056*100</f>
        <v>8.6404376407127927E-3</v>
      </c>
      <c r="J1274" s="3" t="s">
        <v>12</v>
      </c>
      <c r="K1274" s="4">
        <v>9.5</v>
      </c>
      <c r="M1274"/>
    </row>
    <row r="1275" spans="1:13" x14ac:dyDescent="0.25">
      <c r="A1275" s="3" t="s">
        <v>78</v>
      </c>
      <c r="B1275" s="3" t="s">
        <v>243</v>
      </c>
      <c r="C1275" s="3" t="s">
        <v>9</v>
      </c>
      <c r="D1275" s="3" t="s">
        <v>10</v>
      </c>
      <c r="E1275" s="5" t="s">
        <v>20</v>
      </c>
      <c r="F1275" s="17">
        <v>34.42</v>
      </c>
      <c r="G1275" s="3">
        <v>6</v>
      </c>
      <c r="H1275" s="17">
        <f>Table1[[#This Row],[Unit price]]*Table1[[#This Row],[Quantity]]</f>
        <v>206.52</v>
      </c>
      <c r="I1275" s="29">
        <f>Table1[[#This Row],[Total Revenue]]/$H$5056*100</f>
        <v>2.1910893683202433E-2</v>
      </c>
      <c r="J1275" s="3" t="s">
        <v>17</v>
      </c>
      <c r="K1275" s="4">
        <v>7.5</v>
      </c>
      <c r="M1275"/>
    </row>
    <row r="1276" spans="1:13" x14ac:dyDescent="0.25">
      <c r="A1276" s="3" t="s">
        <v>78</v>
      </c>
      <c r="B1276" s="3" t="s">
        <v>245</v>
      </c>
      <c r="C1276" s="3" t="s">
        <v>13</v>
      </c>
      <c r="D1276" s="3" t="s">
        <v>19</v>
      </c>
      <c r="E1276" s="5" t="s">
        <v>21</v>
      </c>
      <c r="F1276" s="17">
        <v>70.209999999999994</v>
      </c>
      <c r="G1276" s="3">
        <v>6</v>
      </c>
      <c r="H1276" s="17">
        <f>Table1[[#This Row],[Unit price]]*Table1[[#This Row],[Quantity]]</f>
        <v>421.26</v>
      </c>
      <c r="I1276" s="29">
        <f>Table1[[#This Row],[Total Revenue]]/$H$5056*100</f>
        <v>4.4693894407252834E-2</v>
      </c>
      <c r="J1276" s="3" t="s">
        <v>15</v>
      </c>
      <c r="K1276" s="4">
        <v>7.4</v>
      </c>
      <c r="M1276"/>
    </row>
    <row r="1277" spans="1:13" x14ac:dyDescent="0.25">
      <c r="A1277" s="3" t="s">
        <v>78</v>
      </c>
      <c r="B1277" s="3" t="s">
        <v>245</v>
      </c>
      <c r="C1277" s="3" t="s">
        <v>9</v>
      </c>
      <c r="D1277" s="3" t="s">
        <v>19</v>
      </c>
      <c r="E1277" s="5" t="s">
        <v>14</v>
      </c>
      <c r="F1277" s="17">
        <v>37.06</v>
      </c>
      <c r="G1277" s="3">
        <v>4</v>
      </c>
      <c r="H1277" s="17">
        <f>Table1[[#This Row],[Unit price]]*Table1[[#This Row],[Quantity]]</f>
        <v>148.24</v>
      </c>
      <c r="I1277" s="29">
        <f>Table1[[#This Row],[Total Revenue]]/$H$5056*100</f>
        <v>1.5727633544440869E-2</v>
      </c>
      <c r="J1277" s="3" t="s">
        <v>17</v>
      </c>
      <c r="K1277" s="4">
        <v>9.6999999999999993</v>
      </c>
      <c r="M1277"/>
    </row>
    <row r="1278" spans="1:13" x14ac:dyDescent="0.25">
      <c r="A1278" s="3" t="s">
        <v>78</v>
      </c>
      <c r="B1278" s="3" t="s">
        <v>244</v>
      </c>
      <c r="C1278" s="3" t="s">
        <v>9</v>
      </c>
      <c r="D1278" s="3" t="s">
        <v>19</v>
      </c>
      <c r="E1278" s="5" t="s">
        <v>14</v>
      </c>
      <c r="F1278" s="17">
        <v>87.87</v>
      </c>
      <c r="G1278" s="3">
        <v>9</v>
      </c>
      <c r="H1278" s="17">
        <f>Table1[[#This Row],[Unit price]]*Table1[[#This Row],[Quantity]]</f>
        <v>790.83</v>
      </c>
      <c r="I1278" s="29">
        <f>Table1[[#This Row],[Total Revenue]]/$H$5056*100</f>
        <v>8.3903699648881364E-2</v>
      </c>
      <c r="J1278" s="3" t="s">
        <v>17</v>
      </c>
      <c r="K1278" s="4">
        <v>5.6</v>
      </c>
      <c r="M1278"/>
    </row>
    <row r="1279" spans="1:13" x14ac:dyDescent="0.25">
      <c r="A1279" s="3" t="s">
        <v>78</v>
      </c>
      <c r="B1279" s="3" t="s">
        <v>244</v>
      </c>
      <c r="C1279" s="3" t="s">
        <v>13</v>
      </c>
      <c r="D1279" s="3" t="s">
        <v>19</v>
      </c>
      <c r="E1279" s="5" t="s">
        <v>14</v>
      </c>
      <c r="F1279" s="17">
        <v>45.35</v>
      </c>
      <c r="G1279" s="3">
        <v>6</v>
      </c>
      <c r="H1279" s="17">
        <f>Table1[[#This Row],[Unit price]]*Table1[[#This Row],[Quantity]]</f>
        <v>272.10000000000002</v>
      </c>
      <c r="I1279" s="29">
        <f>Table1[[#This Row],[Total Revenue]]/$H$5056*100</f>
        <v>2.8868652775515119E-2</v>
      </c>
      <c r="J1279" s="3" t="s">
        <v>17</v>
      </c>
      <c r="K1279" s="4">
        <v>6.1</v>
      </c>
      <c r="M1279"/>
    </row>
    <row r="1280" spans="1:13" x14ac:dyDescent="0.25">
      <c r="A1280" s="3" t="s">
        <v>78</v>
      </c>
      <c r="B1280" s="3" t="s">
        <v>243</v>
      </c>
      <c r="C1280" s="3" t="s">
        <v>9</v>
      </c>
      <c r="D1280" s="3" t="s">
        <v>19</v>
      </c>
      <c r="E1280" s="5" t="s">
        <v>14</v>
      </c>
      <c r="F1280" s="17">
        <v>66.349999999999994</v>
      </c>
      <c r="G1280" s="3">
        <v>1</v>
      </c>
      <c r="H1280" s="17">
        <f>Table1[[#This Row],[Unit price]]*Table1[[#This Row],[Quantity]]</f>
        <v>66.349999999999994</v>
      </c>
      <c r="I1280" s="29">
        <f>Table1[[#This Row],[Total Revenue]]/$H$5056*100</f>
        <v>7.0394528175502669E-3</v>
      </c>
      <c r="J1280" s="3" t="s">
        <v>12</v>
      </c>
      <c r="K1280" s="4">
        <v>9.6999999999999993</v>
      </c>
      <c r="M1280"/>
    </row>
    <row r="1281" spans="1:13" x14ac:dyDescent="0.25">
      <c r="A1281" s="3" t="s">
        <v>78</v>
      </c>
      <c r="B1281" s="3" t="s">
        <v>245</v>
      </c>
      <c r="C1281" s="3" t="s">
        <v>9</v>
      </c>
      <c r="D1281" s="3" t="s">
        <v>10</v>
      </c>
      <c r="E1281" s="5" t="s">
        <v>11</v>
      </c>
      <c r="F1281" s="17">
        <v>87.48</v>
      </c>
      <c r="G1281" s="3">
        <v>6</v>
      </c>
      <c r="H1281" s="17">
        <f>Table1[[#This Row],[Unit price]]*Table1[[#This Row],[Quantity]]</f>
        <v>524.88</v>
      </c>
      <c r="I1281" s="29">
        <f>Table1[[#This Row],[Total Revenue]]/$H$5056*100</f>
        <v>5.5687535717796298E-2</v>
      </c>
      <c r="J1281" s="3" t="s">
        <v>17</v>
      </c>
      <c r="K1281" s="4">
        <v>5.0999999999999996</v>
      </c>
      <c r="M1281"/>
    </row>
    <row r="1282" spans="1:13" x14ac:dyDescent="0.25">
      <c r="A1282" s="3" t="s">
        <v>79</v>
      </c>
      <c r="B1282" s="3" t="s">
        <v>243</v>
      </c>
      <c r="C1282" s="3" t="s">
        <v>9</v>
      </c>
      <c r="D1282" s="3" t="s">
        <v>10</v>
      </c>
      <c r="E1282" s="5" t="s">
        <v>21</v>
      </c>
      <c r="F1282" s="17">
        <v>27.73</v>
      </c>
      <c r="G1282" s="3">
        <v>5</v>
      </c>
      <c r="H1282" s="17">
        <f>Table1[[#This Row],[Unit price]]*Table1[[#This Row],[Quantity]]</f>
        <v>138.65</v>
      </c>
      <c r="I1282" s="29">
        <f>Table1[[#This Row],[Total Revenue]]/$H$5056*100</f>
        <v>1.4710175330118232E-2</v>
      </c>
      <c r="J1282" s="3" t="s">
        <v>12</v>
      </c>
      <c r="K1282" s="4">
        <v>4.2</v>
      </c>
      <c r="M1282"/>
    </row>
    <row r="1283" spans="1:13" x14ac:dyDescent="0.25">
      <c r="A1283" s="3" t="s">
        <v>79</v>
      </c>
      <c r="B1283" s="3" t="s">
        <v>243</v>
      </c>
      <c r="C1283" s="3" t="s">
        <v>9</v>
      </c>
      <c r="D1283" s="3" t="s">
        <v>19</v>
      </c>
      <c r="E1283" s="5" t="s">
        <v>14</v>
      </c>
      <c r="F1283" s="17">
        <v>72.2</v>
      </c>
      <c r="G1283" s="3">
        <v>7</v>
      </c>
      <c r="H1283" s="17">
        <f>Table1[[#This Row],[Unit price]]*Table1[[#This Row],[Quantity]]</f>
        <v>505.40000000000003</v>
      </c>
      <c r="I1283" s="29">
        <f>Table1[[#This Row],[Total Revenue]]/$H$5056*100</f>
        <v>5.3620790565032481E-2</v>
      </c>
      <c r="J1283" s="3" t="s">
        <v>17</v>
      </c>
      <c r="K1283" s="4">
        <v>4.3</v>
      </c>
      <c r="M1283"/>
    </row>
    <row r="1284" spans="1:13" x14ac:dyDescent="0.25">
      <c r="A1284" s="3" t="s">
        <v>79</v>
      </c>
      <c r="B1284" s="3" t="s">
        <v>245</v>
      </c>
      <c r="C1284" s="3" t="s">
        <v>9</v>
      </c>
      <c r="D1284" s="3" t="s">
        <v>19</v>
      </c>
      <c r="E1284" s="5" t="s">
        <v>21</v>
      </c>
      <c r="F1284" s="17">
        <v>43.7</v>
      </c>
      <c r="G1284" s="3">
        <v>2</v>
      </c>
      <c r="H1284" s="17">
        <f>Table1[[#This Row],[Unit price]]*Table1[[#This Row],[Quantity]]</f>
        <v>87.4</v>
      </c>
      <c r="I1284" s="29">
        <f>Table1[[#This Row],[Total Revenue]]/$H$5056*100</f>
        <v>9.2727682932011064E-3</v>
      </c>
      <c r="J1284" s="3" t="s">
        <v>15</v>
      </c>
      <c r="K1284" s="4">
        <v>4.9000000000000004</v>
      </c>
      <c r="M1284"/>
    </row>
    <row r="1285" spans="1:13" x14ac:dyDescent="0.25">
      <c r="A1285" s="3" t="s">
        <v>79</v>
      </c>
      <c r="B1285" s="3" t="s">
        <v>243</v>
      </c>
      <c r="C1285" s="3" t="s">
        <v>9</v>
      </c>
      <c r="D1285" s="3" t="s">
        <v>19</v>
      </c>
      <c r="E1285" s="5" t="s">
        <v>18</v>
      </c>
      <c r="F1285" s="17">
        <v>41.28</v>
      </c>
      <c r="G1285" s="3">
        <v>3</v>
      </c>
      <c r="H1285" s="17">
        <f>Table1[[#This Row],[Unit price]]*Table1[[#This Row],[Quantity]]</f>
        <v>123.84</v>
      </c>
      <c r="I1285" s="29">
        <f>Table1[[#This Row],[Total Revenue]]/$H$5056*100</f>
        <v>1.3138897316133009E-2</v>
      </c>
      <c r="J1285" s="3" t="s">
        <v>12</v>
      </c>
      <c r="K1285" s="4">
        <v>8.5</v>
      </c>
      <c r="M1285"/>
    </row>
    <row r="1286" spans="1:13" x14ac:dyDescent="0.25">
      <c r="A1286" s="3" t="s">
        <v>79</v>
      </c>
      <c r="B1286" s="3" t="s">
        <v>244</v>
      </c>
      <c r="C1286" s="3" t="s">
        <v>13</v>
      </c>
      <c r="D1286" s="3" t="s">
        <v>10</v>
      </c>
      <c r="E1286" s="5" t="s">
        <v>14</v>
      </c>
      <c r="F1286" s="17">
        <v>45.71</v>
      </c>
      <c r="G1286" s="3">
        <v>3</v>
      </c>
      <c r="H1286" s="17">
        <f>Table1[[#This Row],[Unit price]]*Table1[[#This Row],[Quantity]]</f>
        <v>137.13</v>
      </c>
      <c r="I1286" s="29">
        <f>Table1[[#This Row],[Total Revenue]]/$H$5056*100</f>
        <v>1.4548909794584298E-2</v>
      </c>
      <c r="J1286" s="3" t="s">
        <v>12</v>
      </c>
      <c r="K1286" s="4">
        <v>7.7</v>
      </c>
      <c r="M1286"/>
    </row>
    <row r="1287" spans="1:13" x14ac:dyDescent="0.25">
      <c r="A1287" s="3" t="s">
        <v>79</v>
      </c>
      <c r="B1287" s="3" t="s">
        <v>244</v>
      </c>
      <c r="C1287" s="3" t="s">
        <v>9</v>
      </c>
      <c r="D1287" s="3" t="s">
        <v>10</v>
      </c>
      <c r="E1287" s="5" t="s">
        <v>20</v>
      </c>
      <c r="F1287" s="17">
        <v>12.29</v>
      </c>
      <c r="G1287" s="3">
        <v>9</v>
      </c>
      <c r="H1287" s="17">
        <f>Table1[[#This Row],[Unit price]]*Table1[[#This Row],[Quantity]]</f>
        <v>110.60999999999999</v>
      </c>
      <c r="I1287" s="29">
        <f>Table1[[#This Row],[Total Revenue]]/$H$5056*100</f>
        <v>1.1735250582505425E-2</v>
      </c>
      <c r="J1287" s="3" t="s">
        <v>12</v>
      </c>
      <c r="K1287" s="4">
        <v>8</v>
      </c>
      <c r="M1287"/>
    </row>
    <row r="1288" spans="1:13" x14ac:dyDescent="0.25">
      <c r="A1288" s="3" t="s">
        <v>79</v>
      </c>
      <c r="B1288" s="3" t="s">
        <v>244</v>
      </c>
      <c r="C1288" s="3" t="s">
        <v>9</v>
      </c>
      <c r="D1288" s="3" t="s">
        <v>10</v>
      </c>
      <c r="E1288" s="5" t="s">
        <v>16</v>
      </c>
      <c r="F1288" s="17">
        <v>39.119999999999997</v>
      </c>
      <c r="G1288" s="3">
        <v>1</v>
      </c>
      <c r="H1288" s="17">
        <f>Table1[[#This Row],[Unit price]]*Table1[[#This Row],[Quantity]]</f>
        <v>39.119999999999997</v>
      </c>
      <c r="I1288" s="29">
        <f>Table1[[#This Row],[Total Revenue]]/$H$5056*100</f>
        <v>4.1504656250575195E-3</v>
      </c>
      <c r="J1288" s="3" t="s">
        <v>12</v>
      </c>
      <c r="K1288" s="4">
        <v>9.6</v>
      </c>
      <c r="M1288"/>
    </row>
    <row r="1289" spans="1:13" x14ac:dyDescent="0.25">
      <c r="A1289" s="3" t="s">
        <v>79</v>
      </c>
      <c r="B1289" s="3" t="s">
        <v>243</v>
      </c>
      <c r="C1289" s="3" t="s">
        <v>9</v>
      </c>
      <c r="D1289" s="3" t="s">
        <v>10</v>
      </c>
      <c r="E1289" s="5" t="s">
        <v>14</v>
      </c>
      <c r="F1289" s="17">
        <v>94.64</v>
      </c>
      <c r="G1289" s="3">
        <v>3</v>
      </c>
      <c r="H1289" s="17">
        <f>Table1[[#This Row],[Unit price]]*Table1[[#This Row],[Quantity]]</f>
        <v>283.92</v>
      </c>
      <c r="I1289" s="29">
        <f>Table1[[#This Row],[Total Revenue]]/$H$5056*100</f>
        <v>3.0122704505785559E-2</v>
      </c>
      <c r="J1289" s="3" t="s">
        <v>15</v>
      </c>
      <c r="K1289" s="4">
        <v>5.5</v>
      </c>
      <c r="M1289"/>
    </row>
    <row r="1290" spans="1:13" x14ac:dyDescent="0.25">
      <c r="A1290" s="3" t="s">
        <v>79</v>
      </c>
      <c r="B1290" s="3" t="s">
        <v>244</v>
      </c>
      <c r="C1290" s="3" t="s">
        <v>9</v>
      </c>
      <c r="D1290" s="3" t="s">
        <v>19</v>
      </c>
      <c r="E1290" s="5" t="s">
        <v>21</v>
      </c>
      <c r="F1290" s="17">
        <v>39.909999999999997</v>
      </c>
      <c r="G1290" s="3">
        <v>3</v>
      </c>
      <c r="H1290" s="17">
        <f>Table1[[#This Row],[Unit price]]*Table1[[#This Row],[Quantity]]</f>
        <v>119.72999999999999</v>
      </c>
      <c r="I1290" s="29">
        <f>Table1[[#This Row],[Total Revenue]]/$H$5056*100</f>
        <v>1.270284379570902E-2</v>
      </c>
      <c r="J1290" s="3" t="s">
        <v>17</v>
      </c>
      <c r="K1290" s="4">
        <v>9.3000000000000007</v>
      </c>
      <c r="M1290"/>
    </row>
    <row r="1291" spans="1:13" x14ac:dyDescent="0.25">
      <c r="A1291" s="3" t="s">
        <v>79</v>
      </c>
      <c r="B1291" s="3" t="s">
        <v>245</v>
      </c>
      <c r="C1291" s="3" t="s">
        <v>13</v>
      </c>
      <c r="D1291" s="3" t="s">
        <v>10</v>
      </c>
      <c r="E1291" s="5" t="s">
        <v>21</v>
      </c>
      <c r="F1291" s="17">
        <v>83.66</v>
      </c>
      <c r="G1291" s="3">
        <v>5</v>
      </c>
      <c r="H1291" s="17">
        <f>Table1[[#This Row],[Unit price]]*Table1[[#This Row],[Quantity]]</f>
        <v>418.29999999999995</v>
      </c>
      <c r="I1291" s="29">
        <f>Table1[[#This Row],[Total Revenue]]/$H$5056*100</f>
        <v>4.4379850995949911E-2</v>
      </c>
      <c r="J1291" s="3" t="s">
        <v>15</v>
      </c>
      <c r="K1291" s="4">
        <v>7.2</v>
      </c>
      <c r="M1291"/>
    </row>
    <row r="1292" spans="1:13" x14ac:dyDescent="0.25">
      <c r="A1292" s="3" t="s">
        <v>79</v>
      </c>
      <c r="B1292" s="3" t="s">
        <v>245</v>
      </c>
      <c r="C1292" s="3" t="s">
        <v>13</v>
      </c>
      <c r="D1292" s="3" t="s">
        <v>10</v>
      </c>
      <c r="E1292" s="5" t="s">
        <v>16</v>
      </c>
      <c r="F1292" s="17">
        <v>98.8</v>
      </c>
      <c r="G1292" s="3">
        <v>2</v>
      </c>
      <c r="H1292" s="17">
        <f>Table1[[#This Row],[Unit price]]*Table1[[#This Row],[Quantity]]</f>
        <v>197.6</v>
      </c>
      <c r="I1292" s="29">
        <f>Table1[[#This Row],[Total Revenue]]/$H$5056*100</f>
        <v>2.0964519619411197E-2</v>
      </c>
      <c r="J1292" s="3" t="s">
        <v>15</v>
      </c>
      <c r="K1292" s="4">
        <v>7.7</v>
      </c>
      <c r="M1292"/>
    </row>
    <row r="1293" spans="1:13" x14ac:dyDescent="0.25">
      <c r="A1293" s="3" t="s">
        <v>79</v>
      </c>
      <c r="B1293" s="3" t="s">
        <v>245</v>
      </c>
      <c r="C1293" s="3" t="s">
        <v>9</v>
      </c>
      <c r="D1293" s="3" t="s">
        <v>10</v>
      </c>
      <c r="E1293" s="5" t="s">
        <v>18</v>
      </c>
      <c r="F1293" s="17">
        <v>12.54</v>
      </c>
      <c r="G1293" s="3">
        <v>1</v>
      </c>
      <c r="H1293" s="17">
        <f>Table1[[#This Row],[Unit price]]*Table1[[#This Row],[Quantity]]</f>
        <v>12.54</v>
      </c>
      <c r="I1293" s="29">
        <f>Table1[[#This Row],[Total Revenue]]/$H$5056*100</f>
        <v>1.3304406681549411E-3</v>
      </c>
      <c r="J1293" s="3" t="s">
        <v>15</v>
      </c>
      <c r="K1293" s="4">
        <v>8.1999999999999993</v>
      </c>
      <c r="M1293"/>
    </row>
    <row r="1294" spans="1:13" x14ac:dyDescent="0.25">
      <c r="A1294" s="3" t="s">
        <v>79</v>
      </c>
      <c r="B1294" s="3" t="s">
        <v>243</v>
      </c>
      <c r="C1294" s="3" t="s">
        <v>9</v>
      </c>
      <c r="D1294" s="3" t="s">
        <v>19</v>
      </c>
      <c r="E1294" s="5" t="s">
        <v>21</v>
      </c>
      <c r="F1294" s="17">
        <v>58.22</v>
      </c>
      <c r="G1294" s="3">
        <v>8</v>
      </c>
      <c r="H1294" s="17">
        <f>Table1[[#This Row],[Unit price]]*Table1[[#This Row],[Quantity]]</f>
        <v>465.76</v>
      </c>
      <c r="I1294" s="29">
        <f>Table1[[#This Row],[Total Revenue]]/$H$5056*100</f>
        <v>4.9415155151502826E-2</v>
      </c>
      <c r="J1294" s="3" t="s">
        <v>17</v>
      </c>
      <c r="K1294" s="4">
        <v>8.4</v>
      </c>
      <c r="M1294"/>
    </row>
    <row r="1295" spans="1:13" x14ac:dyDescent="0.25">
      <c r="A1295" s="3" t="s">
        <v>79</v>
      </c>
      <c r="B1295" s="3" t="s">
        <v>243</v>
      </c>
      <c r="C1295" s="3" t="s">
        <v>13</v>
      </c>
      <c r="D1295" s="3" t="s">
        <v>10</v>
      </c>
      <c r="E1295" s="5" t="s">
        <v>16</v>
      </c>
      <c r="F1295" s="17">
        <v>32.25</v>
      </c>
      <c r="G1295" s="3">
        <v>5</v>
      </c>
      <c r="H1295" s="17">
        <f>Table1[[#This Row],[Unit price]]*Table1[[#This Row],[Quantity]]</f>
        <v>161.25</v>
      </c>
      <c r="I1295" s="29">
        <f>Table1[[#This Row],[Total Revenue]]/$H$5056*100</f>
        <v>1.7107939213714854E-2</v>
      </c>
      <c r="J1295" s="3" t="s">
        <v>15</v>
      </c>
      <c r="K1295" s="4">
        <v>9</v>
      </c>
      <c r="M1295"/>
    </row>
    <row r="1296" spans="1:13" x14ac:dyDescent="0.25">
      <c r="A1296" s="3" t="s">
        <v>80</v>
      </c>
      <c r="B1296" s="3" t="s">
        <v>243</v>
      </c>
      <c r="C1296" s="3" t="s">
        <v>13</v>
      </c>
      <c r="D1296" s="3" t="s">
        <v>10</v>
      </c>
      <c r="E1296" s="5" t="s">
        <v>11</v>
      </c>
      <c r="F1296" s="17">
        <v>33.880000000000003</v>
      </c>
      <c r="G1296" s="3">
        <v>8</v>
      </c>
      <c r="H1296" s="17">
        <f>Table1[[#This Row],[Unit price]]*Table1[[#This Row],[Quantity]]</f>
        <v>271.04000000000002</v>
      </c>
      <c r="I1296" s="29">
        <f>Table1[[#This Row],[Total Revenue]]/$H$5056*100</f>
        <v>2.8756191283629613E-2</v>
      </c>
      <c r="J1296" s="3" t="s">
        <v>17</v>
      </c>
      <c r="K1296" s="4">
        <v>9.6</v>
      </c>
      <c r="M1296"/>
    </row>
    <row r="1297" spans="1:13" x14ac:dyDescent="0.25">
      <c r="A1297" s="3" t="s">
        <v>80</v>
      </c>
      <c r="B1297" s="3" t="s">
        <v>245</v>
      </c>
      <c r="C1297" s="3" t="s">
        <v>9</v>
      </c>
      <c r="D1297" s="3" t="s">
        <v>19</v>
      </c>
      <c r="E1297" s="5" t="s">
        <v>16</v>
      </c>
      <c r="F1297" s="17">
        <v>67.260000000000005</v>
      </c>
      <c r="G1297" s="3">
        <v>4</v>
      </c>
      <c r="H1297" s="17">
        <f>Table1[[#This Row],[Unit price]]*Table1[[#This Row],[Quantity]]</f>
        <v>269.04000000000002</v>
      </c>
      <c r="I1297" s="29">
        <f>Table1[[#This Row],[Total Revenue]]/$H$5056*100</f>
        <v>2.8543999789506017E-2</v>
      </c>
      <c r="J1297" s="3" t="s">
        <v>12</v>
      </c>
      <c r="K1297" s="4">
        <v>8</v>
      </c>
      <c r="M1297"/>
    </row>
    <row r="1298" spans="1:13" x14ac:dyDescent="0.25">
      <c r="A1298" s="3" t="s">
        <v>80</v>
      </c>
      <c r="B1298" s="3" t="s">
        <v>243</v>
      </c>
      <c r="C1298" s="3" t="s">
        <v>9</v>
      </c>
      <c r="D1298" s="3" t="s">
        <v>19</v>
      </c>
      <c r="E1298" s="5" t="s">
        <v>20</v>
      </c>
      <c r="F1298" s="17">
        <v>88.61</v>
      </c>
      <c r="G1298" s="3">
        <v>1</v>
      </c>
      <c r="H1298" s="17">
        <f>Table1[[#This Row],[Unit price]]*Table1[[#This Row],[Quantity]]</f>
        <v>88.61</v>
      </c>
      <c r="I1298" s="29">
        <f>Table1[[#This Row],[Total Revenue]]/$H$5056*100</f>
        <v>9.4011441471458807E-3</v>
      </c>
      <c r="J1298" s="3" t="s">
        <v>15</v>
      </c>
      <c r="K1298" s="4">
        <v>7.7</v>
      </c>
      <c r="M1298"/>
    </row>
    <row r="1299" spans="1:13" x14ac:dyDescent="0.25">
      <c r="A1299" s="3" t="s">
        <v>80</v>
      </c>
      <c r="B1299" s="3" t="s">
        <v>245</v>
      </c>
      <c r="C1299" s="3" t="s">
        <v>13</v>
      </c>
      <c r="D1299" s="3" t="s">
        <v>10</v>
      </c>
      <c r="E1299" s="5" t="s">
        <v>20</v>
      </c>
      <c r="F1299" s="17">
        <v>58.07</v>
      </c>
      <c r="G1299" s="3">
        <v>9</v>
      </c>
      <c r="H1299" s="17">
        <f>Table1[[#This Row],[Unit price]]*Table1[[#This Row],[Quantity]]</f>
        <v>522.63</v>
      </c>
      <c r="I1299" s="29">
        <f>Table1[[#This Row],[Total Revenue]]/$H$5056*100</f>
        <v>5.5448820286907258E-2</v>
      </c>
      <c r="J1299" s="3" t="s">
        <v>17</v>
      </c>
      <c r="K1299" s="4">
        <v>4.3</v>
      </c>
      <c r="M1299"/>
    </row>
    <row r="1300" spans="1:13" x14ac:dyDescent="0.25">
      <c r="A1300" s="3" t="s">
        <v>80</v>
      </c>
      <c r="B1300" s="3" t="s">
        <v>245</v>
      </c>
      <c r="C1300" s="3" t="s">
        <v>13</v>
      </c>
      <c r="D1300" s="3" t="s">
        <v>10</v>
      </c>
      <c r="E1300" s="5" t="s">
        <v>11</v>
      </c>
      <c r="F1300" s="17">
        <v>51.28</v>
      </c>
      <c r="G1300" s="3">
        <v>6</v>
      </c>
      <c r="H1300" s="17">
        <f>Table1[[#This Row],[Unit price]]*Table1[[#This Row],[Quantity]]</f>
        <v>307.68</v>
      </c>
      <c r="I1300" s="29">
        <f>Table1[[#This Row],[Total Revenue]]/$H$5056*100</f>
        <v>3.2643539455973869E-2</v>
      </c>
      <c r="J1300" s="3" t="s">
        <v>15</v>
      </c>
      <c r="K1300" s="4">
        <v>6.5</v>
      </c>
      <c r="M1300"/>
    </row>
    <row r="1301" spans="1:13" x14ac:dyDescent="0.25">
      <c r="A1301" s="3" t="s">
        <v>80</v>
      </c>
      <c r="B1301" s="3" t="s">
        <v>244</v>
      </c>
      <c r="C1301" s="3" t="s">
        <v>9</v>
      </c>
      <c r="D1301" s="3" t="s">
        <v>19</v>
      </c>
      <c r="E1301" s="5" t="s">
        <v>16</v>
      </c>
      <c r="F1301" s="17">
        <v>82.93</v>
      </c>
      <c r="G1301" s="3">
        <v>4</v>
      </c>
      <c r="H1301" s="17">
        <f>Table1[[#This Row],[Unit price]]*Table1[[#This Row],[Quantity]]</f>
        <v>331.72</v>
      </c>
      <c r="I1301" s="29">
        <f>Table1[[#This Row],[Total Revenue]]/$H$5056*100</f>
        <v>3.5194081215339484E-2</v>
      </c>
      <c r="J1301" s="3" t="s">
        <v>17</v>
      </c>
      <c r="K1301" s="4">
        <v>9.6</v>
      </c>
      <c r="M1301"/>
    </row>
    <row r="1302" spans="1:13" x14ac:dyDescent="0.25">
      <c r="A1302" s="3" t="s">
        <v>80</v>
      </c>
      <c r="B1302" s="3" t="s">
        <v>243</v>
      </c>
      <c r="C1302" s="3" t="s">
        <v>9</v>
      </c>
      <c r="D1302" s="3" t="s">
        <v>19</v>
      </c>
      <c r="E1302" s="5" t="s">
        <v>18</v>
      </c>
      <c r="F1302" s="17">
        <v>63.88</v>
      </c>
      <c r="G1302" s="3">
        <v>8</v>
      </c>
      <c r="H1302" s="17">
        <f>Table1[[#This Row],[Unit price]]*Table1[[#This Row],[Quantity]]</f>
        <v>511.04</v>
      </c>
      <c r="I1302" s="29">
        <f>Table1[[#This Row],[Total Revenue]]/$H$5056*100</f>
        <v>5.4219170578461026E-2</v>
      </c>
      <c r="J1302" s="3" t="s">
        <v>17</v>
      </c>
      <c r="K1302" s="4">
        <v>9.9</v>
      </c>
      <c r="M1302"/>
    </row>
    <row r="1303" spans="1:13" x14ac:dyDescent="0.25">
      <c r="A1303" s="3" t="s">
        <v>80</v>
      </c>
      <c r="B1303" s="3" t="s">
        <v>243</v>
      </c>
      <c r="C1303" s="3" t="s">
        <v>13</v>
      </c>
      <c r="D1303" s="3" t="s">
        <v>10</v>
      </c>
      <c r="E1303" s="5" t="s">
        <v>20</v>
      </c>
      <c r="F1303" s="17">
        <v>89.25</v>
      </c>
      <c r="G1303" s="3">
        <v>8</v>
      </c>
      <c r="H1303" s="17">
        <f>Table1[[#This Row],[Unit price]]*Table1[[#This Row],[Quantity]]</f>
        <v>714</v>
      </c>
      <c r="I1303" s="29">
        <f>Table1[[#This Row],[Total Revenue]]/$H$5056*100</f>
        <v>7.5752363402123463E-2</v>
      </c>
      <c r="J1303" s="3" t="s">
        <v>15</v>
      </c>
      <c r="K1303" s="4">
        <v>4.7</v>
      </c>
      <c r="M1303"/>
    </row>
    <row r="1304" spans="1:13" x14ac:dyDescent="0.25">
      <c r="A1304" s="3" t="s">
        <v>80</v>
      </c>
      <c r="B1304" s="3" t="s">
        <v>244</v>
      </c>
      <c r="C1304" s="3" t="s">
        <v>13</v>
      </c>
      <c r="D1304" s="3" t="s">
        <v>19</v>
      </c>
      <c r="E1304" s="5" t="s">
        <v>20</v>
      </c>
      <c r="F1304" s="17">
        <v>73.22</v>
      </c>
      <c r="G1304" s="3">
        <v>6</v>
      </c>
      <c r="H1304" s="17">
        <f>Table1[[#This Row],[Unit price]]*Table1[[#This Row],[Quantity]]</f>
        <v>439.32</v>
      </c>
      <c r="I1304" s="29">
        <f>Table1[[#This Row],[Total Revenue]]/$H$5056*100</f>
        <v>4.6609983599188901E-2</v>
      </c>
      <c r="J1304" s="3" t="s">
        <v>15</v>
      </c>
      <c r="K1304" s="4">
        <v>7.2</v>
      </c>
      <c r="M1304"/>
    </row>
    <row r="1305" spans="1:13" x14ac:dyDescent="0.25">
      <c r="A1305" s="3" t="s">
        <v>80</v>
      </c>
      <c r="B1305" s="3" t="s">
        <v>244</v>
      </c>
      <c r="C1305" s="3" t="s">
        <v>13</v>
      </c>
      <c r="D1305" s="3" t="s">
        <v>19</v>
      </c>
      <c r="E1305" s="5" t="s">
        <v>21</v>
      </c>
      <c r="F1305" s="17">
        <v>99.19</v>
      </c>
      <c r="G1305" s="3">
        <v>6</v>
      </c>
      <c r="H1305" s="17">
        <f>Table1[[#This Row],[Unit price]]*Table1[[#This Row],[Quantity]]</f>
        <v>595.14</v>
      </c>
      <c r="I1305" s="29">
        <f>Table1[[#This Row],[Total Revenue]]/$H$5056*100</f>
        <v>6.3141822906358197E-2</v>
      </c>
      <c r="J1305" s="3" t="s">
        <v>12</v>
      </c>
      <c r="K1305" s="4">
        <v>5.5</v>
      </c>
      <c r="M1305"/>
    </row>
    <row r="1306" spans="1:13" x14ac:dyDescent="0.25">
      <c r="A1306" s="3" t="s">
        <v>80</v>
      </c>
      <c r="B1306" s="3" t="s">
        <v>245</v>
      </c>
      <c r="C1306" s="3" t="s">
        <v>13</v>
      </c>
      <c r="D1306" s="3" t="s">
        <v>19</v>
      </c>
      <c r="E1306" s="5" t="s">
        <v>21</v>
      </c>
      <c r="F1306" s="17">
        <v>53.17</v>
      </c>
      <c r="G1306" s="3">
        <v>7</v>
      </c>
      <c r="H1306" s="17">
        <f>Table1[[#This Row],[Unit price]]*Table1[[#This Row],[Quantity]]</f>
        <v>372.19</v>
      </c>
      <c r="I1306" s="29">
        <f>Table1[[#This Row],[Total Revenue]]/$H$5056*100</f>
        <v>3.9487776098930429E-2</v>
      </c>
      <c r="J1306" s="3" t="s">
        <v>15</v>
      </c>
      <c r="K1306" s="4">
        <v>8.9</v>
      </c>
      <c r="M1306"/>
    </row>
    <row r="1307" spans="1:13" x14ac:dyDescent="0.25">
      <c r="A1307" s="3" t="s">
        <v>80</v>
      </c>
      <c r="B1307" s="3" t="s">
        <v>243</v>
      </c>
      <c r="C1307" s="3" t="s">
        <v>9</v>
      </c>
      <c r="D1307" s="3" t="s">
        <v>10</v>
      </c>
      <c r="E1307" s="5" t="s">
        <v>16</v>
      </c>
      <c r="F1307" s="17">
        <v>98.13</v>
      </c>
      <c r="G1307" s="3">
        <v>1</v>
      </c>
      <c r="H1307" s="17">
        <f>Table1[[#This Row],[Unit price]]*Table1[[#This Row],[Quantity]]</f>
        <v>98.13</v>
      </c>
      <c r="I1307" s="29">
        <f>Table1[[#This Row],[Total Revenue]]/$H$5056*100</f>
        <v>1.0411175659174194E-2</v>
      </c>
      <c r="J1307" s="3" t="s">
        <v>15</v>
      </c>
      <c r="K1307" s="4">
        <v>8.9</v>
      </c>
      <c r="M1307"/>
    </row>
    <row r="1308" spans="1:13" x14ac:dyDescent="0.25">
      <c r="A1308" s="3" t="s">
        <v>80</v>
      </c>
      <c r="B1308" s="3" t="s">
        <v>245</v>
      </c>
      <c r="C1308" s="3" t="s">
        <v>13</v>
      </c>
      <c r="D1308" s="3" t="s">
        <v>19</v>
      </c>
      <c r="E1308" s="5" t="s">
        <v>11</v>
      </c>
      <c r="F1308" s="17">
        <v>36.36</v>
      </c>
      <c r="G1308" s="3">
        <v>2</v>
      </c>
      <c r="H1308" s="17">
        <f>Table1[[#This Row],[Unit price]]*Table1[[#This Row],[Quantity]]</f>
        <v>72.72</v>
      </c>
      <c r="I1308" s="29">
        <f>Table1[[#This Row],[Total Revenue]]/$H$5056*100</f>
        <v>7.7152827263339179E-3</v>
      </c>
      <c r="J1308" s="3" t="s">
        <v>15</v>
      </c>
      <c r="K1308" s="4">
        <v>7.1</v>
      </c>
      <c r="M1308"/>
    </row>
    <row r="1309" spans="1:13" x14ac:dyDescent="0.25">
      <c r="A1309" s="3" t="s">
        <v>81</v>
      </c>
      <c r="B1309" s="3" t="s">
        <v>243</v>
      </c>
      <c r="C1309" s="3" t="s">
        <v>13</v>
      </c>
      <c r="D1309" s="3" t="s">
        <v>19</v>
      </c>
      <c r="E1309" s="5" t="s">
        <v>18</v>
      </c>
      <c r="F1309" s="17">
        <v>86.68</v>
      </c>
      <c r="G1309" s="3">
        <v>8</v>
      </c>
      <c r="H1309" s="17">
        <f>Table1[[#This Row],[Unit price]]*Table1[[#This Row],[Quantity]]</f>
        <v>693.44</v>
      </c>
      <c r="I1309" s="29">
        <f>Table1[[#This Row],[Total Revenue]]/$H$5056*100</f>
        <v>7.3571034842532912E-2</v>
      </c>
      <c r="J1309" s="3" t="s">
        <v>12</v>
      </c>
      <c r="K1309" s="4">
        <v>7.2</v>
      </c>
      <c r="M1309"/>
    </row>
    <row r="1310" spans="1:13" x14ac:dyDescent="0.25">
      <c r="A1310" s="3" t="s">
        <v>81</v>
      </c>
      <c r="B1310" s="3" t="s">
        <v>245</v>
      </c>
      <c r="C1310" s="3" t="s">
        <v>13</v>
      </c>
      <c r="D1310" s="3" t="s">
        <v>19</v>
      </c>
      <c r="E1310" s="5" t="s">
        <v>14</v>
      </c>
      <c r="F1310" s="17">
        <v>48.62</v>
      </c>
      <c r="G1310" s="3">
        <v>8</v>
      </c>
      <c r="H1310" s="17">
        <f>Table1[[#This Row],[Unit price]]*Table1[[#This Row],[Quantity]]</f>
        <v>388.96</v>
      </c>
      <c r="I1310" s="29">
        <f>Table1[[#This Row],[Total Revenue]]/$H$5056*100</f>
        <v>4.1267001777156774E-2</v>
      </c>
      <c r="J1310" s="3" t="s">
        <v>15</v>
      </c>
      <c r="K1310" s="4">
        <v>5</v>
      </c>
      <c r="M1310"/>
    </row>
    <row r="1311" spans="1:13" x14ac:dyDescent="0.25">
      <c r="A1311" s="3" t="s">
        <v>81</v>
      </c>
      <c r="B1311" s="3" t="s">
        <v>245</v>
      </c>
      <c r="C1311" s="3" t="s">
        <v>13</v>
      </c>
      <c r="D1311" s="3" t="s">
        <v>19</v>
      </c>
      <c r="E1311" s="5" t="s">
        <v>20</v>
      </c>
      <c r="F1311" s="17">
        <v>60.87</v>
      </c>
      <c r="G1311" s="3">
        <v>1</v>
      </c>
      <c r="H1311" s="17">
        <f>Table1[[#This Row],[Unit price]]*Table1[[#This Row],[Quantity]]</f>
        <v>60.87</v>
      </c>
      <c r="I1311" s="29">
        <f>Table1[[#This Row],[Total Revenue]]/$H$5056*100</f>
        <v>6.4580481236516168E-3</v>
      </c>
      <c r="J1311" s="3" t="s">
        <v>15</v>
      </c>
      <c r="K1311" s="4">
        <v>5.5</v>
      </c>
      <c r="M1311"/>
    </row>
    <row r="1312" spans="1:13" x14ac:dyDescent="0.25">
      <c r="A1312" s="3" t="s">
        <v>81</v>
      </c>
      <c r="B1312" s="3" t="s">
        <v>243</v>
      </c>
      <c r="C1312" s="3" t="s">
        <v>9</v>
      </c>
      <c r="D1312" s="3" t="s">
        <v>19</v>
      </c>
      <c r="E1312" s="5" t="s">
        <v>20</v>
      </c>
      <c r="F1312" s="17">
        <v>73.28</v>
      </c>
      <c r="G1312" s="3">
        <v>5</v>
      </c>
      <c r="H1312" s="17">
        <f>Table1[[#This Row],[Unit price]]*Table1[[#This Row],[Quantity]]</f>
        <v>366.4</v>
      </c>
      <c r="I1312" s="29">
        <f>Table1[[#This Row],[Total Revenue]]/$H$5056*100</f>
        <v>3.887348172344262E-2</v>
      </c>
      <c r="J1312" s="3" t="s">
        <v>17</v>
      </c>
      <c r="K1312" s="4">
        <v>8.4</v>
      </c>
      <c r="M1312"/>
    </row>
    <row r="1313" spans="1:13" x14ac:dyDescent="0.25">
      <c r="A1313" s="3" t="s">
        <v>81</v>
      </c>
      <c r="B1313" s="3" t="s">
        <v>245</v>
      </c>
      <c r="C1313" s="3" t="s">
        <v>9</v>
      </c>
      <c r="D1313" s="3" t="s">
        <v>19</v>
      </c>
      <c r="E1313" s="5" t="s">
        <v>21</v>
      </c>
      <c r="F1313" s="17">
        <v>77.5</v>
      </c>
      <c r="G1313" s="3">
        <v>5</v>
      </c>
      <c r="H1313" s="17">
        <f>Table1[[#This Row],[Unit price]]*Table1[[#This Row],[Quantity]]</f>
        <v>387.5</v>
      </c>
      <c r="I1313" s="29">
        <f>Table1[[#This Row],[Total Revenue]]/$H$5056*100</f>
        <v>4.1112101986446548E-2</v>
      </c>
      <c r="J1313" s="3" t="s">
        <v>17</v>
      </c>
      <c r="K1313" s="4">
        <v>4.3</v>
      </c>
      <c r="M1313"/>
    </row>
    <row r="1314" spans="1:13" x14ac:dyDescent="0.25">
      <c r="A1314" s="3" t="s">
        <v>81</v>
      </c>
      <c r="B1314" s="3" t="s">
        <v>243</v>
      </c>
      <c r="C1314" s="3" t="s">
        <v>13</v>
      </c>
      <c r="D1314" s="3" t="s">
        <v>19</v>
      </c>
      <c r="E1314" s="5" t="s">
        <v>14</v>
      </c>
      <c r="F1314" s="17">
        <v>75.88</v>
      </c>
      <c r="G1314" s="3">
        <v>7</v>
      </c>
      <c r="H1314" s="17">
        <f>Table1[[#This Row],[Unit price]]*Table1[[#This Row],[Quantity]]</f>
        <v>531.16</v>
      </c>
      <c r="I1314" s="29">
        <f>Table1[[#This Row],[Total Revenue]]/$H$5056*100</f>
        <v>5.635381700934438E-2</v>
      </c>
      <c r="J1314" s="3" t="s">
        <v>17</v>
      </c>
      <c r="K1314" s="4">
        <v>8.9</v>
      </c>
      <c r="M1314"/>
    </row>
    <row r="1315" spans="1:13" x14ac:dyDescent="0.25">
      <c r="A1315" s="3" t="s">
        <v>81</v>
      </c>
      <c r="B1315" s="3" t="s">
        <v>244</v>
      </c>
      <c r="C1315" s="3" t="s">
        <v>13</v>
      </c>
      <c r="D1315" s="3" t="s">
        <v>10</v>
      </c>
      <c r="E1315" s="5" t="s">
        <v>18</v>
      </c>
      <c r="F1315" s="17">
        <v>60.96</v>
      </c>
      <c r="G1315" s="3">
        <v>2</v>
      </c>
      <c r="H1315" s="17">
        <f>Table1[[#This Row],[Unit price]]*Table1[[#This Row],[Quantity]]</f>
        <v>121.92</v>
      </c>
      <c r="I1315" s="29">
        <f>Table1[[#This Row],[Total Revenue]]/$H$5056*100</f>
        <v>1.2935193481774358E-2</v>
      </c>
      <c r="J1315" s="3" t="s">
        <v>12</v>
      </c>
      <c r="K1315" s="4">
        <v>4.9000000000000004</v>
      </c>
      <c r="M1315"/>
    </row>
    <row r="1316" spans="1:13" x14ac:dyDescent="0.25">
      <c r="A1316" s="3" t="s">
        <v>81</v>
      </c>
      <c r="B1316" s="3" t="s">
        <v>243</v>
      </c>
      <c r="C1316" s="3" t="s">
        <v>13</v>
      </c>
      <c r="D1316" s="3" t="s">
        <v>19</v>
      </c>
      <c r="E1316" s="5" t="s">
        <v>11</v>
      </c>
      <c r="F1316" s="17">
        <v>48.51</v>
      </c>
      <c r="G1316" s="3">
        <v>7</v>
      </c>
      <c r="H1316" s="17">
        <f>Table1[[#This Row],[Unit price]]*Table1[[#This Row],[Quantity]]</f>
        <v>339.57</v>
      </c>
      <c r="I1316" s="29">
        <f>Table1[[#This Row],[Total Revenue]]/$H$5056*100</f>
        <v>3.6026932829774594E-2</v>
      </c>
      <c r="J1316" s="3" t="s">
        <v>12</v>
      </c>
      <c r="K1316" s="4">
        <v>5.2</v>
      </c>
      <c r="M1316"/>
    </row>
    <row r="1317" spans="1:13" x14ac:dyDescent="0.25">
      <c r="A1317" s="3" t="s">
        <v>81</v>
      </c>
      <c r="B1317" s="3" t="s">
        <v>244</v>
      </c>
      <c r="C1317" s="3" t="s">
        <v>9</v>
      </c>
      <c r="D1317" s="3" t="s">
        <v>19</v>
      </c>
      <c r="E1317" s="5" t="s">
        <v>20</v>
      </c>
      <c r="F1317" s="17">
        <v>60.01</v>
      </c>
      <c r="G1317" s="3">
        <v>4</v>
      </c>
      <c r="H1317" s="17">
        <f>Table1[[#This Row],[Unit price]]*Table1[[#This Row],[Quantity]]</f>
        <v>240.04</v>
      </c>
      <c r="I1317" s="29">
        <f>Table1[[#This Row],[Total Revenue]]/$H$5056*100</f>
        <v>2.5467223124713886E-2</v>
      </c>
      <c r="J1317" s="3" t="s">
        <v>15</v>
      </c>
      <c r="K1317" s="4">
        <v>4.5</v>
      </c>
      <c r="M1317"/>
    </row>
    <row r="1318" spans="1:13" x14ac:dyDescent="0.25">
      <c r="A1318" s="3" t="s">
        <v>81</v>
      </c>
      <c r="B1318" s="3" t="s">
        <v>244</v>
      </c>
      <c r="C1318" s="3" t="s">
        <v>9</v>
      </c>
      <c r="D1318" s="3" t="s">
        <v>10</v>
      </c>
      <c r="E1318" s="5" t="s">
        <v>21</v>
      </c>
      <c r="F1318" s="17">
        <v>96.11</v>
      </c>
      <c r="G1318" s="3">
        <v>1</v>
      </c>
      <c r="H1318" s="17">
        <f>Table1[[#This Row],[Unit price]]*Table1[[#This Row],[Quantity]]</f>
        <v>96.11</v>
      </c>
      <c r="I1318" s="29">
        <f>Table1[[#This Row],[Total Revenue]]/$H$5056*100</f>
        <v>1.0196862250109363E-2</v>
      </c>
      <c r="J1318" s="3" t="s">
        <v>17</v>
      </c>
      <c r="K1318" s="4">
        <v>7.8</v>
      </c>
      <c r="M1318"/>
    </row>
    <row r="1319" spans="1:13" x14ac:dyDescent="0.25">
      <c r="A1319" s="3" t="s">
        <v>81</v>
      </c>
      <c r="B1319" s="3" t="s">
        <v>244</v>
      </c>
      <c r="C1319" s="3" t="s">
        <v>9</v>
      </c>
      <c r="D1319" s="3" t="s">
        <v>19</v>
      </c>
      <c r="E1319" s="5" t="s">
        <v>21</v>
      </c>
      <c r="F1319" s="17">
        <v>51.13</v>
      </c>
      <c r="G1319" s="3">
        <v>4</v>
      </c>
      <c r="H1319" s="17">
        <f>Table1[[#This Row],[Unit price]]*Table1[[#This Row],[Quantity]]</f>
        <v>204.52</v>
      </c>
      <c r="I1319" s="29">
        <f>Table1[[#This Row],[Total Revenue]]/$H$5056*100</f>
        <v>2.1698702189078836E-2</v>
      </c>
      <c r="J1319" s="3" t="s">
        <v>12</v>
      </c>
      <c r="K1319" s="4">
        <v>4</v>
      </c>
      <c r="M1319"/>
    </row>
    <row r="1320" spans="1:13" x14ac:dyDescent="0.25">
      <c r="A1320" s="3" t="s">
        <v>82</v>
      </c>
      <c r="B1320" s="3" t="s">
        <v>243</v>
      </c>
      <c r="C1320" s="3" t="s">
        <v>9</v>
      </c>
      <c r="D1320" s="3" t="s">
        <v>19</v>
      </c>
      <c r="E1320" s="5" t="s">
        <v>21</v>
      </c>
      <c r="F1320" s="17">
        <v>58.22</v>
      </c>
      <c r="G1320" s="3">
        <v>8</v>
      </c>
      <c r="H1320" s="17">
        <f>Table1[[#This Row],[Unit price]]*Table1[[#This Row],[Quantity]]</f>
        <v>465.76</v>
      </c>
      <c r="I1320" s="29">
        <f>Table1[[#This Row],[Total Revenue]]/$H$5056*100</f>
        <v>4.9415155151502826E-2</v>
      </c>
      <c r="J1320" s="3" t="s">
        <v>17</v>
      </c>
      <c r="K1320" s="4">
        <v>8.4</v>
      </c>
      <c r="M1320"/>
    </row>
    <row r="1321" spans="1:13" x14ac:dyDescent="0.25">
      <c r="A1321" s="3" t="s">
        <v>82</v>
      </c>
      <c r="B1321" s="3" t="s">
        <v>245</v>
      </c>
      <c r="C1321" s="3" t="s">
        <v>9</v>
      </c>
      <c r="D1321" s="3" t="s">
        <v>10</v>
      </c>
      <c r="E1321" s="5" t="s">
        <v>16</v>
      </c>
      <c r="F1321" s="17">
        <v>32.25</v>
      </c>
      <c r="G1321" s="3">
        <v>5</v>
      </c>
      <c r="H1321" s="17">
        <f>Table1[[#This Row],[Unit price]]*Table1[[#This Row],[Quantity]]</f>
        <v>161.25</v>
      </c>
      <c r="I1321" s="29">
        <f>Table1[[#This Row],[Total Revenue]]/$H$5056*100</f>
        <v>1.7107939213714854E-2</v>
      </c>
      <c r="J1321" s="3" t="s">
        <v>15</v>
      </c>
      <c r="K1321" s="4">
        <v>9</v>
      </c>
      <c r="M1321"/>
    </row>
    <row r="1322" spans="1:13" x14ac:dyDescent="0.25">
      <c r="A1322" s="3" t="s">
        <v>82</v>
      </c>
      <c r="B1322" s="3" t="s">
        <v>245</v>
      </c>
      <c r="C1322" s="3" t="s">
        <v>13</v>
      </c>
      <c r="D1322" s="3" t="s">
        <v>10</v>
      </c>
      <c r="E1322" s="5" t="s">
        <v>21</v>
      </c>
      <c r="F1322" s="17">
        <v>96.16</v>
      </c>
      <c r="G1322" s="3">
        <v>4</v>
      </c>
      <c r="H1322" s="17">
        <f>Table1[[#This Row],[Unit price]]*Table1[[#This Row],[Quantity]]</f>
        <v>384.64</v>
      </c>
      <c r="I1322" s="29">
        <f>Table1[[#This Row],[Total Revenue]]/$H$5056*100</f>
        <v>4.0808668149849812E-2</v>
      </c>
      <c r="J1322" s="3" t="s">
        <v>12</v>
      </c>
      <c r="K1322" s="4">
        <v>8.4</v>
      </c>
      <c r="M1322"/>
    </row>
    <row r="1323" spans="1:13" x14ac:dyDescent="0.25">
      <c r="A1323" s="3" t="s">
        <v>82</v>
      </c>
      <c r="B1323" s="3" t="s">
        <v>245</v>
      </c>
      <c r="C1323" s="3" t="s">
        <v>13</v>
      </c>
      <c r="D1323" s="3" t="s">
        <v>10</v>
      </c>
      <c r="E1323" s="5" t="s">
        <v>20</v>
      </c>
      <c r="F1323" s="17">
        <v>69.400000000000006</v>
      </c>
      <c r="G1323" s="3">
        <v>2</v>
      </c>
      <c r="H1323" s="17">
        <f>Table1[[#This Row],[Unit price]]*Table1[[#This Row],[Quantity]]</f>
        <v>138.80000000000001</v>
      </c>
      <c r="I1323" s="29">
        <f>Table1[[#This Row],[Total Revenue]]/$H$5056*100</f>
        <v>1.4726089692177502E-2</v>
      </c>
      <c r="J1323" s="3" t="s">
        <v>17</v>
      </c>
      <c r="K1323" s="4">
        <v>9</v>
      </c>
      <c r="M1323"/>
    </row>
    <row r="1324" spans="1:13" x14ac:dyDescent="0.25">
      <c r="A1324" s="3" t="s">
        <v>82</v>
      </c>
      <c r="B1324" s="3" t="s">
        <v>245</v>
      </c>
      <c r="C1324" s="3" t="s">
        <v>9</v>
      </c>
      <c r="D1324" s="3" t="s">
        <v>10</v>
      </c>
      <c r="E1324" s="5" t="s">
        <v>20</v>
      </c>
      <c r="F1324" s="17">
        <v>12.03</v>
      </c>
      <c r="G1324" s="3">
        <v>2</v>
      </c>
      <c r="H1324" s="17">
        <f>Table1[[#This Row],[Unit price]]*Table1[[#This Row],[Quantity]]</f>
        <v>24.06</v>
      </c>
      <c r="I1324" s="29">
        <f>Table1[[#This Row],[Total Revenue]]/$H$5056*100</f>
        <v>2.5526636743068492E-3</v>
      </c>
      <c r="J1324" s="3" t="s">
        <v>15</v>
      </c>
      <c r="K1324" s="4">
        <v>5.0999999999999996</v>
      </c>
      <c r="M1324"/>
    </row>
    <row r="1325" spans="1:13" x14ac:dyDescent="0.25">
      <c r="A1325" s="3" t="s">
        <v>82</v>
      </c>
      <c r="B1325" s="3" t="s">
        <v>244</v>
      </c>
      <c r="C1325" s="3" t="s">
        <v>13</v>
      </c>
      <c r="D1325" s="3" t="s">
        <v>10</v>
      </c>
      <c r="E1325" s="5" t="s">
        <v>11</v>
      </c>
      <c r="F1325" s="17">
        <v>81.709999999999994</v>
      </c>
      <c r="G1325" s="3">
        <v>6</v>
      </c>
      <c r="H1325" s="17">
        <f>Table1[[#This Row],[Unit price]]*Table1[[#This Row],[Quantity]]</f>
        <v>490.26</v>
      </c>
      <c r="I1325" s="29">
        <f>Table1[[#This Row],[Total Revenue]]/$H$5056*100</f>
        <v>5.2014500954516867E-2</v>
      </c>
      <c r="J1325" s="3" t="s">
        <v>12</v>
      </c>
      <c r="K1325" s="4">
        <v>8</v>
      </c>
      <c r="M1325"/>
    </row>
    <row r="1326" spans="1:13" x14ac:dyDescent="0.25">
      <c r="A1326" s="3" t="s">
        <v>82</v>
      </c>
      <c r="B1326" s="3" t="s">
        <v>245</v>
      </c>
      <c r="C1326" s="3" t="s">
        <v>9</v>
      </c>
      <c r="D1326" s="3" t="s">
        <v>10</v>
      </c>
      <c r="E1326" s="5" t="s">
        <v>21</v>
      </c>
      <c r="F1326" s="17">
        <v>19.149999999999999</v>
      </c>
      <c r="G1326" s="3">
        <v>1</v>
      </c>
      <c r="H1326" s="17">
        <f>Table1[[#This Row],[Unit price]]*Table1[[#This Row],[Quantity]]</f>
        <v>19.149999999999999</v>
      </c>
      <c r="I1326" s="29">
        <f>Table1[[#This Row],[Total Revenue]]/$H$5056*100</f>
        <v>2.031733556233423E-3</v>
      </c>
      <c r="J1326" s="3" t="s">
        <v>12</v>
      </c>
      <c r="K1326" s="4">
        <v>9.5</v>
      </c>
      <c r="M1326"/>
    </row>
    <row r="1327" spans="1:13" x14ac:dyDescent="0.25">
      <c r="A1327" s="3" t="s">
        <v>82</v>
      </c>
      <c r="B1327" s="3" t="s">
        <v>243</v>
      </c>
      <c r="C1327" s="3" t="s">
        <v>13</v>
      </c>
      <c r="D1327" s="3" t="s">
        <v>10</v>
      </c>
      <c r="E1327" s="5" t="s">
        <v>16</v>
      </c>
      <c r="F1327" s="17">
        <v>80.97</v>
      </c>
      <c r="G1327" s="3">
        <v>8</v>
      </c>
      <c r="H1327" s="17">
        <f>Table1[[#This Row],[Unit price]]*Table1[[#This Row],[Quantity]]</f>
        <v>647.76</v>
      </c>
      <c r="I1327" s="29">
        <f>Table1[[#This Row],[Total Revenue]]/$H$5056*100</f>
        <v>6.8724581116749978E-2</v>
      </c>
      <c r="J1327" s="3" t="s">
        <v>15</v>
      </c>
      <c r="K1327" s="4">
        <v>9.3000000000000007</v>
      </c>
      <c r="M1327"/>
    </row>
    <row r="1328" spans="1:13" x14ac:dyDescent="0.25">
      <c r="A1328" s="3" t="s">
        <v>82</v>
      </c>
      <c r="B1328" s="3" t="s">
        <v>245</v>
      </c>
      <c r="C1328" s="3" t="s">
        <v>13</v>
      </c>
      <c r="D1328" s="3" t="s">
        <v>10</v>
      </c>
      <c r="E1328" s="5" t="s">
        <v>11</v>
      </c>
      <c r="F1328" s="17">
        <v>11.53</v>
      </c>
      <c r="G1328" s="3">
        <v>7</v>
      </c>
      <c r="H1328" s="17">
        <f>Table1[[#This Row],[Unit price]]*Table1[[#This Row],[Quantity]]</f>
        <v>80.709999999999994</v>
      </c>
      <c r="I1328" s="29">
        <f>Table1[[#This Row],[Total Revenue]]/$H$5056*100</f>
        <v>8.5629877453576794E-3</v>
      </c>
      <c r="J1328" s="3" t="s">
        <v>15</v>
      </c>
      <c r="K1328" s="4">
        <v>8.1</v>
      </c>
      <c r="M1328"/>
    </row>
    <row r="1329" spans="1:13" x14ac:dyDescent="0.25">
      <c r="A1329" s="3" t="s">
        <v>82</v>
      </c>
      <c r="B1329" s="3" t="s">
        <v>244</v>
      </c>
      <c r="C1329" s="3" t="s">
        <v>13</v>
      </c>
      <c r="D1329" s="3" t="s">
        <v>19</v>
      </c>
      <c r="E1329" s="5" t="s">
        <v>18</v>
      </c>
      <c r="F1329" s="17">
        <v>23.82</v>
      </c>
      <c r="G1329" s="3">
        <v>5</v>
      </c>
      <c r="H1329" s="17">
        <f>Table1[[#This Row],[Unit price]]*Table1[[#This Row],[Quantity]]</f>
        <v>119.1</v>
      </c>
      <c r="I1329" s="29">
        <f>Table1[[#This Row],[Total Revenue]]/$H$5056*100</f>
        <v>1.2636003475060088E-2</v>
      </c>
      <c r="J1329" s="3" t="s">
        <v>17</v>
      </c>
      <c r="K1329" s="4">
        <v>5.4</v>
      </c>
      <c r="M1329"/>
    </row>
    <row r="1330" spans="1:13" x14ac:dyDescent="0.25">
      <c r="A1330" s="3" t="s">
        <v>83</v>
      </c>
      <c r="B1330" s="3" t="s">
        <v>245</v>
      </c>
      <c r="C1330" s="3" t="s">
        <v>13</v>
      </c>
      <c r="D1330" s="3" t="s">
        <v>19</v>
      </c>
      <c r="E1330" s="5" t="s">
        <v>18</v>
      </c>
      <c r="F1330" s="17">
        <v>83.24</v>
      </c>
      <c r="G1330" s="3">
        <v>9</v>
      </c>
      <c r="H1330" s="17">
        <f>Table1[[#This Row],[Unit price]]*Table1[[#This Row],[Quantity]]</f>
        <v>749.16</v>
      </c>
      <c r="I1330" s="29">
        <f>Table1[[#This Row],[Total Revenue]]/$H$5056*100</f>
        <v>7.948268986881625E-2</v>
      </c>
      <c r="J1330" s="3" t="s">
        <v>12</v>
      </c>
      <c r="K1330" s="4">
        <v>7.4</v>
      </c>
      <c r="M1330"/>
    </row>
    <row r="1331" spans="1:13" x14ac:dyDescent="0.25">
      <c r="A1331" s="3" t="s">
        <v>83</v>
      </c>
      <c r="B1331" s="3" t="s">
        <v>243</v>
      </c>
      <c r="C1331" s="3" t="s">
        <v>9</v>
      </c>
      <c r="D1331" s="3" t="s">
        <v>10</v>
      </c>
      <c r="E1331" s="5" t="s">
        <v>20</v>
      </c>
      <c r="F1331" s="17">
        <v>22.96</v>
      </c>
      <c r="G1331" s="3">
        <v>1</v>
      </c>
      <c r="H1331" s="17">
        <f>Table1[[#This Row],[Unit price]]*Table1[[#This Row],[Quantity]]</f>
        <v>22.96</v>
      </c>
      <c r="I1331" s="29">
        <f>Table1[[#This Row],[Total Revenue]]/$H$5056*100</f>
        <v>2.435958352538872E-3</v>
      </c>
      <c r="J1331" s="3" t="s">
        <v>15</v>
      </c>
      <c r="K1331" s="4">
        <v>4.3</v>
      </c>
      <c r="M1331"/>
    </row>
    <row r="1332" spans="1:13" x14ac:dyDescent="0.25">
      <c r="A1332" s="3" t="s">
        <v>83</v>
      </c>
      <c r="B1332" s="3" t="s">
        <v>245</v>
      </c>
      <c r="C1332" s="3" t="s">
        <v>13</v>
      </c>
      <c r="D1332" s="3" t="s">
        <v>19</v>
      </c>
      <c r="E1332" s="5" t="s">
        <v>14</v>
      </c>
      <c r="F1332" s="17">
        <v>23.65</v>
      </c>
      <c r="G1332" s="3">
        <v>4</v>
      </c>
      <c r="H1332" s="17">
        <f>Table1[[#This Row],[Unit price]]*Table1[[#This Row],[Quantity]]</f>
        <v>94.6</v>
      </c>
      <c r="I1332" s="29">
        <f>Table1[[#This Row],[Total Revenue]]/$H$5056*100</f>
        <v>1.0036657672046048E-2</v>
      </c>
      <c r="J1332" s="3" t="s">
        <v>12</v>
      </c>
      <c r="K1332" s="4">
        <v>4</v>
      </c>
      <c r="M1332"/>
    </row>
    <row r="1333" spans="1:13" x14ac:dyDescent="0.25">
      <c r="A1333" s="3" t="s">
        <v>83</v>
      </c>
      <c r="B1333" s="3" t="s">
        <v>244</v>
      </c>
      <c r="C1333" s="3" t="s">
        <v>13</v>
      </c>
      <c r="D1333" s="3" t="s">
        <v>10</v>
      </c>
      <c r="E1333" s="5" t="s">
        <v>14</v>
      </c>
      <c r="F1333" s="17">
        <v>93.78</v>
      </c>
      <c r="G1333" s="3">
        <v>3</v>
      </c>
      <c r="H1333" s="17">
        <f>Table1[[#This Row],[Unit price]]*Table1[[#This Row],[Quantity]]</f>
        <v>281.34000000000003</v>
      </c>
      <c r="I1333" s="29">
        <f>Table1[[#This Row],[Total Revenue]]/$H$5056*100</f>
        <v>2.9848977478366127E-2</v>
      </c>
      <c r="J1333" s="3" t="s">
        <v>12</v>
      </c>
      <c r="K1333" s="4">
        <v>5.9</v>
      </c>
      <c r="M1333"/>
    </row>
    <row r="1334" spans="1:13" x14ac:dyDescent="0.25">
      <c r="A1334" s="3" t="s">
        <v>83</v>
      </c>
      <c r="B1334" s="3" t="s">
        <v>245</v>
      </c>
      <c r="C1334" s="3" t="s">
        <v>9</v>
      </c>
      <c r="D1334" s="3" t="s">
        <v>10</v>
      </c>
      <c r="E1334" s="5" t="s">
        <v>11</v>
      </c>
      <c r="F1334" s="17">
        <v>98.52</v>
      </c>
      <c r="G1334" s="3">
        <v>10</v>
      </c>
      <c r="H1334" s="17">
        <f>Table1[[#This Row],[Unit price]]*Table1[[#This Row],[Quantity]]</f>
        <v>985.19999999999993</v>
      </c>
      <c r="I1334" s="29">
        <f>Table1[[#This Row],[Total Revenue]]/$H$5056*100</f>
        <v>0.10452553000528295</v>
      </c>
      <c r="J1334" s="3" t="s">
        <v>17</v>
      </c>
      <c r="K1334" s="4">
        <v>4.5</v>
      </c>
      <c r="M1334"/>
    </row>
    <row r="1335" spans="1:13" x14ac:dyDescent="0.25">
      <c r="A1335" s="3" t="s">
        <v>83</v>
      </c>
      <c r="B1335" s="3" t="s">
        <v>244</v>
      </c>
      <c r="C1335" s="3" t="s">
        <v>9</v>
      </c>
      <c r="D1335" s="3" t="s">
        <v>19</v>
      </c>
      <c r="E1335" s="5" t="s">
        <v>16</v>
      </c>
      <c r="F1335" s="17">
        <v>22.38</v>
      </c>
      <c r="G1335" s="3">
        <v>1</v>
      </c>
      <c r="H1335" s="17">
        <f>Table1[[#This Row],[Unit price]]*Table1[[#This Row],[Quantity]]</f>
        <v>22.38</v>
      </c>
      <c r="I1335" s="29">
        <f>Table1[[#This Row],[Total Revenue]]/$H$5056*100</f>
        <v>2.374422819243029E-3</v>
      </c>
      <c r="J1335" s="3" t="s">
        <v>12</v>
      </c>
      <c r="K1335" s="4">
        <v>8.6</v>
      </c>
      <c r="M1335"/>
    </row>
    <row r="1336" spans="1:13" x14ac:dyDescent="0.25">
      <c r="A1336" s="3" t="s">
        <v>83</v>
      </c>
      <c r="B1336" s="3" t="s">
        <v>243</v>
      </c>
      <c r="C1336" s="3" t="s">
        <v>9</v>
      </c>
      <c r="D1336" s="3" t="s">
        <v>10</v>
      </c>
      <c r="E1336" s="5" t="s">
        <v>11</v>
      </c>
      <c r="F1336" s="17">
        <v>97.03</v>
      </c>
      <c r="G1336" s="3">
        <v>5</v>
      </c>
      <c r="H1336" s="17">
        <f>Table1[[#This Row],[Unit price]]*Table1[[#This Row],[Quantity]]</f>
        <v>485.15</v>
      </c>
      <c r="I1336" s="29">
        <f>Table1[[#This Row],[Total Revenue]]/$H$5056*100</f>
        <v>5.1472351687031077E-2</v>
      </c>
      <c r="J1336" s="3" t="s">
        <v>17</v>
      </c>
      <c r="K1336" s="4">
        <v>9.3000000000000007</v>
      </c>
      <c r="M1336"/>
    </row>
    <row r="1337" spans="1:13" x14ac:dyDescent="0.25">
      <c r="A1337" s="3" t="s">
        <v>83</v>
      </c>
      <c r="B1337" s="3" t="s">
        <v>245</v>
      </c>
      <c r="C1337" s="3" t="s">
        <v>9</v>
      </c>
      <c r="D1337" s="3" t="s">
        <v>10</v>
      </c>
      <c r="E1337" s="5" t="s">
        <v>14</v>
      </c>
      <c r="F1337" s="17">
        <v>72.13</v>
      </c>
      <c r="G1337" s="3">
        <v>10</v>
      </c>
      <c r="H1337" s="17">
        <f>Table1[[#This Row],[Unit price]]*Table1[[#This Row],[Quantity]]</f>
        <v>721.3</v>
      </c>
      <c r="I1337" s="29">
        <f>Table1[[#This Row],[Total Revenue]]/$H$5056*100</f>
        <v>7.6526862355674574E-2</v>
      </c>
      <c r="J1337" s="3" t="s">
        <v>12</v>
      </c>
      <c r="K1337" s="4">
        <v>4.2</v>
      </c>
      <c r="M1337"/>
    </row>
    <row r="1338" spans="1:13" x14ac:dyDescent="0.25">
      <c r="A1338" s="3" t="s">
        <v>83</v>
      </c>
      <c r="B1338" s="3" t="s">
        <v>245</v>
      </c>
      <c r="C1338" s="3" t="s">
        <v>13</v>
      </c>
      <c r="D1338" s="3" t="s">
        <v>19</v>
      </c>
      <c r="E1338" s="5" t="s">
        <v>18</v>
      </c>
      <c r="F1338" s="17">
        <v>51.34</v>
      </c>
      <c r="G1338" s="3">
        <v>8</v>
      </c>
      <c r="H1338" s="17">
        <f>Table1[[#This Row],[Unit price]]*Table1[[#This Row],[Quantity]]</f>
        <v>410.72</v>
      </c>
      <c r="I1338" s="29">
        <f>Table1[[#This Row],[Total Revenue]]/$H$5056*100</f>
        <v>4.3575645233221494E-2</v>
      </c>
      <c r="J1338" s="3" t="s">
        <v>17</v>
      </c>
      <c r="K1338" s="4">
        <v>7.6</v>
      </c>
      <c r="M1338"/>
    </row>
    <row r="1339" spans="1:13" x14ac:dyDescent="0.25">
      <c r="A1339" s="3" t="s">
        <v>83</v>
      </c>
      <c r="B1339" s="3" t="s">
        <v>244</v>
      </c>
      <c r="C1339" s="3" t="s">
        <v>13</v>
      </c>
      <c r="D1339" s="3" t="s">
        <v>10</v>
      </c>
      <c r="E1339" s="5" t="s">
        <v>16</v>
      </c>
      <c r="F1339" s="17">
        <v>75.819999999999993</v>
      </c>
      <c r="G1339" s="3">
        <v>1</v>
      </c>
      <c r="H1339" s="17">
        <f>Table1[[#This Row],[Unit price]]*Table1[[#This Row],[Quantity]]</f>
        <v>75.819999999999993</v>
      </c>
      <c r="I1339" s="29">
        <f>Table1[[#This Row],[Total Revenue]]/$H$5056*100</f>
        <v>8.0441795422254905E-3</v>
      </c>
      <c r="J1339" s="3" t="s">
        <v>15</v>
      </c>
      <c r="K1339" s="4">
        <v>5.8</v>
      </c>
      <c r="M1339"/>
    </row>
    <row r="1340" spans="1:13" x14ac:dyDescent="0.25">
      <c r="A1340" s="3" t="s">
        <v>83</v>
      </c>
      <c r="B1340" s="3" t="s">
        <v>245</v>
      </c>
      <c r="C1340" s="3" t="s">
        <v>13</v>
      </c>
      <c r="D1340" s="3" t="s">
        <v>10</v>
      </c>
      <c r="E1340" s="5" t="s">
        <v>18</v>
      </c>
      <c r="F1340" s="17">
        <v>62.18</v>
      </c>
      <c r="G1340" s="3">
        <v>10</v>
      </c>
      <c r="H1340" s="17">
        <f>Table1[[#This Row],[Unit price]]*Table1[[#This Row],[Quantity]]</f>
        <v>621.79999999999995</v>
      </c>
      <c r="I1340" s="29">
        <f>Table1[[#This Row],[Total Revenue]]/$H$5056*100</f>
        <v>6.5970335523025725E-2</v>
      </c>
      <c r="J1340" s="3" t="s">
        <v>17</v>
      </c>
      <c r="K1340" s="4">
        <v>6</v>
      </c>
      <c r="M1340"/>
    </row>
    <row r="1341" spans="1:13" x14ac:dyDescent="0.25">
      <c r="A1341" s="3" t="s">
        <v>83</v>
      </c>
      <c r="B1341" s="3" t="s">
        <v>243</v>
      </c>
      <c r="C1341" s="3" t="s">
        <v>9</v>
      </c>
      <c r="D1341" s="3" t="s">
        <v>19</v>
      </c>
      <c r="E1341" s="5" t="s">
        <v>14</v>
      </c>
      <c r="F1341" s="17">
        <v>37.06</v>
      </c>
      <c r="G1341" s="3">
        <v>4</v>
      </c>
      <c r="H1341" s="17">
        <f>Table1[[#This Row],[Unit price]]*Table1[[#This Row],[Quantity]]</f>
        <v>148.24</v>
      </c>
      <c r="I1341" s="29">
        <f>Table1[[#This Row],[Total Revenue]]/$H$5056*100</f>
        <v>1.5727633544440869E-2</v>
      </c>
      <c r="J1341" s="3" t="s">
        <v>17</v>
      </c>
      <c r="K1341" s="4">
        <v>9.6999999999999993</v>
      </c>
      <c r="M1341"/>
    </row>
    <row r="1342" spans="1:13" x14ac:dyDescent="0.25">
      <c r="A1342" s="3" t="s">
        <v>83</v>
      </c>
      <c r="B1342" s="3" t="s">
        <v>245</v>
      </c>
      <c r="C1342" s="3" t="s">
        <v>9</v>
      </c>
      <c r="D1342" s="3" t="s">
        <v>19</v>
      </c>
      <c r="E1342" s="5" t="s">
        <v>16</v>
      </c>
      <c r="F1342" s="17">
        <v>79.930000000000007</v>
      </c>
      <c r="G1342" s="3">
        <v>6</v>
      </c>
      <c r="H1342" s="17">
        <f>Table1[[#This Row],[Unit price]]*Table1[[#This Row],[Quantity]]</f>
        <v>479.58000000000004</v>
      </c>
      <c r="I1342" s="29">
        <f>Table1[[#This Row],[Total Revenue]]/$H$5056*100</f>
        <v>5.088139837589687E-2</v>
      </c>
      <c r="J1342" s="3" t="s">
        <v>15</v>
      </c>
      <c r="K1342" s="4">
        <v>5.5</v>
      </c>
      <c r="M1342"/>
    </row>
    <row r="1343" spans="1:13" x14ac:dyDescent="0.25">
      <c r="A1343" s="3" t="s">
        <v>83</v>
      </c>
      <c r="B1343" s="3" t="s">
        <v>244</v>
      </c>
      <c r="C1343" s="3" t="s">
        <v>13</v>
      </c>
      <c r="D1343" s="3" t="s">
        <v>10</v>
      </c>
      <c r="E1343" s="5" t="s">
        <v>14</v>
      </c>
      <c r="F1343" s="17">
        <v>87.87</v>
      </c>
      <c r="G1343" s="3">
        <v>9</v>
      </c>
      <c r="H1343" s="17">
        <f>Table1[[#This Row],[Unit price]]*Table1[[#This Row],[Quantity]]</f>
        <v>790.83</v>
      </c>
      <c r="I1343" s="29">
        <f>Table1[[#This Row],[Total Revenue]]/$H$5056*100</f>
        <v>8.3903699648881364E-2</v>
      </c>
      <c r="J1343" s="3" t="s">
        <v>17</v>
      </c>
      <c r="K1343" s="4">
        <v>5.6</v>
      </c>
      <c r="M1343"/>
    </row>
    <row r="1344" spans="1:13" x14ac:dyDescent="0.25">
      <c r="A1344" s="3" t="s">
        <v>84</v>
      </c>
      <c r="B1344" s="3" t="s">
        <v>244</v>
      </c>
      <c r="C1344" s="3" t="s">
        <v>13</v>
      </c>
      <c r="D1344" s="3" t="s">
        <v>19</v>
      </c>
      <c r="E1344" s="5" t="s">
        <v>11</v>
      </c>
      <c r="F1344" s="17">
        <v>14.87</v>
      </c>
      <c r="G1344" s="3">
        <v>2</v>
      </c>
      <c r="H1344" s="17">
        <f>Table1[[#This Row],[Unit price]]*Table1[[#This Row],[Quantity]]</f>
        <v>29.74</v>
      </c>
      <c r="I1344" s="29">
        <f>Table1[[#This Row],[Total Revenue]]/$H$5056*100</f>
        <v>3.1552875176178588E-3</v>
      </c>
      <c r="J1344" s="3" t="s">
        <v>12</v>
      </c>
      <c r="K1344" s="4">
        <v>8.9</v>
      </c>
      <c r="M1344"/>
    </row>
    <row r="1345" spans="1:13" x14ac:dyDescent="0.25">
      <c r="A1345" s="3" t="s">
        <v>84</v>
      </c>
      <c r="B1345" s="3" t="s">
        <v>244</v>
      </c>
      <c r="C1345" s="3" t="s">
        <v>9</v>
      </c>
      <c r="D1345" s="3" t="s">
        <v>19</v>
      </c>
      <c r="E1345" s="5" t="s">
        <v>14</v>
      </c>
      <c r="F1345" s="17">
        <v>32.25</v>
      </c>
      <c r="G1345" s="3">
        <v>4</v>
      </c>
      <c r="H1345" s="17">
        <f>Table1[[#This Row],[Unit price]]*Table1[[#This Row],[Quantity]]</f>
        <v>129</v>
      </c>
      <c r="I1345" s="29">
        <f>Table1[[#This Row],[Total Revenue]]/$H$5056*100</f>
        <v>1.3686351370971885E-2</v>
      </c>
      <c r="J1345" s="3" t="s">
        <v>17</v>
      </c>
      <c r="K1345" s="4">
        <v>6.5</v>
      </c>
      <c r="M1345"/>
    </row>
    <row r="1346" spans="1:13" x14ac:dyDescent="0.25">
      <c r="A1346" s="3" t="s">
        <v>84</v>
      </c>
      <c r="B1346" s="3" t="s">
        <v>243</v>
      </c>
      <c r="C1346" s="3" t="s">
        <v>13</v>
      </c>
      <c r="D1346" s="3" t="s">
        <v>10</v>
      </c>
      <c r="E1346" s="5" t="s">
        <v>16</v>
      </c>
      <c r="F1346" s="17">
        <v>13.69</v>
      </c>
      <c r="G1346" s="3">
        <v>6</v>
      </c>
      <c r="H1346" s="17">
        <f>Table1[[#This Row],[Unit price]]*Table1[[#This Row],[Quantity]]</f>
        <v>82.14</v>
      </c>
      <c r="I1346" s="29">
        <f>Table1[[#This Row],[Total Revenue]]/$H$5056*100</f>
        <v>8.7147046636560505E-3</v>
      </c>
      <c r="J1346" s="3" t="s">
        <v>15</v>
      </c>
      <c r="K1346" s="4">
        <v>6.3</v>
      </c>
      <c r="M1346"/>
    </row>
    <row r="1347" spans="1:13" x14ac:dyDescent="0.25">
      <c r="A1347" s="3" t="s">
        <v>84</v>
      </c>
      <c r="B1347" s="3" t="s">
        <v>243</v>
      </c>
      <c r="C1347" s="3" t="s">
        <v>13</v>
      </c>
      <c r="D1347" s="3" t="s">
        <v>19</v>
      </c>
      <c r="E1347" s="5" t="s">
        <v>21</v>
      </c>
      <c r="F1347" s="17">
        <v>91.3</v>
      </c>
      <c r="G1347" s="3">
        <v>1</v>
      </c>
      <c r="H1347" s="17">
        <f>Table1[[#This Row],[Unit price]]*Table1[[#This Row],[Quantity]]</f>
        <v>91.3</v>
      </c>
      <c r="I1347" s="29">
        <f>Table1[[#This Row],[Total Revenue]]/$H$5056*100</f>
        <v>9.6865417067421161E-3</v>
      </c>
      <c r="J1347" s="3" t="s">
        <v>17</v>
      </c>
      <c r="K1347" s="4">
        <v>9.1999999999999993</v>
      </c>
      <c r="M1347"/>
    </row>
    <row r="1348" spans="1:13" x14ac:dyDescent="0.25">
      <c r="A1348" s="3" t="s">
        <v>84</v>
      </c>
      <c r="B1348" s="3" t="s">
        <v>243</v>
      </c>
      <c r="C1348" s="3" t="s">
        <v>9</v>
      </c>
      <c r="D1348" s="3" t="s">
        <v>10</v>
      </c>
      <c r="E1348" s="5" t="s">
        <v>16</v>
      </c>
      <c r="F1348" s="17">
        <v>44.65</v>
      </c>
      <c r="G1348" s="3">
        <v>3</v>
      </c>
      <c r="H1348" s="17">
        <f>Table1[[#This Row],[Unit price]]*Table1[[#This Row],[Quantity]]</f>
        <v>133.94999999999999</v>
      </c>
      <c r="I1348" s="29">
        <f>Table1[[#This Row],[Total Revenue]]/$H$5056*100</f>
        <v>1.4211525318927781E-2</v>
      </c>
      <c r="J1348" s="3" t="s">
        <v>15</v>
      </c>
      <c r="K1348" s="4">
        <v>6.2</v>
      </c>
      <c r="M1348"/>
    </row>
    <row r="1349" spans="1:13" x14ac:dyDescent="0.25">
      <c r="A1349" s="3" t="s">
        <v>84</v>
      </c>
      <c r="B1349" s="3" t="s">
        <v>243</v>
      </c>
      <c r="C1349" s="3" t="s">
        <v>9</v>
      </c>
      <c r="D1349" s="3" t="s">
        <v>19</v>
      </c>
      <c r="E1349" s="5" t="s">
        <v>21</v>
      </c>
      <c r="F1349" s="17">
        <v>75.739999999999995</v>
      </c>
      <c r="G1349" s="3">
        <v>4</v>
      </c>
      <c r="H1349" s="17">
        <f>Table1[[#This Row],[Unit price]]*Table1[[#This Row],[Quantity]]</f>
        <v>302.95999999999998</v>
      </c>
      <c r="I1349" s="29">
        <f>Table1[[#This Row],[Total Revenue]]/$H$5056*100</f>
        <v>3.2142767529842187E-2</v>
      </c>
      <c r="J1349" s="3" t="s">
        <v>15</v>
      </c>
      <c r="K1349" s="4">
        <v>7.6</v>
      </c>
      <c r="M1349"/>
    </row>
    <row r="1350" spans="1:13" x14ac:dyDescent="0.25">
      <c r="A1350" s="3" t="s">
        <v>84</v>
      </c>
      <c r="B1350" s="3" t="s">
        <v>244</v>
      </c>
      <c r="C1350" s="3" t="s">
        <v>9</v>
      </c>
      <c r="D1350" s="3" t="s">
        <v>10</v>
      </c>
      <c r="E1350" s="5" t="s">
        <v>16</v>
      </c>
      <c r="F1350" s="17">
        <v>60.08</v>
      </c>
      <c r="G1350" s="3">
        <v>7</v>
      </c>
      <c r="H1350" s="17">
        <f>Table1[[#This Row],[Unit price]]*Table1[[#This Row],[Quantity]]</f>
        <v>420.56</v>
      </c>
      <c r="I1350" s="29">
        <f>Table1[[#This Row],[Total Revenue]]/$H$5056*100</f>
        <v>4.4619627384309579E-2</v>
      </c>
      <c r="J1350" s="3" t="s">
        <v>12</v>
      </c>
      <c r="K1350" s="4">
        <v>4.5</v>
      </c>
      <c r="M1350"/>
    </row>
    <row r="1351" spans="1:13" x14ac:dyDescent="0.25">
      <c r="A1351" s="3" t="s">
        <v>84</v>
      </c>
      <c r="B1351" s="3" t="s">
        <v>245</v>
      </c>
      <c r="C1351" s="3" t="s">
        <v>9</v>
      </c>
      <c r="D1351" s="3" t="s">
        <v>10</v>
      </c>
      <c r="E1351" s="5" t="s">
        <v>11</v>
      </c>
      <c r="F1351" s="17">
        <v>27.66</v>
      </c>
      <c r="G1351" s="3">
        <v>10</v>
      </c>
      <c r="H1351" s="17">
        <f>Table1[[#This Row],[Unit price]]*Table1[[#This Row],[Quantity]]</f>
        <v>276.60000000000002</v>
      </c>
      <c r="I1351" s="29">
        <f>Table1[[#This Row],[Total Revenue]]/$H$5056*100</f>
        <v>2.9346083637293206E-2</v>
      </c>
      <c r="J1351" s="3" t="s">
        <v>12</v>
      </c>
      <c r="K1351" s="4">
        <v>8.9</v>
      </c>
      <c r="M1351"/>
    </row>
    <row r="1352" spans="1:13" x14ac:dyDescent="0.25">
      <c r="A1352" s="3" t="s">
        <v>84</v>
      </c>
      <c r="B1352" s="3" t="s">
        <v>244</v>
      </c>
      <c r="C1352" s="3" t="s">
        <v>9</v>
      </c>
      <c r="D1352" s="3" t="s">
        <v>10</v>
      </c>
      <c r="E1352" s="5" t="s">
        <v>11</v>
      </c>
      <c r="F1352" s="17">
        <v>99.37</v>
      </c>
      <c r="G1352" s="3">
        <v>2</v>
      </c>
      <c r="H1352" s="17">
        <f>Table1[[#This Row],[Unit price]]*Table1[[#This Row],[Quantity]]</f>
        <v>198.74</v>
      </c>
      <c r="I1352" s="29">
        <f>Table1[[#This Row],[Total Revenue]]/$H$5056*100</f>
        <v>2.1085468771061648E-2</v>
      </c>
      <c r="J1352" s="3" t="s">
        <v>15</v>
      </c>
      <c r="K1352" s="4">
        <v>5.2</v>
      </c>
      <c r="M1352"/>
    </row>
    <row r="1353" spans="1:13" x14ac:dyDescent="0.25">
      <c r="A1353" s="3" t="s">
        <v>84</v>
      </c>
      <c r="B1353" s="3" t="s">
        <v>245</v>
      </c>
      <c r="C1353" s="3" t="s">
        <v>13</v>
      </c>
      <c r="D1353" s="3" t="s">
        <v>10</v>
      </c>
      <c r="E1353" s="5" t="s">
        <v>21</v>
      </c>
      <c r="F1353" s="17">
        <v>58.32</v>
      </c>
      <c r="G1353" s="3">
        <v>2</v>
      </c>
      <c r="H1353" s="17">
        <f>Table1[[#This Row],[Unit price]]*Table1[[#This Row],[Quantity]]</f>
        <v>116.64</v>
      </c>
      <c r="I1353" s="29">
        <f>Table1[[#This Row],[Total Revenue]]/$H$5056*100</f>
        <v>1.2375007937288067E-2</v>
      </c>
      <c r="J1353" s="3" t="s">
        <v>17</v>
      </c>
      <c r="K1353" s="4">
        <v>6</v>
      </c>
      <c r="M1353"/>
    </row>
    <row r="1354" spans="1:13" x14ac:dyDescent="0.25">
      <c r="A1354" s="3" t="s">
        <v>84</v>
      </c>
      <c r="B1354" s="3" t="s">
        <v>243</v>
      </c>
      <c r="C1354" s="3" t="s">
        <v>13</v>
      </c>
      <c r="D1354" s="3" t="s">
        <v>10</v>
      </c>
      <c r="E1354" s="5" t="s">
        <v>21</v>
      </c>
      <c r="F1354" s="17">
        <v>76.900000000000006</v>
      </c>
      <c r="G1354" s="3">
        <v>7</v>
      </c>
      <c r="H1354" s="17">
        <f>Table1[[#This Row],[Unit price]]*Table1[[#This Row],[Quantity]]</f>
        <v>538.30000000000007</v>
      </c>
      <c r="I1354" s="29">
        <f>Table1[[#This Row],[Total Revenue]]/$H$5056*100</f>
        <v>5.7111340643365628E-2</v>
      </c>
      <c r="J1354" s="3" t="s">
        <v>15</v>
      </c>
      <c r="K1354" s="4">
        <v>7.7</v>
      </c>
      <c r="M1354"/>
    </row>
    <row r="1355" spans="1:13" x14ac:dyDescent="0.25">
      <c r="A1355" s="3" t="s">
        <v>84</v>
      </c>
      <c r="B1355" s="3" t="s">
        <v>245</v>
      </c>
      <c r="C1355" s="3" t="s">
        <v>13</v>
      </c>
      <c r="D1355" s="3" t="s">
        <v>10</v>
      </c>
      <c r="E1355" s="5" t="s">
        <v>11</v>
      </c>
      <c r="F1355" s="17">
        <v>77.400000000000006</v>
      </c>
      <c r="G1355" s="3">
        <v>9</v>
      </c>
      <c r="H1355" s="17">
        <f>Table1[[#This Row],[Unit price]]*Table1[[#This Row],[Quantity]]</f>
        <v>696.6</v>
      </c>
      <c r="I1355" s="29">
        <f>Table1[[#This Row],[Total Revenue]]/$H$5056*100</f>
        <v>7.3906297403248181E-2</v>
      </c>
      <c r="J1355" s="3" t="s">
        <v>12</v>
      </c>
      <c r="K1355" s="4">
        <v>4.5</v>
      </c>
      <c r="M1355"/>
    </row>
    <row r="1356" spans="1:13" x14ac:dyDescent="0.25">
      <c r="A1356" s="3" t="s">
        <v>84</v>
      </c>
      <c r="B1356" s="3" t="s">
        <v>243</v>
      </c>
      <c r="C1356" s="3" t="s">
        <v>13</v>
      </c>
      <c r="D1356" s="3" t="s">
        <v>19</v>
      </c>
      <c r="E1356" s="5" t="s">
        <v>11</v>
      </c>
      <c r="F1356" s="17">
        <v>67.099999999999994</v>
      </c>
      <c r="G1356" s="3">
        <v>3</v>
      </c>
      <c r="H1356" s="17">
        <f>Table1[[#This Row],[Unit price]]*Table1[[#This Row],[Quantity]]</f>
        <v>201.29999999999998</v>
      </c>
      <c r="I1356" s="29">
        <f>Table1[[#This Row],[Total Revenue]]/$H$5056*100</f>
        <v>2.1357073883539846E-2</v>
      </c>
      <c r="J1356" s="3" t="s">
        <v>15</v>
      </c>
      <c r="K1356" s="4">
        <v>7.5</v>
      </c>
      <c r="M1356"/>
    </row>
    <row r="1357" spans="1:13" x14ac:dyDescent="0.25">
      <c r="A1357" s="3" t="s">
        <v>84</v>
      </c>
      <c r="B1357" s="3" t="s">
        <v>243</v>
      </c>
      <c r="C1357" s="3" t="s">
        <v>13</v>
      </c>
      <c r="D1357" s="3" t="s">
        <v>10</v>
      </c>
      <c r="E1357" s="5" t="s">
        <v>21</v>
      </c>
      <c r="F1357" s="17">
        <v>33.64</v>
      </c>
      <c r="G1357" s="3">
        <v>8</v>
      </c>
      <c r="H1357" s="17">
        <f>Table1[[#This Row],[Unit price]]*Table1[[#This Row],[Quantity]]</f>
        <v>269.12</v>
      </c>
      <c r="I1357" s="29">
        <f>Table1[[#This Row],[Total Revenue]]/$H$5056*100</f>
        <v>2.8552487449270959E-2</v>
      </c>
      <c r="J1357" s="3" t="s">
        <v>12</v>
      </c>
      <c r="K1357" s="4">
        <v>9.3000000000000007</v>
      </c>
      <c r="M1357"/>
    </row>
    <row r="1358" spans="1:13" x14ac:dyDescent="0.25">
      <c r="A1358" s="3" t="s">
        <v>84</v>
      </c>
      <c r="B1358" s="3" t="s">
        <v>244</v>
      </c>
      <c r="C1358" s="3" t="s">
        <v>13</v>
      </c>
      <c r="D1358" s="3" t="s">
        <v>10</v>
      </c>
      <c r="E1358" s="5" t="s">
        <v>21</v>
      </c>
      <c r="F1358" s="17">
        <v>68.55</v>
      </c>
      <c r="G1358" s="3">
        <v>4</v>
      </c>
      <c r="H1358" s="17">
        <f>Table1[[#This Row],[Unit price]]*Table1[[#This Row],[Quantity]]</f>
        <v>274.2</v>
      </c>
      <c r="I1358" s="29">
        <f>Table1[[#This Row],[Total Revenue]]/$H$5056*100</f>
        <v>2.9091453844344889E-2</v>
      </c>
      <c r="J1358" s="3" t="s">
        <v>12</v>
      </c>
      <c r="K1358" s="4">
        <v>9.1999999999999993</v>
      </c>
      <c r="M1358"/>
    </row>
    <row r="1359" spans="1:13" x14ac:dyDescent="0.25">
      <c r="A1359" s="3" t="s">
        <v>84</v>
      </c>
      <c r="B1359" s="3" t="s">
        <v>245</v>
      </c>
      <c r="C1359" s="3" t="s">
        <v>9</v>
      </c>
      <c r="D1359" s="3" t="s">
        <v>10</v>
      </c>
      <c r="E1359" s="5" t="s">
        <v>16</v>
      </c>
      <c r="F1359" s="17">
        <v>24.74</v>
      </c>
      <c r="G1359" s="3">
        <v>3</v>
      </c>
      <c r="H1359" s="17">
        <f>Table1[[#This Row],[Unit price]]*Table1[[#This Row],[Quantity]]</f>
        <v>74.22</v>
      </c>
      <c r="I1359" s="29">
        <f>Table1[[#This Row],[Total Revenue]]/$H$5056*100</f>
        <v>7.8744263469266145E-3</v>
      </c>
      <c r="J1359" s="3" t="s">
        <v>12</v>
      </c>
      <c r="K1359" s="4">
        <v>10</v>
      </c>
      <c r="M1359"/>
    </row>
    <row r="1360" spans="1:13" x14ac:dyDescent="0.25">
      <c r="A1360" s="3" t="s">
        <v>85</v>
      </c>
      <c r="B1360" s="3" t="s">
        <v>244</v>
      </c>
      <c r="C1360" s="3" t="s">
        <v>13</v>
      </c>
      <c r="D1360" s="3" t="s">
        <v>10</v>
      </c>
      <c r="E1360" s="5" t="s">
        <v>11</v>
      </c>
      <c r="F1360" s="17">
        <v>26.43</v>
      </c>
      <c r="G1360" s="3">
        <v>8</v>
      </c>
      <c r="H1360" s="17">
        <f>Table1[[#This Row],[Unit price]]*Table1[[#This Row],[Quantity]]</f>
        <v>211.44</v>
      </c>
      <c r="I1360" s="29">
        <f>Table1[[#This Row],[Total Revenue]]/$H$5056*100</f>
        <v>2.2432884758746476E-2</v>
      </c>
      <c r="J1360" s="3" t="s">
        <v>17</v>
      </c>
      <c r="K1360" s="4">
        <v>8.9</v>
      </c>
      <c r="M1360"/>
    </row>
    <row r="1361" spans="1:13" x14ac:dyDescent="0.25">
      <c r="A1361" s="3" t="s">
        <v>85</v>
      </c>
      <c r="B1361" s="3" t="s">
        <v>244</v>
      </c>
      <c r="C1361" s="3" t="s">
        <v>13</v>
      </c>
      <c r="D1361" s="3" t="s">
        <v>10</v>
      </c>
      <c r="E1361" s="5" t="s">
        <v>18</v>
      </c>
      <c r="F1361" s="17">
        <v>83.77</v>
      </c>
      <c r="G1361" s="3">
        <v>2</v>
      </c>
      <c r="H1361" s="17">
        <f>Table1[[#This Row],[Unit price]]*Table1[[#This Row],[Quantity]]</f>
        <v>167.54</v>
      </c>
      <c r="I1361" s="29">
        <f>Table1[[#This Row],[Total Revenue]]/$H$5056*100</f>
        <v>1.777528146273356E-2</v>
      </c>
      <c r="J1361" s="3" t="s">
        <v>15</v>
      </c>
      <c r="K1361" s="4">
        <v>4.5999999999999996</v>
      </c>
      <c r="M1361"/>
    </row>
    <row r="1362" spans="1:13" x14ac:dyDescent="0.25">
      <c r="A1362" s="3" t="s">
        <v>85</v>
      </c>
      <c r="B1362" s="3" t="s">
        <v>245</v>
      </c>
      <c r="C1362" s="3" t="s">
        <v>13</v>
      </c>
      <c r="D1362" s="3" t="s">
        <v>19</v>
      </c>
      <c r="E1362" s="5" t="s">
        <v>18</v>
      </c>
      <c r="F1362" s="17">
        <v>94.13</v>
      </c>
      <c r="G1362" s="3">
        <v>5</v>
      </c>
      <c r="H1362" s="17">
        <f>Table1[[#This Row],[Unit price]]*Table1[[#This Row],[Quantity]]</f>
        <v>470.65</v>
      </c>
      <c r="I1362" s="29">
        <f>Table1[[#This Row],[Total Revenue]]/$H$5056*100</f>
        <v>4.9933963354635014E-2</v>
      </c>
      <c r="J1362" s="3" t="s">
        <v>12</v>
      </c>
      <c r="K1362" s="4">
        <v>4.8</v>
      </c>
      <c r="M1362"/>
    </row>
    <row r="1363" spans="1:13" x14ac:dyDescent="0.25">
      <c r="A1363" s="3" t="s">
        <v>85</v>
      </c>
      <c r="B1363" s="3" t="s">
        <v>244</v>
      </c>
      <c r="C1363" s="3" t="s">
        <v>13</v>
      </c>
      <c r="D1363" s="3" t="s">
        <v>10</v>
      </c>
      <c r="E1363" s="5" t="s">
        <v>11</v>
      </c>
      <c r="F1363" s="17">
        <v>94.13</v>
      </c>
      <c r="G1363" s="3">
        <v>3</v>
      </c>
      <c r="H1363" s="17">
        <f>Table1[[#This Row],[Unit price]]*Table1[[#This Row],[Quantity]]</f>
        <v>282.39</v>
      </c>
      <c r="I1363" s="29">
        <f>Table1[[#This Row],[Total Revenue]]/$H$5056*100</f>
        <v>2.9960378012781008E-2</v>
      </c>
      <c r="J1363" s="3" t="s">
        <v>15</v>
      </c>
      <c r="K1363" s="4">
        <v>5.8</v>
      </c>
      <c r="M1363"/>
    </row>
    <row r="1364" spans="1:13" x14ac:dyDescent="0.25">
      <c r="A1364" s="3" t="s">
        <v>85</v>
      </c>
      <c r="B1364" s="3" t="s">
        <v>244</v>
      </c>
      <c r="C1364" s="3" t="s">
        <v>9</v>
      </c>
      <c r="D1364" s="3" t="s">
        <v>10</v>
      </c>
      <c r="E1364" s="5" t="s">
        <v>11</v>
      </c>
      <c r="F1364" s="17">
        <v>48.61</v>
      </c>
      <c r="G1364" s="3">
        <v>1</v>
      </c>
      <c r="H1364" s="17">
        <f>Table1[[#This Row],[Unit price]]*Table1[[#This Row],[Quantity]]</f>
        <v>48.61</v>
      </c>
      <c r="I1364" s="29">
        <f>Table1[[#This Row],[Total Revenue]]/$H$5056*100</f>
        <v>5.1573142646739794E-3</v>
      </c>
      <c r="J1364" s="3" t="s">
        <v>15</v>
      </c>
      <c r="K1364" s="4">
        <v>4.4000000000000004</v>
      </c>
      <c r="M1364"/>
    </row>
    <row r="1365" spans="1:13" x14ac:dyDescent="0.25">
      <c r="A1365" s="3" t="s">
        <v>85</v>
      </c>
      <c r="B1365" s="3" t="s">
        <v>243</v>
      </c>
      <c r="C1365" s="3" t="s">
        <v>9</v>
      </c>
      <c r="D1365" s="3" t="s">
        <v>10</v>
      </c>
      <c r="E1365" s="5" t="s">
        <v>21</v>
      </c>
      <c r="F1365" s="17">
        <v>62.57</v>
      </c>
      <c r="G1365" s="3">
        <v>4</v>
      </c>
      <c r="H1365" s="17">
        <f>Table1[[#This Row],[Unit price]]*Table1[[#This Row],[Quantity]]</f>
        <v>250.28</v>
      </c>
      <c r="I1365" s="29">
        <f>Table1[[#This Row],[Total Revenue]]/$H$5056*100</f>
        <v>2.6553643574626688E-2</v>
      </c>
      <c r="J1365" s="3" t="s">
        <v>15</v>
      </c>
      <c r="K1365" s="4">
        <v>9.5</v>
      </c>
      <c r="M1365"/>
    </row>
    <row r="1366" spans="1:13" x14ac:dyDescent="0.25">
      <c r="A1366" s="3" t="s">
        <v>85</v>
      </c>
      <c r="B1366" s="3" t="s">
        <v>245</v>
      </c>
      <c r="C1366" s="3" t="s">
        <v>9</v>
      </c>
      <c r="D1366" s="3" t="s">
        <v>10</v>
      </c>
      <c r="E1366" s="5" t="s">
        <v>18</v>
      </c>
      <c r="F1366" s="17">
        <v>73.05</v>
      </c>
      <c r="G1366" s="3">
        <v>4</v>
      </c>
      <c r="H1366" s="17">
        <f>Table1[[#This Row],[Unit price]]*Table1[[#This Row],[Quantity]]</f>
        <v>292.2</v>
      </c>
      <c r="I1366" s="29">
        <f>Table1[[#This Row],[Total Revenue]]/$H$5056*100</f>
        <v>3.1001177291457242E-2</v>
      </c>
      <c r="J1366" s="3" t="s">
        <v>12</v>
      </c>
      <c r="K1366" s="4">
        <v>4.9000000000000004</v>
      </c>
      <c r="M1366"/>
    </row>
    <row r="1367" spans="1:13" x14ac:dyDescent="0.25">
      <c r="A1367" s="3" t="s">
        <v>85</v>
      </c>
      <c r="B1367" s="3" t="s">
        <v>245</v>
      </c>
      <c r="C1367" s="3" t="s">
        <v>9</v>
      </c>
      <c r="D1367" s="3" t="s">
        <v>10</v>
      </c>
      <c r="E1367" s="5" t="s">
        <v>21</v>
      </c>
      <c r="F1367" s="17">
        <v>65.180000000000007</v>
      </c>
      <c r="G1367" s="3">
        <v>3</v>
      </c>
      <c r="H1367" s="17">
        <f>Table1[[#This Row],[Unit price]]*Table1[[#This Row],[Quantity]]</f>
        <v>195.54000000000002</v>
      </c>
      <c r="I1367" s="29">
        <f>Table1[[#This Row],[Total Revenue]]/$H$5056*100</f>
        <v>2.0745962380463896E-2</v>
      </c>
      <c r="J1367" s="3" t="s">
        <v>12</v>
      </c>
      <c r="K1367" s="4">
        <v>6.3</v>
      </c>
      <c r="M1367"/>
    </row>
    <row r="1368" spans="1:13" x14ac:dyDescent="0.25">
      <c r="A1368" s="3" t="s">
        <v>85</v>
      </c>
      <c r="B1368" s="3" t="s">
        <v>244</v>
      </c>
      <c r="C1368" s="3" t="s">
        <v>9</v>
      </c>
      <c r="D1368" s="3" t="s">
        <v>19</v>
      </c>
      <c r="E1368" s="5" t="s">
        <v>18</v>
      </c>
      <c r="F1368" s="17">
        <v>99.89</v>
      </c>
      <c r="G1368" s="3">
        <v>2</v>
      </c>
      <c r="H1368" s="17">
        <f>Table1[[#This Row],[Unit price]]*Table1[[#This Row],[Quantity]]</f>
        <v>199.78</v>
      </c>
      <c r="I1368" s="29">
        <f>Table1[[#This Row],[Total Revenue]]/$H$5056*100</f>
        <v>2.1195808348005916E-2</v>
      </c>
      <c r="J1368" s="3" t="s">
        <v>17</v>
      </c>
      <c r="K1368" s="4">
        <v>7.1</v>
      </c>
      <c r="M1368"/>
    </row>
    <row r="1369" spans="1:13" x14ac:dyDescent="0.25">
      <c r="A1369" s="3" t="s">
        <v>85</v>
      </c>
      <c r="B1369" s="3" t="s">
        <v>244</v>
      </c>
      <c r="C1369" s="3" t="s">
        <v>9</v>
      </c>
      <c r="D1369" s="3" t="s">
        <v>10</v>
      </c>
      <c r="E1369" s="5" t="s">
        <v>18</v>
      </c>
      <c r="F1369" s="17">
        <v>55.45</v>
      </c>
      <c r="G1369" s="3">
        <v>1</v>
      </c>
      <c r="H1369" s="17">
        <f>Table1[[#This Row],[Unit price]]*Table1[[#This Row],[Quantity]]</f>
        <v>55.45</v>
      </c>
      <c r="I1369" s="29">
        <f>Table1[[#This Row],[Total Revenue]]/$H$5056*100</f>
        <v>5.883009174576675E-3</v>
      </c>
      <c r="J1369" s="3" t="s">
        <v>12</v>
      </c>
      <c r="K1369" s="4">
        <v>4.9000000000000004</v>
      </c>
      <c r="M1369"/>
    </row>
    <row r="1370" spans="1:13" x14ac:dyDescent="0.25">
      <c r="A1370" s="3" t="s">
        <v>85</v>
      </c>
      <c r="B1370" s="3" t="s">
        <v>245</v>
      </c>
      <c r="C1370" s="3" t="s">
        <v>13</v>
      </c>
      <c r="D1370" s="3" t="s">
        <v>10</v>
      </c>
      <c r="E1370" s="5" t="s">
        <v>21</v>
      </c>
      <c r="F1370" s="17">
        <v>56.69</v>
      </c>
      <c r="G1370" s="3">
        <v>9</v>
      </c>
      <c r="H1370" s="17">
        <f>Table1[[#This Row],[Unit price]]*Table1[[#This Row],[Quantity]]</f>
        <v>510.21</v>
      </c>
      <c r="I1370" s="29">
        <f>Table1[[#This Row],[Total Revenue]]/$H$5056*100</f>
        <v>5.4131111108399729E-2</v>
      </c>
      <c r="J1370" s="3" t="s">
        <v>12</v>
      </c>
      <c r="K1370" s="4">
        <v>8.4</v>
      </c>
      <c r="M1370"/>
    </row>
    <row r="1371" spans="1:13" x14ac:dyDescent="0.25">
      <c r="A1371" s="3" t="s">
        <v>85</v>
      </c>
      <c r="B1371" s="3" t="s">
        <v>244</v>
      </c>
      <c r="C1371" s="3" t="s">
        <v>9</v>
      </c>
      <c r="D1371" s="3" t="s">
        <v>19</v>
      </c>
      <c r="E1371" s="5" t="s">
        <v>21</v>
      </c>
      <c r="F1371" s="17">
        <v>67.27</v>
      </c>
      <c r="G1371" s="3">
        <v>5</v>
      </c>
      <c r="H1371" s="17">
        <f>Table1[[#This Row],[Unit price]]*Table1[[#This Row],[Quantity]]</f>
        <v>336.34999999999997</v>
      </c>
      <c r="I1371" s="29">
        <f>Table1[[#This Row],[Total Revenue]]/$H$5056*100</f>
        <v>3.5685304524235607E-2</v>
      </c>
      <c r="J1371" s="3" t="s">
        <v>15</v>
      </c>
      <c r="K1371" s="4">
        <v>6.9</v>
      </c>
      <c r="M1371"/>
    </row>
    <row r="1372" spans="1:13" x14ac:dyDescent="0.25">
      <c r="A1372" s="3" t="s">
        <v>85</v>
      </c>
      <c r="B1372" s="3" t="s">
        <v>244</v>
      </c>
      <c r="C1372" s="3" t="s">
        <v>13</v>
      </c>
      <c r="D1372" s="3" t="s">
        <v>10</v>
      </c>
      <c r="E1372" s="5" t="s">
        <v>18</v>
      </c>
      <c r="F1372" s="17">
        <v>19.77</v>
      </c>
      <c r="G1372" s="3">
        <v>10</v>
      </c>
      <c r="H1372" s="17">
        <f>Table1[[#This Row],[Unit price]]*Table1[[#This Row],[Quantity]]</f>
        <v>197.7</v>
      </c>
      <c r="I1372" s="29">
        <f>Table1[[#This Row],[Total Revenue]]/$H$5056*100</f>
        <v>2.0975129194117377E-2</v>
      </c>
      <c r="J1372" s="3" t="s">
        <v>12</v>
      </c>
      <c r="K1372" s="4">
        <v>5</v>
      </c>
      <c r="M1372"/>
    </row>
    <row r="1373" spans="1:13" x14ac:dyDescent="0.25">
      <c r="A1373" s="3" t="s">
        <v>86</v>
      </c>
      <c r="B1373" s="3" t="s">
        <v>244</v>
      </c>
      <c r="C1373" s="3" t="s">
        <v>13</v>
      </c>
      <c r="D1373" s="3" t="s">
        <v>10</v>
      </c>
      <c r="E1373" s="5" t="s">
        <v>18</v>
      </c>
      <c r="F1373" s="17">
        <v>52.42</v>
      </c>
      <c r="G1373" s="3">
        <v>3</v>
      </c>
      <c r="H1373" s="17">
        <f>Table1[[#This Row],[Unit price]]*Table1[[#This Row],[Quantity]]</f>
        <v>157.26</v>
      </c>
      <c r="I1373" s="29">
        <f>Table1[[#This Row],[Total Revenue]]/$H$5056*100</f>
        <v>1.6684617182938281E-2</v>
      </c>
      <c r="J1373" s="3" t="s">
        <v>17</v>
      </c>
      <c r="K1373" s="4">
        <v>7.5</v>
      </c>
      <c r="M1373"/>
    </row>
    <row r="1374" spans="1:13" x14ac:dyDescent="0.25">
      <c r="A1374" s="3" t="s">
        <v>86</v>
      </c>
      <c r="B1374" s="3" t="s">
        <v>243</v>
      </c>
      <c r="C1374" s="3" t="s">
        <v>13</v>
      </c>
      <c r="D1374" s="3" t="s">
        <v>10</v>
      </c>
      <c r="E1374" s="5" t="s">
        <v>11</v>
      </c>
      <c r="F1374" s="17">
        <v>74.44</v>
      </c>
      <c r="G1374" s="3">
        <v>10</v>
      </c>
      <c r="H1374" s="17">
        <f>Table1[[#This Row],[Unit price]]*Table1[[#This Row],[Quantity]]</f>
        <v>744.4</v>
      </c>
      <c r="I1374" s="29">
        <f>Table1[[#This Row],[Total Revenue]]/$H$5056*100</f>
        <v>7.8977674112802099E-2</v>
      </c>
      <c r="J1374" s="3" t="s">
        <v>17</v>
      </c>
      <c r="K1374" s="4">
        <v>5.0999999999999996</v>
      </c>
      <c r="M1374"/>
    </row>
    <row r="1375" spans="1:13" x14ac:dyDescent="0.25">
      <c r="A1375" s="3" t="s">
        <v>86</v>
      </c>
      <c r="B1375" s="3" t="s">
        <v>245</v>
      </c>
      <c r="C1375" s="3" t="s">
        <v>13</v>
      </c>
      <c r="D1375" s="3" t="s">
        <v>10</v>
      </c>
      <c r="E1375" s="5" t="s">
        <v>18</v>
      </c>
      <c r="F1375" s="17">
        <v>41.09</v>
      </c>
      <c r="G1375" s="3">
        <v>10</v>
      </c>
      <c r="H1375" s="17">
        <f>Table1[[#This Row],[Unit price]]*Table1[[#This Row],[Quantity]]</f>
        <v>410.90000000000003</v>
      </c>
      <c r="I1375" s="29">
        <f>Table1[[#This Row],[Total Revenue]]/$H$5056*100</f>
        <v>4.359474246769262E-2</v>
      </c>
      <c r="J1375" s="3" t="s">
        <v>15</v>
      </c>
      <c r="K1375" s="4">
        <v>7.3</v>
      </c>
      <c r="M1375"/>
    </row>
    <row r="1376" spans="1:13" x14ac:dyDescent="0.25">
      <c r="A1376" s="3" t="s">
        <v>86</v>
      </c>
      <c r="B1376" s="3" t="s">
        <v>245</v>
      </c>
      <c r="C1376" s="3" t="s">
        <v>9</v>
      </c>
      <c r="D1376" s="3" t="s">
        <v>10</v>
      </c>
      <c r="E1376" s="5" t="s">
        <v>21</v>
      </c>
      <c r="F1376" s="17">
        <v>56</v>
      </c>
      <c r="G1376" s="3">
        <v>3</v>
      </c>
      <c r="H1376" s="17">
        <f>Table1[[#This Row],[Unit price]]*Table1[[#This Row],[Quantity]]</f>
        <v>168</v>
      </c>
      <c r="I1376" s="29">
        <f>Table1[[#This Row],[Total Revenue]]/$H$5056*100</f>
        <v>1.7824085506381988E-2</v>
      </c>
      <c r="J1376" s="3" t="s">
        <v>17</v>
      </c>
      <c r="K1376" s="4">
        <v>4.8</v>
      </c>
      <c r="M1376"/>
    </row>
    <row r="1377" spans="1:13" x14ac:dyDescent="0.25">
      <c r="A1377" s="3" t="s">
        <v>86</v>
      </c>
      <c r="B1377" s="3" t="s">
        <v>243</v>
      </c>
      <c r="C1377" s="3" t="s">
        <v>9</v>
      </c>
      <c r="D1377" s="3" t="s">
        <v>19</v>
      </c>
      <c r="E1377" s="5" t="s">
        <v>11</v>
      </c>
      <c r="F1377" s="17">
        <v>80.62</v>
      </c>
      <c r="G1377" s="3">
        <v>6</v>
      </c>
      <c r="H1377" s="17">
        <f>Table1[[#This Row],[Unit price]]*Table1[[#This Row],[Quantity]]</f>
        <v>483.72</v>
      </c>
      <c r="I1377" s="29">
        <f>Table1[[#This Row],[Total Revenue]]/$H$5056*100</f>
        <v>5.1320634768732713E-2</v>
      </c>
      <c r="J1377" s="3" t="s">
        <v>15</v>
      </c>
      <c r="K1377" s="4">
        <v>9.1</v>
      </c>
      <c r="M1377"/>
    </row>
    <row r="1378" spans="1:13" x14ac:dyDescent="0.25">
      <c r="A1378" s="3" t="s">
        <v>86</v>
      </c>
      <c r="B1378" s="3" t="s">
        <v>244</v>
      </c>
      <c r="C1378" s="3" t="s">
        <v>13</v>
      </c>
      <c r="D1378" s="3" t="s">
        <v>10</v>
      </c>
      <c r="E1378" s="5" t="s">
        <v>18</v>
      </c>
      <c r="F1378" s="17">
        <v>93.2</v>
      </c>
      <c r="G1378" s="3">
        <v>2</v>
      </c>
      <c r="H1378" s="17">
        <f>Table1[[#This Row],[Unit price]]*Table1[[#This Row],[Quantity]]</f>
        <v>186.4</v>
      </c>
      <c r="I1378" s="29">
        <f>Table1[[#This Row],[Total Revenue]]/$H$5056*100</f>
        <v>1.9776247252319065E-2</v>
      </c>
      <c r="J1378" s="3" t="s">
        <v>12</v>
      </c>
      <c r="K1378" s="4">
        <v>6</v>
      </c>
      <c r="M1378"/>
    </row>
    <row r="1379" spans="1:13" x14ac:dyDescent="0.25">
      <c r="A1379" s="3" t="s">
        <v>86</v>
      </c>
      <c r="B1379" s="3" t="s">
        <v>243</v>
      </c>
      <c r="C1379" s="3" t="s">
        <v>9</v>
      </c>
      <c r="D1379" s="3" t="s">
        <v>19</v>
      </c>
      <c r="E1379" s="5" t="s">
        <v>11</v>
      </c>
      <c r="F1379" s="17">
        <v>74.89</v>
      </c>
      <c r="G1379" s="3">
        <v>4</v>
      </c>
      <c r="H1379" s="17">
        <f>Table1[[#This Row],[Unit price]]*Table1[[#This Row],[Quantity]]</f>
        <v>299.56</v>
      </c>
      <c r="I1379" s="29">
        <f>Table1[[#This Row],[Total Revenue]]/$H$5056*100</f>
        <v>3.1782041989832074E-2</v>
      </c>
      <c r="J1379" s="3" t="s">
        <v>17</v>
      </c>
      <c r="K1379" s="4">
        <v>4.2</v>
      </c>
      <c r="M1379"/>
    </row>
    <row r="1380" spans="1:13" x14ac:dyDescent="0.25">
      <c r="A1380" s="3" t="s">
        <v>86</v>
      </c>
      <c r="B1380" s="3" t="s">
        <v>243</v>
      </c>
      <c r="C1380" s="3" t="s">
        <v>13</v>
      </c>
      <c r="D1380" s="3" t="s">
        <v>19</v>
      </c>
      <c r="E1380" s="5" t="s">
        <v>20</v>
      </c>
      <c r="F1380" s="17">
        <v>34.729999999999997</v>
      </c>
      <c r="G1380" s="3">
        <v>2</v>
      </c>
      <c r="H1380" s="17">
        <f>Table1[[#This Row],[Unit price]]*Table1[[#This Row],[Quantity]]</f>
        <v>69.459999999999994</v>
      </c>
      <c r="I1380" s="29">
        <f>Table1[[#This Row],[Total Revenue]]/$H$5056*100</f>
        <v>7.3694105909124568E-3</v>
      </c>
      <c r="J1380" s="3" t="s">
        <v>17</v>
      </c>
      <c r="K1380" s="4">
        <v>9.6999999999999993</v>
      </c>
      <c r="M1380"/>
    </row>
    <row r="1381" spans="1:13" x14ac:dyDescent="0.25">
      <c r="A1381" s="3" t="s">
        <v>86</v>
      </c>
      <c r="B1381" s="3" t="s">
        <v>244</v>
      </c>
      <c r="C1381" s="3" t="s">
        <v>13</v>
      </c>
      <c r="D1381" s="3" t="s">
        <v>19</v>
      </c>
      <c r="E1381" s="5" t="s">
        <v>16</v>
      </c>
      <c r="F1381" s="17">
        <v>54.55</v>
      </c>
      <c r="G1381" s="3">
        <v>10</v>
      </c>
      <c r="H1381" s="17">
        <f>Table1[[#This Row],[Unit price]]*Table1[[#This Row],[Quantity]]</f>
        <v>545.5</v>
      </c>
      <c r="I1381" s="29">
        <f>Table1[[#This Row],[Total Revenue]]/$H$5056*100</f>
        <v>5.787523002221056E-2</v>
      </c>
      <c r="J1381" s="3" t="s">
        <v>12</v>
      </c>
      <c r="K1381" s="4">
        <v>7.1</v>
      </c>
      <c r="M1381"/>
    </row>
    <row r="1382" spans="1:13" x14ac:dyDescent="0.25">
      <c r="A1382" s="3" t="s">
        <v>86</v>
      </c>
      <c r="B1382" s="3" t="s">
        <v>244</v>
      </c>
      <c r="C1382" s="3" t="s">
        <v>9</v>
      </c>
      <c r="D1382" s="3" t="s">
        <v>10</v>
      </c>
      <c r="E1382" s="5" t="s">
        <v>16</v>
      </c>
      <c r="F1382" s="17">
        <v>39.47</v>
      </c>
      <c r="G1382" s="3">
        <v>2</v>
      </c>
      <c r="H1382" s="17">
        <f>Table1[[#This Row],[Unit price]]*Table1[[#This Row],[Quantity]]</f>
        <v>78.94</v>
      </c>
      <c r="I1382" s="29">
        <f>Table1[[#This Row],[Total Revenue]]/$H$5056*100</f>
        <v>8.3751982730582986E-3</v>
      </c>
      <c r="J1382" s="3" t="s">
        <v>12</v>
      </c>
      <c r="K1382" s="4">
        <v>5</v>
      </c>
      <c r="M1382"/>
    </row>
    <row r="1383" spans="1:13" x14ac:dyDescent="0.25">
      <c r="A1383" s="3" t="s">
        <v>87</v>
      </c>
      <c r="B1383" s="3" t="s">
        <v>244</v>
      </c>
      <c r="C1383" s="3" t="s">
        <v>13</v>
      </c>
      <c r="D1383" s="3" t="s">
        <v>19</v>
      </c>
      <c r="E1383" s="5" t="s">
        <v>21</v>
      </c>
      <c r="F1383" s="17">
        <v>10.75</v>
      </c>
      <c r="G1383" s="3">
        <v>8</v>
      </c>
      <c r="H1383" s="17">
        <f>Table1[[#This Row],[Unit price]]*Table1[[#This Row],[Quantity]]</f>
        <v>86</v>
      </c>
      <c r="I1383" s="29">
        <f>Table1[[#This Row],[Total Revenue]]/$H$5056*100</f>
        <v>9.1242342473145891E-3</v>
      </c>
      <c r="J1383" s="3" t="s">
        <v>17</v>
      </c>
      <c r="K1383" s="4">
        <v>6.2</v>
      </c>
      <c r="M1383"/>
    </row>
    <row r="1384" spans="1:13" x14ac:dyDescent="0.25">
      <c r="A1384" s="3" t="s">
        <v>87</v>
      </c>
      <c r="B1384" s="3" t="s">
        <v>243</v>
      </c>
      <c r="C1384" s="3" t="s">
        <v>9</v>
      </c>
      <c r="D1384" s="3" t="s">
        <v>19</v>
      </c>
      <c r="E1384" s="5" t="s">
        <v>21</v>
      </c>
      <c r="F1384" s="17">
        <v>96.58</v>
      </c>
      <c r="G1384" s="3">
        <v>2</v>
      </c>
      <c r="H1384" s="17">
        <f>Table1[[#This Row],[Unit price]]*Table1[[#This Row],[Quantity]]</f>
        <v>193.16</v>
      </c>
      <c r="I1384" s="29">
        <f>Table1[[#This Row],[Total Revenue]]/$H$5056*100</f>
        <v>2.0493454502456817E-2</v>
      </c>
      <c r="J1384" s="3" t="s">
        <v>12</v>
      </c>
      <c r="K1384" s="4">
        <v>5.0999999999999996</v>
      </c>
      <c r="M1384"/>
    </row>
    <row r="1385" spans="1:13" x14ac:dyDescent="0.25">
      <c r="A1385" s="3" t="s">
        <v>87</v>
      </c>
      <c r="B1385" s="3" t="s">
        <v>245</v>
      </c>
      <c r="C1385" s="3" t="s">
        <v>13</v>
      </c>
      <c r="D1385" s="3" t="s">
        <v>19</v>
      </c>
      <c r="E1385" s="5" t="s">
        <v>21</v>
      </c>
      <c r="F1385" s="17">
        <v>92.78</v>
      </c>
      <c r="G1385" s="3">
        <v>1</v>
      </c>
      <c r="H1385" s="17">
        <f>Table1[[#This Row],[Unit price]]*Table1[[#This Row],[Quantity]]</f>
        <v>92.78</v>
      </c>
      <c r="I1385" s="29">
        <f>Table1[[#This Row],[Total Revenue]]/$H$5056*100</f>
        <v>9.8435634123935772E-3</v>
      </c>
      <c r="J1385" s="3" t="s">
        <v>12</v>
      </c>
      <c r="K1385" s="4">
        <v>9.8000000000000007</v>
      </c>
      <c r="M1385"/>
    </row>
    <row r="1386" spans="1:13" x14ac:dyDescent="0.25">
      <c r="A1386" s="3" t="s">
        <v>87</v>
      </c>
      <c r="B1386" s="3" t="s">
        <v>244</v>
      </c>
      <c r="C1386" s="3" t="s">
        <v>13</v>
      </c>
      <c r="D1386" s="3" t="s">
        <v>10</v>
      </c>
      <c r="E1386" s="5" t="s">
        <v>11</v>
      </c>
      <c r="F1386" s="17">
        <v>87.8</v>
      </c>
      <c r="G1386" s="3">
        <v>9</v>
      </c>
      <c r="H1386" s="17">
        <f>Table1[[#This Row],[Unit price]]*Table1[[#This Row],[Quantity]]</f>
        <v>790.19999999999993</v>
      </c>
      <c r="I1386" s="29">
        <f>Table1[[#This Row],[Total Revenue]]/$H$5056*100</f>
        <v>8.3836859328232427E-2</v>
      </c>
      <c r="J1386" s="3" t="s">
        <v>15</v>
      </c>
      <c r="K1386" s="4">
        <v>9.1999999999999993</v>
      </c>
      <c r="M1386"/>
    </row>
    <row r="1387" spans="1:13" x14ac:dyDescent="0.25">
      <c r="A1387" s="3" t="s">
        <v>87</v>
      </c>
      <c r="B1387" s="3" t="s">
        <v>244</v>
      </c>
      <c r="C1387" s="3" t="s">
        <v>9</v>
      </c>
      <c r="D1387" s="3" t="s">
        <v>19</v>
      </c>
      <c r="E1387" s="5" t="s">
        <v>11</v>
      </c>
      <c r="F1387" s="17">
        <v>63.61</v>
      </c>
      <c r="G1387" s="3">
        <v>5</v>
      </c>
      <c r="H1387" s="17">
        <f>Table1[[#This Row],[Unit price]]*Table1[[#This Row],[Quantity]]</f>
        <v>318.05</v>
      </c>
      <c r="I1387" s="29">
        <f>Table1[[#This Row],[Total Revenue]]/$H$5056*100</f>
        <v>3.3743752353004711E-2</v>
      </c>
      <c r="J1387" s="3" t="s">
        <v>17</v>
      </c>
      <c r="K1387" s="4">
        <v>4.8</v>
      </c>
      <c r="M1387"/>
    </row>
    <row r="1388" spans="1:13" x14ac:dyDescent="0.25">
      <c r="A1388" s="3" t="s">
        <v>87</v>
      </c>
      <c r="B1388" s="3" t="s">
        <v>243</v>
      </c>
      <c r="C1388" s="3" t="s">
        <v>13</v>
      </c>
      <c r="D1388" s="3" t="s">
        <v>19</v>
      </c>
      <c r="E1388" s="5" t="s">
        <v>21</v>
      </c>
      <c r="F1388" s="17">
        <v>15.37</v>
      </c>
      <c r="G1388" s="3">
        <v>2</v>
      </c>
      <c r="H1388" s="17">
        <f>Table1[[#This Row],[Unit price]]*Table1[[#This Row],[Quantity]]</f>
        <v>30.74</v>
      </c>
      <c r="I1388" s="29">
        <f>Table1[[#This Row],[Total Revenue]]/$H$5056*100</f>
        <v>3.2613832646796563E-3</v>
      </c>
      <c r="J1388" s="3" t="s">
        <v>15</v>
      </c>
      <c r="K1388" s="4">
        <v>7.2</v>
      </c>
      <c r="M1388"/>
    </row>
    <row r="1389" spans="1:13" x14ac:dyDescent="0.25">
      <c r="A1389" s="3" t="s">
        <v>87</v>
      </c>
      <c r="B1389" s="3" t="s">
        <v>245</v>
      </c>
      <c r="C1389" s="3" t="s">
        <v>9</v>
      </c>
      <c r="D1389" s="3" t="s">
        <v>10</v>
      </c>
      <c r="E1389" s="5" t="s">
        <v>11</v>
      </c>
      <c r="F1389" s="17">
        <v>91.61</v>
      </c>
      <c r="G1389" s="3">
        <v>1</v>
      </c>
      <c r="H1389" s="17">
        <f>Table1[[#This Row],[Unit price]]*Table1[[#This Row],[Quantity]]</f>
        <v>91.61</v>
      </c>
      <c r="I1389" s="29">
        <f>Table1[[#This Row],[Total Revenue]]/$H$5056*100</f>
        <v>9.719431388331274E-3</v>
      </c>
      <c r="J1389" s="3" t="s">
        <v>15</v>
      </c>
      <c r="K1389" s="4">
        <v>9.8000000000000007</v>
      </c>
      <c r="M1389"/>
    </row>
    <row r="1390" spans="1:13" x14ac:dyDescent="0.25">
      <c r="A1390" s="3" t="s">
        <v>87</v>
      </c>
      <c r="B1390" s="3" t="s">
        <v>244</v>
      </c>
      <c r="C1390" s="3" t="s">
        <v>13</v>
      </c>
      <c r="D1390" s="3" t="s">
        <v>19</v>
      </c>
      <c r="E1390" s="5" t="s">
        <v>11</v>
      </c>
      <c r="F1390" s="17">
        <v>43.25</v>
      </c>
      <c r="G1390" s="3">
        <v>2</v>
      </c>
      <c r="H1390" s="17">
        <f>Table1[[#This Row],[Unit price]]*Table1[[#This Row],[Quantity]]</f>
        <v>86.5</v>
      </c>
      <c r="I1390" s="29">
        <f>Table1[[#This Row],[Total Revenue]]/$H$5056*100</f>
        <v>9.1772821208454883E-3</v>
      </c>
      <c r="J1390" s="3" t="s">
        <v>15</v>
      </c>
      <c r="K1390" s="4">
        <v>6.2</v>
      </c>
      <c r="M1390"/>
    </row>
    <row r="1391" spans="1:13" x14ac:dyDescent="0.25">
      <c r="A1391" s="3" t="s">
        <v>87</v>
      </c>
      <c r="B1391" s="3" t="s">
        <v>243</v>
      </c>
      <c r="C1391" s="3" t="s">
        <v>9</v>
      </c>
      <c r="D1391" s="3" t="s">
        <v>10</v>
      </c>
      <c r="E1391" s="5" t="s">
        <v>11</v>
      </c>
      <c r="F1391" s="17">
        <v>57.29</v>
      </c>
      <c r="G1391" s="3">
        <v>6</v>
      </c>
      <c r="H1391" s="17">
        <f>Table1[[#This Row],[Unit price]]*Table1[[#This Row],[Quantity]]</f>
        <v>343.74</v>
      </c>
      <c r="I1391" s="29">
        <f>Table1[[#This Row],[Total Revenue]]/$H$5056*100</f>
        <v>3.6469352095022292E-2</v>
      </c>
      <c r="J1391" s="3" t="s">
        <v>17</v>
      </c>
      <c r="K1391" s="4">
        <v>5.9</v>
      </c>
      <c r="M1391"/>
    </row>
    <row r="1392" spans="1:13" x14ac:dyDescent="0.25">
      <c r="A1392" s="3" t="s">
        <v>87</v>
      </c>
      <c r="B1392" s="3" t="s">
        <v>245</v>
      </c>
      <c r="C1392" s="3" t="s">
        <v>13</v>
      </c>
      <c r="D1392" s="3" t="s">
        <v>19</v>
      </c>
      <c r="E1392" s="5" t="s">
        <v>11</v>
      </c>
      <c r="F1392" s="17">
        <v>56.56</v>
      </c>
      <c r="G1392" s="3">
        <v>5</v>
      </c>
      <c r="H1392" s="17">
        <f>Table1[[#This Row],[Unit price]]*Table1[[#This Row],[Quantity]]</f>
        <v>282.8</v>
      </c>
      <c r="I1392" s="29">
        <f>Table1[[#This Row],[Total Revenue]]/$H$5056*100</f>
        <v>3.000387726907635E-2</v>
      </c>
      <c r="J1392" s="3" t="s">
        <v>12</v>
      </c>
      <c r="K1392" s="4">
        <v>4.5</v>
      </c>
      <c r="M1392"/>
    </row>
    <row r="1393" spans="1:13" x14ac:dyDescent="0.25">
      <c r="A1393" s="3" t="s">
        <v>87</v>
      </c>
      <c r="B1393" s="3" t="s">
        <v>244</v>
      </c>
      <c r="C1393" s="3" t="s">
        <v>9</v>
      </c>
      <c r="D1393" s="3" t="s">
        <v>10</v>
      </c>
      <c r="E1393" s="5" t="s">
        <v>11</v>
      </c>
      <c r="F1393" s="17">
        <v>52.75</v>
      </c>
      <c r="G1393" s="3">
        <v>3</v>
      </c>
      <c r="H1393" s="17">
        <f>Table1[[#This Row],[Unit price]]*Table1[[#This Row],[Quantity]]</f>
        <v>158.25</v>
      </c>
      <c r="I1393" s="29">
        <f>Table1[[#This Row],[Total Revenue]]/$H$5056*100</f>
        <v>1.6789651972529462E-2</v>
      </c>
      <c r="J1393" s="3" t="s">
        <v>17</v>
      </c>
      <c r="K1393" s="4">
        <v>9.3000000000000007</v>
      </c>
      <c r="M1393"/>
    </row>
    <row r="1394" spans="1:13" x14ac:dyDescent="0.25">
      <c r="A1394" s="3" t="s">
        <v>87</v>
      </c>
      <c r="B1394" s="3" t="s">
        <v>244</v>
      </c>
      <c r="C1394" s="3" t="s">
        <v>9</v>
      </c>
      <c r="D1394" s="3" t="s">
        <v>19</v>
      </c>
      <c r="E1394" s="5" t="s">
        <v>21</v>
      </c>
      <c r="F1394" s="17">
        <v>54.92</v>
      </c>
      <c r="G1394" s="3">
        <v>8</v>
      </c>
      <c r="H1394" s="17">
        <f>Table1[[#This Row],[Unit price]]*Table1[[#This Row],[Quantity]]</f>
        <v>439.36</v>
      </c>
      <c r="I1394" s="29">
        <f>Table1[[#This Row],[Total Revenue]]/$H$5056*100</f>
        <v>4.6614227429071377E-2</v>
      </c>
      <c r="J1394" s="3" t="s">
        <v>17</v>
      </c>
      <c r="K1394" s="4">
        <v>7.6</v>
      </c>
      <c r="M1394"/>
    </row>
    <row r="1395" spans="1:13" x14ac:dyDescent="0.25">
      <c r="A1395" s="3" t="s">
        <v>88</v>
      </c>
      <c r="B1395" s="3" t="s">
        <v>243</v>
      </c>
      <c r="C1395" s="3" t="s">
        <v>9</v>
      </c>
      <c r="D1395" s="3" t="s">
        <v>10</v>
      </c>
      <c r="E1395" s="5" t="s">
        <v>21</v>
      </c>
      <c r="F1395" s="17">
        <v>21.8</v>
      </c>
      <c r="G1395" s="3">
        <v>8</v>
      </c>
      <c r="H1395" s="17">
        <f>Table1[[#This Row],[Unit price]]*Table1[[#This Row],[Quantity]]</f>
        <v>174.4</v>
      </c>
      <c r="I1395" s="29">
        <f>Table1[[#This Row],[Total Revenue]]/$H$5056*100</f>
        <v>1.8503098287577496E-2</v>
      </c>
      <c r="J1395" s="3" t="s">
        <v>15</v>
      </c>
      <c r="K1395" s="4">
        <v>8.3000000000000007</v>
      </c>
      <c r="M1395"/>
    </row>
    <row r="1396" spans="1:13" x14ac:dyDescent="0.25">
      <c r="A1396" s="3" t="s">
        <v>88</v>
      </c>
      <c r="B1396" s="3" t="s">
        <v>244</v>
      </c>
      <c r="C1396" s="3" t="s">
        <v>13</v>
      </c>
      <c r="D1396" s="3" t="s">
        <v>10</v>
      </c>
      <c r="E1396" s="5" t="s">
        <v>16</v>
      </c>
      <c r="F1396" s="17">
        <v>64.08</v>
      </c>
      <c r="G1396" s="3">
        <v>7</v>
      </c>
      <c r="H1396" s="17">
        <f>Table1[[#This Row],[Unit price]]*Table1[[#This Row],[Quantity]]</f>
        <v>448.56</v>
      </c>
      <c r="I1396" s="29">
        <f>Table1[[#This Row],[Total Revenue]]/$H$5056*100</f>
        <v>4.7590308302039912E-2</v>
      </c>
      <c r="J1396" s="3" t="s">
        <v>12</v>
      </c>
      <c r="K1396" s="4">
        <v>7.3</v>
      </c>
      <c r="M1396"/>
    </row>
    <row r="1397" spans="1:13" x14ac:dyDescent="0.25">
      <c r="A1397" s="3" t="s">
        <v>88</v>
      </c>
      <c r="B1397" s="3" t="s">
        <v>245</v>
      </c>
      <c r="C1397" s="3" t="s">
        <v>9</v>
      </c>
      <c r="D1397" s="3" t="s">
        <v>19</v>
      </c>
      <c r="E1397" s="5" t="s">
        <v>11</v>
      </c>
      <c r="F1397" s="17">
        <v>41.24</v>
      </c>
      <c r="G1397" s="3">
        <v>4</v>
      </c>
      <c r="H1397" s="17">
        <f>Table1[[#This Row],[Unit price]]*Table1[[#This Row],[Quantity]]</f>
        <v>164.96</v>
      </c>
      <c r="I1397" s="29">
        <f>Table1[[#This Row],[Total Revenue]]/$H$5056*100</f>
        <v>1.7501554435314124E-2</v>
      </c>
      <c r="J1397" s="3" t="s">
        <v>15</v>
      </c>
      <c r="K1397" s="4">
        <v>7.1</v>
      </c>
      <c r="M1397"/>
    </row>
    <row r="1398" spans="1:13" x14ac:dyDescent="0.25">
      <c r="A1398" s="3" t="s">
        <v>88</v>
      </c>
      <c r="B1398" s="3" t="s">
        <v>243</v>
      </c>
      <c r="C1398" s="3" t="s">
        <v>9</v>
      </c>
      <c r="D1398" s="3" t="s">
        <v>10</v>
      </c>
      <c r="E1398" s="5" t="s">
        <v>11</v>
      </c>
      <c r="F1398" s="17">
        <v>54.84</v>
      </c>
      <c r="G1398" s="3">
        <v>3</v>
      </c>
      <c r="H1398" s="17">
        <f>Table1[[#This Row],[Unit price]]*Table1[[#This Row],[Quantity]]</f>
        <v>164.52</v>
      </c>
      <c r="I1398" s="29">
        <f>Table1[[#This Row],[Total Revenue]]/$H$5056*100</f>
        <v>1.7454872306606934E-2</v>
      </c>
      <c r="J1398" s="3" t="s">
        <v>12</v>
      </c>
      <c r="K1398" s="4">
        <v>5.9</v>
      </c>
      <c r="M1398"/>
    </row>
    <row r="1399" spans="1:13" x14ac:dyDescent="0.25">
      <c r="A1399" s="3" t="s">
        <v>88</v>
      </c>
      <c r="B1399" s="3" t="s">
        <v>243</v>
      </c>
      <c r="C1399" s="3" t="s">
        <v>13</v>
      </c>
      <c r="D1399" s="3" t="s">
        <v>19</v>
      </c>
      <c r="E1399" s="5" t="s">
        <v>11</v>
      </c>
      <c r="F1399" s="17">
        <v>39.9</v>
      </c>
      <c r="G1399" s="3">
        <v>10</v>
      </c>
      <c r="H1399" s="17">
        <f>Table1[[#This Row],[Unit price]]*Table1[[#This Row],[Quantity]]</f>
        <v>399</v>
      </c>
      <c r="I1399" s="29">
        <f>Table1[[#This Row],[Total Revenue]]/$H$5056*100</f>
        <v>4.233220307765722E-2</v>
      </c>
      <c r="J1399" s="3" t="s">
        <v>12</v>
      </c>
      <c r="K1399" s="4">
        <v>5.9</v>
      </c>
      <c r="M1399"/>
    </row>
    <row r="1400" spans="1:13" x14ac:dyDescent="0.25">
      <c r="A1400" s="3" t="s">
        <v>88</v>
      </c>
      <c r="B1400" s="3" t="s">
        <v>243</v>
      </c>
      <c r="C1400" s="3" t="s">
        <v>9</v>
      </c>
      <c r="D1400" s="3" t="s">
        <v>19</v>
      </c>
      <c r="E1400" s="5" t="s">
        <v>11</v>
      </c>
      <c r="F1400" s="17">
        <v>92.29</v>
      </c>
      <c r="G1400" s="3">
        <v>5</v>
      </c>
      <c r="H1400" s="17">
        <f>Table1[[#This Row],[Unit price]]*Table1[[#This Row],[Quantity]]</f>
        <v>461.45000000000005</v>
      </c>
      <c r="I1400" s="29">
        <f>Table1[[#This Row],[Total Revenue]]/$H$5056*100</f>
        <v>4.8957882481666493E-2</v>
      </c>
      <c r="J1400" s="3" t="s">
        <v>12</v>
      </c>
      <c r="K1400" s="4">
        <v>9</v>
      </c>
      <c r="M1400"/>
    </row>
    <row r="1401" spans="1:13" x14ac:dyDescent="0.25">
      <c r="A1401" s="3" t="s">
        <v>88</v>
      </c>
      <c r="B1401" s="3" t="s">
        <v>244</v>
      </c>
      <c r="C1401" s="3" t="s">
        <v>9</v>
      </c>
      <c r="D1401" s="3" t="s">
        <v>19</v>
      </c>
      <c r="E1401" s="5" t="s">
        <v>11</v>
      </c>
      <c r="F1401" s="17">
        <v>57.74</v>
      </c>
      <c r="G1401" s="3">
        <v>3</v>
      </c>
      <c r="H1401" s="17">
        <f>Table1[[#This Row],[Unit price]]*Table1[[#This Row],[Quantity]]</f>
        <v>173.22</v>
      </c>
      <c r="I1401" s="29">
        <f>Table1[[#This Row],[Total Revenue]]/$H$5056*100</f>
        <v>1.8377905306044572E-2</v>
      </c>
      <c r="J1401" s="3" t="s">
        <v>17</v>
      </c>
      <c r="K1401" s="4">
        <v>7.7</v>
      </c>
      <c r="M1401"/>
    </row>
    <row r="1402" spans="1:13" x14ac:dyDescent="0.25">
      <c r="A1402" s="3" t="s">
        <v>88</v>
      </c>
      <c r="B1402" s="3" t="s">
        <v>244</v>
      </c>
      <c r="C1402" s="3" t="s">
        <v>13</v>
      </c>
      <c r="D1402" s="3" t="s">
        <v>19</v>
      </c>
      <c r="E1402" s="5" t="s">
        <v>21</v>
      </c>
      <c r="F1402" s="17">
        <v>66.680000000000007</v>
      </c>
      <c r="G1402" s="3">
        <v>5</v>
      </c>
      <c r="H1402" s="17">
        <f>Table1[[#This Row],[Unit price]]*Table1[[#This Row],[Quantity]]</f>
        <v>333.40000000000003</v>
      </c>
      <c r="I1402" s="29">
        <f>Table1[[#This Row],[Total Revenue]]/$H$5056*100</f>
        <v>3.5372322070403306E-2</v>
      </c>
      <c r="J1402" s="3" t="s">
        <v>15</v>
      </c>
      <c r="K1402" s="4">
        <v>7.6</v>
      </c>
      <c r="M1402"/>
    </row>
    <row r="1403" spans="1:13" x14ac:dyDescent="0.25">
      <c r="A1403" s="3" t="s">
        <v>88</v>
      </c>
      <c r="B1403" s="3" t="s">
        <v>245</v>
      </c>
      <c r="C1403" s="3" t="s">
        <v>9</v>
      </c>
      <c r="D1403" s="3" t="s">
        <v>10</v>
      </c>
      <c r="E1403" s="5" t="s">
        <v>21</v>
      </c>
      <c r="F1403" s="17">
        <v>32.32</v>
      </c>
      <c r="G1403" s="3">
        <v>10</v>
      </c>
      <c r="H1403" s="17">
        <f>Table1[[#This Row],[Unit price]]*Table1[[#This Row],[Quantity]]</f>
        <v>323.2</v>
      </c>
      <c r="I1403" s="29">
        <f>Table1[[#This Row],[Total Revenue]]/$H$5056*100</f>
        <v>3.4290145450372969E-2</v>
      </c>
      <c r="J1403" s="3" t="s">
        <v>12</v>
      </c>
      <c r="K1403" s="4">
        <v>10</v>
      </c>
      <c r="M1403"/>
    </row>
    <row r="1404" spans="1:13" x14ac:dyDescent="0.25">
      <c r="A1404" s="3" t="s">
        <v>89</v>
      </c>
      <c r="B1404" s="3" t="s">
        <v>245</v>
      </c>
      <c r="C1404" s="3" t="s">
        <v>9</v>
      </c>
      <c r="D1404" s="3" t="s">
        <v>10</v>
      </c>
      <c r="E1404" s="5" t="s">
        <v>21</v>
      </c>
      <c r="F1404" s="17">
        <v>17.97</v>
      </c>
      <c r="G1404" s="3">
        <v>4</v>
      </c>
      <c r="H1404" s="17">
        <f>Table1[[#This Row],[Unit price]]*Table1[[#This Row],[Quantity]]</f>
        <v>71.88</v>
      </c>
      <c r="I1404" s="29">
        <f>Table1[[#This Row],[Total Revenue]]/$H$5056*100</f>
        <v>7.626162298802008E-3</v>
      </c>
      <c r="J1404" s="3" t="s">
        <v>17</v>
      </c>
      <c r="K1404" s="4">
        <v>6.4</v>
      </c>
      <c r="M1404"/>
    </row>
    <row r="1405" spans="1:13" x14ac:dyDescent="0.25">
      <c r="A1405" s="3" t="s">
        <v>89</v>
      </c>
      <c r="B1405" s="3" t="s">
        <v>245</v>
      </c>
      <c r="C1405" s="3" t="s">
        <v>13</v>
      </c>
      <c r="D1405" s="3" t="s">
        <v>19</v>
      </c>
      <c r="E1405" s="5" t="s">
        <v>11</v>
      </c>
      <c r="F1405" s="17">
        <v>98.79</v>
      </c>
      <c r="G1405" s="3">
        <v>3</v>
      </c>
      <c r="H1405" s="17">
        <f>Table1[[#This Row],[Unit price]]*Table1[[#This Row],[Quantity]]</f>
        <v>296.37</v>
      </c>
      <c r="I1405" s="29">
        <f>Table1[[#This Row],[Total Revenue]]/$H$5056*100</f>
        <v>3.1443596556704936E-2</v>
      </c>
      <c r="J1405" s="3" t="s">
        <v>17</v>
      </c>
      <c r="K1405" s="4">
        <v>6.4</v>
      </c>
      <c r="M1405"/>
    </row>
    <row r="1406" spans="1:13" x14ac:dyDescent="0.25">
      <c r="A1406" s="3" t="s">
        <v>89</v>
      </c>
      <c r="B1406" s="3" t="s">
        <v>245</v>
      </c>
      <c r="C1406" s="3" t="s">
        <v>9</v>
      </c>
      <c r="D1406" s="3" t="s">
        <v>10</v>
      </c>
      <c r="E1406" s="5" t="s">
        <v>16</v>
      </c>
      <c r="F1406" s="17">
        <v>58.39</v>
      </c>
      <c r="G1406" s="3">
        <v>7</v>
      </c>
      <c r="H1406" s="17">
        <f>Table1[[#This Row],[Unit price]]*Table1[[#This Row],[Quantity]]</f>
        <v>408.73</v>
      </c>
      <c r="I1406" s="29">
        <f>Table1[[#This Row],[Total Revenue]]/$H$5056*100</f>
        <v>4.3364514696568518E-2</v>
      </c>
      <c r="J1406" s="3" t="s">
        <v>12</v>
      </c>
      <c r="K1406" s="4">
        <v>8.1999999999999993</v>
      </c>
      <c r="M1406"/>
    </row>
    <row r="1407" spans="1:13" x14ac:dyDescent="0.25">
      <c r="A1407" s="3" t="s">
        <v>89</v>
      </c>
      <c r="B1407" s="3" t="s">
        <v>244</v>
      </c>
      <c r="C1407" s="3" t="s">
        <v>13</v>
      </c>
      <c r="D1407" s="3" t="s">
        <v>19</v>
      </c>
      <c r="E1407" s="5" t="s">
        <v>11</v>
      </c>
      <c r="F1407" s="17">
        <v>73.47</v>
      </c>
      <c r="G1407" s="3">
        <v>4</v>
      </c>
      <c r="H1407" s="17">
        <f>Table1[[#This Row],[Unit price]]*Table1[[#This Row],[Quantity]]</f>
        <v>293.88</v>
      </c>
      <c r="I1407" s="29">
        <f>Table1[[#This Row],[Total Revenue]]/$H$5056*100</f>
        <v>3.1179418146521063E-2</v>
      </c>
      <c r="J1407" s="3" t="s">
        <v>15</v>
      </c>
      <c r="K1407" s="4">
        <v>6</v>
      </c>
      <c r="M1407"/>
    </row>
    <row r="1408" spans="1:13" x14ac:dyDescent="0.25">
      <c r="A1408" s="3" t="s">
        <v>89</v>
      </c>
      <c r="B1408" s="3" t="s">
        <v>243</v>
      </c>
      <c r="C1408" s="3" t="s">
        <v>9</v>
      </c>
      <c r="D1408" s="3" t="s">
        <v>10</v>
      </c>
      <c r="E1408" s="5" t="s">
        <v>11</v>
      </c>
      <c r="F1408" s="17">
        <v>80.36</v>
      </c>
      <c r="G1408" s="3">
        <v>4</v>
      </c>
      <c r="H1408" s="17">
        <f>Table1[[#This Row],[Unit price]]*Table1[[#This Row],[Quantity]]</f>
        <v>321.44</v>
      </c>
      <c r="I1408" s="29">
        <f>Table1[[#This Row],[Total Revenue]]/$H$5056*100</f>
        <v>3.4103416935544202E-2</v>
      </c>
      <c r="J1408" s="3" t="s">
        <v>12</v>
      </c>
      <c r="K1408" s="4">
        <v>8.3000000000000007</v>
      </c>
      <c r="M1408"/>
    </row>
    <row r="1409" spans="1:13" x14ac:dyDescent="0.25">
      <c r="A1409" s="3" t="s">
        <v>89</v>
      </c>
      <c r="B1409" s="3" t="s">
        <v>245</v>
      </c>
      <c r="C1409" s="3" t="s">
        <v>13</v>
      </c>
      <c r="D1409" s="3" t="s">
        <v>19</v>
      </c>
      <c r="E1409" s="5" t="s">
        <v>20</v>
      </c>
      <c r="F1409" s="17">
        <v>55.73</v>
      </c>
      <c r="G1409" s="3">
        <v>6</v>
      </c>
      <c r="H1409" s="17">
        <f>Table1[[#This Row],[Unit price]]*Table1[[#This Row],[Quantity]]</f>
        <v>334.38</v>
      </c>
      <c r="I1409" s="29">
        <f>Table1[[#This Row],[Total Revenue]]/$H$5056*100</f>
        <v>3.5476295902523866E-2</v>
      </c>
      <c r="J1409" s="3" t="s">
        <v>17</v>
      </c>
      <c r="K1409" s="4">
        <v>7</v>
      </c>
      <c r="M1409"/>
    </row>
    <row r="1410" spans="1:13" x14ac:dyDescent="0.25">
      <c r="A1410" s="3" t="s">
        <v>89</v>
      </c>
      <c r="B1410" s="3" t="s">
        <v>243</v>
      </c>
      <c r="C1410" s="3" t="s">
        <v>9</v>
      </c>
      <c r="D1410" s="3" t="s">
        <v>10</v>
      </c>
      <c r="E1410" s="5" t="s">
        <v>16</v>
      </c>
      <c r="F1410" s="17">
        <v>91.41</v>
      </c>
      <c r="G1410" s="3">
        <v>5</v>
      </c>
      <c r="H1410" s="17">
        <f>Table1[[#This Row],[Unit price]]*Table1[[#This Row],[Quantity]]</f>
        <v>457.04999999999995</v>
      </c>
      <c r="I1410" s="29">
        <f>Table1[[#This Row],[Total Revenue]]/$H$5056*100</f>
        <v>4.8491061194594565E-2</v>
      </c>
      <c r="J1410" s="3" t="s">
        <v>17</v>
      </c>
      <c r="K1410" s="4">
        <v>7.1</v>
      </c>
      <c r="M1410"/>
    </row>
    <row r="1411" spans="1:13" x14ac:dyDescent="0.25">
      <c r="A1411" s="3" t="s">
        <v>89</v>
      </c>
      <c r="B1411" s="3" t="s">
        <v>245</v>
      </c>
      <c r="C1411" s="3" t="s">
        <v>9</v>
      </c>
      <c r="D1411" s="3" t="s">
        <v>10</v>
      </c>
      <c r="E1411" s="5" t="s">
        <v>11</v>
      </c>
      <c r="F1411" s="17">
        <v>94.13</v>
      </c>
      <c r="G1411" s="3">
        <v>3</v>
      </c>
      <c r="H1411" s="17">
        <f>Table1[[#This Row],[Unit price]]*Table1[[#This Row],[Quantity]]</f>
        <v>282.39</v>
      </c>
      <c r="I1411" s="29">
        <f>Table1[[#This Row],[Total Revenue]]/$H$5056*100</f>
        <v>2.9960378012781008E-2</v>
      </c>
      <c r="J1411" s="3" t="s">
        <v>15</v>
      </c>
      <c r="K1411" s="4">
        <v>5.8</v>
      </c>
      <c r="M1411"/>
    </row>
    <row r="1412" spans="1:13" x14ac:dyDescent="0.25">
      <c r="A1412" s="3" t="s">
        <v>89</v>
      </c>
      <c r="B1412" s="3" t="s">
        <v>244</v>
      </c>
      <c r="C1412" s="3" t="s">
        <v>13</v>
      </c>
      <c r="D1412" s="3" t="s">
        <v>10</v>
      </c>
      <c r="E1412" s="5" t="s">
        <v>20</v>
      </c>
      <c r="F1412" s="17">
        <v>82.04</v>
      </c>
      <c r="G1412" s="3">
        <v>5</v>
      </c>
      <c r="H1412" s="17">
        <f>Table1[[#This Row],[Unit price]]*Table1[[#This Row],[Quantity]]</f>
        <v>410.20000000000005</v>
      </c>
      <c r="I1412" s="29">
        <f>Table1[[#This Row],[Total Revenue]]/$H$5056*100</f>
        <v>4.3520475444749358E-2</v>
      </c>
      <c r="J1412" s="3" t="s">
        <v>12</v>
      </c>
      <c r="K1412" s="4">
        <v>7.6</v>
      </c>
      <c r="M1412"/>
    </row>
    <row r="1413" spans="1:13" x14ac:dyDescent="0.25">
      <c r="A1413" s="3" t="s">
        <v>89</v>
      </c>
      <c r="B1413" s="3" t="s">
        <v>245</v>
      </c>
      <c r="C1413" s="3" t="s">
        <v>13</v>
      </c>
      <c r="D1413" s="3" t="s">
        <v>10</v>
      </c>
      <c r="E1413" s="5" t="s">
        <v>11</v>
      </c>
      <c r="F1413" s="17">
        <v>48.61</v>
      </c>
      <c r="G1413" s="3">
        <v>1</v>
      </c>
      <c r="H1413" s="17">
        <f>Table1[[#This Row],[Unit price]]*Table1[[#This Row],[Quantity]]</f>
        <v>48.61</v>
      </c>
      <c r="I1413" s="29">
        <f>Table1[[#This Row],[Total Revenue]]/$H$5056*100</f>
        <v>5.1573142646739794E-3</v>
      </c>
      <c r="J1413" s="3" t="s">
        <v>15</v>
      </c>
      <c r="K1413" s="4">
        <v>4.4000000000000004</v>
      </c>
      <c r="M1413"/>
    </row>
    <row r="1414" spans="1:13" x14ac:dyDescent="0.25">
      <c r="A1414" s="3" t="s">
        <v>89</v>
      </c>
      <c r="B1414" s="3" t="s">
        <v>244</v>
      </c>
      <c r="C1414" s="3" t="s">
        <v>13</v>
      </c>
      <c r="D1414" s="3" t="s">
        <v>10</v>
      </c>
      <c r="E1414" s="5" t="s">
        <v>16</v>
      </c>
      <c r="F1414" s="17">
        <v>88.45</v>
      </c>
      <c r="G1414" s="3">
        <v>1</v>
      </c>
      <c r="H1414" s="17">
        <f>Table1[[#This Row],[Unit price]]*Table1[[#This Row],[Quantity]]</f>
        <v>88.45</v>
      </c>
      <c r="I1414" s="29">
        <f>Table1[[#This Row],[Total Revenue]]/$H$5056*100</f>
        <v>9.3841688276159949E-3</v>
      </c>
      <c r="J1414" s="3" t="s">
        <v>12</v>
      </c>
      <c r="K1414" s="4">
        <v>9.5</v>
      </c>
      <c r="M1414"/>
    </row>
    <row r="1415" spans="1:13" x14ac:dyDescent="0.25">
      <c r="A1415" s="3" t="s">
        <v>90</v>
      </c>
      <c r="B1415" s="3" t="s">
        <v>245</v>
      </c>
      <c r="C1415" s="3" t="s">
        <v>9</v>
      </c>
      <c r="D1415" s="3" t="s">
        <v>19</v>
      </c>
      <c r="E1415" s="5" t="s">
        <v>11</v>
      </c>
      <c r="F1415" s="17">
        <v>81.209999999999994</v>
      </c>
      <c r="G1415" s="3">
        <v>10</v>
      </c>
      <c r="H1415" s="17">
        <f>Table1[[#This Row],[Unit price]]*Table1[[#This Row],[Quantity]]</f>
        <v>812.09999999999991</v>
      </c>
      <c r="I1415" s="29">
        <f>Table1[[#This Row],[Total Revenue]]/$H$5056*100</f>
        <v>8.6160356188885789E-2</v>
      </c>
      <c r="J1415" s="3" t="s">
        <v>12</v>
      </c>
      <c r="K1415" s="4">
        <v>6.3</v>
      </c>
      <c r="M1415"/>
    </row>
    <row r="1416" spans="1:13" x14ac:dyDescent="0.25">
      <c r="A1416" s="3" t="s">
        <v>90</v>
      </c>
      <c r="B1416" s="3" t="s">
        <v>245</v>
      </c>
      <c r="C1416" s="3" t="s">
        <v>9</v>
      </c>
      <c r="D1416" s="3" t="s">
        <v>19</v>
      </c>
      <c r="E1416" s="5" t="s">
        <v>11</v>
      </c>
      <c r="F1416" s="17">
        <v>57.89</v>
      </c>
      <c r="G1416" s="3">
        <v>2</v>
      </c>
      <c r="H1416" s="17">
        <f>Table1[[#This Row],[Unit price]]*Table1[[#This Row],[Quantity]]</f>
        <v>115.78</v>
      </c>
      <c r="I1416" s="29">
        <f>Table1[[#This Row],[Total Revenue]]/$H$5056*100</f>
        <v>1.2283765594814922E-2</v>
      </c>
      <c r="J1416" s="3" t="s">
        <v>17</v>
      </c>
      <c r="K1416" s="4">
        <v>8.9</v>
      </c>
      <c r="M1416"/>
    </row>
    <row r="1417" spans="1:13" x14ac:dyDescent="0.25">
      <c r="A1417" s="3" t="s">
        <v>90</v>
      </c>
      <c r="B1417" s="3" t="s">
        <v>245</v>
      </c>
      <c r="C1417" s="3" t="s">
        <v>13</v>
      </c>
      <c r="D1417" s="3" t="s">
        <v>19</v>
      </c>
      <c r="E1417" s="5" t="s">
        <v>20</v>
      </c>
      <c r="F1417" s="17">
        <v>21.52</v>
      </c>
      <c r="G1417" s="3">
        <v>6</v>
      </c>
      <c r="H1417" s="17">
        <f>Table1[[#This Row],[Unit price]]*Table1[[#This Row],[Quantity]]</f>
        <v>129.12</v>
      </c>
      <c r="I1417" s="29">
        <f>Table1[[#This Row],[Total Revenue]]/$H$5056*100</f>
        <v>1.3699082860619303E-2</v>
      </c>
      <c r="J1417" s="3" t="s">
        <v>12</v>
      </c>
      <c r="K1417" s="4">
        <v>9.4</v>
      </c>
      <c r="M1417"/>
    </row>
    <row r="1418" spans="1:13" x14ac:dyDescent="0.25">
      <c r="A1418" s="3" t="s">
        <v>90</v>
      </c>
      <c r="B1418" s="3" t="s">
        <v>245</v>
      </c>
      <c r="C1418" s="3" t="s">
        <v>13</v>
      </c>
      <c r="D1418" s="3" t="s">
        <v>10</v>
      </c>
      <c r="E1418" s="5" t="s">
        <v>20</v>
      </c>
      <c r="F1418" s="17">
        <v>94.59</v>
      </c>
      <c r="G1418" s="3">
        <v>7</v>
      </c>
      <c r="H1418" s="17">
        <f>Table1[[#This Row],[Unit price]]*Table1[[#This Row],[Quantity]]</f>
        <v>662.13</v>
      </c>
      <c r="I1418" s="29">
        <f>Table1[[#This Row],[Total Revenue]]/$H$5056*100</f>
        <v>7.0249177002028013E-2</v>
      </c>
      <c r="J1418" s="3" t="s">
        <v>12</v>
      </c>
      <c r="K1418" s="4">
        <v>4.9000000000000004</v>
      </c>
      <c r="M1418"/>
    </row>
    <row r="1419" spans="1:13" x14ac:dyDescent="0.25">
      <c r="A1419" s="3" t="s">
        <v>90</v>
      </c>
      <c r="B1419" s="3" t="s">
        <v>244</v>
      </c>
      <c r="C1419" s="3" t="s">
        <v>13</v>
      </c>
      <c r="D1419" s="3" t="s">
        <v>19</v>
      </c>
      <c r="E1419" s="5" t="s">
        <v>21</v>
      </c>
      <c r="F1419" s="17">
        <v>62.82</v>
      </c>
      <c r="G1419" s="3">
        <v>2</v>
      </c>
      <c r="H1419" s="17">
        <f>Table1[[#This Row],[Unit price]]*Table1[[#This Row],[Quantity]]</f>
        <v>125.64</v>
      </c>
      <c r="I1419" s="29">
        <f>Table1[[#This Row],[Total Revenue]]/$H$5056*100</f>
        <v>1.3329869660844243E-2</v>
      </c>
      <c r="J1419" s="3" t="s">
        <v>17</v>
      </c>
      <c r="K1419" s="4">
        <v>4.9000000000000004</v>
      </c>
      <c r="M1419"/>
    </row>
    <row r="1420" spans="1:13" x14ac:dyDescent="0.25">
      <c r="A1420" s="3" t="s">
        <v>90</v>
      </c>
      <c r="B1420" s="3" t="s">
        <v>243</v>
      </c>
      <c r="C1420" s="3" t="s">
        <v>9</v>
      </c>
      <c r="D1420" s="3" t="s">
        <v>19</v>
      </c>
      <c r="E1420" s="5" t="s">
        <v>11</v>
      </c>
      <c r="F1420" s="17">
        <v>65.650000000000006</v>
      </c>
      <c r="G1420" s="3">
        <v>2</v>
      </c>
      <c r="H1420" s="17">
        <f>Table1[[#This Row],[Unit price]]*Table1[[#This Row],[Quantity]]</f>
        <v>131.30000000000001</v>
      </c>
      <c r="I1420" s="29">
        <f>Table1[[#This Row],[Total Revenue]]/$H$5056*100</f>
        <v>1.3930371589214022E-2</v>
      </c>
      <c r="J1420" s="3" t="s">
        <v>15</v>
      </c>
      <c r="K1420" s="4">
        <v>6</v>
      </c>
      <c r="M1420"/>
    </row>
    <row r="1421" spans="1:13" x14ac:dyDescent="0.25">
      <c r="A1421" s="3" t="s">
        <v>90</v>
      </c>
      <c r="B1421" s="3" t="s">
        <v>244</v>
      </c>
      <c r="C1421" s="3" t="s">
        <v>9</v>
      </c>
      <c r="D1421" s="3" t="s">
        <v>19</v>
      </c>
      <c r="E1421" s="5" t="s">
        <v>20</v>
      </c>
      <c r="F1421" s="17">
        <v>86.72</v>
      </c>
      <c r="G1421" s="3">
        <v>1</v>
      </c>
      <c r="H1421" s="17">
        <f>Table1[[#This Row],[Unit price]]*Table1[[#This Row],[Quantity]]</f>
        <v>86.72</v>
      </c>
      <c r="I1421" s="29">
        <f>Table1[[#This Row],[Total Revenue]]/$H$5056*100</f>
        <v>9.2006231851990833E-3</v>
      </c>
      <c r="J1421" s="3" t="s">
        <v>17</v>
      </c>
      <c r="K1421" s="4">
        <v>7.9</v>
      </c>
      <c r="M1421"/>
    </row>
    <row r="1422" spans="1:13" x14ac:dyDescent="0.25">
      <c r="A1422" s="3" t="s">
        <v>90</v>
      </c>
      <c r="B1422" s="3" t="s">
        <v>245</v>
      </c>
      <c r="C1422" s="3" t="s">
        <v>13</v>
      </c>
      <c r="D1422" s="3" t="s">
        <v>10</v>
      </c>
      <c r="E1422" s="5" t="s">
        <v>18</v>
      </c>
      <c r="F1422" s="17">
        <v>88.15</v>
      </c>
      <c r="G1422" s="3">
        <v>3</v>
      </c>
      <c r="H1422" s="17">
        <f>Table1[[#This Row],[Unit price]]*Table1[[#This Row],[Quantity]]</f>
        <v>264.45000000000005</v>
      </c>
      <c r="I1422" s="29">
        <f>Table1[[#This Row],[Total Revenue]]/$H$5056*100</f>
        <v>2.8057020310492366E-2</v>
      </c>
      <c r="J1422" s="3" t="s">
        <v>17</v>
      </c>
      <c r="K1422" s="4">
        <v>7.9</v>
      </c>
      <c r="M1422"/>
    </row>
    <row r="1423" spans="1:13" x14ac:dyDescent="0.25">
      <c r="A1423" s="3" t="s">
        <v>90</v>
      </c>
      <c r="B1423" s="3" t="s">
        <v>245</v>
      </c>
      <c r="C1423" s="3" t="s">
        <v>13</v>
      </c>
      <c r="D1423" s="3" t="s">
        <v>19</v>
      </c>
      <c r="E1423" s="5" t="s">
        <v>18</v>
      </c>
      <c r="F1423" s="17">
        <v>17.48</v>
      </c>
      <c r="G1423" s="3">
        <v>6</v>
      </c>
      <c r="H1423" s="17">
        <f>Table1[[#This Row],[Unit price]]*Table1[[#This Row],[Quantity]]</f>
        <v>104.88</v>
      </c>
      <c r="I1423" s="29">
        <f>Table1[[#This Row],[Total Revenue]]/$H$5056*100</f>
        <v>1.1127321951841327E-2</v>
      </c>
      <c r="J1423" s="3" t="s">
        <v>12</v>
      </c>
      <c r="K1423" s="4">
        <v>6.1</v>
      </c>
      <c r="M1423"/>
    </row>
    <row r="1424" spans="1:13" x14ac:dyDescent="0.25">
      <c r="A1424" s="3" t="s">
        <v>90</v>
      </c>
      <c r="B1424" s="3" t="s">
        <v>244</v>
      </c>
      <c r="C1424" s="3" t="s">
        <v>13</v>
      </c>
      <c r="D1424" s="3" t="s">
        <v>19</v>
      </c>
      <c r="E1424" s="5" t="s">
        <v>18</v>
      </c>
      <c r="F1424" s="17">
        <v>99.1</v>
      </c>
      <c r="G1424" s="3">
        <v>6</v>
      </c>
      <c r="H1424" s="17">
        <f>Table1[[#This Row],[Unit price]]*Table1[[#This Row],[Quantity]]</f>
        <v>594.59999999999991</v>
      </c>
      <c r="I1424" s="29">
        <f>Table1[[#This Row],[Total Revenue]]/$H$5056*100</f>
        <v>6.3084531202944813E-2</v>
      </c>
      <c r="J1424" s="3" t="s">
        <v>15</v>
      </c>
      <c r="K1424" s="4">
        <v>4.2</v>
      </c>
      <c r="M1424"/>
    </row>
    <row r="1425" spans="1:13" x14ac:dyDescent="0.25">
      <c r="A1425" s="3" t="s">
        <v>90</v>
      </c>
      <c r="B1425" s="3" t="s">
        <v>243</v>
      </c>
      <c r="C1425" s="3" t="s">
        <v>9</v>
      </c>
      <c r="D1425" s="3" t="s">
        <v>19</v>
      </c>
      <c r="E1425" s="5" t="s">
        <v>20</v>
      </c>
      <c r="F1425" s="17">
        <v>45.68</v>
      </c>
      <c r="G1425" s="3">
        <v>10</v>
      </c>
      <c r="H1425" s="17">
        <f>Table1[[#This Row],[Unit price]]*Table1[[#This Row],[Quantity]]</f>
        <v>456.8</v>
      </c>
      <c r="I1425" s="29">
        <f>Table1[[#This Row],[Total Revenue]]/$H$5056*100</f>
        <v>4.8464537257829128E-2</v>
      </c>
      <c r="J1425" s="3" t="s">
        <v>17</v>
      </c>
      <c r="K1425" s="4">
        <v>5.7</v>
      </c>
      <c r="M1425"/>
    </row>
    <row r="1426" spans="1:13" x14ac:dyDescent="0.25">
      <c r="A1426" s="3" t="s">
        <v>91</v>
      </c>
      <c r="B1426" s="3" t="s">
        <v>243</v>
      </c>
      <c r="C1426" s="3" t="s">
        <v>9</v>
      </c>
      <c r="D1426" s="3" t="s">
        <v>10</v>
      </c>
      <c r="E1426" s="5" t="s">
        <v>11</v>
      </c>
      <c r="F1426" s="17">
        <v>87.1</v>
      </c>
      <c r="G1426" s="3">
        <v>10</v>
      </c>
      <c r="H1426" s="17">
        <f>Table1[[#This Row],[Unit price]]*Table1[[#This Row],[Quantity]]</f>
        <v>871</v>
      </c>
      <c r="I1426" s="29">
        <f>Table1[[#This Row],[Total Revenue]]/$H$5056*100</f>
        <v>9.2409395690825666E-2</v>
      </c>
      <c r="J1426" s="3" t="s">
        <v>12</v>
      </c>
      <c r="K1426" s="4">
        <v>9.9</v>
      </c>
      <c r="M1426"/>
    </row>
    <row r="1427" spans="1:13" x14ac:dyDescent="0.25">
      <c r="A1427" s="3" t="s">
        <v>91</v>
      </c>
      <c r="B1427" s="3" t="s">
        <v>245</v>
      </c>
      <c r="C1427" s="3" t="s">
        <v>9</v>
      </c>
      <c r="D1427" s="3" t="s">
        <v>10</v>
      </c>
      <c r="E1427" s="5" t="s">
        <v>18</v>
      </c>
      <c r="F1427" s="17">
        <v>52.35</v>
      </c>
      <c r="G1427" s="3">
        <v>1</v>
      </c>
      <c r="H1427" s="17">
        <f>Table1[[#This Row],[Unit price]]*Table1[[#This Row],[Quantity]]</f>
        <v>52.35</v>
      </c>
      <c r="I1427" s="29">
        <f>Table1[[#This Row],[Total Revenue]]/$H$5056*100</f>
        <v>5.5541123586851024E-3</v>
      </c>
      <c r="J1427" s="3" t="s">
        <v>15</v>
      </c>
      <c r="K1427" s="4">
        <v>4</v>
      </c>
      <c r="M1427"/>
    </row>
    <row r="1428" spans="1:13" x14ac:dyDescent="0.25">
      <c r="A1428" s="3" t="s">
        <v>91</v>
      </c>
      <c r="B1428" s="3" t="s">
        <v>245</v>
      </c>
      <c r="C1428" s="3" t="s">
        <v>13</v>
      </c>
      <c r="D1428" s="3" t="s">
        <v>19</v>
      </c>
      <c r="E1428" s="5" t="s">
        <v>18</v>
      </c>
      <c r="F1428" s="17">
        <v>94.87</v>
      </c>
      <c r="G1428" s="3">
        <v>8</v>
      </c>
      <c r="H1428" s="17">
        <f>Table1[[#This Row],[Unit price]]*Table1[[#This Row],[Quantity]]</f>
        <v>758.96</v>
      </c>
      <c r="I1428" s="29">
        <f>Table1[[#This Row],[Total Revenue]]/$H$5056*100</f>
        <v>8.052242819002188E-2</v>
      </c>
      <c r="J1428" s="3" t="s">
        <v>17</v>
      </c>
      <c r="K1428" s="4">
        <v>8.6999999999999993</v>
      </c>
      <c r="M1428"/>
    </row>
    <row r="1429" spans="1:13" x14ac:dyDescent="0.25">
      <c r="A1429" s="3" t="s">
        <v>91</v>
      </c>
      <c r="B1429" s="3" t="s">
        <v>244</v>
      </c>
      <c r="C1429" s="3" t="s">
        <v>9</v>
      </c>
      <c r="D1429" s="3" t="s">
        <v>10</v>
      </c>
      <c r="E1429" s="5" t="s">
        <v>18</v>
      </c>
      <c r="F1429" s="17">
        <v>92.98</v>
      </c>
      <c r="G1429" s="3">
        <v>2</v>
      </c>
      <c r="H1429" s="17">
        <f>Table1[[#This Row],[Unit price]]*Table1[[#This Row],[Quantity]]</f>
        <v>185.96</v>
      </c>
      <c r="I1429" s="29">
        <f>Table1[[#This Row],[Total Revenue]]/$H$5056*100</f>
        <v>1.9729565123611875E-2</v>
      </c>
      <c r="J1429" s="3" t="s">
        <v>12</v>
      </c>
      <c r="K1429" s="4">
        <v>8</v>
      </c>
      <c r="M1429"/>
    </row>
    <row r="1430" spans="1:13" x14ac:dyDescent="0.25">
      <c r="A1430" s="3" t="s">
        <v>91</v>
      </c>
      <c r="B1430" s="3" t="s">
        <v>245</v>
      </c>
      <c r="C1430" s="3" t="s">
        <v>13</v>
      </c>
      <c r="D1430" s="3" t="s">
        <v>19</v>
      </c>
      <c r="E1430" s="5" t="s">
        <v>18</v>
      </c>
      <c r="F1430" s="17">
        <v>29.56</v>
      </c>
      <c r="G1430" s="3">
        <v>5</v>
      </c>
      <c r="H1430" s="17">
        <f>Table1[[#This Row],[Unit price]]*Table1[[#This Row],[Quantity]]</f>
        <v>147.79999999999998</v>
      </c>
      <c r="I1430" s="29">
        <f>Table1[[#This Row],[Total Revenue]]/$H$5056*100</f>
        <v>1.5680951415733675E-2</v>
      </c>
      <c r="J1430" s="3" t="s">
        <v>15</v>
      </c>
      <c r="K1430" s="4">
        <v>6.9</v>
      </c>
      <c r="M1430"/>
    </row>
    <row r="1431" spans="1:13" x14ac:dyDescent="0.25">
      <c r="A1431" s="3" t="s">
        <v>91</v>
      </c>
      <c r="B1431" s="3" t="s">
        <v>245</v>
      </c>
      <c r="C1431" s="3" t="s">
        <v>13</v>
      </c>
      <c r="D1431" s="3" t="s">
        <v>10</v>
      </c>
      <c r="E1431" s="5" t="s">
        <v>11</v>
      </c>
      <c r="F1431" s="17">
        <v>99.37</v>
      </c>
      <c r="G1431" s="3">
        <v>2</v>
      </c>
      <c r="H1431" s="17">
        <f>Table1[[#This Row],[Unit price]]*Table1[[#This Row],[Quantity]]</f>
        <v>198.74</v>
      </c>
      <c r="I1431" s="29">
        <f>Table1[[#This Row],[Total Revenue]]/$H$5056*100</f>
        <v>2.1085468771061648E-2</v>
      </c>
      <c r="J1431" s="3" t="s">
        <v>15</v>
      </c>
      <c r="K1431" s="4">
        <v>5.2</v>
      </c>
      <c r="M1431"/>
    </row>
    <row r="1432" spans="1:13" x14ac:dyDescent="0.25">
      <c r="A1432" s="3" t="s">
        <v>91</v>
      </c>
      <c r="B1432" s="3" t="s">
        <v>245</v>
      </c>
      <c r="C1432" s="3" t="s">
        <v>9</v>
      </c>
      <c r="D1432" s="3" t="s">
        <v>10</v>
      </c>
      <c r="E1432" s="5" t="s">
        <v>11</v>
      </c>
      <c r="F1432" s="17">
        <v>52.2</v>
      </c>
      <c r="G1432" s="3">
        <v>3</v>
      </c>
      <c r="H1432" s="17">
        <f>Table1[[#This Row],[Unit price]]*Table1[[#This Row],[Quantity]]</f>
        <v>156.60000000000002</v>
      </c>
      <c r="I1432" s="29">
        <f>Table1[[#This Row],[Total Revenue]]/$H$5056*100</f>
        <v>1.66145939898775E-2</v>
      </c>
      <c r="J1432" s="3" t="s">
        <v>12</v>
      </c>
      <c r="K1432" s="4">
        <v>9.5</v>
      </c>
      <c r="M1432"/>
    </row>
    <row r="1433" spans="1:13" x14ac:dyDescent="0.25">
      <c r="A1433" s="3" t="s">
        <v>91</v>
      </c>
      <c r="B1433" s="3" t="s">
        <v>245</v>
      </c>
      <c r="C1433" s="3" t="s">
        <v>9</v>
      </c>
      <c r="D1433" s="3" t="s">
        <v>19</v>
      </c>
      <c r="E1433" s="5" t="s">
        <v>18</v>
      </c>
      <c r="F1433" s="17">
        <v>72.84</v>
      </c>
      <c r="G1433" s="3">
        <v>7</v>
      </c>
      <c r="H1433" s="17">
        <f>Table1[[#This Row],[Unit price]]*Table1[[#This Row],[Quantity]]</f>
        <v>509.88</v>
      </c>
      <c r="I1433" s="29">
        <f>Table1[[#This Row],[Total Revenue]]/$H$5056*100</f>
        <v>5.4096099511869333E-2</v>
      </c>
      <c r="J1433" s="3" t="s">
        <v>15</v>
      </c>
      <c r="K1433" s="4">
        <v>8.4</v>
      </c>
      <c r="M1433"/>
    </row>
    <row r="1434" spans="1:13" x14ac:dyDescent="0.25">
      <c r="A1434" s="3" t="s">
        <v>92</v>
      </c>
      <c r="B1434" s="3" t="s">
        <v>243</v>
      </c>
      <c r="C1434" s="3" t="s">
        <v>9</v>
      </c>
      <c r="D1434" s="3" t="s">
        <v>19</v>
      </c>
      <c r="E1434" s="5" t="s">
        <v>11</v>
      </c>
      <c r="F1434" s="17">
        <v>71.39</v>
      </c>
      <c r="G1434" s="3">
        <v>5</v>
      </c>
      <c r="H1434" s="17">
        <f>Table1[[#This Row],[Unit price]]*Table1[[#This Row],[Quantity]]</f>
        <v>356.95</v>
      </c>
      <c r="I1434" s="29">
        <f>Table1[[#This Row],[Total Revenue]]/$H$5056*100</f>
        <v>3.7870876913708634E-2</v>
      </c>
      <c r="J1434" s="3" t="s">
        <v>12</v>
      </c>
      <c r="K1434" s="4">
        <v>5.5</v>
      </c>
      <c r="M1434"/>
    </row>
    <row r="1435" spans="1:13" x14ac:dyDescent="0.25">
      <c r="A1435" s="3" t="s">
        <v>92</v>
      </c>
      <c r="B1435" s="3" t="s">
        <v>244</v>
      </c>
      <c r="C1435" s="3" t="s">
        <v>13</v>
      </c>
      <c r="D1435" s="3" t="s">
        <v>10</v>
      </c>
      <c r="E1435" s="5" t="s">
        <v>18</v>
      </c>
      <c r="F1435" s="17">
        <v>45.38</v>
      </c>
      <c r="G1435" s="3">
        <v>3</v>
      </c>
      <c r="H1435" s="17">
        <f>Table1[[#This Row],[Unit price]]*Table1[[#This Row],[Quantity]]</f>
        <v>136.14000000000001</v>
      </c>
      <c r="I1435" s="29">
        <f>Table1[[#This Row],[Total Revenue]]/$H$5056*100</f>
        <v>1.4443875004993119E-2</v>
      </c>
      <c r="J1435" s="3" t="s">
        <v>12</v>
      </c>
      <c r="K1435" s="4">
        <v>7.2</v>
      </c>
      <c r="M1435"/>
    </row>
    <row r="1436" spans="1:13" x14ac:dyDescent="0.25">
      <c r="A1436" s="3" t="s">
        <v>92</v>
      </c>
      <c r="B1436" s="3" t="s">
        <v>244</v>
      </c>
      <c r="C1436" s="3" t="s">
        <v>9</v>
      </c>
      <c r="D1436" s="3" t="s">
        <v>19</v>
      </c>
      <c r="E1436" s="5" t="s">
        <v>18</v>
      </c>
      <c r="F1436" s="17">
        <v>90.22</v>
      </c>
      <c r="G1436" s="3">
        <v>3</v>
      </c>
      <c r="H1436" s="17">
        <f>Table1[[#This Row],[Unit price]]*Table1[[#This Row],[Quantity]]</f>
        <v>270.65999999999997</v>
      </c>
      <c r="I1436" s="29">
        <f>Table1[[#This Row],[Total Revenue]]/$H$5056*100</f>
        <v>2.8715874899746124E-2</v>
      </c>
      <c r="J1436" s="3" t="s">
        <v>15</v>
      </c>
      <c r="K1436" s="4">
        <v>6.2</v>
      </c>
      <c r="M1436"/>
    </row>
    <row r="1437" spans="1:13" x14ac:dyDescent="0.25">
      <c r="A1437" s="3" t="s">
        <v>92</v>
      </c>
      <c r="B1437" s="3" t="s">
        <v>245</v>
      </c>
      <c r="C1437" s="3" t="s">
        <v>9</v>
      </c>
      <c r="D1437" s="3" t="s">
        <v>10</v>
      </c>
      <c r="E1437" s="5" t="s">
        <v>18</v>
      </c>
      <c r="F1437" s="17">
        <v>88.34</v>
      </c>
      <c r="G1437" s="3">
        <v>7</v>
      </c>
      <c r="H1437" s="17">
        <f>Table1[[#This Row],[Unit price]]*Table1[[#This Row],[Quantity]]</f>
        <v>618.38</v>
      </c>
      <c r="I1437" s="29">
        <f>Table1[[#This Row],[Total Revenue]]/$H$5056*100</f>
        <v>6.5607488068074371E-2</v>
      </c>
      <c r="J1437" s="3" t="s">
        <v>15</v>
      </c>
      <c r="K1437" s="4">
        <v>6.6</v>
      </c>
      <c r="M1437"/>
    </row>
    <row r="1438" spans="1:13" x14ac:dyDescent="0.25">
      <c r="A1438" s="3" t="s">
        <v>92</v>
      </c>
      <c r="B1438" s="3" t="s">
        <v>244</v>
      </c>
      <c r="C1438" s="3" t="s">
        <v>9</v>
      </c>
      <c r="D1438" s="3" t="s">
        <v>19</v>
      </c>
      <c r="E1438" s="5" t="s">
        <v>18</v>
      </c>
      <c r="F1438" s="17">
        <v>98.48</v>
      </c>
      <c r="G1438" s="3">
        <v>2</v>
      </c>
      <c r="H1438" s="17">
        <f>Table1[[#This Row],[Unit price]]*Table1[[#This Row],[Quantity]]</f>
        <v>196.96</v>
      </c>
      <c r="I1438" s="29">
        <f>Table1[[#This Row],[Total Revenue]]/$H$5056*100</f>
        <v>2.0896618341291646E-2</v>
      </c>
      <c r="J1438" s="3" t="s">
        <v>17</v>
      </c>
      <c r="K1438" s="4">
        <v>9.1999999999999993</v>
      </c>
      <c r="M1438"/>
    </row>
    <row r="1439" spans="1:13" x14ac:dyDescent="0.25">
      <c r="A1439" s="3" t="s">
        <v>92</v>
      </c>
      <c r="B1439" s="3" t="s">
        <v>243</v>
      </c>
      <c r="C1439" s="3" t="s">
        <v>9</v>
      </c>
      <c r="D1439" s="3" t="s">
        <v>19</v>
      </c>
      <c r="E1439" s="5" t="s">
        <v>11</v>
      </c>
      <c r="F1439" s="17">
        <v>98.66</v>
      </c>
      <c r="G1439" s="3">
        <v>9</v>
      </c>
      <c r="H1439" s="17">
        <f>Table1[[#This Row],[Unit price]]*Table1[[#This Row],[Quantity]]</f>
        <v>887.93999999999994</v>
      </c>
      <c r="I1439" s="29">
        <f>Table1[[#This Row],[Total Revenue]]/$H$5056*100</f>
        <v>9.4206657646052516E-2</v>
      </c>
      <c r="J1439" s="3" t="s">
        <v>15</v>
      </c>
      <c r="K1439" s="4">
        <v>8.4</v>
      </c>
      <c r="M1439"/>
    </row>
    <row r="1440" spans="1:13" x14ac:dyDescent="0.25">
      <c r="A1440" s="3" t="s">
        <v>92</v>
      </c>
      <c r="B1440" s="3" t="s">
        <v>243</v>
      </c>
      <c r="C1440" s="3" t="s">
        <v>13</v>
      </c>
      <c r="D1440" s="3" t="s">
        <v>19</v>
      </c>
      <c r="E1440" s="5" t="s">
        <v>11</v>
      </c>
      <c r="F1440" s="17">
        <v>41.24</v>
      </c>
      <c r="G1440" s="3">
        <v>4</v>
      </c>
      <c r="H1440" s="17">
        <f>Table1[[#This Row],[Unit price]]*Table1[[#This Row],[Quantity]]</f>
        <v>164.96</v>
      </c>
      <c r="I1440" s="29">
        <f>Table1[[#This Row],[Total Revenue]]/$H$5056*100</f>
        <v>1.7501554435314124E-2</v>
      </c>
      <c r="J1440" s="3" t="s">
        <v>15</v>
      </c>
      <c r="K1440" s="4">
        <v>7.1</v>
      </c>
      <c r="M1440"/>
    </row>
    <row r="1441" spans="1:13" x14ac:dyDescent="0.25">
      <c r="A1441" s="3" t="s">
        <v>92</v>
      </c>
      <c r="B1441" s="3" t="s">
        <v>244</v>
      </c>
      <c r="C1441" s="3" t="s">
        <v>13</v>
      </c>
      <c r="D1441" s="3" t="s">
        <v>19</v>
      </c>
      <c r="E1441" s="5" t="s">
        <v>18</v>
      </c>
      <c r="F1441" s="17">
        <v>12.54</v>
      </c>
      <c r="G1441" s="3">
        <v>1</v>
      </c>
      <c r="H1441" s="17">
        <f>Table1[[#This Row],[Unit price]]*Table1[[#This Row],[Quantity]]</f>
        <v>12.54</v>
      </c>
      <c r="I1441" s="29">
        <f>Table1[[#This Row],[Total Revenue]]/$H$5056*100</f>
        <v>1.3304406681549411E-3</v>
      </c>
      <c r="J1441" s="3" t="s">
        <v>15</v>
      </c>
      <c r="K1441" s="4">
        <v>8.1999999999999993</v>
      </c>
      <c r="M1441"/>
    </row>
    <row r="1442" spans="1:13" x14ac:dyDescent="0.25">
      <c r="A1442" s="3" t="s">
        <v>92</v>
      </c>
      <c r="B1442" s="3" t="s">
        <v>244</v>
      </c>
      <c r="C1442" s="3" t="s">
        <v>13</v>
      </c>
      <c r="D1442" s="3" t="s">
        <v>19</v>
      </c>
      <c r="E1442" s="5" t="s">
        <v>18</v>
      </c>
      <c r="F1442" s="17">
        <v>39.75</v>
      </c>
      <c r="G1442" s="3">
        <v>5</v>
      </c>
      <c r="H1442" s="17">
        <f>Table1[[#This Row],[Unit price]]*Table1[[#This Row],[Quantity]]</f>
        <v>198.75</v>
      </c>
      <c r="I1442" s="29">
        <f>Table1[[#This Row],[Total Revenue]]/$H$5056*100</f>
        <v>2.1086529728532262E-2</v>
      </c>
      <c r="J1442" s="3" t="s">
        <v>17</v>
      </c>
      <c r="K1442" s="4">
        <v>9.6</v>
      </c>
      <c r="M1442"/>
    </row>
    <row r="1443" spans="1:13" x14ac:dyDescent="0.25">
      <c r="A1443" s="3" t="s">
        <v>92</v>
      </c>
      <c r="B1443" s="3" t="s">
        <v>243</v>
      </c>
      <c r="C1443" s="3" t="s">
        <v>9</v>
      </c>
      <c r="D1443" s="3" t="s">
        <v>19</v>
      </c>
      <c r="E1443" s="5" t="s">
        <v>11</v>
      </c>
      <c r="F1443" s="17">
        <v>30.41</v>
      </c>
      <c r="G1443" s="3">
        <v>1</v>
      </c>
      <c r="H1443" s="17">
        <f>Table1[[#This Row],[Unit price]]*Table1[[#This Row],[Quantity]]</f>
        <v>30.41</v>
      </c>
      <c r="I1443" s="29">
        <f>Table1[[#This Row],[Total Revenue]]/$H$5056*100</f>
        <v>3.2263716681492634E-3</v>
      </c>
      <c r="J1443" s="3" t="s">
        <v>12</v>
      </c>
      <c r="K1443" s="4">
        <v>8.4</v>
      </c>
      <c r="M1443"/>
    </row>
    <row r="1444" spans="1:13" x14ac:dyDescent="0.25">
      <c r="A1444" s="3" t="s">
        <v>92</v>
      </c>
      <c r="B1444" s="3" t="s">
        <v>244</v>
      </c>
      <c r="C1444" s="3" t="s">
        <v>9</v>
      </c>
      <c r="D1444" s="3" t="s">
        <v>19</v>
      </c>
      <c r="E1444" s="5" t="s">
        <v>18</v>
      </c>
      <c r="F1444" s="17">
        <v>17.489999999999998</v>
      </c>
      <c r="G1444" s="3">
        <v>10</v>
      </c>
      <c r="H1444" s="17">
        <f>Table1[[#This Row],[Unit price]]*Table1[[#This Row],[Quantity]]</f>
        <v>174.89999999999998</v>
      </c>
      <c r="I1444" s="29">
        <f>Table1[[#This Row],[Total Revenue]]/$H$5056*100</f>
        <v>1.855614616110839E-2</v>
      </c>
      <c r="J1444" s="3" t="s">
        <v>17</v>
      </c>
      <c r="K1444" s="4">
        <v>6.6</v>
      </c>
      <c r="M1444"/>
    </row>
    <row r="1445" spans="1:13" x14ac:dyDescent="0.25">
      <c r="A1445" s="3" t="s">
        <v>92</v>
      </c>
      <c r="B1445" s="3" t="s">
        <v>244</v>
      </c>
      <c r="C1445" s="3" t="s">
        <v>9</v>
      </c>
      <c r="D1445" s="3" t="s">
        <v>19</v>
      </c>
      <c r="E1445" s="5" t="s">
        <v>11</v>
      </c>
      <c r="F1445" s="17">
        <v>35.89</v>
      </c>
      <c r="G1445" s="3">
        <v>1</v>
      </c>
      <c r="H1445" s="17">
        <f>Table1[[#This Row],[Unit price]]*Table1[[#This Row],[Quantity]]</f>
        <v>35.89</v>
      </c>
      <c r="I1445" s="29">
        <f>Table1[[#This Row],[Total Revenue]]/$H$5056*100</f>
        <v>3.8077763620479139E-3</v>
      </c>
      <c r="J1445" s="3" t="s">
        <v>12</v>
      </c>
      <c r="K1445" s="4">
        <v>7.9</v>
      </c>
      <c r="M1445"/>
    </row>
    <row r="1446" spans="1:13" x14ac:dyDescent="0.25">
      <c r="A1446" s="3" t="s">
        <v>93</v>
      </c>
      <c r="B1446" s="3" t="s">
        <v>244</v>
      </c>
      <c r="C1446" s="3" t="s">
        <v>13</v>
      </c>
      <c r="D1446" s="3" t="s">
        <v>10</v>
      </c>
      <c r="E1446" s="5" t="s">
        <v>11</v>
      </c>
      <c r="F1446" s="17">
        <v>94.13</v>
      </c>
      <c r="G1446" s="3">
        <v>3</v>
      </c>
      <c r="H1446" s="17">
        <f>Table1[[#This Row],[Unit price]]*Table1[[#This Row],[Quantity]]</f>
        <v>282.39</v>
      </c>
      <c r="I1446" s="29">
        <f>Table1[[#This Row],[Total Revenue]]/$H$5056*100</f>
        <v>2.9960378012781008E-2</v>
      </c>
      <c r="J1446" s="3" t="s">
        <v>15</v>
      </c>
      <c r="K1446" s="4">
        <v>5.8</v>
      </c>
      <c r="M1446"/>
    </row>
    <row r="1447" spans="1:13" x14ac:dyDescent="0.25">
      <c r="A1447" s="3" t="s">
        <v>93</v>
      </c>
      <c r="B1447" s="3" t="s">
        <v>244</v>
      </c>
      <c r="C1447" s="3" t="s">
        <v>9</v>
      </c>
      <c r="D1447" s="3" t="s">
        <v>10</v>
      </c>
      <c r="E1447" s="5" t="s">
        <v>11</v>
      </c>
      <c r="F1447" s="17">
        <v>48.61</v>
      </c>
      <c r="G1447" s="3">
        <v>1</v>
      </c>
      <c r="H1447" s="17">
        <f>Table1[[#This Row],[Unit price]]*Table1[[#This Row],[Quantity]]</f>
        <v>48.61</v>
      </c>
      <c r="I1447" s="29">
        <f>Table1[[#This Row],[Total Revenue]]/$H$5056*100</f>
        <v>5.1573142646739794E-3</v>
      </c>
      <c r="J1447" s="3" t="s">
        <v>15</v>
      </c>
      <c r="K1447" s="4">
        <v>4.4000000000000004</v>
      </c>
      <c r="M1447"/>
    </row>
    <row r="1448" spans="1:13" x14ac:dyDescent="0.25">
      <c r="A1448" s="3" t="s">
        <v>93</v>
      </c>
      <c r="B1448" s="3" t="s">
        <v>243</v>
      </c>
      <c r="C1448" s="3" t="s">
        <v>9</v>
      </c>
      <c r="D1448" s="3" t="s">
        <v>10</v>
      </c>
      <c r="E1448" s="5" t="s">
        <v>21</v>
      </c>
      <c r="F1448" s="17">
        <v>62.57</v>
      </c>
      <c r="G1448" s="3">
        <v>4</v>
      </c>
      <c r="H1448" s="17">
        <f>Table1[[#This Row],[Unit price]]*Table1[[#This Row],[Quantity]]</f>
        <v>250.28</v>
      </c>
      <c r="I1448" s="29">
        <f>Table1[[#This Row],[Total Revenue]]/$H$5056*100</f>
        <v>2.6553643574626688E-2</v>
      </c>
      <c r="J1448" s="3" t="s">
        <v>15</v>
      </c>
      <c r="K1448" s="4">
        <v>9.5</v>
      </c>
      <c r="M1448"/>
    </row>
    <row r="1449" spans="1:13" x14ac:dyDescent="0.25">
      <c r="A1449" s="3" t="s">
        <v>93</v>
      </c>
      <c r="B1449" s="3" t="s">
        <v>245</v>
      </c>
      <c r="C1449" s="3" t="s">
        <v>9</v>
      </c>
      <c r="D1449" s="3" t="s">
        <v>10</v>
      </c>
      <c r="E1449" s="5" t="s">
        <v>18</v>
      </c>
      <c r="F1449" s="17">
        <v>73.05</v>
      </c>
      <c r="G1449" s="3">
        <v>4</v>
      </c>
      <c r="H1449" s="17">
        <f>Table1[[#This Row],[Unit price]]*Table1[[#This Row],[Quantity]]</f>
        <v>292.2</v>
      </c>
      <c r="I1449" s="29">
        <f>Table1[[#This Row],[Total Revenue]]/$H$5056*100</f>
        <v>3.1001177291457242E-2</v>
      </c>
      <c r="J1449" s="3" t="s">
        <v>12</v>
      </c>
      <c r="K1449" s="4">
        <v>4.9000000000000004</v>
      </c>
      <c r="M1449"/>
    </row>
    <row r="1450" spans="1:13" x14ac:dyDescent="0.25">
      <c r="A1450" s="3" t="s">
        <v>93</v>
      </c>
      <c r="B1450" s="3" t="s">
        <v>245</v>
      </c>
      <c r="C1450" s="3" t="s">
        <v>9</v>
      </c>
      <c r="D1450" s="3" t="s">
        <v>10</v>
      </c>
      <c r="E1450" s="5" t="s">
        <v>21</v>
      </c>
      <c r="F1450" s="17">
        <v>65.180000000000007</v>
      </c>
      <c r="G1450" s="3">
        <v>3</v>
      </c>
      <c r="H1450" s="17">
        <f>Table1[[#This Row],[Unit price]]*Table1[[#This Row],[Quantity]]</f>
        <v>195.54000000000002</v>
      </c>
      <c r="I1450" s="29">
        <f>Table1[[#This Row],[Total Revenue]]/$H$5056*100</f>
        <v>2.0745962380463896E-2</v>
      </c>
      <c r="J1450" s="3" t="s">
        <v>12</v>
      </c>
      <c r="K1450" s="4">
        <v>6.3</v>
      </c>
      <c r="M1450"/>
    </row>
    <row r="1451" spans="1:13" x14ac:dyDescent="0.25">
      <c r="A1451" s="3" t="s">
        <v>93</v>
      </c>
      <c r="B1451" s="3" t="s">
        <v>244</v>
      </c>
      <c r="C1451" s="3" t="s">
        <v>13</v>
      </c>
      <c r="D1451" s="3" t="s">
        <v>10</v>
      </c>
      <c r="E1451" s="5" t="s">
        <v>21</v>
      </c>
      <c r="F1451" s="17">
        <v>42.57</v>
      </c>
      <c r="G1451" s="3">
        <v>8</v>
      </c>
      <c r="H1451" s="17">
        <f>Table1[[#This Row],[Unit price]]*Table1[[#This Row],[Quantity]]</f>
        <v>340.56</v>
      </c>
      <c r="I1451" s="29">
        <f>Table1[[#This Row],[Total Revenue]]/$H$5056*100</f>
        <v>3.6131967619365775E-2</v>
      </c>
      <c r="J1451" s="3" t="s">
        <v>17</v>
      </c>
      <c r="K1451" s="4">
        <v>5.6</v>
      </c>
      <c r="M1451"/>
    </row>
    <row r="1452" spans="1:13" x14ac:dyDescent="0.25">
      <c r="A1452" s="3" t="s">
        <v>93</v>
      </c>
      <c r="B1452" s="3" t="s">
        <v>244</v>
      </c>
      <c r="C1452" s="3" t="s">
        <v>9</v>
      </c>
      <c r="D1452" s="3" t="s">
        <v>19</v>
      </c>
      <c r="E1452" s="5" t="s">
        <v>11</v>
      </c>
      <c r="F1452" s="17">
        <v>62.85</v>
      </c>
      <c r="G1452" s="3">
        <v>4</v>
      </c>
      <c r="H1452" s="17">
        <f>Table1[[#This Row],[Unit price]]*Table1[[#This Row],[Quantity]]</f>
        <v>251.4</v>
      </c>
      <c r="I1452" s="29">
        <f>Table1[[#This Row],[Total Revenue]]/$H$5056*100</f>
        <v>2.6672470811335905E-2</v>
      </c>
      <c r="J1452" s="3" t="s">
        <v>17</v>
      </c>
      <c r="K1452" s="4">
        <v>8.6999999999999993</v>
      </c>
      <c r="M1452"/>
    </row>
    <row r="1453" spans="1:13" x14ac:dyDescent="0.25">
      <c r="A1453" s="3" t="s">
        <v>93</v>
      </c>
      <c r="B1453" s="3" t="s">
        <v>244</v>
      </c>
      <c r="C1453" s="3" t="s">
        <v>13</v>
      </c>
      <c r="D1453" s="3" t="s">
        <v>19</v>
      </c>
      <c r="E1453" s="5" t="s">
        <v>11</v>
      </c>
      <c r="F1453" s="17">
        <v>22.93</v>
      </c>
      <c r="G1453" s="3">
        <v>9</v>
      </c>
      <c r="H1453" s="17">
        <f>Table1[[#This Row],[Unit price]]*Table1[[#This Row],[Quantity]]</f>
        <v>206.37</v>
      </c>
      <c r="I1453" s="29">
        <f>Table1[[#This Row],[Total Revenue]]/$H$5056*100</f>
        <v>2.1894979321143163E-2</v>
      </c>
      <c r="J1453" s="3" t="s">
        <v>15</v>
      </c>
      <c r="K1453" s="4">
        <v>5.5</v>
      </c>
      <c r="M1453"/>
    </row>
    <row r="1454" spans="1:13" x14ac:dyDescent="0.25">
      <c r="A1454" s="3" t="s">
        <v>93</v>
      </c>
      <c r="B1454" s="3" t="s">
        <v>244</v>
      </c>
      <c r="C1454" s="3" t="s">
        <v>9</v>
      </c>
      <c r="D1454" s="3" t="s">
        <v>19</v>
      </c>
      <c r="E1454" s="5" t="s">
        <v>18</v>
      </c>
      <c r="F1454" s="17">
        <v>55.45</v>
      </c>
      <c r="G1454" s="3">
        <v>1</v>
      </c>
      <c r="H1454" s="17">
        <f>Table1[[#This Row],[Unit price]]*Table1[[#This Row],[Quantity]]</f>
        <v>55.45</v>
      </c>
      <c r="I1454" s="29">
        <f>Table1[[#This Row],[Total Revenue]]/$H$5056*100</f>
        <v>5.883009174576675E-3</v>
      </c>
      <c r="J1454" s="3" t="s">
        <v>12</v>
      </c>
      <c r="K1454" s="4">
        <v>4.9000000000000004</v>
      </c>
      <c r="M1454"/>
    </row>
    <row r="1455" spans="1:13" x14ac:dyDescent="0.25">
      <c r="A1455" s="3" t="s">
        <v>93</v>
      </c>
      <c r="B1455" s="3" t="s">
        <v>244</v>
      </c>
      <c r="C1455" s="3" t="s">
        <v>13</v>
      </c>
      <c r="D1455" s="3" t="s">
        <v>10</v>
      </c>
      <c r="E1455" s="5" t="s">
        <v>21</v>
      </c>
      <c r="F1455" s="17">
        <v>56.69</v>
      </c>
      <c r="G1455" s="3">
        <v>9</v>
      </c>
      <c r="H1455" s="17">
        <f>Table1[[#This Row],[Unit price]]*Table1[[#This Row],[Quantity]]</f>
        <v>510.21</v>
      </c>
      <c r="I1455" s="29">
        <f>Table1[[#This Row],[Total Revenue]]/$H$5056*100</f>
        <v>5.4131111108399729E-2</v>
      </c>
      <c r="J1455" s="3" t="s">
        <v>12</v>
      </c>
      <c r="K1455" s="4">
        <v>8.4</v>
      </c>
      <c r="M1455"/>
    </row>
    <row r="1456" spans="1:13" x14ac:dyDescent="0.25">
      <c r="A1456" s="3" t="s">
        <v>93</v>
      </c>
      <c r="B1456" s="3" t="s">
        <v>244</v>
      </c>
      <c r="C1456" s="3" t="s">
        <v>13</v>
      </c>
      <c r="D1456" s="3" t="s">
        <v>19</v>
      </c>
      <c r="E1456" s="5" t="s">
        <v>21</v>
      </c>
      <c r="F1456" s="17">
        <v>67.27</v>
      </c>
      <c r="G1456" s="3">
        <v>5</v>
      </c>
      <c r="H1456" s="17">
        <f>Table1[[#This Row],[Unit price]]*Table1[[#This Row],[Quantity]]</f>
        <v>336.34999999999997</v>
      </c>
      <c r="I1456" s="29">
        <f>Table1[[#This Row],[Total Revenue]]/$H$5056*100</f>
        <v>3.5685304524235607E-2</v>
      </c>
      <c r="J1456" s="3" t="s">
        <v>15</v>
      </c>
      <c r="K1456" s="4">
        <v>6.9</v>
      </c>
      <c r="M1456"/>
    </row>
    <row r="1457" spans="1:13" x14ac:dyDescent="0.25">
      <c r="A1457" s="2">
        <v>45296</v>
      </c>
      <c r="B1457" s="3" t="s">
        <v>244</v>
      </c>
      <c r="C1457" s="3" t="s">
        <v>13</v>
      </c>
      <c r="D1457" s="3" t="s">
        <v>10</v>
      </c>
      <c r="E1457" s="5" t="s">
        <v>21</v>
      </c>
      <c r="F1457" s="17">
        <v>25.43</v>
      </c>
      <c r="G1457" s="3">
        <v>3</v>
      </c>
      <c r="H1457" s="17">
        <f>Table1[[#This Row],[Unit price]]*Table1[[#This Row],[Quantity]]</f>
        <v>76.289999999999992</v>
      </c>
      <c r="I1457" s="29">
        <f>Table1[[#This Row],[Total Revenue]]/$H$5056*100</f>
        <v>8.0940445433445342E-3</v>
      </c>
      <c r="J1457" s="3" t="s">
        <v>12</v>
      </c>
      <c r="K1457" s="4">
        <v>7.1</v>
      </c>
      <c r="M1457"/>
    </row>
    <row r="1458" spans="1:13" x14ac:dyDescent="0.25">
      <c r="A1458" s="2">
        <v>45296</v>
      </c>
      <c r="B1458" s="3" t="s">
        <v>244</v>
      </c>
      <c r="C1458" s="3" t="s">
        <v>13</v>
      </c>
      <c r="D1458" s="3" t="s">
        <v>19</v>
      </c>
      <c r="E1458" s="5" t="s">
        <v>18</v>
      </c>
      <c r="F1458" s="17">
        <v>79.86</v>
      </c>
      <c r="G1458" s="3">
        <v>2</v>
      </c>
      <c r="H1458" s="17">
        <f>Table1[[#This Row],[Unit price]]*Table1[[#This Row],[Quantity]]</f>
        <v>159.72</v>
      </c>
      <c r="I1458" s="29">
        <f>Table1[[#This Row],[Total Revenue]]/$H$5056*100</f>
        <v>1.6945612720710303E-2</v>
      </c>
      <c r="J1458" s="3" t="s">
        <v>15</v>
      </c>
      <c r="K1458" s="4">
        <v>6.2</v>
      </c>
      <c r="M1458"/>
    </row>
    <row r="1459" spans="1:13" x14ac:dyDescent="0.25">
      <c r="A1459" s="2">
        <v>45296</v>
      </c>
      <c r="B1459" s="3" t="s">
        <v>244</v>
      </c>
      <c r="C1459" s="3" t="s">
        <v>13</v>
      </c>
      <c r="D1459" s="3" t="s">
        <v>19</v>
      </c>
      <c r="E1459" s="5" t="s">
        <v>11</v>
      </c>
      <c r="F1459" s="17">
        <v>84.63</v>
      </c>
      <c r="G1459" s="3">
        <v>2</v>
      </c>
      <c r="H1459" s="17">
        <f>Table1[[#This Row],[Unit price]]*Table1[[#This Row],[Quantity]]</f>
        <v>169.26</v>
      </c>
      <c r="I1459" s="29">
        <f>Table1[[#This Row],[Total Revenue]]/$H$5056*100</f>
        <v>1.7957766147679854E-2</v>
      </c>
      <c r="J1459" s="3" t="s">
        <v>17</v>
      </c>
      <c r="K1459" s="4">
        <v>7.2</v>
      </c>
      <c r="M1459"/>
    </row>
    <row r="1460" spans="1:13" x14ac:dyDescent="0.25">
      <c r="A1460" s="2">
        <v>45296</v>
      </c>
      <c r="B1460" s="3" t="s">
        <v>244</v>
      </c>
      <c r="C1460" s="3" t="s">
        <v>13</v>
      </c>
      <c r="D1460" s="3" t="s">
        <v>19</v>
      </c>
      <c r="E1460" s="5" t="s">
        <v>11</v>
      </c>
      <c r="F1460" s="17">
        <v>21.12</v>
      </c>
      <c r="G1460" s="3">
        <v>3</v>
      </c>
      <c r="H1460" s="17">
        <f>Table1[[#This Row],[Unit price]]*Table1[[#This Row],[Quantity]]</f>
        <v>63.36</v>
      </c>
      <c r="I1460" s="29">
        <f>Table1[[#This Row],[Total Revenue]]/$H$5056*100</f>
        <v>6.7222265338354927E-3</v>
      </c>
      <c r="J1460" s="3" t="s">
        <v>17</v>
      </c>
      <c r="K1460" s="4">
        <v>6.9</v>
      </c>
      <c r="M1460"/>
    </row>
    <row r="1461" spans="1:13" x14ac:dyDescent="0.25">
      <c r="A1461" s="2">
        <v>45296</v>
      </c>
      <c r="B1461" s="3" t="s">
        <v>244</v>
      </c>
      <c r="C1461" s="3" t="s">
        <v>13</v>
      </c>
      <c r="D1461" s="3" t="s">
        <v>19</v>
      </c>
      <c r="E1461" s="5" t="s">
        <v>16</v>
      </c>
      <c r="F1461" s="17">
        <v>70.19</v>
      </c>
      <c r="G1461" s="3">
        <v>2</v>
      </c>
      <c r="H1461" s="17">
        <f>Table1[[#This Row],[Unit price]]*Table1[[#This Row],[Quantity]]</f>
        <v>140.38</v>
      </c>
      <c r="I1461" s="29">
        <f>Table1[[#This Row],[Total Revenue]]/$H$5056*100</f>
        <v>1.489372097253514E-2</v>
      </c>
      <c r="J1461" s="3" t="s">
        <v>12</v>
      </c>
      <c r="K1461" s="4">
        <v>8.1</v>
      </c>
      <c r="M1461"/>
    </row>
    <row r="1462" spans="1:13" x14ac:dyDescent="0.25">
      <c r="A1462" s="2">
        <v>45296</v>
      </c>
      <c r="B1462" s="3" t="s">
        <v>243</v>
      </c>
      <c r="C1462" s="3" t="s">
        <v>9</v>
      </c>
      <c r="D1462" s="3" t="s">
        <v>10</v>
      </c>
      <c r="E1462" s="5" t="s">
        <v>11</v>
      </c>
      <c r="F1462" s="17">
        <v>41.66</v>
      </c>
      <c r="G1462" s="3">
        <v>3</v>
      </c>
      <c r="H1462" s="17">
        <f>Table1[[#This Row],[Unit price]]*Table1[[#This Row],[Quantity]]</f>
        <v>124.97999999999999</v>
      </c>
      <c r="I1462" s="29">
        <f>Table1[[#This Row],[Total Revenue]]/$H$5056*100</f>
        <v>1.3259846467783457E-2</v>
      </c>
      <c r="J1462" s="3" t="s">
        <v>15</v>
      </c>
      <c r="K1462" s="4">
        <v>6.8</v>
      </c>
      <c r="M1462"/>
    </row>
    <row r="1463" spans="1:13" x14ac:dyDescent="0.25">
      <c r="A1463" s="2">
        <v>45296</v>
      </c>
      <c r="B1463" s="3" t="s">
        <v>243</v>
      </c>
      <c r="C1463" s="3" t="s">
        <v>13</v>
      </c>
      <c r="D1463" s="3" t="s">
        <v>19</v>
      </c>
      <c r="E1463" s="5" t="s">
        <v>11</v>
      </c>
      <c r="F1463" s="17">
        <v>71.2</v>
      </c>
      <c r="G1463" s="3">
        <v>4</v>
      </c>
      <c r="H1463" s="17">
        <f>Table1[[#This Row],[Unit price]]*Table1[[#This Row],[Quantity]]</f>
        <v>284.8</v>
      </c>
      <c r="I1463" s="29">
        <f>Table1[[#This Row],[Total Revenue]]/$H$5056*100</f>
        <v>3.0216068763199946E-2</v>
      </c>
      <c r="J1463" s="3" t="s">
        <v>12</v>
      </c>
      <c r="K1463" s="4">
        <v>8.3000000000000007</v>
      </c>
      <c r="M1463"/>
    </row>
    <row r="1464" spans="1:13" x14ac:dyDescent="0.25">
      <c r="A1464" s="2">
        <v>45296</v>
      </c>
      <c r="B1464" s="3" t="s">
        <v>245</v>
      </c>
      <c r="C1464" s="3" t="s">
        <v>13</v>
      </c>
      <c r="D1464" s="3" t="s">
        <v>10</v>
      </c>
      <c r="E1464" s="5" t="s">
        <v>21</v>
      </c>
      <c r="F1464" s="17">
        <v>91.3</v>
      </c>
      <c r="G1464" s="3">
        <v>1</v>
      </c>
      <c r="H1464" s="17">
        <f>Table1[[#This Row],[Unit price]]*Table1[[#This Row],[Quantity]]</f>
        <v>91.3</v>
      </c>
      <c r="I1464" s="29">
        <f>Table1[[#This Row],[Total Revenue]]/$H$5056*100</f>
        <v>9.6865417067421161E-3</v>
      </c>
      <c r="J1464" s="3" t="s">
        <v>15</v>
      </c>
      <c r="K1464" s="4">
        <v>7.2</v>
      </c>
      <c r="M1464"/>
    </row>
    <row r="1465" spans="1:13" x14ac:dyDescent="0.25">
      <c r="A1465" s="2">
        <v>45296</v>
      </c>
      <c r="B1465" s="3" t="s">
        <v>243</v>
      </c>
      <c r="C1465" s="3" t="s">
        <v>13</v>
      </c>
      <c r="D1465" s="3" t="s">
        <v>19</v>
      </c>
      <c r="E1465" s="5" t="s">
        <v>18</v>
      </c>
      <c r="F1465" s="17">
        <v>89.69</v>
      </c>
      <c r="G1465" s="3">
        <v>3</v>
      </c>
      <c r="H1465" s="17">
        <f>Table1[[#This Row],[Unit price]]*Table1[[#This Row],[Quantity]]</f>
        <v>269.07</v>
      </c>
      <c r="I1465" s="29">
        <f>Table1[[#This Row],[Total Revenue]]/$H$5056*100</f>
        <v>2.8547182661917869E-2</v>
      </c>
      <c r="J1465" s="3" t="s">
        <v>12</v>
      </c>
      <c r="K1465" s="4">
        <v>5.5</v>
      </c>
      <c r="M1465"/>
    </row>
    <row r="1466" spans="1:13" x14ac:dyDescent="0.25">
      <c r="A1466" s="2">
        <v>45296</v>
      </c>
      <c r="B1466" s="3" t="s">
        <v>244</v>
      </c>
      <c r="C1466" s="3" t="s">
        <v>13</v>
      </c>
      <c r="D1466" s="3" t="s">
        <v>19</v>
      </c>
      <c r="E1466" s="5" t="s">
        <v>20</v>
      </c>
      <c r="F1466" s="17">
        <v>16.37</v>
      </c>
      <c r="G1466" s="3">
        <v>3</v>
      </c>
      <c r="H1466" s="17">
        <f>Table1[[#This Row],[Unit price]]*Table1[[#This Row],[Quantity]]</f>
        <v>49.11</v>
      </c>
      <c r="I1466" s="29">
        <f>Table1[[#This Row],[Total Revenue]]/$H$5056*100</f>
        <v>5.2103621382048777E-3</v>
      </c>
      <c r="J1466" s="3" t="s">
        <v>15</v>
      </c>
      <c r="K1466" s="4">
        <v>6.3</v>
      </c>
      <c r="M1466"/>
    </row>
    <row r="1467" spans="1:13" x14ac:dyDescent="0.25">
      <c r="A1467" s="2">
        <v>45296</v>
      </c>
      <c r="B1467" s="3" t="s">
        <v>244</v>
      </c>
      <c r="C1467" s="3" t="s">
        <v>13</v>
      </c>
      <c r="D1467" s="3" t="s">
        <v>19</v>
      </c>
      <c r="E1467" s="5" t="s">
        <v>21</v>
      </c>
      <c r="F1467" s="17">
        <v>75.739999999999995</v>
      </c>
      <c r="G1467" s="3">
        <v>2</v>
      </c>
      <c r="H1467" s="17">
        <f>Table1[[#This Row],[Unit price]]*Table1[[#This Row],[Quantity]]</f>
        <v>151.47999999999999</v>
      </c>
      <c r="I1467" s="29">
        <f>Table1[[#This Row],[Total Revenue]]/$H$5056*100</f>
        <v>1.6071383764921093E-2</v>
      </c>
      <c r="J1467" s="3" t="s">
        <v>15</v>
      </c>
      <c r="K1467" s="4">
        <v>8.8000000000000007</v>
      </c>
      <c r="M1467"/>
    </row>
    <row r="1468" spans="1:13" x14ac:dyDescent="0.25">
      <c r="A1468" s="2">
        <v>45296</v>
      </c>
      <c r="B1468" s="3" t="s">
        <v>243</v>
      </c>
      <c r="C1468" s="3" t="s">
        <v>9</v>
      </c>
      <c r="D1468" s="3" t="s">
        <v>10</v>
      </c>
      <c r="E1468" s="5" t="s">
        <v>21</v>
      </c>
      <c r="F1468" s="17">
        <v>58.32</v>
      </c>
      <c r="G1468" s="3">
        <v>3</v>
      </c>
      <c r="H1468" s="17">
        <f>Table1[[#This Row],[Unit price]]*Table1[[#This Row],[Quantity]]</f>
        <v>174.96</v>
      </c>
      <c r="I1468" s="29">
        <f>Table1[[#This Row],[Total Revenue]]/$H$5056*100</f>
        <v>1.8562511905932104E-2</v>
      </c>
      <c r="J1468" s="3" t="s">
        <v>15</v>
      </c>
      <c r="K1468" s="4">
        <v>6.3</v>
      </c>
      <c r="M1468"/>
    </row>
    <row r="1469" spans="1:13" x14ac:dyDescent="0.25">
      <c r="A1469" s="2">
        <v>45296</v>
      </c>
      <c r="B1469" s="3" t="s">
        <v>243</v>
      </c>
      <c r="C1469" s="3" t="s">
        <v>13</v>
      </c>
      <c r="D1469" s="3" t="s">
        <v>10</v>
      </c>
      <c r="E1469" s="5" t="s">
        <v>20</v>
      </c>
      <c r="F1469" s="17">
        <v>45.97</v>
      </c>
      <c r="G1469" s="3">
        <v>3</v>
      </c>
      <c r="H1469" s="17">
        <f>Table1[[#This Row],[Unit price]]*Table1[[#This Row],[Quantity]]</f>
        <v>137.91</v>
      </c>
      <c r="I1469" s="29">
        <f>Table1[[#This Row],[Total Revenue]]/$H$5056*100</f>
        <v>1.46316644772925E-2</v>
      </c>
      <c r="J1469" s="3" t="s">
        <v>12</v>
      </c>
      <c r="K1469" s="4">
        <v>6.8</v>
      </c>
      <c r="M1469"/>
    </row>
    <row r="1470" spans="1:13" x14ac:dyDescent="0.25">
      <c r="A1470" s="2">
        <v>45296</v>
      </c>
      <c r="B1470" s="3" t="s">
        <v>244</v>
      </c>
      <c r="C1470" s="3" t="s">
        <v>13</v>
      </c>
      <c r="D1470" s="3" t="s">
        <v>19</v>
      </c>
      <c r="E1470" s="5" t="s">
        <v>11</v>
      </c>
      <c r="F1470" s="17">
        <v>89.48</v>
      </c>
      <c r="G1470" s="3">
        <v>3</v>
      </c>
      <c r="H1470" s="17">
        <f>Table1[[#This Row],[Unit price]]*Table1[[#This Row],[Quantity]]</f>
        <v>268.44</v>
      </c>
      <c r="I1470" s="29">
        <f>Table1[[#This Row],[Total Revenue]]/$H$5056*100</f>
        <v>2.8480342341268932E-2</v>
      </c>
      <c r="J1470" s="3" t="s">
        <v>12</v>
      </c>
      <c r="K1470" s="4">
        <v>7.6</v>
      </c>
      <c r="M1470"/>
    </row>
    <row r="1471" spans="1:13" x14ac:dyDescent="0.25">
      <c r="A1471" s="2">
        <v>45296</v>
      </c>
      <c r="B1471" s="3" t="s">
        <v>245</v>
      </c>
      <c r="C1471" s="3" t="s">
        <v>9</v>
      </c>
      <c r="D1471" s="3" t="s">
        <v>19</v>
      </c>
      <c r="E1471" s="5" t="s">
        <v>11</v>
      </c>
      <c r="F1471" s="17">
        <v>40.94</v>
      </c>
      <c r="G1471" s="3">
        <v>3</v>
      </c>
      <c r="H1471" s="17">
        <f>Table1[[#This Row],[Unit price]]*Table1[[#This Row],[Quantity]]</f>
        <v>122.82</v>
      </c>
      <c r="I1471" s="29">
        <f>Table1[[#This Row],[Total Revenue]]/$H$5056*100</f>
        <v>1.3030679654129976E-2</v>
      </c>
      <c r="J1471" s="3" t="s">
        <v>17</v>
      </c>
      <c r="K1471" s="4">
        <v>8.3000000000000007</v>
      </c>
      <c r="M1471"/>
    </row>
    <row r="1472" spans="1:13" x14ac:dyDescent="0.25">
      <c r="A1472" s="2">
        <v>45296</v>
      </c>
      <c r="B1472" s="3" t="s">
        <v>244</v>
      </c>
      <c r="C1472" s="3" t="s">
        <v>13</v>
      </c>
      <c r="D1472" s="3" t="s">
        <v>10</v>
      </c>
      <c r="E1472" s="5" t="s">
        <v>20</v>
      </c>
      <c r="F1472" s="17">
        <v>15.95</v>
      </c>
      <c r="G1472" s="3">
        <v>4</v>
      </c>
      <c r="H1472" s="17">
        <f>Table1[[#This Row],[Unit price]]*Table1[[#This Row],[Quantity]]</f>
        <v>63.8</v>
      </c>
      <c r="I1472" s="29">
        <f>Table1[[#This Row],[Total Revenue]]/$H$5056*100</f>
        <v>6.7689086625426836E-3</v>
      </c>
      <c r="J1472" s="3" t="s">
        <v>12</v>
      </c>
      <c r="K1472" s="4">
        <v>7.5</v>
      </c>
      <c r="M1472"/>
    </row>
    <row r="1473" spans="1:13" x14ac:dyDescent="0.25">
      <c r="A1473" s="2">
        <v>45296</v>
      </c>
      <c r="B1473" s="3" t="s">
        <v>245</v>
      </c>
      <c r="C1473" s="3" t="s">
        <v>13</v>
      </c>
      <c r="D1473" s="3" t="s">
        <v>19</v>
      </c>
      <c r="E1473" s="5" t="s">
        <v>14</v>
      </c>
      <c r="F1473" s="17">
        <v>63.22</v>
      </c>
      <c r="G1473" s="3">
        <v>1</v>
      </c>
      <c r="H1473" s="17">
        <f>Table1[[#This Row],[Unit price]]*Table1[[#This Row],[Quantity]]</f>
        <v>63.22</v>
      </c>
      <c r="I1473" s="29">
        <f>Table1[[#This Row],[Total Revenue]]/$H$5056*100</f>
        <v>6.7073731292468406E-3</v>
      </c>
      <c r="J1473" s="3" t="s">
        <v>17</v>
      </c>
      <c r="K1473" s="4">
        <v>7.2</v>
      </c>
      <c r="M1473"/>
    </row>
    <row r="1474" spans="1:13" x14ac:dyDescent="0.25">
      <c r="A1474" s="2">
        <v>45296</v>
      </c>
      <c r="B1474" s="3" t="s">
        <v>243</v>
      </c>
      <c r="C1474" s="3" t="s">
        <v>9</v>
      </c>
      <c r="D1474" s="3" t="s">
        <v>19</v>
      </c>
      <c r="E1474" s="5" t="s">
        <v>11</v>
      </c>
      <c r="F1474" s="17">
        <v>27.22</v>
      </c>
      <c r="G1474" s="3">
        <v>4</v>
      </c>
      <c r="H1474" s="17">
        <f>Table1[[#This Row],[Unit price]]*Table1[[#This Row],[Quantity]]</f>
        <v>108.88</v>
      </c>
      <c r="I1474" s="29">
        <f>Table1[[#This Row],[Total Revenue]]/$H$5056*100</f>
        <v>1.1551704940088517E-2</v>
      </c>
      <c r="J1474" s="3" t="s">
        <v>12</v>
      </c>
      <c r="K1474" s="4">
        <v>7.7</v>
      </c>
      <c r="M1474"/>
    </row>
    <row r="1475" spans="1:13" x14ac:dyDescent="0.25">
      <c r="A1475" s="2">
        <v>45296</v>
      </c>
      <c r="B1475" s="3" t="s">
        <v>245</v>
      </c>
      <c r="C1475" s="3" t="s">
        <v>9</v>
      </c>
      <c r="D1475" s="3" t="s">
        <v>10</v>
      </c>
      <c r="E1475" s="5" t="s">
        <v>11</v>
      </c>
      <c r="F1475" s="17">
        <v>89.14</v>
      </c>
      <c r="G1475" s="3">
        <v>2</v>
      </c>
      <c r="H1475" s="17">
        <f>Table1[[#This Row],[Unit price]]*Table1[[#This Row],[Quantity]]</f>
        <v>178.28</v>
      </c>
      <c r="I1475" s="29">
        <f>Table1[[#This Row],[Total Revenue]]/$H$5056*100</f>
        <v>1.8914749786177271E-2</v>
      </c>
      <c r="J1475" s="3" t="s">
        <v>15</v>
      </c>
      <c r="K1475" s="4">
        <v>8.1</v>
      </c>
      <c r="M1475"/>
    </row>
    <row r="1476" spans="1:13" x14ac:dyDescent="0.25">
      <c r="A1476" s="2">
        <v>45296</v>
      </c>
      <c r="B1476" s="3" t="s">
        <v>244</v>
      </c>
      <c r="C1476" s="3" t="s">
        <v>13</v>
      </c>
      <c r="D1476" s="3" t="s">
        <v>19</v>
      </c>
      <c r="E1476" s="5" t="s">
        <v>11</v>
      </c>
      <c r="F1476" s="17">
        <v>33.21</v>
      </c>
      <c r="G1476" s="3">
        <v>2</v>
      </c>
      <c r="H1476" s="17">
        <f>Table1[[#This Row],[Unit price]]*Table1[[#This Row],[Quantity]]</f>
        <v>66.42</v>
      </c>
      <c r="I1476" s="29">
        <f>Table1[[#This Row],[Total Revenue]]/$H$5056*100</f>
        <v>7.0468795198445943E-3</v>
      </c>
      <c r="J1476" s="3" t="s">
        <v>17</v>
      </c>
      <c r="K1476" s="4">
        <v>9.8000000000000007</v>
      </c>
      <c r="M1476"/>
    </row>
    <row r="1477" spans="1:13" x14ac:dyDescent="0.25">
      <c r="A1477" s="2">
        <v>45296</v>
      </c>
      <c r="B1477" s="3" t="s">
        <v>244</v>
      </c>
      <c r="C1477" s="3" t="s">
        <v>13</v>
      </c>
      <c r="D1477" s="3" t="s">
        <v>10</v>
      </c>
      <c r="E1477" s="5" t="s">
        <v>11</v>
      </c>
      <c r="F1477" s="17">
        <v>68.540000000000006</v>
      </c>
      <c r="G1477" s="3">
        <v>4</v>
      </c>
      <c r="H1477" s="17">
        <f>Table1[[#This Row],[Unit price]]*Table1[[#This Row],[Quantity]]</f>
        <v>274.16000000000003</v>
      </c>
      <c r="I1477" s="29">
        <f>Table1[[#This Row],[Total Revenue]]/$H$5056*100</f>
        <v>2.9087210014462423E-2</v>
      </c>
      <c r="J1477" s="3" t="s">
        <v>12</v>
      </c>
      <c r="K1477" s="4">
        <v>6.6</v>
      </c>
      <c r="M1477"/>
    </row>
    <row r="1478" spans="1:13" x14ac:dyDescent="0.25">
      <c r="A1478" s="2">
        <v>45296</v>
      </c>
      <c r="B1478" s="3" t="s">
        <v>244</v>
      </c>
      <c r="C1478" s="3" t="s">
        <v>13</v>
      </c>
      <c r="D1478" s="3" t="s">
        <v>10</v>
      </c>
      <c r="E1478" s="5" t="s">
        <v>14</v>
      </c>
      <c r="F1478" s="17">
        <v>74.709999999999994</v>
      </c>
      <c r="G1478" s="3">
        <v>1</v>
      </c>
      <c r="H1478" s="17">
        <f>Table1[[#This Row],[Unit price]]*Table1[[#This Row],[Quantity]]</f>
        <v>74.709999999999994</v>
      </c>
      <c r="I1478" s="29">
        <f>Table1[[#This Row],[Total Revenue]]/$H$5056*100</f>
        <v>7.9264132629868946E-3</v>
      </c>
      <c r="J1478" s="3" t="s">
        <v>17</v>
      </c>
      <c r="K1478" s="4">
        <v>6.6</v>
      </c>
      <c r="M1478"/>
    </row>
    <row r="1479" spans="1:13" x14ac:dyDescent="0.25">
      <c r="A1479" s="2">
        <v>45296</v>
      </c>
      <c r="B1479" s="3" t="s">
        <v>244</v>
      </c>
      <c r="C1479" s="3" t="s">
        <v>13</v>
      </c>
      <c r="D1479" s="3" t="s">
        <v>19</v>
      </c>
      <c r="E1479" s="5" t="s">
        <v>11</v>
      </c>
      <c r="F1479" s="17">
        <v>74.599999999999994</v>
      </c>
      <c r="G1479" s="3">
        <v>5</v>
      </c>
      <c r="H1479" s="17">
        <f>Table1[[#This Row],[Unit price]]*Table1[[#This Row],[Quantity]]</f>
        <v>373</v>
      </c>
      <c r="I1479" s="29">
        <f>Table1[[#This Row],[Total Revenue]]/$H$5056*100</f>
        <v>3.9573713654050491E-2</v>
      </c>
      <c r="J1479" s="3" t="s">
        <v>12</v>
      </c>
      <c r="K1479" s="4">
        <v>6.6</v>
      </c>
      <c r="M1479"/>
    </row>
    <row r="1480" spans="1:13" x14ac:dyDescent="0.25">
      <c r="A1480" s="2">
        <v>45296</v>
      </c>
      <c r="B1480" s="3" t="s">
        <v>244</v>
      </c>
      <c r="C1480" s="3" t="s">
        <v>13</v>
      </c>
      <c r="D1480" s="3" t="s">
        <v>10</v>
      </c>
      <c r="E1480" s="5" t="s">
        <v>11</v>
      </c>
      <c r="F1480" s="17">
        <v>24.31</v>
      </c>
      <c r="G1480" s="3">
        <v>5</v>
      </c>
      <c r="H1480" s="17">
        <f>Table1[[#This Row],[Unit price]]*Table1[[#This Row],[Quantity]]</f>
        <v>121.55</v>
      </c>
      <c r="I1480" s="29">
        <f>Table1[[#This Row],[Total Revenue]]/$H$5056*100</f>
        <v>1.2895938055361492E-2</v>
      </c>
      <c r="J1480" s="3" t="s">
        <v>15</v>
      </c>
      <c r="K1480" s="4">
        <v>8.5</v>
      </c>
      <c r="M1480"/>
    </row>
    <row r="1481" spans="1:13" x14ac:dyDescent="0.25">
      <c r="A1481" s="2">
        <v>45327</v>
      </c>
      <c r="B1481" s="3" t="s">
        <v>243</v>
      </c>
      <c r="C1481" s="3" t="s">
        <v>13</v>
      </c>
      <c r="D1481" s="3" t="s">
        <v>10</v>
      </c>
      <c r="E1481" s="5" t="s">
        <v>11</v>
      </c>
      <c r="F1481" s="17">
        <v>72.88</v>
      </c>
      <c r="G1481" s="3">
        <v>7</v>
      </c>
      <c r="H1481" s="17">
        <f>Table1[[#This Row],[Unit price]]*Table1[[#This Row],[Quantity]]</f>
        <v>510.15999999999997</v>
      </c>
      <c r="I1481" s="29">
        <f>Table1[[#This Row],[Total Revenue]]/$H$5056*100</f>
        <v>5.4125806321046632E-2</v>
      </c>
      <c r="J1481" s="3" t="s">
        <v>17</v>
      </c>
      <c r="K1481" s="4">
        <v>7.5</v>
      </c>
      <c r="M1481"/>
    </row>
    <row r="1482" spans="1:13" x14ac:dyDescent="0.25">
      <c r="A1482" s="2">
        <v>45327</v>
      </c>
      <c r="B1482" s="3" t="s">
        <v>243</v>
      </c>
      <c r="C1482" s="3" t="s">
        <v>9</v>
      </c>
      <c r="D1482" s="3" t="s">
        <v>10</v>
      </c>
      <c r="E1482" s="5" t="s">
        <v>14</v>
      </c>
      <c r="F1482" s="17">
        <v>74.22</v>
      </c>
      <c r="G1482" s="3">
        <v>2</v>
      </c>
      <c r="H1482" s="17">
        <f>Table1[[#This Row],[Unit price]]*Table1[[#This Row],[Quantity]]</f>
        <v>148.44</v>
      </c>
      <c r="I1482" s="29">
        <f>Table1[[#This Row],[Total Revenue]]/$H$5056*100</f>
        <v>1.5748852693853229E-2</v>
      </c>
      <c r="J1482" s="3" t="s">
        <v>15</v>
      </c>
      <c r="K1482" s="4">
        <v>5.4</v>
      </c>
      <c r="M1482"/>
    </row>
    <row r="1483" spans="1:13" x14ac:dyDescent="0.25">
      <c r="A1483" s="2">
        <v>45327</v>
      </c>
      <c r="B1483" s="3" t="s">
        <v>243</v>
      </c>
      <c r="C1483" s="3" t="s">
        <v>13</v>
      </c>
      <c r="D1483" s="3" t="s">
        <v>10</v>
      </c>
      <c r="E1483" s="5" t="s">
        <v>21</v>
      </c>
      <c r="F1483" s="17">
        <v>76.900000000000006</v>
      </c>
      <c r="G1483" s="3">
        <v>1</v>
      </c>
      <c r="H1483" s="17">
        <f>Table1[[#This Row],[Unit price]]*Table1[[#This Row],[Quantity]]</f>
        <v>76.900000000000006</v>
      </c>
      <c r="I1483" s="29">
        <f>Table1[[#This Row],[Total Revenue]]/$H$5056*100</f>
        <v>8.1587629490522326E-3</v>
      </c>
      <c r="J1483" s="3" t="s">
        <v>12</v>
      </c>
      <c r="K1483" s="4">
        <v>9.6999999999999993</v>
      </c>
      <c r="M1483"/>
    </row>
    <row r="1484" spans="1:13" x14ac:dyDescent="0.25">
      <c r="A1484" s="2">
        <v>45327</v>
      </c>
      <c r="B1484" s="3" t="s">
        <v>244</v>
      </c>
      <c r="C1484" s="3" t="s">
        <v>13</v>
      </c>
      <c r="D1484" s="3" t="s">
        <v>10</v>
      </c>
      <c r="E1484" s="5" t="s">
        <v>11</v>
      </c>
      <c r="F1484" s="17">
        <v>50.49</v>
      </c>
      <c r="G1484" s="3">
        <v>4</v>
      </c>
      <c r="H1484" s="17">
        <f>Table1[[#This Row],[Unit price]]*Table1[[#This Row],[Quantity]]</f>
        <v>201.96</v>
      </c>
      <c r="I1484" s="29">
        <f>Table1[[#This Row],[Total Revenue]]/$H$5056*100</f>
        <v>2.1427097076600635E-2</v>
      </c>
      <c r="J1484" s="3" t="s">
        <v>17</v>
      </c>
      <c r="K1484" s="4">
        <v>7.9</v>
      </c>
      <c r="M1484"/>
    </row>
    <row r="1485" spans="1:13" x14ac:dyDescent="0.25">
      <c r="A1485" s="2">
        <v>45327</v>
      </c>
      <c r="B1485" s="3" t="s">
        <v>245</v>
      </c>
      <c r="C1485" s="3" t="s">
        <v>13</v>
      </c>
      <c r="D1485" s="3" t="s">
        <v>19</v>
      </c>
      <c r="E1485" s="5" t="s">
        <v>21</v>
      </c>
      <c r="F1485" s="17">
        <v>33.64</v>
      </c>
      <c r="G1485" s="3">
        <v>4</v>
      </c>
      <c r="H1485" s="17">
        <f>Table1[[#This Row],[Unit price]]*Table1[[#This Row],[Quantity]]</f>
        <v>134.56</v>
      </c>
      <c r="I1485" s="29">
        <f>Table1[[#This Row],[Total Revenue]]/$H$5056*100</f>
        <v>1.4276243724635479E-2</v>
      </c>
      <c r="J1485" s="3" t="s">
        <v>17</v>
      </c>
      <c r="K1485" s="4">
        <v>7.1</v>
      </c>
      <c r="M1485"/>
    </row>
    <row r="1486" spans="1:13" x14ac:dyDescent="0.25">
      <c r="A1486" s="2">
        <v>45327</v>
      </c>
      <c r="B1486" s="3" t="s">
        <v>245</v>
      </c>
      <c r="C1486" s="3" t="s">
        <v>13</v>
      </c>
      <c r="D1486" s="3" t="s">
        <v>10</v>
      </c>
      <c r="E1486" s="5" t="s">
        <v>11</v>
      </c>
      <c r="F1486" s="17">
        <v>24.94</v>
      </c>
      <c r="G1486" s="3">
        <v>3</v>
      </c>
      <c r="H1486" s="17">
        <f>Table1[[#This Row],[Unit price]]*Table1[[#This Row],[Quantity]]</f>
        <v>74.820000000000007</v>
      </c>
      <c r="I1486" s="29">
        <f>Table1[[#This Row],[Total Revenue]]/$H$5056*100</f>
        <v>7.9380837951636939E-3</v>
      </c>
      <c r="J1486" s="3" t="s">
        <v>15</v>
      </c>
      <c r="K1486" s="4">
        <v>8.5</v>
      </c>
      <c r="M1486"/>
    </row>
    <row r="1487" spans="1:13" x14ac:dyDescent="0.25">
      <c r="A1487" s="2">
        <v>45327</v>
      </c>
      <c r="B1487" s="3" t="s">
        <v>243</v>
      </c>
      <c r="C1487" s="3" t="s">
        <v>13</v>
      </c>
      <c r="D1487" s="3" t="s">
        <v>10</v>
      </c>
      <c r="E1487" s="5" t="s">
        <v>21</v>
      </c>
      <c r="F1487" s="17">
        <v>68.55</v>
      </c>
      <c r="G1487" s="3">
        <v>4</v>
      </c>
      <c r="H1487" s="17">
        <f>Table1[[#This Row],[Unit price]]*Table1[[#This Row],[Quantity]]</f>
        <v>274.2</v>
      </c>
      <c r="I1487" s="29">
        <f>Table1[[#This Row],[Total Revenue]]/$H$5056*100</f>
        <v>2.9091453844344889E-2</v>
      </c>
      <c r="J1487" s="3" t="s">
        <v>15</v>
      </c>
      <c r="K1487" s="4">
        <v>5.9</v>
      </c>
      <c r="M1487"/>
    </row>
    <row r="1488" spans="1:13" x14ac:dyDescent="0.25">
      <c r="A1488" s="2">
        <v>45327</v>
      </c>
      <c r="B1488" s="3" t="s">
        <v>244</v>
      </c>
      <c r="C1488" s="3" t="s">
        <v>13</v>
      </c>
      <c r="D1488" s="3" t="s">
        <v>19</v>
      </c>
      <c r="E1488" s="5" t="s">
        <v>20</v>
      </c>
      <c r="F1488" s="17">
        <v>65.91</v>
      </c>
      <c r="G1488" s="3">
        <v>1</v>
      </c>
      <c r="H1488" s="17">
        <f>Table1[[#This Row],[Unit price]]*Table1[[#This Row],[Quantity]]</f>
        <v>65.91</v>
      </c>
      <c r="I1488" s="29">
        <f>Table1[[#This Row],[Total Revenue]]/$H$5056*100</f>
        <v>6.992770688843076E-3</v>
      </c>
      <c r="J1488" s="3" t="s">
        <v>17</v>
      </c>
      <c r="K1488" s="4">
        <v>8.6999999999999993</v>
      </c>
      <c r="M1488"/>
    </row>
    <row r="1489" spans="1:13" x14ac:dyDescent="0.25">
      <c r="A1489" s="2">
        <v>45327</v>
      </c>
      <c r="B1489" s="3" t="s">
        <v>244</v>
      </c>
      <c r="C1489" s="3" t="s">
        <v>13</v>
      </c>
      <c r="D1489" s="3" t="s">
        <v>19</v>
      </c>
      <c r="E1489" s="5" t="s">
        <v>20</v>
      </c>
      <c r="F1489" s="17">
        <v>74.069999999999993</v>
      </c>
      <c r="G1489" s="3">
        <v>1</v>
      </c>
      <c r="H1489" s="17">
        <f>Table1[[#This Row],[Unit price]]*Table1[[#This Row],[Quantity]]</f>
        <v>74.069999999999993</v>
      </c>
      <c r="I1489" s="29">
        <f>Table1[[#This Row],[Total Revenue]]/$H$5056*100</f>
        <v>7.8585119848673442E-3</v>
      </c>
      <c r="J1489" s="3" t="s">
        <v>17</v>
      </c>
      <c r="K1489" s="4">
        <v>5.9</v>
      </c>
      <c r="M1489"/>
    </row>
    <row r="1490" spans="1:13" x14ac:dyDescent="0.25">
      <c r="A1490" s="2">
        <v>45327</v>
      </c>
      <c r="B1490" s="3" t="s">
        <v>244</v>
      </c>
      <c r="C1490" s="3" t="s">
        <v>9</v>
      </c>
      <c r="D1490" s="3" t="s">
        <v>19</v>
      </c>
      <c r="E1490" s="5" t="s">
        <v>20</v>
      </c>
      <c r="F1490" s="17">
        <v>36.909999999999997</v>
      </c>
      <c r="G1490" s="3">
        <v>4</v>
      </c>
      <c r="H1490" s="17">
        <f>Table1[[#This Row],[Unit price]]*Table1[[#This Row],[Quantity]]</f>
        <v>147.63999999999999</v>
      </c>
      <c r="I1490" s="29">
        <f>Table1[[#This Row],[Total Revenue]]/$H$5056*100</f>
        <v>1.5663976096203791E-2</v>
      </c>
      <c r="J1490" s="3" t="s">
        <v>12</v>
      </c>
      <c r="K1490" s="4">
        <v>8</v>
      </c>
      <c r="M1490"/>
    </row>
    <row r="1491" spans="1:13" x14ac:dyDescent="0.25">
      <c r="A1491" s="2">
        <v>45327</v>
      </c>
      <c r="B1491" s="3" t="s">
        <v>243</v>
      </c>
      <c r="C1491" s="3" t="s">
        <v>13</v>
      </c>
      <c r="D1491" s="3" t="s">
        <v>10</v>
      </c>
      <c r="E1491" s="5" t="s">
        <v>11</v>
      </c>
      <c r="F1491" s="17">
        <v>36.770000000000003</v>
      </c>
      <c r="G1491" s="3">
        <v>5</v>
      </c>
      <c r="H1491" s="17">
        <f>Table1[[#This Row],[Unit price]]*Table1[[#This Row],[Quantity]]</f>
        <v>183.85000000000002</v>
      </c>
      <c r="I1491" s="29">
        <f>Table1[[#This Row],[Total Revenue]]/$H$5056*100</f>
        <v>1.9505703097311484E-2</v>
      </c>
      <c r="J1491" s="3" t="s">
        <v>15</v>
      </c>
      <c r="K1491" s="4">
        <v>5.5</v>
      </c>
      <c r="M1491"/>
    </row>
    <row r="1492" spans="1:13" x14ac:dyDescent="0.25">
      <c r="A1492" s="2">
        <v>45327</v>
      </c>
      <c r="B1492" s="3" t="s">
        <v>245</v>
      </c>
      <c r="C1492" s="3" t="s">
        <v>13</v>
      </c>
      <c r="D1492" s="3" t="s">
        <v>19</v>
      </c>
      <c r="E1492" s="5" t="s">
        <v>11</v>
      </c>
      <c r="F1492" s="17">
        <v>48.5</v>
      </c>
      <c r="G1492" s="3">
        <v>3</v>
      </c>
      <c r="H1492" s="17">
        <f>Table1[[#This Row],[Unit price]]*Table1[[#This Row],[Quantity]]</f>
        <v>145.5</v>
      </c>
      <c r="I1492" s="29">
        <f>Table1[[#This Row],[Total Revenue]]/$H$5056*100</f>
        <v>1.5436931197491545E-2</v>
      </c>
      <c r="J1492" s="3" t="s">
        <v>17</v>
      </c>
      <c r="K1492" s="4">
        <v>8.1999999999999993</v>
      </c>
      <c r="M1492"/>
    </row>
    <row r="1493" spans="1:13" x14ac:dyDescent="0.25">
      <c r="A1493" s="2">
        <v>45327</v>
      </c>
      <c r="B1493" s="3" t="s">
        <v>244</v>
      </c>
      <c r="C1493" s="3" t="s">
        <v>13</v>
      </c>
      <c r="D1493" s="3" t="s">
        <v>19</v>
      </c>
      <c r="E1493" s="5" t="s">
        <v>21</v>
      </c>
      <c r="F1493" s="17">
        <v>15.26</v>
      </c>
      <c r="G1493" s="3">
        <v>3</v>
      </c>
      <c r="H1493" s="17">
        <f>Table1[[#This Row],[Unit price]]*Table1[[#This Row],[Quantity]]</f>
        <v>45.78</v>
      </c>
      <c r="I1493" s="29">
        <f>Table1[[#This Row],[Total Revenue]]/$H$5056*100</f>
        <v>4.8570633004890919E-3</v>
      </c>
      <c r="J1493" s="3" t="s">
        <v>17</v>
      </c>
      <c r="K1493" s="4">
        <v>6.7</v>
      </c>
      <c r="M1493"/>
    </row>
    <row r="1494" spans="1:13" x14ac:dyDescent="0.25">
      <c r="A1494" s="2">
        <v>45327</v>
      </c>
      <c r="B1494" s="3" t="s">
        <v>244</v>
      </c>
      <c r="C1494" s="3" t="s">
        <v>13</v>
      </c>
      <c r="D1494" s="3" t="s">
        <v>19</v>
      </c>
      <c r="E1494" s="5" t="s">
        <v>20</v>
      </c>
      <c r="F1494" s="17">
        <v>86.69</v>
      </c>
      <c r="G1494" s="3">
        <v>1</v>
      </c>
      <c r="H1494" s="17">
        <f>Table1[[#This Row],[Unit price]]*Table1[[#This Row],[Quantity]]</f>
        <v>86.69</v>
      </c>
      <c r="I1494" s="29">
        <f>Table1[[#This Row],[Total Revenue]]/$H$5056*100</f>
        <v>9.1974403127872296E-3</v>
      </c>
      <c r="J1494" s="3" t="s">
        <v>17</v>
      </c>
      <c r="K1494" s="4">
        <v>5.4</v>
      </c>
      <c r="M1494"/>
    </row>
    <row r="1495" spans="1:13" x14ac:dyDescent="0.25">
      <c r="A1495" s="2">
        <v>45327</v>
      </c>
      <c r="B1495" s="3" t="s">
        <v>244</v>
      </c>
      <c r="C1495" s="3" t="s">
        <v>13</v>
      </c>
      <c r="D1495" s="3" t="s">
        <v>10</v>
      </c>
      <c r="E1495" s="5" t="s">
        <v>11</v>
      </c>
      <c r="F1495" s="17">
        <v>13.79</v>
      </c>
      <c r="G1495" s="3">
        <v>1</v>
      </c>
      <c r="H1495" s="17">
        <f>Table1[[#This Row],[Unit price]]*Table1[[#This Row],[Quantity]]</f>
        <v>13.79</v>
      </c>
      <c r="I1495" s="29">
        <f>Table1[[#This Row],[Total Revenue]]/$H$5056*100</f>
        <v>1.4630603519821882E-3</v>
      </c>
      <c r="J1495" s="3" t="s">
        <v>15</v>
      </c>
      <c r="K1495" s="4">
        <v>7.9</v>
      </c>
      <c r="M1495"/>
    </row>
    <row r="1496" spans="1:13" x14ac:dyDescent="0.25">
      <c r="A1496" s="2">
        <v>45327</v>
      </c>
      <c r="B1496" s="3" t="s">
        <v>243</v>
      </c>
      <c r="C1496" s="3" t="s">
        <v>13</v>
      </c>
      <c r="D1496" s="3" t="s">
        <v>10</v>
      </c>
      <c r="E1496" s="5" t="s">
        <v>21</v>
      </c>
      <c r="F1496" s="17">
        <v>57.59</v>
      </c>
      <c r="G1496" s="3">
        <v>3</v>
      </c>
      <c r="H1496" s="17">
        <f>Table1[[#This Row],[Unit price]]*Table1[[#This Row],[Quantity]]</f>
        <v>172.77</v>
      </c>
      <c r="I1496" s="29">
        <f>Table1[[#This Row],[Total Revenue]]/$H$5056*100</f>
        <v>1.8330162219866764E-2</v>
      </c>
      <c r="J1496" s="3" t="s">
        <v>15</v>
      </c>
      <c r="K1496" s="4">
        <v>7.8</v>
      </c>
      <c r="M1496"/>
    </row>
    <row r="1497" spans="1:13" x14ac:dyDescent="0.25">
      <c r="A1497" s="2">
        <v>45327</v>
      </c>
      <c r="B1497" s="3" t="s">
        <v>244</v>
      </c>
      <c r="C1497" s="3" t="s">
        <v>9</v>
      </c>
      <c r="D1497" s="3" t="s">
        <v>10</v>
      </c>
      <c r="E1497" s="5" t="s">
        <v>18</v>
      </c>
      <c r="F1497" s="17">
        <v>83.25</v>
      </c>
      <c r="G1497" s="3">
        <v>1</v>
      </c>
      <c r="H1497" s="17">
        <f>Table1[[#This Row],[Unit price]]*Table1[[#This Row],[Quantity]]</f>
        <v>83.25</v>
      </c>
      <c r="I1497" s="29">
        <f>Table1[[#This Row],[Total Revenue]]/$H$5056*100</f>
        <v>8.8324709428946463E-3</v>
      </c>
      <c r="J1497" s="3" t="s">
        <v>15</v>
      </c>
      <c r="K1497" s="4">
        <v>8.3000000000000007</v>
      </c>
      <c r="M1497"/>
    </row>
    <row r="1498" spans="1:13" x14ac:dyDescent="0.25">
      <c r="A1498" s="2">
        <v>45327</v>
      </c>
      <c r="B1498" s="3" t="s">
        <v>244</v>
      </c>
      <c r="C1498" s="3" t="s">
        <v>13</v>
      </c>
      <c r="D1498" s="3" t="s">
        <v>19</v>
      </c>
      <c r="E1498" s="5" t="s">
        <v>14</v>
      </c>
      <c r="F1498" s="17">
        <v>22.01</v>
      </c>
      <c r="G1498" s="3">
        <v>2</v>
      </c>
      <c r="H1498" s="17">
        <f>Table1[[#This Row],[Unit price]]*Table1[[#This Row],[Quantity]]</f>
        <v>44.02</v>
      </c>
      <c r="I1498" s="29">
        <f>Table1[[#This Row],[Total Revenue]]/$H$5056*100</f>
        <v>4.6703347856603284E-3</v>
      </c>
      <c r="J1498" s="3" t="s">
        <v>17</v>
      </c>
      <c r="K1498" s="4">
        <v>7.9</v>
      </c>
      <c r="M1498"/>
    </row>
    <row r="1499" spans="1:13" x14ac:dyDescent="0.25">
      <c r="A1499" s="2">
        <v>45327</v>
      </c>
      <c r="B1499" s="3" t="s">
        <v>244</v>
      </c>
      <c r="C1499" s="3" t="s">
        <v>13</v>
      </c>
      <c r="D1499" s="3" t="s">
        <v>19</v>
      </c>
      <c r="E1499" s="5" t="s">
        <v>11</v>
      </c>
      <c r="F1499" s="17">
        <v>21.04</v>
      </c>
      <c r="G1499" s="3">
        <v>3</v>
      </c>
      <c r="H1499" s="17">
        <f>Table1[[#This Row],[Unit price]]*Table1[[#This Row],[Quantity]]</f>
        <v>63.12</v>
      </c>
      <c r="I1499" s="29">
        <f>Table1[[#This Row],[Total Revenue]]/$H$5056*100</f>
        <v>6.6967635545406613E-3</v>
      </c>
      <c r="J1499" s="3" t="s">
        <v>15</v>
      </c>
      <c r="K1499" s="4">
        <v>7.5</v>
      </c>
      <c r="M1499"/>
    </row>
    <row r="1500" spans="1:13" x14ac:dyDescent="0.25">
      <c r="A1500" s="2">
        <v>45327</v>
      </c>
      <c r="B1500" s="3" t="s">
        <v>243</v>
      </c>
      <c r="C1500" s="3" t="s">
        <v>13</v>
      </c>
      <c r="D1500" s="3" t="s">
        <v>10</v>
      </c>
      <c r="E1500" s="5" t="s">
        <v>11</v>
      </c>
      <c r="F1500" s="17">
        <v>72.39</v>
      </c>
      <c r="G1500" s="3">
        <v>5</v>
      </c>
      <c r="H1500" s="17">
        <f>Table1[[#This Row],[Unit price]]*Table1[[#This Row],[Quantity]]</f>
        <v>361.95</v>
      </c>
      <c r="I1500" s="29">
        <f>Table1[[#This Row],[Total Revenue]]/$H$5056*100</f>
        <v>3.8401355649017622E-2</v>
      </c>
      <c r="J1500" s="3" t="s">
        <v>17</v>
      </c>
      <c r="K1500" s="4">
        <v>7.8</v>
      </c>
      <c r="M1500"/>
    </row>
    <row r="1501" spans="1:13" x14ac:dyDescent="0.25">
      <c r="A1501" s="2">
        <v>45327</v>
      </c>
      <c r="B1501" s="3" t="s">
        <v>245</v>
      </c>
      <c r="C1501" s="3" t="s">
        <v>9</v>
      </c>
      <c r="D1501" s="3" t="s">
        <v>19</v>
      </c>
      <c r="E1501" s="5" t="s">
        <v>18</v>
      </c>
      <c r="F1501" s="17">
        <v>29.42</v>
      </c>
      <c r="G1501" s="3">
        <v>2</v>
      </c>
      <c r="H1501" s="17">
        <f>Table1[[#This Row],[Unit price]]*Table1[[#This Row],[Quantity]]</f>
        <v>58.84</v>
      </c>
      <c r="I1501" s="29">
        <f>Table1[[#This Row],[Total Revenue]]/$H$5056*100</f>
        <v>6.242673757116169E-3</v>
      </c>
      <c r="J1501" s="3" t="s">
        <v>15</v>
      </c>
      <c r="K1501" s="4">
        <v>5.8</v>
      </c>
      <c r="M1501"/>
    </row>
    <row r="1502" spans="1:13" x14ac:dyDescent="0.25">
      <c r="A1502" s="2">
        <v>45327</v>
      </c>
      <c r="B1502" s="3" t="s">
        <v>243</v>
      </c>
      <c r="C1502" s="3" t="s">
        <v>13</v>
      </c>
      <c r="D1502" s="3" t="s">
        <v>19</v>
      </c>
      <c r="E1502" s="5" t="s">
        <v>11</v>
      </c>
      <c r="F1502" s="17">
        <v>99.69</v>
      </c>
      <c r="G1502" s="3">
        <v>2</v>
      </c>
      <c r="H1502" s="17">
        <f>Table1[[#This Row],[Unit price]]*Table1[[#This Row],[Quantity]]</f>
        <v>199.38</v>
      </c>
      <c r="I1502" s="29">
        <f>Table1[[#This Row],[Total Revenue]]/$H$5056*100</f>
        <v>2.1153370049181195E-2</v>
      </c>
      <c r="J1502" s="3" t="s">
        <v>17</v>
      </c>
      <c r="K1502" s="4">
        <v>8.9</v>
      </c>
      <c r="M1502"/>
    </row>
    <row r="1503" spans="1:13" x14ac:dyDescent="0.25">
      <c r="A1503" s="2">
        <v>45327</v>
      </c>
      <c r="B1503" s="3" t="s">
        <v>244</v>
      </c>
      <c r="C1503" s="3" t="s">
        <v>9</v>
      </c>
      <c r="D1503" s="3" t="s">
        <v>10</v>
      </c>
      <c r="E1503" s="5" t="s">
        <v>11</v>
      </c>
      <c r="F1503" s="17">
        <v>84.83</v>
      </c>
      <c r="G1503" s="3">
        <v>4</v>
      </c>
      <c r="H1503" s="17">
        <f>Table1[[#This Row],[Unit price]]*Table1[[#This Row],[Quantity]]</f>
        <v>339.32</v>
      </c>
      <c r="I1503" s="29">
        <f>Table1[[#This Row],[Total Revenue]]/$H$5056*100</f>
        <v>3.6000408893009143E-2</v>
      </c>
      <c r="J1503" s="3" t="s">
        <v>12</v>
      </c>
      <c r="K1503" s="4">
        <v>7.3</v>
      </c>
      <c r="M1503"/>
    </row>
    <row r="1504" spans="1:13" x14ac:dyDescent="0.25">
      <c r="A1504" s="2">
        <v>45327</v>
      </c>
      <c r="B1504" s="3" t="s">
        <v>244</v>
      </c>
      <c r="C1504" s="3" t="s">
        <v>13</v>
      </c>
      <c r="D1504" s="3" t="s">
        <v>10</v>
      </c>
      <c r="E1504" s="5" t="s">
        <v>21</v>
      </c>
      <c r="F1504" s="17">
        <v>47.71</v>
      </c>
      <c r="G1504" s="3">
        <v>4</v>
      </c>
      <c r="H1504" s="17">
        <f>Table1[[#This Row],[Unit price]]*Table1[[#This Row],[Quantity]]</f>
        <v>190.84</v>
      </c>
      <c r="I1504" s="29">
        <f>Table1[[#This Row],[Total Revenue]]/$H$5056*100</f>
        <v>2.0247312369273445E-2</v>
      </c>
      <c r="J1504" s="3" t="s">
        <v>12</v>
      </c>
      <c r="K1504" s="4">
        <v>7.6</v>
      </c>
      <c r="M1504"/>
    </row>
    <row r="1505" spans="1:13" x14ac:dyDescent="0.25">
      <c r="A1505" s="2">
        <v>45327</v>
      </c>
      <c r="B1505" s="3" t="s">
        <v>245</v>
      </c>
      <c r="C1505" s="3" t="s">
        <v>9</v>
      </c>
      <c r="D1505" s="3" t="s">
        <v>10</v>
      </c>
      <c r="E1505" s="5" t="s">
        <v>16</v>
      </c>
      <c r="F1505" s="17">
        <v>51.54</v>
      </c>
      <c r="G1505" s="3">
        <v>2</v>
      </c>
      <c r="H1505" s="17">
        <f>Table1[[#This Row],[Unit price]]*Table1[[#This Row],[Quantity]]</f>
        <v>103.08</v>
      </c>
      <c r="I1505" s="29">
        <f>Table1[[#This Row],[Total Revenue]]/$H$5056*100</f>
        <v>1.0936349607130091E-2</v>
      </c>
      <c r="J1505" s="3" t="s">
        <v>12</v>
      </c>
      <c r="K1505" s="4">
        <v>5.8</v>
      </c>
      <c r="M1505"/>
    </row>
    <row r="1506" spans="1:13" x14ac:dyDescent="0.25">
      <c r="A1506" s="2">
        <v>45356</v>
      </c>
      <c r="B1506" s="3" t="s">
        <v>244</v>
      </c>
      <c r="C1506" s="3" t="s">
        <v>13</v>
      </c>
      <c r="D1506" s="3" t="s">
        <v>19</v>
      </c>
      <c r="E1506" s="5" t="s">
        <v>20</v>
      </c>
      <c r="F1506" s="17">
        <v>77.040000000000006</v>
      </c>
      <c r="G1506" s="3">
        <v>1</v>
      </c>
      <c r="H1506" s="17">
        <f>Table1[[#This Row],[Unit price]]*Table1[[#This Row],[Quantity]]</f>
        <v>77.040000000000006</v>
      </c>
      <c r="I1506" s="29">
        <f>Table1[[#This Row],[Total Revenue]]/$H$5056*100</f>
        <v>8.1736163536408838E-3</v>
      </c>
      <c r="J1506" s="3" t="s">
        <v>15</v>
      </c>
      <c r="K1506" s="4">
        <v>6.3</v>
      </c>
      <c r="M1506"/>
    </row>
    <row r="1507" spans="1:13" x14ac:dyDescent="0.25">
      <c r="A1507" s="2">
        <v>45356</v>
      </c>
      <c r="B1507" s="3" t="s">
        <v>245</v>
      </c>
      <c r="C1507" s="3" t="s">
        <v>13</v>
      </c>
      <c r="D1507" s="3" t="s">
        <v>10</v>
      </c>
      <c r="E1507" s="5" t="s">
        <v>21</v>
      </c>
      <c r="F1507" s="17">
        <v>92.09</v>
      </c>
      <c r="G1507" s="3">
        <v>1</v>
      </c>
      <c r="H1507" s="17">
        <f>Table1[[#This Row],[Unit price]]*Table1[[#This Row],[Quantity]]</f>
        <v>92.09</v>
      </c>
      <c r="I1507" s="29">
        <f>Table1[[#This Row],[Total Revenue]]/$H$5056*100</f>
        <v>9.7703573469209368E-3</v>
      </c>
      <c r="J1507" s="3" t="s">
        <v>15</v>
      </c>
      <c r="K1507" s="4">
        <v>8.4</v>
      </c>
      <c r="M1507"/>
    </row>
    <row r="1508" spans="1:13" x14ac:dyDescent="0.25">
      <c r="A1508" s="2">
        <v>45356</v>
      </c>
      <c r="B1508" s="3" t="s">
        <v>244</v>
      </c>
      <c r="C1508" s="3" t="s">
        <v>13</v>
      </c>
      <c r="D1508" s="3" t="s">
        <v>10</v>
      </c>
      <c r="E1508" s="5" t="s">
        <v>18</v>
      </c>
      <c r="F1508" s="17">
        <v>20.010000000000002</v>
      </c>
      <c r="G1508" s="3">
        <v>1</v>
      </c>
      <c r="H1508" s="17">
        <f>Table1[[#This Row],[Unit price]]*Table1[[#This Row],[Quantity]]</f>
        <v>20.010000000000002</v>
      </c>
      <c r="I1508" s="29">
        <f>Table1[[#This Row],[Total Revenue]]/$H$5056*100</f>
        <v>2.1229758987065693E-3</v>
      </c>
      <c r="J1508" s="3" t="s">
        <v>12</v>
      </c>
      <c r="K1508" s="4">
        <v>9.6</v>
      </c>
      <c r="M1508"/>
    </row>
    <row r="1509" spans="1:13" x14ac:dyDescent="0.25">
      <c r="A1509" s="2">
        <v>45356</v>
      </c>
      <c r="B1509" s="3" t="s">
        <v>244</v>
      </c>
      <c r="C1509" s="3" t="s">
        <v>13</v>
      </c>
      <c r="D1509" s="3" t="s">
        <v>10</v>
      </c>
      <c r="E1509" s="5" t="s">
        <v>20</v>
      </c>
      <c r="F1509" s="17">
        <v>80.08</v>
      </c>
      <c r="G1509" s="3">
        <v>3</v>
      </c>
      <c r="H1509" s="17">
        <f>Table1[[#This Row],[Unit price]]*Table1[[#This Row],[Quantity]]</f>
        <v>240.24</v>
      </c>
      <c r="I1509" s="29">
        <f>Table1[[#This Row],[Total Revenue]]/$H$5056*100</f>
        <v>2.5488442274126243E-2</v>
      </c>
      <c r="J1509" s="3" t="s">
        <v>17</v>
      </c>
      <c r="K1509" s="4">
        <v>7.3</v>
      </c>
      <c r="M1509"/>
    </row>
    <row r="1510" spans="1:13" x14ac:dyDescent="0.25">
      <c r="A1510" s="2">
        <v>45356</v>
      </c>
      <c r="B1510" s="3" t="s">
        <v>245</v>
      </c>
      <c r="C1510" s="3" t="s">
        <v>9</v>
      </c>
      <c r="D1510" s="3" t="s">
        <v>19</v>
      </c>
      <c r="E1510" s="5" t="s">
        <v>11</v>
      </c>
      <c r="F1510" s="17">
        <v>73.06</v>
      </c>
      <c r="G1510" s="3">
        <v>2</v>
      </c>
      <c r="H1510" s="17">
        <f>Table1[[#This Row],[Unit price]]*Table1[[#This Row],[Quantity]]</f>
        <v>146.12</v>
      </c>
      <c r="I1510" s="29">
        <f>Table1[[#This Row],[Total Revenue]]/$H$5056*100</f>
        <v>1.5502710560669859E-2</v>
      </c>
      <c r="J1510" s="3" t="s">
        <v>12</v>
      </c>
      <c r="K1510" s="4">
        <v>8.1</v>
      </c>
      <c r="M1510"/>
    </row>
    <row r="1511" spans="1:13" x14ac:dyDescent="0.25">
      <c r="A1511" s="2">
        <v>45356</v>
      </c>
      <c r="B1511" s="3" t="s">
        <v>244</v>
      </c>
      <c r="C1511" s="3" t="s">
        <v>13</v>
      </c>
      <c r="D1511" s="3" t="s">
        <v>10</v>
      </c>
      <c r="E1511" s="5" t="s">
        <v>20</v>
      </c>
      <c r="F1511" s="17">
        <v>60.38</v>
      </c>
      <c r="G1511" s="3">
        <v>1</v>
      </c>
      <c r="H1511" s="17">
        <f>Table1[[#This Row],[Unit price]]*Table1[[#This Row],[Quantity]]</f>
        <v>60.38</v>
      </c>
      <c r="I1511" s="29">
        <f>Table1[[#This Row],[Total Revenue]]/$H$5056*100</f>
        <v>6.4060612075913367E-3</v>
      </c>
      <c r="J1511" s="3" t="s">
        <v>17</v>
      </c>
      <c r="K1511" s="4">
        <v>6.4</v>
      </c>
      <c r="M1511"/>
    </row>
    <row r="1512" spans="1:13" x14ac:dyDescent="0.25">
      <c r="A1512" s="2">
        <v>45356</v>
      </c>
      <c r="B1512" s="3" t="s">
        <v>245</v>
      </c>
      <c r="C1512" s="3" t="s">
        <v>13</v>
      </c>
      <c r="D1512" s="3" t="s">
        <v>10</v>
      </c>
      <c r="E1512" s="5" t="s">
        <v>16</v>
      </c>
      <c r="F1512" s="17">
        <v>44.86</v>
      </c>
      <c r="G1512" s="3">
        <v>3</v>
      </c>
      <c r="H1512" s="17">
        <f>Table1[[#This Row],[Unit price]]*Table1[[#This Row],[Quantity]]</f>
        <v>134.57999999999998</v>
      </c>
      <c r="I1512" s="29">
        <f>Table1[[#This Row],[Total Revenue]]/$H$5056*100</f>
        <v>1.4278365639576712E-2</v>
      </c>
      <c r="J1512" s="3" t="s">
        <v>12</v>
      </c>
      <c r="K1512" s="4">
        <v>7</v>
      </c>
      <c r="M1512"/>
    </row>
    <row r="1513" spans="1:13" x14ac:dyDescent="0.25">
      <c r="A1513" s="2">
        <v>45356</v>
      </c>
      <c r="B1513" s="3" t="s">
        <v>244</v>
      </c>
      <c r="C1513" s="3" t="s">
        <v>13</v>
      </c>
      <c r="D1513" s="3" t="s">
        <v>19</v>
      </c>
      <c r="E1513" s="5" t="s">
        <v>21</v>
      </c>
      <c r="F1513" s="17">
        <v>14.76</v>
      </c>
      <c r="G1513" s="3">
        <v>4</v>
      </c>
      <c r="H1513" s="17">
        <f>Table1[[#This Row],[Unit price]]*Table1[[#This Row],[Quantity]]</f>
        <v>59.04</v>
      </c>
      <c r="I1513" s="29">
        <f>Table1[[#This Row],[Total Revenue]]/$H$5056*100</f>
        <v>6.2638929065285285E-3</v>
      </c>
      <c r="J1513" s="3" t="s">
        <v>15</v>
      </c>
      <c r="K1513" s="4">
        <v>8.6</v>
      </c>
      <c r="M1513"/>
    </row>
    <row r="1514" spans="1:13" x14ac:dyDescent="0.25">
      <c r="A1514" s="2">
        <v>45356</v>
      </c>
      <c r="B1514" s="3" t="s">
        <v>243</v>
      </c>
      <c r="C1514" s="3" t="s">
        <v>13</v>
      </c>
      <c r="D1514" s="3" t="s">
        <v>10</v>
      </c>
      <c r="E1514" s="5" t="s">
        <v>11</v>
      </c>
      <c r="F1514" s="17">
        <v>31.77</v>
      </c>
      <c r="G1514" s="3">
        <v>4</v>
      </c>
      <c r="H1514" s="17">
        <f>Table1[[#This Row],[Unit price]]*Table1[[#This Row],[Quantity]]</f>
        <v>127.08</v>
      </c>
      <c r="I1514" s="29">
        <f>Table1[[#This Row],[Total Revenue]]/$H$5056*100</f>
        <v>1.3482647536613233E-2</v>
      </c>
      <c r="J1514" s="3" t="s">
        <v>17</v>
      </c>
      <c r="K1514" s="4">
        <v>8.5</v>
      </c>
      <c r="M1514"/>
    </row>
    <row r="1515" spans="1:13" x14ac:dyDescent="0.25">
      <c r="A1515" s="2">
        <v>45356</v>
      </c>
      <c r="B1515" s="3" t="s">
        <v>244</v>
      </c>
      <c r="C1515" s="3" t="s">
        <v>13</v>
      </c>
      <c r="D1515" s="3" t="s">
        <v>10</v>
      </c>
      <c r="E1515" s="5" t="s">
        <v>16</v>
      </c>
      <c r="F1515" s="17">
        <v>14.36</v>
      </c>
      <c r="G1515" s="3">
        <v>1</v>
      </c>
      <c r="H1515" s="17">
        <f>Table1[[#This Row],[Unit price]]*Table1[[#This Row],[Quantity]]</f>
        <v>14.36</v>
      </c>
      <c r="I1515" s="29">
        <f>Table1[[#This Row],[Total Revenue]]/$H$5056*100</f>
        <v>1.5235349278074129E-3</v>
      </c>
      <c r="J1515" s="3" t="s">
        <v>15</v>
      </c>
      <c r="K1515" s="4">
        <v>6.7</v>
      </c>
      <c r="M1515"/>
    </row>
    <row r="1516" spans="1:13" x14ac:dyDescent="0.25">
      <c r="A1516" s="2">
        <v>45356</v>
      </c>
      <c r="B1516" s="3" t="s">
        <v>244</v>
      </c>
      <c r="C1516" s="3" t="s">
        <v>9</v>
      </c>
      <c r="D1516" s="3" t="s">
        <v>19</v>
      </c>
      <c r="E1516" s="5" t="s">
        <v>16</v>
      </c>
      <c r="F1516" s="17">
        <v>32.25</v>
      </c>
      <c r="G1516" s="3">
        <v>2</v>
      </c>
      <c r="H1516" s="17">
        <f>Table1[[#This Row],[Unit price]]*Table1[[#This Row],[Quantity]]</f>
        <v>64.5</v>
      </c>
      <c r="I1516" s="29">
        <f>Table1[[#This Row],[Total Revenue]]/$H$5056*100</f>
        <v>6.8431756854859423E-3</v>
      </c>
      <c r="J1516" s="3" t="s">
        <v>12</v>
      </c>
      <c r="K1516" s="4">
        <v>7.7</v>
      </c>
      <c r="M1516"/>
    </row>
    <row r="1517" spans="1:13" x14ac:dyDescent="0.25">
      <c r="A1517" s="2">
        <v>45356</v>
      </c>
      <c r="B1517" s="3" t="s">
        <v>245</v>
      </c>
      <c r="C1517" s="3" t="s">
        <v>9</v>
      </c>
      <c r="D1517" s="3" t="s">
        <v>19</v>
      </c>
      <c r="E1517" s="5" t="s">
        <v>16</v>
      </c>
      <c r="F1517" s="17">
        <v>80.97</v>
      </c>
      <c r="G1517" s="3">
        <v>2</v>
      </c>
      <c r="H1517" s="17">
        <f>Table1[[#This Row],[Unit price]]*Table1[[#This Row],[Quantity]]</f>
        <v>161.94</v>
      </c>
      <c r="I1517" s="29">
        <f>Table1[[#This Row],[Total Revenue]]/$H$5056*100</f>
        <v>1.7181145279187494E-2</v>
      </c>
      <c r="J1517" s="3" t="s">
        <v>12</v>
      </c>
      <c r="K1517" s="4">
        <v>5.9</v>
      </c>
      <c r="M1517"/>
    </row>
    <row r="1518" spans="1:13" x14ac:dyDescent="0.25">
      <c r="A1518" s="2">
        <v>45356</v>
      </c>
      <c r="B1518" s="3" t="s">
        <v>244</v>
      </c>
      <c r="C1518" s="3" t="s">
        <v>13</v>
      </c>
      <c r="D1518" s="3" t="s">
        <v>19</v>
      </c>
      <c r="E1518" s="5" t="s">
        <v>21</v>
      </c>
      <c r="F1518" s="17">
        <v>44.07</v>
      </c>
      <c r="G1518" s="3">
        <v>4</v>
      </c>
      <c r="H1518" s="17">
        <f>Table1[[#This Row],[Unit price]]*Table1[[#This Row],[Quantity]]</f>
        <v>176.28</v>
      </c>
      <c r="I1518" s="29">
        <f>Table1[[#This Row],[Total Revenue]]/$H$5056*100</f>
        <v>1.8702558292053671E-2</v>
      </c>
      <c r="J1518" s="3" t="s">
        <v>12</v>
      </c>
      <c r="K1518" s="4">
        <v>8.1</v>
      </c>
      <c r="M1518"/>
    </row>
    <row r="1519" spans="1:13" x14ac:dyDescent="0.25">
      <c r="A1519" s="2">
        <v>45356</v>
      </c>
      <c r="B1519" s="3" t="s">
        <v>244</v>
      </c>
      <c r="C1519" s="3" t="s">
        <v>9</v>
      </c>
      <c r="D1519" s="3" t="s">
        <v>19</v>
      </c>
      <c r="E1519" s="5" t="s">
        <v>11</v>
      </c>
      <c r="F1519" s="17">
        <v>83.77</v>
      </c>
      <c r="G1519" s="3">
        <v>3</v>
      </c>
      <c r="H1519" s="17">
        <f>Table1[[#This Row],[Unit price]]*Table1[[#This Row],[Quantity]]</f>
        <v>251.31</v>
      </c>
      <c r="I1519" s="29">
        <f>Table1[[#This Row],[Total Revenue]]/$H$5056*100</f>
        <v>2.6662922194100346E-2</v>
      </c>
      <c r="J1519" s="3" t="s">
        <v>15</v>
      </c>
      <c r="K1519" s="4">
        <v>9.8000000000000007</v>
      </c>
      <c r="M1519"/>
    </row>
    <row r="1520" spans="1:13" x14ac:dyDescent="0.25">
      <c r="A1520" s="2">
        <v>45356</v>
      </c>
      <c r="B1520" s="3" t="s">
        <v>245</v>
      </c>
      <c r="C1520" s="3" t="s">
        <v>13</v>
      </c>
      <c r="D1520" s="3" t="s">
        <v>19</v>
      </c>
      <c r="E1520" s="5" t="s">
        <v>21</v>
      </c>
      <c r="F1520" s="17">
        <v>50.79</v>
      </c>
      <c r="G1520" s="3">
        <v>1</v>
      </c>
      <c r="H1520" s="17">
        <f>Table1[[#This Row],[Unit price]]*Table1[[#This Row],[Quantity]]</f>
        <v>50.79</v>
      </c>
      <c r="I1520" s="29">
        <f>Table1[[#This Row],[Total Revenue]]/$H$5056*100</f>
        <v>5.3886029932686975E-3</v>
      </c>
      <c r="J1520" s="3" t="s">
        <v>15</v>
      </c>
      <c r="K1520" s="4">
        <v>5.3</v>
      </c>
      <c r="M1520"/>
    </row>
    <row r="1521" spans="1:13" x14ac:dyDescent="0.25">
      <c r="A1521" s="2">
        <v>45356</v>
      </c>
      <c r="B1521" s="3" t="s">
        <v>244</v>
      </c>
      <c r="C1521" s="3" t="s">
        <v>13</v>
      </c>
      <c r="D1521" s="3" t="s">
        <v>10</v>
      </c>
      <c r="E1521" s="5" t="s">
        <v>11</v>
      </c>
      <c r="F1521" s="17">
        <v>17.440000000000001</v>
      </c>
      <c r="G1521" s="3">
        <v>6</v>
      </c>
      <c r="H1521" s="17">
        <f>Table1[[#This Row],[Unit price]]*Table1[[#This Row],[Quantity]]</f>
        <v>104.64000000000001</v>
      </c>
      <c r="I1521" s="29">
        <f>Table1[[#This Row],[Total Revenue]]/$H$5056*100</f>
        <v>1.1101858972546497E-2</v>
      </c>
      <c r="J1521" s="3" t="s">
        <v>12</v>
      </c>
      <c r="K1521" s="4">
        <v>7.6</v>
      </c>
      <c r="M1521"/>
    </row>
    <row r="1522" spans="1:13" x14ac:dyDescent="0.25">
      <c r="A1522" s="2">
        <v>45356</v>
      </c>
      <c r="B1522" s="3" t="s">
        <v>245</v>
      </c>
      <c r="C1522" s="3" t="s">
        <v>13</v>
      </c>
      <c r="D1522" s="3" t="s">
        <v>10</v>
      </c>
      <c r="E1522" s="5" t="s">
        <v>16</v>
      </c>
      <c r="F1522" s="17">
        <v>78.069999999999993</v>
      </c>
      <c r="G1522" s="3">
        <v>1</v>
      </c>
      <c r="H1522" s="17">
        <f>Table1[[#This Row],[Unit price]]*Table1[[#This Row],[Quantity]]</f>
        <v>78.069999999999993</v>
      </c>
      <c r="I1522" s="29">
        <f>Table1[[#This Row],[Total Revenue]]/$H$5056*100</f>
        <v>8.2828949731145341E-3</v>
      </c>
      <c r="J1522" s="3" t="s">
        <v>12</v>
      </c>
      <c r="K1522" s="4">
        <v>7.1</v>
      </c>
      <c r="M1522"/>
    </row>
    <row r="1523" spans="1:13" x14ac:dyDescent="0.25">
      <c r="A1523" s="2">
        <v>45356</v>
      </c>
      <c r="B1523" s="3" t="s">
        <v>243</v>
      </c>
      <c r="C1523" s="3" t="s">
        <v>13</v>
      </c>
      <c r="D1523" s="3" t="s">
        <v>10</v>
      </c>
      <c r="E1523" s="5" t="s">
        <v>11</v>
      </c>
      <c r="F1523" s="17">
        <v>93.26</v>
      </c>
      <c r="G1523" s="3">
        <v>2</v>
      </c>
      <c r="H1523" s="17">
        <f>Table1[[#This Row],[Unit price]]*Table1[[#This Row],[Quantity]]</f>
        <v>186.52</v>
      </c>
      <c r="I1523" s="29">
        <f>Table1[[#This Row],[Total Revenue]]/$H$5056*100</f>
        <v>1.9788978741966484E-2</v>
      </c>
      <c r="J1523" s="3" t="s">
        <v>15</v>
      </c>
      <c r="K1523" s="4">
        <v>8.1</v>
      </c>
      <c r="M1523"/>
    </row>
    <row r="1524" spans="1:13" x14ac:dyDescent="0.25">
      <c r="A1524" s="2">
        <v>45356</v>
      </c>
      <c r="B1524" s="3" t="s">
        <v>245</v>
      </c>
      <c r="C1524" s="3" t="s">
        <v>9</v>
      </c>
      <c r="D1524" s="3" t="s">
        <v>19</v>
      </c>
      <c r="E1524" s="5" t="s">
        <v>14</v>
      </c>
      <c r="F1524" s="17">
        <v>66.650000000000006</v>
      </c>
      <c r="G1524" s="3">
        <v>2</v>
      </c>
      <c r="H1524" s="17">
        <f>Table1[[#This Row],[Unit price]]*Table1[[#This Row],[Quantity]]</f>
        <v>133.30000000000001</v>
      </c>
      <c r="I1524" s="29">
        <f>Table1[[#This Row],[Total Revenue]]/$H$5056*100</f>
        <v>1.4142563083337617E-2</v>
      </c>
      <c r="J1524" s="3" t="s">
        <v>12</v>
      </c>
      <c r="K1524" s="4">
        <v>7.2</v>
      </c>
      <c r="M1524"/>
    </row>
    <row r="1525" spans="1:13" x14ac:dyDescent="0.25">
      <c r="A1525" s="2">
        <v>45356</v>
      </c>
      <c r="B1525" s="3" t="s">
        <v>245</v>
      </c>
      <c r="C1525" s="3" t="s">
        <v>13</v>
      </c>
      <c r="D1525" s="3" t="s">
        <v>10</v>
      </c>
      <c r="E1525" s="5" t="s">
        <v>21</v>
      </c>
      <c r="F1525" s="17">
        <v>21.8</v>
      </c>
      <c r="G1525" s="3">
        <v>1</v>
      </c>
      <c r="H1525" s="17">
        <f>Table1[[#This Row],[Unit price]]*Table1[[#This Row],[Quantity]]</f>
        <v>21.8</v>
      </c>
      <c r="I1525" s="29">
        <f>Table1[[#This Row],[Total Revenue]]/$H$5056*100</f>
        <v>2.312887285947187E-3</v>
      </c>
      <c r="J1525" s="3" t="s">
        <v>15</v>
      </c>
      <c r="K1525" s="4">
        <v>7.7</v>
      </c>
      <c r="M1525"/>
    </row>
    <row r="1526" spans="1:13" x14ac:dyDescent="0.25">
      <c r="A1526" s="2">
        <v>45356</v>
      </c>
      <c r="B1526" s="3" t="s">
        <v>243</v>
      </c>
      <c r="C1526" s="3" t="s">
        <v>13</v>
      </c>
      <c r="D1526" s="3" t="s">
        <v>19</v>
      </c>
      <c r="E1526" s="5" t="s">
        <v>21</v>
      </c>
      <c r="F1526" s="17">
        <v>66.680000000000007</v>
      </c>
      <c r="G1526" s="3">
        <v>3</v>
      </c>
      <c r="H1526" s="17">
        <f>Table1[[#This Row],[Unit price]]*Table1[[#This Row],[Quantity]]</f>
        <v>200.04000000000002</v>
      </c>
      <c r="I1526" s="29">
        <f>Table1[[#This Row],[Total Revenue]]/$H$5056*100</f>
        <v>2.1223393242241987E-2</v>
      </c>
      <c r="J1526" s="3" t="s">
        <v>15</v>
      </c>
      <c r="K1526" s="4">
        <v>8.6999999999999993</v>
      </c>
      <c r="M1526"/>
    </row>
    <row r="1527" spans="1:13" x14ac:dyDescent="0.25">
      <c r="A1527" s="2">
        <v>45356</v>
      </c>
      <c r="B1527" s="3" t="s">
        <v>244</v>
      </c>
      <c r="C1527" s="3" t="s">
        <v>13</v>
      </c>
      <c r="D1527" s="3" t="s">
        <v>19</v>
      </c>
      <c r="E1527" s="5" t="s">
        <v>21</v>
      </c>
      <c r="F1527" s="17">
        <v>32.32</v>
      </c>
      <c r="G1527" s="3">
        <v>2</v>
      </c>
      <c r="H1527" s="17">
        <f>Table1[[#This Row],[Unit price]]*Table1[[#This Row],[Quantity]]</f>
        <v>64.64</v>
      </c>
      <c r="I1527" s="29">
        <f>Table1[[#This Row],[Total Revenue]]/$H$5056*100</f>
        <v>6.8580290900745943E-3</v>
      </c>
      <c r="J1527" s="3" t="s">
        <v>12</v>
      </c>
      <c r="K1527" s="4">
        <v>7.5</v>
      </c>
      <c r="M1527"/>
    </row>
    <row r="1528" spans="1:13" x14ac:dyDescent="0.25">
      <c r="A1528" s="2">
        <v>45356</v>
      </c>
      <c r="B1528" s="3" t="s">
        <v>243</v>
      </c>
      <c r="C1528" s="3" t="s">
        <v>13</v>
      </c>
      <c r="D1528" s="3" t="s">
        <v>19</v>
      </c>
      <c r="E1528" s="5" t="s">
        <v>11</v>
      </c>
      <c r="F1528" s="17">
        <v>52.6</v>
      </c>
      <c r="G1528" s="3">
        <v>4</v>
      </c>
      <c r="H1528" s="17">
        <f>Table1[[#This Row],[Unit price]]*Table1[[#This Row],[Quantity]]</f>
        <v>210.4</v>
      </c>
      <c r="I1528" s="29">
        <f>Table1[[#This Row],[Total Revenue]]/$H$5056*100</f>
        <v>2.2322545181802204E-2</v>
      </c>
      <c r="J1528" s="3" t="s">
        <v>17</v>
      </c>
      <c r="K1528" s="4">
        <v>7.2</v>
      </c>
      <c r="M1528"/>
    </row>
    <row r="1529" spans="1:13" x14ac:dyDescent="0.25">
      <c r="A1529" s="2">
        <v>45387</v>
      </c>
      <c r="B1529" s="3" t="s">
        <v>245</v>
      </c>
      <c r="C1529" s="3" t="s">
        <v>9</v>
      </c>
      <c r="D1529" s="3" t="s">
        <v>19</v>
      </c>
      <c r="E1529" s="5" t="s">
        <v>21</v>
      </c>
      <c r="F1529" s="17">
        <v>39.909999999999997</v>
      </c>
      <c r="G1529" s="3">
        <v>2</v>
      </c>
      <c r="H1529" s="17">
        <f>Table1[[#This Row],[Unit price]]*Table1[[#This Row],[Quantity]]</f>
        <v>79.819999999999993</v>
      </c>
      <c r="I1529" s="29">
        <f>Table1[[#This Row],[Total Revenue]]/$H$5056*100</f>
        <v>8.4685625304726803E-3</v>
      </c>
      <c r="J1529" s="3" t="s">
        <v>15</v>
      </c>
      <c r="K1529" s="4">
        <v>6.1</v>
      </c>
      <c r="M1529"/>
    </row>
    <row r="1530" spans="1:13" x14ac:dyDescent="0.25">
      <c r="A1530" s="2">
        <v>45387</v>
      </c>
      <c r="B1530" s="3" t="s">
        <v>244</v>
      </c>
      <c r="C1530" s="3" t="s">
        <v>9</v>
      </c>
      <c r="D1530" s="3" t="s">
        <v>19</v>
      </c>
      <c r="E1530" s="5" t="s">
        <v>11</v>
      </c>
      <c r="F1530" s="17">
        <v>81.209999999999994</v>
      </c>
      <c r="G1530" s="3">
        <v>2</v>
      </c>
      <c r="H1530" s="17">
        <f>Table1[[#This Row],[Unit price]]*Table1[[#This Row],[Quantity]]</f>
        <v>162.41999999999999</v>
      </c>
      <c r="I1530" s="29">
        <f>Table1[[#This Row],[Total Revenue]]/$H$5056*100</f>
        <v>1.7232071237777157E-2</v>
      </c>
      <c r="J1530" s="3" t="s">
        <v>15</v>
      </c>
      <c r="K1530" s="4">
        <v>8.6999999999999993</v>
      </c>
      <c r="M1530"/>
    </row>
    <row r="1531" spans="1:13" x14ac:dyDescent="0.25">
      <c r="A1531" s="2">
        <v>45387</v>
      </c>
      <c r="B1531" s="3" t="s">
        <v>244</v>
      </c>
      <c r="C1531" s="3" t="s">
        <v>13</v>
      </c>
      <c r="D1531" s="3" t="s">
        <v>10</v>
      </c>
      <c r="E1531" s="5" t="s">
        <v>21</v>
      </c>
      <c r="F1531" s="17">
        <v>83.66</v>
      </c>
      <c r="G1531" s="3">
        <v>2</v>
      </c>
      <c r="H1531" s="17">
        <f>Table1[[#This Row],[Unit price]]*Table1[[#This Row],[Quantity]]</f>
        <v>167.32</v>
      </c>
      <c r="I1531" s="29">
        <f>Table1[[#This Row],[Total Revenue]]/$H$5056*100</f>
        <v>1.7751940398379965E-2</v>
      </c>
      <c r="J1531" s="3" t="s">
        <v>17</v>
      </c>
      <c r="K1531" s="4">
        <v>7.9</v>
      </c>
      <c r="M1531"/>
    </row>
    <row r="1532" spans="1:13" x14ac:dyDescent="0.25">
      <c r="A1532" s="2">
        <v>45387</v>
      </c>
      <c r="B1532" s="3" t="s">
        <v>244</v>
      </c>
      <c r="C1532" s="3" t="s">
        <v>9</v>
      </c>
      <c r="D1532" s="3" t="s">
        <v>19</v>
      </c>
      <c r="E1532" s="5" t="s">
        <v>11</v>
      </c>
      <c r="F1532" s="17">
        <v>57.89</v>
      </c>
      <c r="G1532" s="3">
        <v>4</v>
      </c>
      <c r="H1532" s="17">
        <f>Table1[[#This Row],[Unit price]]*Table1[[#This Row],[Quantity]]</f>
        <v>231.56</v>
      </c>
      <c r="I1532" s="29">
        <f>Table1[[#This Row],[Total Revenue]]/$H$5056*100</f>
        <v>2.4567531189629843E-2</v>
      </c>
      <c r="J1532" s="3" t="s">
        <v>15</v>
      </c>
      <c r="K1532" s="4">
        <v>7.4</v>
      </c>
      <c r="M1532"/>
    </row>
    <row r="1533" spans="1:13" x14ac:dyDescent="0.25">
      <c r="A1533" s="2">
        <v>45387</v>
      </c>
      <c r="B1533" s="3" t="s">
        <v>244</v>
      </c>
      <c r="C1533" s="3" t="s">
        <v>13</v>
      </c>
      <c r="D1533" s="3" t="s">
        <v>19</v>
      </c>
      <c r="E1533" s="5" t="s">
        <v>21</v>
      </c>
      <c r="F1533" s="17">
        <v>17.97</v>
      </c>
      <c r="G1533" s="3">
        <v>4</v>
      </c>
      <c r="H1533" s="17">
        <f>Table1[[#This Row],[Unit price]]*Table1[[#This Row],[Quantity]]</f>
        <v>71.88</v>
      </c>
      <c r="I1533" s="29">
        <f>Table1[[#This Row],[Total Revenue]]/$H$5056*100</f>
        <v>7.626162298802008E-3</v>
      </c>
      <c r="J1533" s="3" t="s">
        <v>17</v>
      </c>
      <c r="K1533" s="4">
        <v>8.1</v>
      </c>
      <c r="M1533"/>
    </row>
    <row r="1534" spans="1:13" x14ac:dyDescent="0.25">
      <c r="A1534" s="2">
        <v>45387</v>
      </c>
      <c r="B1534" s="3" t="s">
        <v>243</v>
      </c>
      <c r="C1534" s="3" t="s">
        <v>9</v>
      </c>
      <c r="D1534" s="3" t="s">
        <v>19</v>
      </c>
      <c r="E1534" s="5" t="s">
        <v>11</v>
      </c>
      <c r="F1534" s="17">
        <v>65.650000000000006</v>
      </c>
      <c r="G1534" s="3">
        <v>3</v>
      </c>
      <c r="H1534" s="17">
        <f>Table1[[#This Row],[Unit price]]*Table1[[#This Row],[Quantity]]</f>
        <v>196.95000000000002</v>
      </c>
      <c r="I1534" s="29">
        <f>Table1[[#This Row],[Total Revenue]]/$H$5056*100</f>
        <v>2.0895557383821029E-2</v>
      </c>
      <c r="J1534" s="3" t="s">
        <v>12</v>
      </c>
      <c r="K1534" s="4">
        <v>7.3</v>
      </c>
      <c r="M1534"/>
    </row>
    <row r="1535" spans="1:13" x14ac:dyDescent="0.25">
      <c r="A1535" s="2">
        <v>45387</v>
      </c>
      <c r="B1535" s="3" t="s">
        <v>243</v>
      </c>
      <c r="C1535" s="3" t="s">
        <v>9</v>
      </c>
      <c r="D1535" s="3" t="s">
        <v>19</v>
      </c>
      <c r="E1535" s="5" t="s">
        <v>21</v>
      </c>
      <c r="F1535" s="17">
        <v>10.16</v>
      </c>
      <c r="G1535" s="3">
        <v>3</v>
      </c>
      <c r="H1535" s="17">
        <f>Table1[[#This Row],[Unit price]]*Table1[[#This Row],[Quantity]]</f>
        <v>30.48</v>
      </c>
      <c r="I1535" s="29">
        <f>Table1[[#This Row],[Total Revenue]]/$H$5056*100</f>
        <v>3.2337983704435894E-3</v>
      </c>
      <c r="J1535" s="3" t="s">
        <v>17</v>
      </c>
      <c r="K1535" s="4">
        <v>7.1</v>
      </c>
      <c r="M1535"/>
    </row>
    <row r="1536" spans="1:13" x14ac:dyDescent="0.25">
      <c r="A1536" s="2">
        <v>45387</v>
      </c>
      <c r="B1536" s="3" t="s">
        <v>244</v>
      </c>
      <c r="C1536" s="3" t="s">
        <v>13</v>
      </c>
      <c r="D1536" s="3" t="s">
        <v>19</v>
      </c>
      <c r="E1536" s="5" t="s">
        <v>11</v>
      </c>
      <c r="F1536" s="17">
        <v>19.79</v>
      </c>
      <c r="G1536" s="3">
        <v>3</v>
      </c>
      <c r="H1536" s="17">
        <f>Table1[[#This Row],[Unit price]]*Table1[[#This Row],[Quantity]]</f>
        <v>59.37</v>
      </c>
      <c r="I1536" s="29">
        <f>Table1[[#This Row],[Total Revenue]]/$H$5056*100</f>
        <v>6.2989045030589202E-3</v>
      </c>
      <c r="J1536" s="3" t="s">
        <v>12</v>
      </c>
      <c r="K1536" s="4">
        <v>8.6999999999999993</v>
      </c>
      <c r="M1536"/>
    </row>
    <row r="1537" spans="1:13" x14ac:dyDescent="0.25">
      <c r="A1537" s="2">
        <v>45387</v>
      </c>
      <c r="B1537" s="3" t="s">
        <v>244</v>
      </c>
      <c r="C1537" s="3" t="s">
        <v>13</v>
      </c>
      <c r="D1537" s="3" t="s">
        <v>19</v>
      </c>
      <c r="E1537" s="5" t="s">
        <v>11</v>
      </c>
      <c r="F1537" s="17">
        <v>59.59</v>
      </c>
      <c r="G1537" s="3">
        <v>4</v>
      </c>
      <c r="H1537" s="17">
        <f>Table1[[#This Row],[Unit price]]*Table1[[#This Row],[Quantity]]</f>
        <v>238.36</v>
      </c>
      <c r="I1537" s="29">
        <f>Table1[[#This Row],[Total Revenue]]/$H$5056*100</f>
        <v>2.5288982269650068E-2</v>
      </c>
      <c r="J1537" s="3" t="s">
        <v>12</v>
      </c>
      <c r="K1537" s="4">
        <v>9.3000000000000007</v>
      </c>
      <c r="M1537"/>
    </row>
    <row r="1538" spans="1:13" x14ac:dyDescent="0.25">
      <c r="A1538" s="2">
        <v>45387</v>
      </c>
      <c r="B1538" s="3" t="s">
        <v>244</v>
      </c>
      <c r="C1538" s="3" t="s">
        <v>13</v>
      </c>
      <c r="D1538" s="3" t="s">
        <v>19</v>
      </c>
      <c r="E1538" s="5" t="s">
        <v>21</v>
      </c>
      <c r="F1538" s="17">
        <v>62.57</v>
      </c>
      <c r="G1538" s="3">
        <v>3</v>
      </c>
      <c r="H1538" s="17">
        <f>Table1[[#This Row],[Unit price]]*Table1[[#This Row],[Quantity]]</f>
        <v>187.71</v>
      </c>
      <c r="I1538" s="29">
        <f>Table1[[#This Row],[Total Revenue]]/$H$5056*100</f>
        <v>1.9915232680970021E-2</v>
      </c>
      <c r="J1538" s="3" t="s">
        <v>12</v>
      </c>
      <c r="K1538" s="4">
        <v>9.4</v>
      </c>
      <c r="M1538"/>
    </row>
    <row r="1539" spans="1:13" x14ac:dyDescent="0.25">
      <c r="A1539" s="2">
        <v>45387</v>
      </c>
      <c r="B1539" s="3" t="s">
        <v>245</v>
      </c>
      <c r="C1539" s="3" t="s">
        <v>9</v>
      </c>
      <c r="D1539" s="3" t="s">
        <v>10</v>
      </c>
      <c r="E1539" s="5" t="s">
        <v>18</v>
      </c>
      <c r="F1539" s="17">
        <v>74.290000000000006</v>
      </c>
      <c r="G1539" s="3">
        <v>2</v>
      </c>
      <c r="H1539" s="17">
        <f>Table1[[#This Row],[Unit price]]*Table1[[#This Row],[Quantity]]</f>
        <v>148.58000000000001</v>
      </c>
      <c r="I1539" s="29">
        <f>Table1[[#This Row],[Total Revenue]]/$H$5056*100</f>
        <v>1.5763706098441882E-2</v>
      </c>
      <c r="J1539" s="3" t="s">
        <v>12</v>
      </c>
      <c r="K1539" s="4">
        <v>8.8000000000000007</v>
      </c>
      <c r="M1539"/>
    </row>
    <row r="1540" spans="1:13" x14ac:dyDescent="0.25">
      <c r="A1540" s="2">
        <v>45387</v>
      </c>
      <c r="B1540" s="3" t="s">
        <v>244</v>
      </c>
      <c r="C1540" s="3" t="s">
        <v>9</v>
      </c>
      <c r="D1540" s="3" t="s">
        <v>10</v>
      </c>
      <c r="E1540" s="5" t="s">
        <v>20</v>
      </c>
      <c r="F1540" s="17">
        <v>69.959999999999994</v>
      </c>
      <c r="G1540" s="3">
        <v>3</v>
      </c>
      <c r="H1540" s="17">
        <f>Table1[[#This Row],[Unit price]]*Table1[[#This Row],[Quantity]]</f>
        <v>209.88</v>
      </c>
      <c r="I1540" s="29">
        <f>Table1[[#This Row],[Total Revenue]]/$H$5056*100</f>
        <v>2.2267375393330069E-2</v>
      </c>
      <c r="J1540" s="3" t="s">
        <v>12</v>
      </c>
      <c r="K1540" s="4">
        <v>7.5</v>
      </c>
      <c r="M1540"/>
    </row>
    <row r="1541" spans="1:13" x14ac:dyDescent="0.25">
      <c r="A1541" s="2">
        <v>45387</v>
      </c>
      <c r="B1541" s="3" t="s">
        <v>243</v>
      </c>
      <c r="C1541" s="3" t="s">
        <v>9</v>
      </c>
      <c r="D1541" s="3" t="s">
        <v>10</v>
      </c>
      <c r="E1541" s="5" t="s">
        <v>11</v>
      </c>
      <c r="F1541" s="17">
        <v>43.18</v>
      </c>
      <c r="G1541" s="3">
        <v>5</v>
      </c>
      <c r="H1541" s="17">
        <f>Table1[[#This Row],[Unit price]]*Table1[[#This Row],[Quantity]]</f>
        <v>215.9</v>
      </c>
      <c r="I1541" s="29">
        <f>Table1[[#This Row],[Total Revenue]]/$H$5056*100</f>
        <v>2.2906071790642094E-2</v>
      </c>
      <c r="J1541" s="3" t="s">
        <v>17</v>
      </c>
      <c r="K1541" s="4">
        <v>8.1</v>
      </c>
      <c r="M1541"/>
    </row>
    <row r="1542" spans="1:13" x14ac:dyDescent="0.25">
      <c r="A1542" s="2">
        <v>45387</v>
      </c>
      <c r="B1542" s="3" t="s">
        <v>243</v>
      </c>
      <c r="C1542" s="3" t="s">
        <v>13</v>
      </c>
      <c r="D1542" s="3" t="s">
        <v>19</v>
      </c>
      <c r="E1542" s="5" t="s">
        <v>11</v>
      </c>
      <c r="F1542" s="17">
        <v>33.880000000000003</v>
      </c>
      <c r="G1542" s="3">
        <v>3</v>
      </c>
      <c r="H1542" s="17">
        <f>Table1[[#This Row],[Unit price]]*Table1[[#This Row],[Quantity]]</f>
        <v>101.64000000000001</v>
      </c>
      <c r="I1542" s="29">
        <f>Table1[[#This Row],[Total Revenue]]/$H$5056*100</f>
        <v>1.0783571731361104E-2</v>
      </c>
      <c r="J1542" s="3" t="s">
        <v>15</v>
      </c>
      <c r="K1542" s="4">
        <v>8.5</v>
      </c>
      <c r="M1542"/>
    </row>
    <row r="1543" spans="1:13" x14ac:dyDescent="0.25">
      <c r="A1543" s="2">
        <v>45387</v>
      </c>
      <c r="B1543" s="3" t="s">
        <v>244</v>
      </c>
      <c r="C1543" s="3" t="s">
        <v>9</v>
      </c>
      <c r="D1543" s="3" t="s">
        <v>10</v>
      </c>
      <c r="E1543" s="5" t="s">
        <v>21</v>
      </c>
      <c r="F1543" s="17">
        <v>65.180000000000007</v>
      </c>
      <c r="G1543" s="3">
        <v>3</v>
      </c>
      <c r="H1543" s="17">
        <f>Table1[[#This Row],[Unit price]]*Table1[[#This Row],[Quantity]]</f>
        <v>195.54000000000002</v>
      </c>
      <c r="I1543" s="29">
        <f>Table1[[#This Row],[Total Revenue]]/$H$5056*100</f>
        <v>2.0745962380463896E-2</v>
      </c>
      <c r="J1543" s="3" t="s">
        <v>17</v>
      </c>
      <c r="K1543" s="4">
        <v>8.5</v>
      </c>
      <c r="M1543"/>
    </row>
    <row r="1544" spans="1:13" x14ac:dyDescent="0.25">
      <c r="A1544" s="2">
        <v>45387</v>
      </c>
      <c r="B1544" s="3" t="s">
        <v>244</v>
      </c>
      <c r="C1544" s="3" t="s">
        <v>13</v>
      </c>
      <c r="D1544" s="3" t="s">
        <v>19</v>
      </c>
      <c r="E1544" s="5" t="s">
        <v>11</v>
      </c>
      <c r="F1544" s="17">
        <v>51.28</v>
      </c>
      <c r="G1544" s="3">
        <v>3</v>
      </c>
      <c r="H1544" s="17">
        <f>Table1[[#This Row],[Unit price]]*Table1[[#This Row],[Quantity]]</f>
        <v>153.84</v>
      </c>
      <c r="I1544" s="29">
        <f>Table1[[#This Row],[Total Revenue]]/$H$5056*100</f>
        <v>1.6321769727986934E-2</v>
      </c>
      <c r="J1544" s="3" t="s">
        <v>15</v>
      </c>
      <c r="K1544" s="4">
        <v>5.8</v>
      </c>
      <c r="M1544"/>
    </row>
    <row r="1545" spans="1:13" x14ac:dyDescent="0.25">
      <c r="A1545" s="2">
        <v>45387</v>
      </c>
      <c r="B1545" s="3" t="s">
        <v>244</v>
      </c>
      <c r="C1545" s="3" t="s">
        <v>13</v>
      </c>
      <c r="D1545" s="3" t="s">
        <v>19</v>
      </c>
      <c r="E1545" s="5" t="s">
        <v>21</v>
      </c>
      <c r="F1545" s="17">
        <v>42.57</v>
      </c>
      <c r="G1545" s="3">
        <v>3</v>
      </c>
      <c r="H1545" s="17">
        <f>Table1[[#This Row],[Unit price]]*Table1[[#This Row],[Quantity]]</f>
        <v>127.71000000000001</v>
      </c>
      <c r="I1545" s="29">
        <f>Table1[[#This Row],[Total Revenue]]/$H$5056*100</f>
        <v>1.3549487857262166E-2</v>
      </c>
      <c r="J1545" s="3" t="s">
        <v>15</v>
      </c>
      <c r="K1545" s="4">
        <v>7.4</v>
      </c>
      <c r="M1545"/>
    </row>
    <row r="1546" spans="1:13" x14ac:dyDescent="0.25">
      <c r="A1546" s="2">
        <v>45387</v>
      </c>
      <c r="B1546" s="3" t="s">
        <v>244</v>
      </c>
      <c r="C1546" s="3" t="s">
        <v>13</v>
      </c>
      <c r="D1546" s="3" t="s">
        <v>19</v>
      </c>
      <c r="E1546" s="5" t="s">
        <v>21</v>
      </c>
      <c r="F1546" s="17">
        <v>99.71</v>
      </c>
      <c r="G1546" s="3">
        <v>4</v>
      </c>
      <c r="H1546" s="17">
        <f>Table1[[#This Row],[Unit price]]*Table1[[#This Row],[Quantity]]</f>
        <v>398.84</v>
      </c>
      <c r="I1546" s="29">
        <f>Table1[[#This Row],[Total Revenue]]/$H$5056*100</f>
        <v>4.2315227758127336E-2</v>
      </c>
      <c r="J1546" s="3" t="s">
        <v>17</v>
      </c>
      <c r="K1546" s="4">
        <v>7.3</v>
      </c>
      <c r="M1546"/>
    </row>
    <row r="1547" spans="1:13" x14ac:dyDescent="0.25">
      <c r="A1547" s="2">
        <v>45387</v>
      </c>
      <c r="B1547" s="3" t="s">
        <v>245</v>
      </c>
      <c r="C1547" s="3" t="s">
        <v>13</v>
      </c>
      <c r="D1547" s="3" t="s">
        <v>10</v>
      </c>
      <c r="E1547" s="5" t="s">
        <v>20</v>
      </c>
      <c r="F1547" s="17">
        <v>17.77</v>
      </c>
      <c r="G1547" s="3">
        <v>5</v>
      </c>
      <c r="H1547" s="17">
        <f>Table1[[#This Row],[Unit price]]*Table1[[#This Row],[Quantity]]</f>
        <v>88.85</v>
      </c>
      <c r="I1547" s="29">
        <f>Table1[[#This Row],[Total Revenue]]/$H$5056*100</f>
        <v>9.4266071264407121E-3</v>
      </c>
      <c r="J1547" s="3" t="s">
        <v>17</v>
      </c>
      <c r="K1547" s="4">
        <v>7.5</v>
      </c>
      <c r="M1547"/>
    </row>
    <row r="1548" spans="1:13" x14ac:dyDescent="0.25">
      <c r="A1548" s="2">
        <v>45387</v>
      </c>
      <c r="B1548" s="3" t="s">
        <v>244</v>
      </c>
      <c r="C1548" s="3" t="s">
        <v>13</v>
      </c>
      <c r="D1548" s="3" t="s">
        <v>10</v>
      </c>
      <c r="E1548" s="5" t="s">
        <v>20</v>
      </c>
      <c r="F1548" s="17">
        <v>88.79</v>
      </c>
      <c r="G1548" s="3">
        <v>3</v>
      </c>
      <c r="H1548" s="17">
        <f>Table1[[#This Row],[Unit price]]*Table1[[#This Row],[Quantity]]</f>
        <v>266.37</v>
      </c>
      <c r="I1548" s="29">
        <f>Table1[[#This Row],[Total Revenue]]/$H$5056*100</f>
        <v>2.8260724144851014E-2</v>
      </c>
      <c r="J1548" s="3" t="s">
        <v>17</v>
      </c>
      <c r="K1548" s="4">
        <v>9.5</v>
      </c>
      <c r="M1548"/>
    </row>
    <row r="1549" spans="1:13" x14ac:dyDescent="0.25">
      <c r="A1549" s="2">
        <v>45387</v>
      </c>
      <c r="B1549" s="3" t="s">
        <v>243</v>
      </c>
      <c r="C1549" s="3" t="s">
        <v>13</v>
      </c>
      <c r="D1549" s="3" t="s">
        <v>19</v>
      </c>
      <c r="E1549" s="5" t="s">
        <v>11</v>
      </c>
      <c r="F1549" s="17">
        <v>36.36</v>
      </c>
      <c r="G1549" s="3">
        <v>3</v>
      </c>
      <c r="H1549" s="17">
        <f>Table1[[#This Row],[Unit price]]*Table1[[#This Row],[Quantity]]</f>
        <v>109.08</v>
      </c>
      <c r="I1549" s="29">
        <f>Table1[[#This Row],[Total Revenue]]/$H$5056*100</f>
        <v>1.1572924089500877E-2</v>
      </c>
      <c r="J1549" s="3" t="s">
        <v>15</v>
      </c>
      <c r="K1549" s="4">
        <v>5.2</v>
      </c>
      <c r="M1549"/>
    </row>
    <row r="1550" spans="1:13" x14ac:dyDescent="0.25">
      <c r="A1550" s="2">
        <v>45417</v>
      </c>
      <c r="B1550" s="3" t="s">
        <v>244</v>
      </c>
      <c r="C1550" s="3" t="s">
        <v>13</v>
      </c>
      <c r="D1550" s="3" t="s">
        <v>10</v>
      </c>
      <c r="E1550" s="5" t="s">
        <v>11</v>
      </c>
      <c r="F1550" s="17">
        <v>68.98</v>
      </c>
      <c r="G1550" s="3">
        <v>7</v>
      </c>
      <c r="H1550" s="17">
        <f>Table1[[#This Row],[Unit price]]*Table1[[#This Row],[Quantity]]</f>
        <v>482.86</v>
      </c>
      <c r="I1550" s="29">
        <f>Table1[[#This Row],[Total Revenue]]/$H$5056*100</f>
        <v>5.1229392426259561E-2</v>
      </c>
      <c r="J1550" s="3" t="s">
        <v>17</v>
      </c>
      <c r="K1550" s="4">
        <v>9.3000000000000007</v>
      </c>
      <c r="M1550"/>
    </row>
    <row r="1551" spans="1:13" x14ac:dyDescent="0.25">
      <c r="A1551" s="2">
        <v>45417</v>
      </c>
      <c r="B1551" s="3" t="s">
        <v>244</v>
      </c>
      <c r="C1551" s="3" t="s">
        <v>13</v>
      </c>
      <c r="D1551" s="3" t="s">
        <v>19</v>
      </c>
      <c r="E1551" s="5" t="s">
        <v>11</v>
      </c>
      <c r="F1551" s="17">
        <v>54.67</v>
      </c>
      <c r="G1551" s="3">
        <v>2</v>
      </c>
      <c r="H1551" s="17">
        <f>Table1[[#This Row],[Unit price]]*Table1[[#This Row],[Quantity]]</f>
        <v>109.34</v>
      </c>
      <c r="I1551" s="29">
        <f>Table1[[#This Row],[Total Revenue]]/$H$5056*100</f>
        <v>1.1600508983736945E-2</v>
      </c>
      <c r="J1551" s="3" t="s">
        <v>12</v>
      </c>
      <c r="K1551" s="4">
        <v>6.8</v>
      </c>
      <c r="M1551"/>
    </row>
    <row r="1552" spans="1:13" x14ac:dyDescent="0.25">
      <c r="A1552" s="2">
        <v>45417</v>
      </c>
      <c r="B1552" s="3" t="s">
        <v>243</v>
      </c>
      <c r="C1552" s="3" t="s">
        <v>13</v>
      </c>
      <c r="D1552" s="3" t="s">
        <v>10</v>
      </c>
      <c r="E1552" s="5" t="s">
        <v>11</v>
      </c>
      <c r="F1552" s="17">
        <v>28.86</v>
      </c>
      <c r="G1552" s="3">
        <v>3</v>
      </c>
      <c r="H1552" s="17">
        <f>Table1[[#This Row],[Unit price]]*Table1[[#This Row],[Quantity]]</f>
        <v>86.58</v>
      </c>
      <c r="I1552" s="29">
        <f>Table1[[#This Row],[Total Revenue]]/$H$5056*100</f>
        <v>9.1857697806104321E-3</v>
      </c>
      <c r="J1552" s="3" t="s">
        <v>12</v>
      </c>
      <c r="K1552" s="4">
        <v>5.3</v>
      </c>
      <c r="M1552"/>
    </row>
    <row r="1553" spans="1:13" x14ac:dyDescent="0.25">
      <c r="A1553" s="2">
        <v>45417</v>
      </c>
      <c r="B1553" s="3" t="s">
        <v>243</v>
      </c>
      <c r="C1553" s="3" t="s">
        <v>13</v>
      </c>
      <c r="D1553" s="3" t="s">
        <v>10</v>
      </c>
      <c r="E1553" s="5" t="s">
        <v>20</v>
      </c>
      <c r="F1553" s="17">
        <v>34.42</v>
      </c>
      <c r="G1553" s="3">
        <v>2</v>
      </c>
      <c r="H1553" s="17">
        <f>Table1[[#This Row],[Unit price]]*Table1[[#This Row],[Quantity]]</f>
        <v>68.84</v>
      </c>
      <c r="I1553" s="29">
        <f>Table1[[#This Row],[Total Revenue]]/$H$5056*100</f>
        <v>7.3036312277341437E-3</v>
      </c>
      <c r="J1553" s="3" t="s">
        <v>15</v>
      </c>
      <c r="K1553" s="4">
        <v>6.8</v>
      </c>
      <c r="M1553"/>
    </row>
    <row r="1554" spans="1:13" x14ac:dyDescent="0.25">
      <c r="A1554" s="2">
        <v>45417</v>
      </c>
      <c r="B1554" s="3" t="s">
        <v>244</v>
      </c>
      <c r="C1554" s="3" t="s">
        <v>13</v>
      </c>
      <c r="D1554" s="3" t="s">
        <v>10</v>
      </c>
      <c r="E1554" s="5" t="s">
        <v>18</v>
      </c>
      <c r="F1554" s="17">
        <v>59.86</v>
      </c>
      <c r="G1554" s="3">
        <v>2</v>
      </c>
      <c r="H1554" s="17">
        <f>Table1[[#This Row],[Unit price]]*Table1[[#This Row],[Quantity]]</f>
        <v>119.72</v>
      </c>
      <c r="I1554" s="29">
        <f>Table1[[#This Row],[Total Revenue]]/$H$5056*100</f>
        <v>1.2701782838238402E-2</v>
      </c>
      <c r="J1554" s="3" t="s">
        <v>17</v>
      </c>
      <c r="K1554" s="4">
        <v>5.6</v>
      </c>
      <c r="M1554"/>
    </row>
    <row r="1555" spans="1:13" x14ac:dyDescent="0.25">
      <c r="A1555" s="2">
        <v>45417</v>
      </c>
      <c r="B1555" s="3" t="s">
        <v>244</v>
      </c>
      <c r="C1555" s="3" t="s">
        <v>13</v>
      </c>
      <c r="D1555" s="3" t="s">
        <v>10</v>
      </c>
      <c r="E1555" s="5" t="s">
        <v>21</v>
      </c>
      <c r="F1555" s="17">
        <v>56.69</v>
      </c>
      <c r="G1555" s="3">
        <v>4</v>
      </c>
      <c r="H1555" s="17">
        <f>Table1[[#This Row],[Unit price]]*Table1[[#This Row],[Quantity]]</f>
        <v>226.76</v>
      </c>
      <c r="I1555" s="29">
        <f>Table1[[#This Row],[Total Revenue]]/$H$5056*100</f>
        <v>2.4058271603733212E-2</v>
      </c>
      <c r="J1555" s="3" t="s">
        <v>17</v>
      </c>
      <c r="K1555" s="4">
        <v>6.5</v>
      </c>
      <c r="M1555"/>
    </row>
    <row r="1556" spans="1:13" x14ac:dyDescent="0.25">
      <c r="A1556" s="2">
        <v>45417</v>
      </c>
      <c r="B1556" s="3" t="s">
        <v>244</v>
      </c>
      <c r="C1556" s="3" t="s">
        <v>9</v>
      </c>
      <c r="D1556" s="3" t="s">
        <v>19</v>
      </c>
      <c r="E1556" s="5" t="s">
        <v>20</v>
      </c>
      <c r="F1556" s="17">
        <v>37.69</v>
      </c>
      <c r="G1556" s="3">
        <v>3</v>
      </c>
      <c r="H1556" s="17">
        <f>Table1[[#This Row],[Unit price]]*Table1[[#This Row],[Quantity]]</f>
        <v>113.07</v>
      </c>
      <c r="I1556" s="29">
        <f>Table1[[#This Row],[Total Revenue]]/$H$5056*100</f>
        <v>1.1996246120277448E-2</v>
      </c>
      <c r="J1556" s="3" t="s">
        <v>12</v>
      </c>
      <c r="K1556" s="4">
        <v>8.9</v>
      </c>
      <c r="M1556"/>
    </row>
    <row r="1557" spans="1:13" x14ac:dyDescent="0.25">
      <c r="A1557" s="2">
        <v>45417</v>
      </c>
      <c r="B1557" s="3" t="s">
        <v>244</v>
      </c>
      <c r="C1557" s="3" t="s">
        <v>13</v>
      </c>
      <c r="D1557" s="3" t="s">
        <v>10</v>
      </c>
      <c r="E1557" s="5" t="s">
        <v>18</v>
      </c>
      <c r="F1557" s="17">
        <v>18.079999999999998</v>
      </c>
      <c r="G1557" s="3">
        <v>1</v>
      </c>
      <c r="H1557" s="17">
        <f>Table1[[#This Row],[Unit price]]*Table1[[#This Row],[Quantity]]</f>
        <v>18.079999999999998</v>
      </c>
      <c r="I1557" s="29">
        <f>Table1[[#This Row],[Total Revenue]]/$H$5056*100</f>
        <v>1.9182111068772995E-3</v>
      </c>
      <c r="J1557" s="3" t="s">
        <v>15</v>
      </c>
      <c r="K1557" s="4">
        <v>6</v>
      </c>
      <c r="M1557"/>
    </row>
    <row r="1558" spans="1:13" x14ac:dyDescent="0.25">
      <c r="A1558" s="2">
        <v>45417</v>
      </c>
      <c r="B1558" s="3" t="s">
        <v>243</v>
      </c>
      <c r="C1558" s="3" t="s">
        <v>13</v>
      </c>
      <c r="D1558" s="3" t="s">
        <v>19</v>
      </c>
      <c r="E1558" s="5" t="s">
        <v>11</v>
      </c>
      <c r="F1558" s="17">
        <v>47.63</v>
      </c>
      <c r="G1558" s="3">
        <v>3</v>
      </c>
      <c r="H1558" s="17">
        <f>Table1[[#This Row],[Unit price]]*Table1[[#This Row],[Quantity]]</f>
        <v>142.89000000000001</v>
      </c>
      <c r="I1558" s="29">
        <f>Table1[[#This Row],[Total Revenue]]/$H$5056*100</f>
        <v>1.5160021297660255E-2</v>
      </c>
      <c r="J1558" s="3" t="s">
        <v>12</v>
      </c>
      <c r="K1558" s="4">
        <v>6.9</v>
      </c>
      <c r="M1558"/>
    </row>
    <row r="1559" spans="1:13" x14ac:dyDescent="0.25">
      <c r="A1559" s="2">
        <v>45417</v>
      </c>
      <c r="B1559" s="3" t="s">
        <v>245</v>
      </c>
      <c r="C1559" s="3" t="s">
        <v>13</v>
      </c>
      <c r="D1559" s="3" t="s">
        <v>10</v>
      </c>
      <c r="E1559" s="5" t="s">
        <v>11</v>
      </c>
      <c r="F1559" s="17">
        <v>38.47</v>
      </c>
      <c r="G1559" s="3">
        <v>3</v>
      </c>
      <c r="H1559" s="17">
        <f>Table1[[#This Row],[Unit price]]*Table1[[#This Row],[Quantity]]</f>
        <v>115.41</v>
      </c>
      <c r="I1559" s="29">
        <f>Table1[[#This Row],[Total Revenue]]/$H$5056*100</f>
        <v>1.2244510168402055E-2</v>
      </c>
      <c r="J1559" s="3" t="s">
        <v>17</v>
      </c>
      <c r="K1559" s="4">
        <v>8.1999999999999993</v>
      </c>
      <c r="M1559"/>
    </row>
    <row r="1560" spans="1:13" x14ac:dyDescent="0.25">
      <c r="A1560" s="2">
        <v>45417</v>
      </c>
      <c r="B1560" s="3" t="s">
        <v>244</v>
      </c>
      <c r="C1560" s="3" t="s">
        <v>13</v>
      </c>
      <c r="D1560" s="3" t="s">
        <v>19</v>
      </c>
      <c r="E1560" s="5" t="s">
        <v>20</v>
      </c>
      <c r="F1560" s="17">
        <v>86.27</v>
      </c>
      <c r="G1560" s="3">
        <v>3</v>
      </c>
      <c r="H1560" s="17">
        <f>Table1[[#This Row],[Unit price]]*Table1[[#This Row],[Quantity]]</f>
        <v>258.81</v>
      </c>
      <c r="I1560" s="29">
        <f>Table1[[#This Row],[Total Revenue]]/$H$5056*100</f>
        <v>2.7458640297063824E-2</v>
      </c>
      <c r="J1560" s="3" t="s">
        <v>17</v>
      </c>
      <c r="K1560" s="4">
        <v>5.5</v>
      </c>
      <c r="M1560"/>
    </row>
    <row r="1561" spans="1:13" x14ac:dyDescent="0.25">
      <c r="A1561" s="2">
        <v>45417</v>
      </c>
      <c r="B1561" s="3" t="s">
        <v>244</v>
      </c>
      <c r="C1561" s="3" t="s">
        <v>9</v>
      </c>
      <c r="D1561" s="3" t="s">
        <v>10</v>
      </c>
      <c r="E1561" s="5" t="s">
        <v>16</v>
      </c>
      <c r="F1561" s="17">
        <v>22.01</v>
      </c>
      <c r="G1561" s="3">
        <v>1</v>
      </c>
      <c r="H1561" s="17">
        <f>Table1[[#This Row],[Unit price]]*Table1[[#This Row],[Quantity]]</f>
        <v>22.01</v>
      </c>
      <c r="I1561" s="29">
        <f>Table1[[#This Row],[Total Revenue]]/$H$5056*100</f>
        <v>2.3351673928301642E-3</v>
      </c>
      <c r="J1561" s="3" t="s">
        <v>12</v>
      </c>
      <c r="K1561" s="4">
        <v>7.6</v>
      </c>
      <c r="M1561"/>
    </row>
    <row r="1562" spans="1:13" x14ac:dyDescent="0.25">
      <c r="A1562" s="2">
        <v>45417</v>
      </c>
      <c r="B1562" s="3" t="s">
        <v>244</v>
      </c>
      <c r="C1562" s="3" t="s">
        <v>13</v>
      </c>
      <c r="D1562" s="3" t="s">
        <v>19</v>
      </c>
      <c r="E1562" s="5" t="s">
        <v>11</v>
      </c>
      <c r="F1562" s="17">
        <v>19.25</v>
      </c>
      <c r="G1562" s="3">
        <v>3</v>
      </c>
      <c r="H1562" s="17">
        <f>Table1[[#This Row],[Unit price]]*Table1[[#This Row],[Quantity]]</f>
        <v>57.75</v>
      </c>
      <c r="I1562" s="29">
        <f>Table1[[#This Row],[Total Revenue]]/$H$5056*100</f>
        <v>6.1270293928188096E-3</v>
      </c>
      <c r="J1562" s="3" t="s">
        <v>12</v>
      </c>
      <c r="K1562" s="4">
        <v>8.9</v>
      </c>
      <c r="M1562"/>
    </row>
    <row r="1563" spans="1:13" x14ac:dyDescent="0.25">
      <c r="A1563" s="2">
        <v>45417</v>
      </c>
      <c r="B1563" s="3" t="s">
        <v>243</v>
      </c>
      <c r="C1563" s="3" t="s">
        <v>13</v>
      </c>
      <c r="D1563" s="3" t="s">
        <v>19</v>
      </c>
      <c r="E1563" s="5" t="s">
        <v>21</v>
      </c>
      <c r="F1563" s="17">
        <v>67.27</v>
      </c>
      <c r="G1563" s="3">
        <v>1</v>
      </c>
      <c r="H1563" s="17">
        <f>Table1[[#This Row],[Unit price]]*Table1[[#This Row],[Quantity]]</f>
        <v>67.27</v>
      </c>
      <c r="I1563" s="29">
        <f>Table1[[#This Row],[Total Revenue]]/$H$5056*100</f>
        <v>7.1370609048471206E-3</v>
      </c>
      <c r="J1563" s="3" t="s">
        <v>17</v>
      </c>
      <c r="K1563" s="4">
        <v>8.6999999999999993</v>
      </c>
      <c r="M1563"/>
    </row>
    <row r="1564" spans="1:13" x14ac:dyDescent="0.25">
      <c r="A1564" s="2">
        <v>45417</v>
      </c>
      <c r="B1564" s="3" t="s">
        <v>243</v>
      </c>
      <c r="C1564" s="3" t="s">
        <v>13</v>
      </c>
      <c r="D1564" s="3" t="s">
        <v>19</v>
      </c>
      <c r="E1564" s="5" t="s">
        <v>11</v>
      </c>
      <c r="F1564" s="17">
        <v>98.53</v>
      </c>
      <c r="G1564" s="3">
        <v>4</v>
      </c>
      <c r="H1564" s="17">
        <f>Table1[[#This Row],[Unit price]]*Table1[[#This Row],[Quantity]]</f>
        <v>394.12</v>
      </c>
      <c r="I1564" s="29">
        <f>Table1[[#This Row],[Total Revenue]]/$H$5056*100</f>
        <v>4.1814455831995653E-2</v>
      </c>
      <c r="J1564" s="3" t="s">
        <v>15</v>
      </c>
      <c r="K1564" s="4">
        <v>4.8</v>
      </c>
      <c r="M1564"/>
    </row>
    <row r="1565" spans="1:13" x14ac:dyDescent="0.25">
      <c r="A1565" s="2">
        <v>45417</v>
      </c>
      <c r="B1565" s="3" t="s">
        <v>243</v>
      </c>
      <c r="C1565" s="3" t="s">
        <v>9</v>
      </c>
      <c r="D1565" s="3" t="s">
        <v>19</v>
      </c>
      <c r="E1565" s="5" t="s">
        <v>11</v>
      </c>
      <c r="F1565" s="17">
        <v>48.51</v>
      </c>
      <c r="G1565" s="3">
        <v>3</v>
      </c>
      <c r="H1565" s="17">
        <f>Table1[[#This Row],[Unit price]]*Table1[[#This Row],[Quantity]]</f>
        <v>145.53</v>
      </c>
      <c r="I1565" s="29">
        <f>Table1[[#This Row],[Total Revenue]]/$H$5056*100</f>
        <v>1.5440114069903397E-2</v>
      </c>
      <c r="J1565" s="3" t="s">
        <v>15</v>
      </c>
      <c r="K1565" s="4">
        <v>8.8000000000000007</v>
      </c>
      <c r="M1565"/>
    </row>
    <row r="1566" spans="1:13" x14ac:dyDescent="0.25">
      <c r="A1566" s="2">
        <v>45417</v>
      </c>
      <c r="B1566" s="3" t="s">
        <v>244</v>
      </c>
      <c r="C1566" s="3" t="s">
        <v>13</v>
      </c>
      <c r="D1566" s="3" t="s">
        <v>19</v>
      </c>
      <c r="E1566" s="5" t="s">
        <v>11</v>
      </c>
      <c r="F1566" s="17">
        <v>88.36</v>
      </c>
      <c r="G1566" s="3">
        <v>3</v>
      </c>
      <c r="H1566" s="17">
        <f>Table1[[#This Row],[Unit price]]*Table1[[#This Row],[Quantity]]</f>
        <v>265.08</v>
      </c>
      <c r="I1566" s="29">
        <f>Table1[[#This Row],[Total Revenue]]/$H$5056*100</f>
        <v>2.8123860631141293E-2</v>
      </c>
      <c r="J1566" s="3" t="s">
        <v>15</v>
      </c>
      <c r="K1566" s="4">
        <v>6.5</v>
      </c>
      <c r="M1566"/>
    </row>
    <row r="1567" spans="1:13" x14ac:dyDescent="0.25">
      <c r="A1567" s="2">
        <v>45417</v>
      </c>
      <c r="B1567" s="3" t="s">
        <v>243</v>
      </c>
      <c r="C1567" s="3" t="s">
        <v>13</v>
      </c>
      <c r="D1567" s="3" t="s">
        <v>10</v>
      </c>
      <c r="E1567" s="5" t="s">
        <v>11</v>
      </c>
      <c r="F1567" s="17">
        <v>80.05</v>
      </c>
      <c r="G1567" s="3">
        <v>3</v>
      </c>
      <c r="H1567" s="17">
        <f>Table1[[#This Row],[Unit price]]*Table1[[#This Row],[Quantity]]</f>
        <v>240.14999999999998</v>
      </c>
      <c r="I1567" s="29">
        <f>Table1[[#This Row],[Total Revenue]]/$H$5056*100</f>
        <v>2.5478893656890676E-2</v>
      </c>
      <c r="J1567" s="3" t="s">
        <v>17</v>
      </c>
      <c r="K1567" s="4">
        <v>8.1</v>
      </c>
      <c r="M1567"/>
    </row>
    <row r="1568" spans="1:13" x14ac:dyDescent="0.25">
      <c r="A1568" s="2">
        <v>45417</v>
      </c>
      <c r="B1568" s="3" t="s">
        <v>243</v>
      </c>
      <c r="C1568" s="3" t="s">
        <v>13</v>
      </c>
      <c r="D1568" s="3" t="s">
        <v>10</v>
      </c>
      <c r="E1568" s="5" t="s">
        <v>11</v>
      </c>
      <c r="F1568" s="17">
        <v>78.88</v>
      </c>
      <c r="G1568" s="3">
        <v>2</v>
      </c>
      <c r="H1568" s="17">
        <f>Table1[[#This Row],[Unit price]]*Table1[[#This Row],[Quantity]]</f>
        <v>157.76</v>
      </c>
      <c r="I1568" s="29">
        <f>Table1[[#This Row],[Total Revenue]]/$H$5056*100</f>
        <v>1.6737665056469179E-2</v>
      </c>
      <c r="J1568" s="3" t="s">
        <v>12</v>
      </c>
      <c r="K1568" s="4">
        <v>6.3</v>
      </c>
      <c r="M1568"/>
    </row>
    <row r="1569" spans="1:13" x14ac:dyDescent="0.25">
      <c r="A1569" s="2">
        <v>45417</v>
      </c>
      <c r="B1569" s="3" t="s">
        <v>244</v>
      </c>
      <c r="C1569" s="3" t="s">
        <v>13</v>
      </c>
      <c r="D1569" s="3" t="s">
        <v>10</v>
      </c>
      <c r="E1569" s="5" t="s">
        <v>21</v>
      </c>
      <c r="F1569" s="17">
        <v>76.989999999999995</v>
      </c>
      <c r="G1569" s="3">
        <v>2</v>
      </c>
      <c r="H1569" s="17">
        <f>Table1[[#This Row],[Unit price]]*Table1[[#This Row],[Quantity]]</f>
        <v>153.97999999999999</v>
      </c>
      <c r="I1569" s="29">
        <f>Table1[[#This Row],[Total Revenue]]/$H$5056*100</f>
        <v>1.6336623132575584E-2</v>
      </c>
      <c r="J1569" s="3" t="s">
        <v>17</v>
      </c>
      <c r="K1569" s="4">
        <v>6.8</v>
      </c>
      <c r="M1569"/>
    </row>
    <row r="1570" spans="1:13" x14ac:dyDescent="0.25">
      <c r="A1570" s="2">
        <v>45448</v>
      </c>
      <c r="B1570" s="3" t="s">
        <v>243</v>
      </c>
      <c r="C1570" s="3" t="s">
        <v>13</v>
      </c>
      <c r="D1570" s="3" t="s">
        <v>10</v>
      </c>
      <c r="E1570" s="5" t="s">
        <v>11</v>
      </c>
      <c r="F1570" s="17">
        <v>33.33</v>
      </c>
      <c r="G1570" s="3">
        <v>4</v>
      </c>
      <c r="H1570" s="17">
        <f>Table1[[#This Row],[Unit price]]*Table1[[#This Row],[Quantity]]</f>
        <v>133.32</v>
      </c>
      <c r="I1570" s="29">
        <f>Table1[[#This Row],[Total Revenue]]/$H$5056*100</f>
        <v>1.4144684998278848E-2</v>
      </c>
      <c r="J1570" s="3" t="s">
        <v>12</v>
      </c>
      <c r="K1570" s="4">
        <v>8</v>
      </c>
      <c r="M1570"/>
    </row>
    <row r="1571" spans="1:13" x14ac:dyDescent="0.25">
      <c r="A1571" s="2">
        <v>45448</v>
      </c>
      <c r="B1571" s="3" t="s">
        <v>244</v>
      </c>
      <c r="C1571" s="3" t="s">
        <v>13</v>
      </c>
      <c r="D1571" s="3" t="s">
        <v>10</v>
      </c>
      <c r="E1571" s="5" t="s">
        <v>18</v>
      </c>
      <c r="F1571" s="17">
        <v>96.7</v>
      </c>
      <c r="G1571" s="3">
        <v>1</v>
      </c>
      <c r="H1571" s="17">
        <f>Table1[[#This Row],[Unit price]]*Table1[[#This Row],[Quantity]]</f>
        <v>96.7</v>
      </c>
      <c r="I1571" s="29">
        <f>Table1[[#This Row],[Total Revenue]]/$H$5056*100</f>
        <v>1.0259458740875823E-2</v>
      </c>
      <c r="J1571" s="3" t="s">
        <v>15</v>
      </c>
      <c r="K1571" s="4">
        <v>5.4</v>
      </c>
      <c r="M1571"/>
    </row>
    <row r="1572" spans="1:13" x14ac:dyDescent="0.25">
      <c r="A1572" s="2">
        <v>45448</v>
      </c>
      <c r="B1572" s="3" t="s">
        <v>243</v>
      </c>
      <c r="C1572" s="3" t="s">
        <v>13</v>
      </c>
      <c r="D1572" s="3" t="s">
        <v>10</v>
      </c>
      <c r="E1572" s="5" t="s">
        <v>11</v>
      </c>
      <c r="F1572" s="17">
        <v>96.68</v>
      </c>
      <c r="G1572" s="3">
        <v>1</v>
      </c>
      <c r="H1572" s="17">
        <f>Table1[[#This Row],[Unit price]]*Table1[[#This Row],[Quantity]]</f>
        <v>96.68</v>
      </c>
      <c r="I1572" s="29">
        <f>Table1[[#This Row],[Total Revenue]]/$H$5056*100</f>
        <v>1.0257336825934587E-2</v>
      </c>
      <c r="J1572" s="3" t="s">
        <v>15</v>
      </c>
      <c r="K1572" s="4">
        <v>8.3000000000000007</v>
      </c>
      <c r="M1572"/>
    </row>
    <row r="1573" spans="1:13" x14ac:dyDescent="0.25">
      <c r="A1573" s="2">
        <v>45448</v>
      </c>
      <c r="B1573" s="3" t="s">
        <v>245</v>
      </c>
      <c r="C1573" s="3" t="s">
        <v>13</v>
      </c>
      <c r="D1573" s="3" t="s">
        <v>10</v>
      </c>
      <c r="E1573" s="5" t="s">
        <v>21</v>
      </c>
      <c r="F1573" s="17">
        <v>85.87</v>
      </c>
      <c r="G1573" s="3">
        <v>1</v>
      </c>
      <c r="H1573" s="17">
        <f>Table1[[#This Row],[Unit price]]*Table1[[#This Row],[Quantity]]</f>
        <v>85.87</v>
      </c>
      <c r="I1573" s="29">
        <f>Table1[[#This Row],[Total Revenue]]/$H$5056*100</f>
        <v>9.1104418001965552E-3</v>
      </c>
      <c r="J1573" s="3" t="s">
        <v>12</v>
      </c>
      <c r="K1573" s="4">
        <v>8.5</v>
      </c>
      <c r="M1573"/>
    </row>
    <row r="1574" spans="1:13" x14ac:dyDescent="0.25">
      <c r="A1574" s="2">
        <v>45448</v>
      </c>
      <c r="B1574" s="3" t="s">
        <v>243</v>
      </c>
      <c r="C1574" s="3" t="s">
        <v>13</v>
      </c>
      <c r="D1574" s="3" t="s">
        <v>10</v>
      </c>
      <c r="E1574" s="5" t="s">
        <v>11</v>
      </c>
      <c r="F1574" s="17">
        <v>90.24</v>
      </c>
      <c r="G1574" s="3">
        <v>3</v>
      </c>
      <c r="H1574" s="17">
        <f>Table1[[#This Row],[Unit price]]*Table1[[#This Row],[Quantity]]</f>
        <v>270.71999999999997</v>
      </c>
      <c r="I1574" s="29">
        <f>Table1[[#This Row],[Total Revenue]]/$H$5056*100</f>
        <v>2.8722240644569828E-2</v>
      </c>
      <c r="J1574" s="3" t="s">
        <v>17</v>
      </c>
      <c r="K1574" s="4">
        <v>8</v>
      </c>
      <c r="M1574"/>
    </row>
    <row r="1575" spans="1:13" x14ac:dyDescent="0.25">
      <c r="A1575" s="2">
        <v>45448</v>
      </c>
      <c r="B1575" s="3" t="s">
        <v>244</v>
      </c>
      <c r="C1575" s="3" t="s">
        <v>13</v>
      </c>
      <c r="D1575" s="3" t="s">
        <v>10</v>
      </c>
      <c r="E1575" s="5" t="s">
        <v>16</v>
      </c>
      <c r="F1575" s="17">
        <v>27.93</v>
      </c>
      <c r="G1575" s="3">
        <v>3</v>
      </c>
      <c r="H1575" s="17">
        <f>Table1[[#This Row],[Unit price]]*Table1[[#This Row],[Quantity]]</f>
        <v>83.789999999999992</v>
      </c>
      <c r="I1575" s="29">
        <f>Table1[[#This Row],[Total Revenue]]/$H$5056*100</f>
        <v>8.8897626463080165E-3</v>
      </c>
      <c r="J1575" s="3" t="s">
        <v>15</v>
      </c>
      <c r="K1575" s="4">
        <v>6.2</v>
      </c>
      <c r="M1575"/>
    </row>
    <row r="1576" spans="1:13" x14ac:dyDescent="0.25">
      <c r="A1576" s="2">
        <v>45448</v>
      </c>
      <c r="B1576" s="3" t="s">
        <v>243</v>
      </c>
      <c r="C1576" s="3" t="s">
        <v>13</v>
      </c>
      <c r="D1576" s="3" t="s">
        <v>10</v>
      </c>
      <c r="E1576" s="5" t="s">
        <v>11</v>
      </c>
      <c r="F1576" s="17">
        <v>81.709999999999994</v>
      </c>
      <c r="G1576" s="3">
        <v>1</v>
      </c>
      <c r="H1576" s="17">
        <f>Table1[[#This Row],[Unit price]]*Table1[[#This Row],[Quantity]]</f>
        <v>81.709999999999994</v>
      </c>
      <c r="I1576" s="29">
        <f>Table1[[#This Row],[Total Revenue]]/$H$5056*100</f>
        <v>8.6690834924194778E-3</v>
      </c>
      <c r="J1576" s="3" t="s">
        <v>15</v>
      </c>
      <c r="K1576" s="4">
        <v>9.8000000000000007</v>
      </c>
      <c r="M1576"/>
    </row>
    <row r="1577" spans="1:13" x14ac:dyDescent="0.25">
      <c r="A1577" s="2">
        <v>45448</v>
      </c>
      <c r="B1577" s="3" t="s">
        <v>243</v>
      </c>
      <c r="C1577" s="3" t="s">
        <v>13</v>
      </c>
      <c r="D1577" s="3" t="s">
        <v>19</v>
      </c>
      <c r="E1577" s="5" t="s">
        <v>21</v>
      </c>
      <c r="F1577" s="17">
        <v>13.5</v>
      </c>
      <c r="G1577" s="3">
        <v>2</v>
      </c>
      <c r="H1577" s="17">
        <f>Table1[[#This Row],[Unit price]]*Table1[[#This Row],[Quantity]]</f>
        <v>27</v>
      </c>
      <c r="I1577" s="29">
        <f>Table1[[#This Row],[Total Revenue]]/$H$5056*100</f>
        <v>2.8645851706685338E-3</v>
      </c>
      <c r="J1577" s="3" t="s">
        <v>17</v>
      </c>
      <c r="K1577" s="4">
        <v>4.9000000000000004</v>
      </c>
      <c r="M1577"/>
    </row>
    <row r="1578" spans="1:13" x14ac:dyDescent="0.25">
      <c r="A1578" s="2">
        <v>45448</v>
      </c>
      <c r="B1578" s="3" t="s">
        <v>244</v>
      </c>
      <c r="C1578" s="3" t="s">
        <v>13</v>
      </c>
      <c r="D1578" s="3" t="s">
        <v>19</v>
      </c>
      <c r="E1578" s="5" t="s">
        <v>21</v>
      </c>
      <c r="F1578" s="17">
        <v>69.510000000000005</v>
      </c>
      <c r="G1578" s="3">
        <v>1</v>
      </c>
      <c r="H1578" s="17">
        <f>Table1[[#This Row],[Unit price]]*Table1[[#This Row],[Quantity]]</f>
        <v>69.510000000000005</v>
      </c>
      <c r="I1578" s="29">
        <f>Table1[[#This Row],[Total Revenue]]/$H$5056*100</f>
        <v>7.3747153782655487E-3</v>
      </c>
      <c r="J1578" s="3" t="s">
        <v>15</v>
      </c>
      <c r="K1578" s="4">
        <v>6.8</v>
      </c>
      <c r="M1578"/>
    </row>
    <row r="1579" spans="1:13" x14ac:dyDescent="0.25">
      <c r="A1579" s="2">
        <v>45448</v>
      </c>
      <c r="B1579" s="3" t="s">
        <v>245</v>
      </c>
      <c r="C1579" s="3" t="s">
        <v>13</v>
      </c>
      <c r="D1579" s="3" t="s">
        <v>10</v>
      </c>
      <c r="E1579" s="5" t="s">
        <v>11</v>
      </c>
      <c r="F1579" s="17">
        <v>11.53</v>
      </c>
      <c r="G1579" s="3">
        <v>3</v>
      </c>
      <c r="H1579" s="17">
        <f>Table1[[#This Row],[Unit price]]*Table1[[#This Row],[Quantity]]</f>
        <v>34.589999999999996</v>
      </c>
      <c r="I1579" s="29">
        <f>Table1[[#This Row],[Total Revenue]]/$H$5056*100</f>
        <v>3.6698518908675768E-3</v>
      </c>
      <c r="J1579" s="3" t="s">
        <v>17</v>
      </c>
      <c r="K1579" s="4">
        <v>6.2</v>
      </c>
      <c r="M1579"/>
    </row>
    <row r="1580" spans="1:13" x14ac:dyDescent="0.25">
      <c r="A1580" s="2">
        <v>45448</v>
      </c>
      <c r="B1580" s="3" t="s">
        <v>243</v>
      </c>
      <c r="C1580" s="3" t="s">
        <v>13</v>
      </c>
      <c r="D1580" s="3" t="s">
        <v>10</v>
      </c>
      <c r="E1580" s="5" t="s">
        <v>20</v>
      </c>
      <c r="F1580" s="17">
        <v>65.819999999999993</v>
      </c>
      <c r="G1580" s="3">
        <v>5</v>
      </c>
      <c r="H1580" s="17">
        <f>Table1[[#This Row],[Unit price]]*Table1[[#This Row],[Quantity]]</f>
        <v>329.09999999999997</v>
      </c>
      <c r="I1580" s="29">
        <f>Table1[[#This Row],[Total Revenue]]/$H$5056*100</f>
        <v>3.4916110358037572E-2</v>
      </c>
      <c r="J1580" s="3" t="s">
        <v>17</v>
      </c>
      <c r="K1580" s="4">
        <v>7</v>
      </c>
      <c r="M1580"/>
    </row>
    <row r="1581" spans="1:13" x14ac:dyDescent="0.25">
      <c r="A1581" s="2">
        <v>45448</v>
      </c>
      <c r="B1581" s="3" t="s">
        <v>245</v>
      </c>
      <c r="C1581" s="3" t="s">
        <v>13</v>
      </c>
      <c r="D1581" s="3" t="s">
        <v>19</v>
      </c>
      <c r="E1581" s="5" t="s">
        <v>11</v>
      </c>
      <c r="F1581" s="17">
        <v>84.05</v>
      </c>
      <c r="G1581" s="3">
        <v>3</v>
      </c>
      <c r="H1581" s="17">
        <f>Table1[[#This Row],[Unit price]]*Table1[[#This Row],[Quantity]]</f>
        <v>252.14999999999998</v>
      </c>
      <c r="I1581" s="29">
        <f>Table1[[#This Row],[Total Revenue]]/$H$5056*100</f>
        <v>2.6752042621632253E-2</v>
      </c>
      <c r="J1581" s="3" t="s">
        <v>17</v>
      </c>
      <c r="K1581" s="4">
        <v>8.6</v>
      </c>
      <c r="M1581"/>
    </row>
    <row r="1582" spans="1:13" x14ac:dyDescent="0.25">
      <c r="A1582" s="2">
        <v>45448</v>
      </c>
      <c r="B1582" s="3" t="s">
        <v>244</v>
      </c>
      <c r="C1582" s="3" t="s">
        <v>9</v>
      </c>
      <c r="D1582" s="3" t="s">
        <v>10</v>
      </c>
      <c r="E1582" s="5" t="s">
        <v>16</v>
      </c>
      <c r="F1582" s="17">
        <v>19.149999999999999</v>
      </c>
      <c r="G1582" s="3">
        <v>2</v>
      </c>
      <c r="H1582" s="17">
        <f>Table1[[#This Row],[Unit price]]*Table1[[#This Row],[Quantity]]</f>
        <v>38.299999999999997</v>
      </c>
      <c r="I1582" s="29">
        <f>Table1[[#This Row],[Total Revenue]]/$H$5056*100</f>
        <v>4.063467112466846E-3</v>
      </c>
      <c r="J1582" s="3" t="s">
        <v>12</v>
      </c>
      <c r="K1582" s="4">
        <v>7.6</v>
      </c>
      <c r="M1582"/>
    </row>
    <row r="1583" spans="1:13" x14ac:dyDescent="0.25">
      <c r="A1583" s="2">
        <v>45448</v>
      </c>
      <c r="B1583" s="3" t="s">
        <v>245</v>
      </c>
      <c r="C1583" s="3" t="s">
        <v>9</v>
      </c>
      <c r="D1583" s="3" t="s">
        <v>10</v>
      </c>
      <c r="E1583" s="5" t="s">
        <v>11</v>
      </c>
      <c r="F1583" s="17">
        <v>98.52</v>
      </c>
      <c r="G1583" s="3">
        <v>4</v>
      </c>
      <c r="H1583" s="17">
        <f>Table1[[#This Row],[Unit price]]*Table1[[#This Row],[Quantity]]</f>
        <v>394.08</v>
      </c>
      <c r="I1583" s="29">
        <f>Table1[[#This Row],[Total Revenue]]/$H$5056*100</f>
        <v>4.1810212002113177E-2</v>
      </c>
      <c r="J1583" s="3" t="s">
        <v>12</v>
      </c>
      <c r="K1583" s="4">
        <v>9.1</v>
      </c>
      <c r="M1583"/>
    </row>
    <row r="1584" spans="1:13" x14ac:dyDescent="0.25">
      <c r="A1584" s="2">
        <v>45478</v>
      </c>
      <c r="B1584" s="3" t="s">
        <v>243</v>
      </c>
      <c r="C1584" s="3" t="s">
        <v>13</v>
      </c>
      <c r="D1584" s="3" t="s">
        <v>19</v>
      </c>
      <c r="E1584" s="5" t="s">
        <v>21</v>
      </c>
      <c r="F1584" s="17">
        <v>14.82</v>
      </c>
      <c r="G1584" s="3">
        <v>4</v>
      </c>
      <c r="H1584" s="17">
        <f>Table1[[#This Row],[Unit price]]*Table1[[#This Row],[Quantity]]</f>
        <v>59.28</v>
      </c>
      <c r="I1584" s="29">
        <f>Table1[[#This Row],[Total Revenue]]/$H$5056*100</f>
        <v>6.2893558858233582E-3</v>
      </c>
      <c r="J1584" s="3" t="s">
        <v>12</v>
      </c>
      <c r="K1584" s="4">
        <v>7.1</v>
      </c>
      <c r="M1584"/>
    </row>
    <row r="1585" spans="1:13" x14ac:dyDescent="0.25">
      <c r="A1585" s="2">
        <v>45478</v>
      </c>
      <c r="B1585" s="3" t="s">
        <v>245</v>
      </c>
      <c r="C1585" s="3" t="s">
        <v>13</v>
      </c>
      <c r="D1585" s="3" t="s">
        <v>19</v>
      </c>
      <c r="E1585" s="5" t="s">
        <v>20</v>
      </c>
      <c r="F1585" s="17">
        <v>12.73</v>
      </c>
      <c r="G1585" s="3">
        <v>2</v>
      </c>
      <c r="H1585" s="17">
        <f>Table1[[#This Row],[Unit price]]*Table1[[#This Row],[Quantity]]</f>
        <v>25.46</v>
      </c>
      <c r="I1585" s="29">
        <f>Table1[[#This Row],[Total Revenue]]/$H$5056*100</f>
        <v>2.7011977201933661E-3</v>
      </c>
      <c r="J1585" s="3" t="s">
        <v>17</v>
      </c>
      <c r="K1585" s="4">
        <v>6</v>
      </c>
      <c r="M1585"/>
    </row>
    <row r="1586" spans="1:13" x14ac:dyDescent="0.25">
      <c r="A1586" s="2">
        <v>45478</v>
      </c>
      <c r="B1586" s="3" t="s">
        <v>245</v>
      </c>
      <c r="C1586" s="3" t="s">
        <v>9</v>
      </c>
      <c r="D1586" s="3" t="s">
        <v>19</v>
      </c>
      <c r="E1586" s="5" t="s">
        <v>11</v>
      </c>
      <c r="F1586" s="17">
        <v>97.03</v>
      </c>
      <c r="G1586" s="3">
        <v>2</v>
      </c>
      <c r="H1586" s="17">
        <f>Table1[[#This Row],[Unit price]]*Table1[[#This Row],[Quantity]]</f>
        <v>194.06</v>
      </c>
      <c r="I1586" s="29">
        <f>Table1[[#This Row],[Total Revenue]]/$H$5056*100</f>
        <v>2.0588940674812435E-2</v>
      </c>
      <c r="J1586" s="3" t="s">
        <v>15</v>
      </c>
      <c r="K1586" s="4">
        <v>5.4</v>
      </c>
      <c r="M1586"/>
    </row>
    <row r="1587" spans="1:13" x14ac:dyDescent="0.25">
      <c r="A1587" s="2">
        <v>45478</v>
      </c>
      <c r="B1587" s="3" t="s">
        <v>244</v>
      </c>
      <c r="C1587" s="3" t="s">
        <v>9</v>
      </c>
      <c r="D1587" s="3" t="s">
        <v>19</v>
      </c>
      <c r="E1587" s="5" t="s">
        <v>11</v>
      </c>
      <c r="F1587" s="17">
        <v>87.48</v>
      </c>
      <c r="G1587" s="3">
        <v>3</v>
      </c>
      <c r="H1587" s="17">
        <f>Table1[[#This Row],[Unit price]]*Table1[[#This Row],[Quantity]]</f>
        <v>262.44</v>
      </c>
      <c r="I1587" s="29">
        <f>Table1[[#This Row],[Total Revenue]]/$H$5056*100</f>
        <v>2.7843767858898149E-2</v>
      </c>
      <c r="J1587" s="3" t="s">
        <v>15</v>
      </c>
      <c r="K1587" s="4">
        <v>8.3000000000000007</v>
      </c>
      <c r="M1587"/>
    </row>
    <row r="1588" spans="1:13" x14ac:dyDescent="0.25">
      <c r="A1588" s="2">
        <v>45478</v>
      </c>
      <c r="B1588" s="3" t="s">
        <v>243</v>
      </c>
      <c r="C1588" s="3" t="s">
        <v>13</v>
      </c>
      <c r="D1588" s="3" t="s">
        <v>19</v>
      </c>
      <c r="E1588" s="5" t="s">
        <v>11</v>
      </c>
      <c r="F1588" s="17">
        <v>14.23</v>
      </c>
      <c r="G1588" s="3">
        <v>4</v>
      </c>
      <c r="H1588" s="17">
        <f>Table1[[#This Row],[Unit price]]*Table1[[#This Row],[Quantity]]</f>
        <v>56.92</v>
      </c>
      <c r="I1588" s="29">
        <f>Table1[[#This Row],[Total Revenue]]/$H$5056*100</f>
        <v>6.038969922757517E-3</v>
      </c>
      <c r="J1588" s="3" t="s">
        <v>17</v>
      </c>
      <c r="K1588" s="4">
        <v>5.4</v>
      </c>
      <c r="M1588"/>
    </row>
    <row r="1589" spans="1:13" x14ac:dyDescent="0.25">
      <c r="A1589" s="2">
        <v>45478</v>
      </c>
      <c r="B1589" s="3" t="s">
        <v>244</v>
      </c>
      <c r="C1589" s="3" t="s">
        <v>13</v>
      </c>
      <c r="D1589" s="3" t="s">
        <v>19</v>
      </c>
      <c r="E1589" s="5" t="s">
        <v>18</v>
      </c>
      <c r="F1589" s="17">
        <v>56.04</v>
      </c>
      <c r="G1589" s="3">
        <v>3</v>
      </c>
      <c r="H1589" s="17">
        <f>Table1[[#This Row],[Unit price]]*Table1[[#This Row],[Quantity]]</f>
        <v>168.12</v>
      </c>
      <c r="I1589" s="29">
        <f>Table1[[#This Row],[Total Revenue]]/$H$5056*100</f>
        <v>1.7836816996029407E-2</v>
      </c>
      <c r="J1589" s="3" t="s">
        <v>17</v>
      </c>
      <c r="K1589" s="4">
        <v>8.3000000000000007</v>
      </c>
      <c r="M1589"/>
    </row>
    <row r="1590" spans="1:13" x14ac:dyDescent="0.25">
      <c r="A1590" s="2">
        <v>45478</v>
      </c>
      <c r="B1590" s="3" t="s">
        <v>245</v>
      </c>
      <c r="C1590" s="3" t="s">
        <v>13</v>
      </c>
      <c r="D1590" s="3" t="s">
        <v>19</v>
      </c>
      <c r="E1590" s="5" t="s">
        <v>11</v>
      </c>
      <c r="F1590" s="17">
        <v>38.42</v>
      </c>
      <c r="G1590" s="3">
        <v>5</v>
      </c>
      <c r="H1590" s="17">
        <f>Table1[[#This Row],[Unit price]]*Table1[[#This Row],[Quantity]]</f>
        <v>192.10000000000002</v>
      </c>
      <c r="I1590" s="29">
        <f>Table1[[#This Row],[Total Revenue]]/$H$5056*100</f>
        <v>2.0380993010571311E-2</v>
      </c>
      <c r="J1590" s="3" t="s">
        <v>12</v>
      </c>
      <c r="K1590" s="4">
        <v>7.5</v>
      </c>
      <c r="M1590"/>
    </row>
    <row r="1591" spans="1:13" x14ac:dyDescent="0.25">
      <c r="A1591" s="2">
        <v>45478</v>
      </c>
      <c r="B1591" s="3" t="s">
        <v>244</v>
      </c>
      <c r="C1591" s="3" t="s">
        <v>9</v>
      </c>
      <c r="D1591" s="3" t="s">
        <v>19</v>
      </c>
      <c r="E1591" s="5" t="s">
        <v>11</v>
      </c>
      <c r="F1591" s="17">
        <v>65.97</v>
      </c>
      <c r="G1591" s="3">
        <v>3</v>
      </c>
      <c r="H1591" s="17">
        <f>Table1[[#This Row],[Unit price]]*Table1[[#This Row],[Quantity]]</f>
        <v>197.91</v>
      </c>
      <c r="I1591" s="29">
        <f>Table1[[#This Row],[Total Revenue]]/$H$5056*100</f>
        <v>2.0997409301000355E-2</v>
      </c>
      <c r="J1591" s="3" t="s">
        <v>17</v>
      </c>
      <c r="K1591" s="4">
        <v>9.6</v>
      </c>
      <c r="M1591"/>
    </row>
    <row r="1592" spans="1:13" x14ac:dyDescent="0.25">
      <c r="A1592" s="2">
        <v>45478</v>
      </c>
      <c r="B1592" s="3" t="s">
        <v>243</v>
      </c>
      <c r="C1592" s="3" t="s">
        <v>13</v>
      </c>
      <c r="D1592" s="3" t="s">
        <v>19</v>
      </c>
      <c r="E1592" s="5" t="s">
        <v>11</v>
      </c>
      <c r="F1592" s="17">
        <v>46.55</v>
      </c>
      <c r="G1592" s="3">
        <v>2</v>
      </c>
      <c r="H1592" s="17">
        <f>Table1[[#This Row],[Unit price]]*Table1[[#This Row],[Quantity]]</f>
        <v>93.1</v>
      </c>
      <c r="I1592" s="29">
        <f>Table1[[#This Row],[Total Revenue]]/$H$5056*100</f>
        <v>9.8775140514533524E-3</v>
      </c>
      <c r="J1592" s="3" t="s">
        <v>12</v>
      </c>
      <c r="K1592" s="4">
        <v>7.1</v>
      </c>
      <c r="M1592"/>
    </row>
    <row r="1593" spans="1:13" x14ac:dyDescent="0.25">
      <c r="A1593" s="2">
        <v>45478</v>
      </c>
      <c r="B1593" s="3" t="s">
        <v>243</v>
      </c>
      <c r="C1593" s="3" t="s">
        <v>13</v>
      </c>
      <c r="D1593" s="3" t="s">
        <v>19</v>
      </c>
      <c r="E1593" s="5" t="s">
        <v>11</v>
      </c>
      <c r="F1593" s="17">
        <v>10.96</v>
      </c>
      <c r="G1593" s="3">
        <v>1</v>
      </c>
      <c r="H1593" s="17">
        <f>Table1[[#This Row],[Unit price]]*Table1[[#This Row],[Quantity]]</f>
        <v>10.96</v>
      </c>
      <c r="I1593" s="29">
        <f>Table1[[#This Row],[Total Revenue]]/$H$5056*100</f>
        <v>1.1628093877973013E-3</v>
      </c>
      <c r="J1593" s="3" t="s">
        <v>17</v>
      </c>
      <c r="K1593" s="4">
        <v>8.3000000000000007</v>
      </c>
      <c r="M1593"/>
    </row>
    <row r="1594" spans="1:13" x14ac:dyDescent="0.25">
      <c r="A1594" s="2">
        <v>45478</v>
      </c>
      <c r="B1594" s="3" t="s">
        <v>243</v>
      </c>
      <c r="C1594" s="3" t="s">
        <v>13</v>
      </c>
      <c r="D1594" s="3" t="s">
        <v>19</v>
      </c>
      <c r="E1594" s="5" t="s">
        <v>11</v>
      </c>
      <c r="F1594" s="17">
        <v>27.28</v>
      </c>
      <c r="G1594" s="3">
        <v>3</v>
      </c>
      <c r="H1594" s="17">
        <f>Table1[[#This Row],[Unit price]]*Table1[[#This Row],[Quantity]]</f>
        <v>81.84</v>
      </c>
      <c r="I1594" s="29">
        <f>Table1[[#This Row],[Total Revenue]]/$H$5056*100</f>
        <v>8.6828759395375116E-3</v>
      </c>
      <c r="J1594" s="3" t="s">
        <v>15</v>
      </c>
      <c r="K1594" s="4">
        <v>8.9</v>
      </c>
      <c r="M1594"/>
    </row>
    <row r="1595" spans="1:13" x14ac:dyDescent="0.25">
      <c r="A1595" s="2">
        <v>45478</v>
      </c>
      <c r="B1595" s="3" t="s">
        <v>244</v>
      </c>
      <c r="C1595" s="3" t="s">
        <v>9</v>
      </c>
      <c r="D1595" s="3" t="s">
        <v>10</v>
      </c>
      <c r="E1595" s="5" t="s">
        <v>20</v>
      </c>
      <c r="F1595" s="17">
        <v>68.97</v>
      </c>
      <c r="G1595" s="3">
        <v>5</v>
      </c>
      <c r="H1595" s="17">
        <f>Table1[[#This Row],[Unit price]]*Table1[[#This Row],[Quantity]]</f>
        <v>344.85</v>
      </c>
      <c r="I1595" s="29">
        <f>Table1[[#This Row],[Total Revenue]]/$H$5056*100</f>
        <v>3.6587118374260888E-2</v>
      </c>
      <c r="J1595" s="3" t="s">
        <v>12</v>
      </c>
      <c r="K1595" s="4">
        <v>8.8000000000000007</v>
      </c>
      <c r="M1595"/>
    </row>
    <row r="1596" spans="1:13" x14ac:dyDescent="0.25">
      <c r="A1596" s="2">
        <v>45478</v>
      </c>
      <c r="B1596" s="3" t="s">
        <v>244</v>
      </c>
      <c r="C1596" s="3" t="s">
        <v>13</v>
      </c>
      <c r="D1596" s="3" t="s">
        <v>10</v>
      </c>
      <c r="E1596" s="5" t="s">
        <v>11</v>
      </c>
      <c r="F1596" s="17">
        <v>47.16</v>
      </c>
      <c r="G1596" s="3">
        <v>9</v>
      </c>
      <c r="H1596" s="17">
        <f>Table1[[#This Row],[Unit price]]*Table1[[#This Row],[Quantity]]</f>
        <v>424.43999999999994</v>
      </c>
      <c r="I1596" s="29">
        <f>Table1[[#This Row],[Total Revenue]]/$H$5056*100</f>
        <v>4.5031278882909351E-2</v>
      </c>
      <c r="J1596" s="3" t="s">
        <v>17</v>
      </c>
      <c r="K1596" s="4">
        <v>8.1</v>
      </c>
      <c r="M1596"/>
    </row>
    <row r="1597" spans="1:13" x14ac:dyDescent="0.25">
      <c r="A1597" s="2">
        <v>45509</v>
      </c>
      <c r="B1597" s="3" t="s">
        <v>245</v>
      </c>
      <c r="C1597" s="3" t="s">
        <v>13</v>
      </c>
      <c r="D1597" s="3" t="s">
        <v>19</v>
      </c>
      <c r="E1597" s="5" t="s">
        <v>20</v>
      </c>
      <c r="F1597" s="17">
        <v>55.73</v>
      </c>
      <c r="G1597" s="3">
        <v>3</v>
      </c>
      <c r="H1597" s="17">
        <f>Table1[[#This Row],[Unit price]]*Table1[[#This Row],[Quantity]]</f>
        <v>167.19</v>
      </c>
      <c r="I1597" s="29">
        <f>Table1[[#This Row],[Total Revenue]]/$H$5056*100</f>
        <v>1.7738147951261933E-2</v>
      </c>
      <c r="J1597" s="3" t="s">
        <v>17</v>
      </c>
      <c r="K1597" s="4">
        <v>7.5</v>
      </c>
      <c r="M1597"/>
    </row>
    <row r="1598" spans="1:13" x14ac:dyDescent="0.25">
      <c r="A1598" s="2">
        <v>45509</v>
      </c>
      <c r="B1598" s="3" t="s">
        <v>244</v>
      </c>
      <c r="C1598" s="3" t="s">
        <v>13</v>
      </c>
      <c r="D1598" s="3" t="s">
        <v>10</v>
      </c>
      <c r="E1598" s="5" t="s">
        <v>11</v>
      </c>
      <c r="F1598" s="17">
        <v>91.4</v>
      </c>
      <c r="G1598" s="3">
        <v>2</v>
      </c>
      <c r="H1598" s="17">
        <f>Table1[[#This Row],[Unit price]]*Table1[[#This Row],[Quantity]]</f>
        <v>182.8</v>
      </c>
      <c r="I1598" s="29">
        <f>Table1[[#This Row],[Total Revenue]]/$H$5056*100</f>
        <v>1.9394302562896593E-2</v>
      </c>
      <c r="J1598" s="3" t="s">
        <v>15</v>
      </c>
      <c r="K1598" s="4">
        <v>7.5</v>
      </c>
      <c r="M1598"/>
    </row>
    <row r="1599" spans="1:13" x14ac:dyDescent="0.25">
      <c r="A1599" s="2">
        <v>45509</v>
      </c>
      <c r="B1599" s="3" t="s">
        <v>243</v>
      </c>
      <c r="C1599" s="3" t="s">
        <v>13</v>
      </c>
      <c r="D1599" s="3" t="s">
        <v>19</v>
      </c>
      <c r="E1599" s="5" t="s">
        <v>14</v>
      </c>
      <c r="F1599" s="17">
        <v>72.17</v>
      </c>
      <c r="G1599" s="3">
        <v>1</v>
      </c>
      <c r="H1599" s="17">
        <f>Table1[[#This Row],[Unit price]]*Table1[[#This Row],[Quantity]]</f>
        <v>72.17</v>
      </c>
      <c r="I1599" s="29">
        <f>Table1[[#This Row],[Total Revenue]]/$H$5056*100</f>
        <v>7.6569300654499295E-3</v>
      </c>
      <c r="J1599" s="3" t="s">
        <v>17</v>
      </c>
      <c r="K1599" s="4">
        <v>7.5</v>
      </c>
      <c r="M1599"/>
    </row>
    <row r="1600" spans="1:13" x14ac:dyDescent="0.25">
      <c r="A1600" s="2">
        <v>45509</v>
      </c>
      <c r="B1600" s="3" t="s">
        <v>243</v>
      </c>
      <c r="C1600" s="3" t="s">
        <v>13</v>
      </c>
      <c r="D1600" s="3" t="s">
        <v>10</v>
      </c>
      <c r="E1600" s="5" t="s">
        <v>21</v>
      </c>
      <c r="F1600" s="17">
        <v>85.6</v>
      </c>
      <c r="G1600" s="3">
        <v>2</v>
      </c>
      <c r="H1600" s="17">
        <f>Table1[[#This Row],[Unit price]]*Table1[[#This Row],[Quantity]]</f>
        <v>171.2</v>
      </c>
      <c r="I1600" s="29">
        <f>Table1[[#This Row],[Total Revenue]]/$H$5056*100</f>
        <v>1.816359189697974E-2</v>
      </c>
      <c r="J1600" s="3" t="s">
        <v>17</v>
      </c>
      <c r="K1600" s="4">
        <v>6.8</v>
      </c>
      <c r="M1600"/>
    </row>
    <row r="1601" spans="1:13" x14ac:dyDescent="0.25">
      <c r="A1601" s="2">
        <v>45509</v>
      </c>
      <c r="B1601" s="3" t="s">
        <v>245</v>
      </c>
      <c r="C1601" s="3" t="s">
        <v>13</v>
      </c>
      <c r="D1601" s="3" t="s">
        <v>19</v>
      </c>
      <c r="E1601" s="5" t="s">
        <v>16</v>
      </c>
      <c r="F1601" s="17">
        <v>26.67</v>
      </c>
      <c r="G1601" s="3">
        <v>1</v>
      </c>
      <c r="H1601" s="17">
        <f>Table1[[#This Row],[Unit price]]*Table1[[#This Row],[Quantity]]</f>
        <v>26.67</v>
      </c>
      <c r="I1601" s="29">
        <f>Table1[[#This Row],[Total Revenue]]/$H$5056*100</f>
        <v>2.8295735741381408E-3</v>
      </c>
      <c r="J1601" s="3" t="s">
        <v>17</v>
      </c>
      <c r="K1601" s="4">
        <v>6.9</v>
      </c>
      <c r="M1601"/>
    </row>
    <row r="1602" spans="1:13" x14ac:dyDescent="0.25">
      <c r="A1602" s="2">
        <v>45509</v>
      </c>
      <c r="B1602" s="3" t="s">
        <v>244</v>
      </c>
      <c r="C1602" s="3" t="s">
        <v>13</v>
      </c>
      <c r="D1602" s="3" t="s">
        <v>19</v>
      </c>
      <c r="E1602" s="5" t="s">
        <v>16</v>
      </c>
      <c r="F1602" s="17">
        <v>22.38</v>
      </c>
      <c r="G1602" s="3">
        <v>3</v>
      </c>
      <c r="H1602" s="17">
        <f>Table1[[#This Row],[Unit price]]*Table1[[#This Row],[Quantity]]</f>
        <v>67.14</v>
      </c>
      <c r="I1602" s="29">
        <f>Table1[[#This Row],[Total Revenue]]/$H$5056*100</f>
        <v>7.1232684577290876E-3</v>
      </c>
      <c r="J1602" s="3" t="s">
        <v>17</v>
      </c>
      <c r="K1602" s="4">
        <v>9.1999999999999993</v>
      </c>
      <c r="M1602"/>
    </row>
    <row r="1603" spans="1:13" x14ac:dyDescent="0.25">
      <c r="A1603" s="2">
        <v>45509</v>
      </c>
      <c r="B1603" s="3" t="s">
        <v>243</v>
      </c>
      <c r="C1603" s="3" t="s">
        <v>13</v>
      </c>
      <c r="D1603" s="3" t="s">
        <v>19</v>
      </c>
      <c r="E1603" s="5" t="s">
        <v>14</v>
      </c>
      <c r="F1603" s="17">
        <v>93.88</v>
      </c>
      <c r="G1603" s="3">
        <v>1</v>
      </c>
      <c r="H1603" s="17">
        <f>Table1[[#This Row],[Unit price]]*Table1[[#This Row],[Quantity]]</f>
        <v>93.88</v>
      </c>
      <c r="I1603" s="29">
        <f>Table1[[#This Row],[Total Revenue]]/$H$5056*100</f>
        <v>9.960268734161554E-3</v>
      </c>
      <c r="J1603" s="3" t="s">
        <v>17</v>
      </c>
      <c r="K1603" s="4">
        <v>8.5</v>
      </c>
      <c r="M1603"/>
    </row>
    <row r="1604" spans="1:13" x14ac:dyDescent="0.25">
      <c r="A1604" s="2">
        <v>45509</v>
      </c>
      <c r="B1604" s="3" t="s">
        <v>244</v>
      </c>
      <c r="C1604" s="3" t="s">
        <v>9</v>
      </c>
      <c r="D1604" s="3" t="s">
        <v>19</v>
      </c>
      <c r="E1604" s="5" t="s">
        <v>11</v>
      </c>
      <c r="F1604" s="17">
        <v>67.45</v>
      </c>
      <c r="G1604" s="3">
        <v>2</v>
      </c>
      <c r="H1604" s="17">
        <f>Table1[[#This Row],[Unit price]]*Table1[[#This Row],[Quantity]]</f>
        <v>134.9</v>
      </c>
      <c r="I1604" s="29">
        <f>Table1[[#This Row],[Total Revenue]]/$H$5056*100</f>
        <v>1.4312316278636493E-2</v>
      </c>
      <c r="J1604" s="3" t="s">
        <v>17</v>
      </c>
      <c r="K1604" s="4">
        <v>7.5</v>
      </c>
      <c r="M1604"/>
    </row>
    <row r="1605" spans="1:13" x14ac:dyDescent="0.25">
      <c r="A1605" s="2">
        <v>45509</v>
      </c>
      <c r="B1605" s="3" t="s">
        <v>243</v>
      </c>
      <c r="C1605" s="3" t="s">
        <v>9</v>
      </c>
      <c r="D1605" s="3" t="s">
        <v>10</v>
      </c>
      <c r="E1605" s="5" t="s">
        <v>20</v>
      </c>
      <c r="F1605" s="17">
        <v>47.68</v>
      </c>
      <c r="G1605" s="3">
        <v>4</v>
      </c>
      <c r="H1605" s="17">
        <f>Table1[[#This Row],[Unit price]]*Table1[[#This Row],[Quantity]]</f>
        <v>190.72</v>
      </c>
      <c r="I1605" s="29">
        <f>Table1[[#This Row],[Total Revenue]]/$H$5056*100</f>
        <v>2.023458087962603E-2</v>
      </c>
      <c r="J1605" s="3" t="s">
        <v>17</v>
      </c>
      <c r="K1605" s="4">
        <v>7.3</v>
      </c>
      <c r="M1605"/>
    </row>
    <row r="1606" spans="1:13" x14ac:dyDescent="0.25">
      <c r="A1606" s="2">
        <v>45509</v>
      </c>
      <c r="B1606" s="3" t="s">
        <v>245</v>
      </c>
      <c r="C1606" s="3" t="s">
        <v>13</v>
      </c>
      <c r="D1606" s="3" t="s">
        <v>19</v>
      </c>
      <c r="E1606" s="5" t="s">
        <v>11</v>
      </c>
      <c r="F1606" s="17">
        <v>40.520000000000003</v>
      </c>
      <c r="G1606" s="3">
        <v>3</v>
      </c>
      <c r="H1606" s="17">
        <f>Table1[[#This Row],[Unit price]]*Table1[[#This Row],[Quantity]]</f>
        <v>121.56</v>
      </c>
      <c r="I1606" s="29">
        <f>Table1[[#This Row],[Total Revenue]]/$H$5056*100</f>
        <v>1.2896999012832111E-2</v>
      </c>
      <c r="J1606" s="3" t="s">
        <v>17</v>
      </c>
      <c r="K1606" s="4">
        <v>6.4</v>
      </c>
      <c r="M1606"/>
    </row>
    <row r="1607" spans="1:13" x14ac:dyDescent="0.25">
      <c r="A1607" s="2">
        <v>45509</v>
      </c>
      <c r="B1607" s="3" t="s">
        <v>244</v>
      </c>
      <c r="C1607" s="3" t="s">
        <v>9</v>
      </c>
      <c r="D1607" s="3" t="s">
        <v>19</v>
      </c>
      <c r="E1607" s="5" t="s">
        <v>21</v>
      </c>
      <c r="F1607" s="17">
        <v>73.41</v>
      </c>
      <c r="G1607" s="3">
        <v>4</v>
      </c>
      <c r="H1607" s="17">
        <f>Table1[[#This Row],[Unit price]]*Table1[[#This Row],[Quantity]]</f>
        <v>293.64</v>
      </c>
      <c r="I1607" s="29">
        <f>Table1[[#This Row],[Total Revenue]]/$H$5056*100</f>
        <v>3.1153955167226233E-2</v>
      </c>
      <c r="J1607" s="3" t="s">
        <v>12</v>
      </c>
      <c r="K1607" s="4">
        <v>9.8000000000000007</v>
      </c>
      <c r="M1607"/>
    </row>
    <row r="1608" spans="1:13" x14ac:dyDescent="0.25">
      <c r="A1608" s="2">
        <v>45509</v>
      </c>
      <c r="B1608" s="3" t="s">
        <v>244</v>
      </c>
      <c r="C1608" s="3" t="s">
        <v>9</v>
      </c>
      <c r="D1608" s="3" t="s">
        <v>19</v>
      </c>
      <c r="E1608" s="5" t="s">
        <v>11</v>
      </c>
      <c r="F1608" s="17">
        <v>67.77</v>
      </c>
      <c r="G1608" s="3">
        <v>3</v>
      </c>
      <c r="H1608" s="17">
        <f>Table1[[#This Row],[Unit price]]*Table1[[#This Row],[Quantity]]</f>
        <v>203.31</v>
      </c>
      <c r="I1608" s="29">
        <f>Table1[[#This Row],[Total Revenue]]/$H$5056*100</f>
        <v>2.157032633513406E-2</v>
      </c>
      <c r="J1608" s="3" t="s">
        <v>17</v>
      </c>
      <c r="K1608" s="4">
        <v>6.2</v>
      </c>
      <c r="M1608"/>
    </row>
    <row r="1609" spans="1:13" x14ac:dyDescent="0.25">
      <c r="A1609" s="2">
        <v>45540</v>
      </c>
      <c r="B1609" s="3" t="s">
        <v>244</v>
      </c>
      <c r="C1609" s="3" t="s">
        <v>13</v>
      </c>
      <c r="D1609" s="3" t="s">
        <v>10</v>
      </c>
      <c r="E1609" s="5" t="s">
        <v>11</v>
      </c>
      <c r="F1609" s="17">
        <v>23.34</v>
      </c>
      <c r="G1609" s="3">
        <v>2</v>
      </c>
      <c r="H1609" s="17">
        <f>Table1[[#This Row],[Unit price]]*Table1[[#This Row],[Quantity]]</f>
        <v>46.68</v>
      </c>
      <c r="I1609" s="29">
        <f>Table1[[#This Row],[Total Revenue]]/$H$5056*100</f>
        <v>4.9525494728447101E-3</v>
      </c>
      <c r="J1609" s="3" t="s">
        <v>12</v>
      </c>
      <c r="K1609" s="4">
        <v>6.1</v>
      </c>
      <c r="M1609"/>
    </row>
    <row r="1610" spans="1:13" x14ac:dyDescent="0.25">
      <c r="A1610" s="2">
        <v>45540</v>
      </c>
      <c r="B1610" s="3" t="s">
        <v>243</v>
      </c>
      <c r="C1610" s="3" t="s">
        <v>9</v>
      </c>
      <c r="D1610" s="3" t="s">
        <v>19</v>
      </c>
      <c r="E1610" s="5" t="s">
        <v>21</v>
      </c>
      <c r="F1610" s="17">
        <v>46.53</v>
      </c>
      <c r="G1610" s="3">
        <v>1</v>
      </c>
      <c r="H1610" s="17">
        <f>Table1[[#This Row],[Unit price]]*Table1[[#This Row],[Quantity]]</f>
        <v>46.53</v>
      </c>
      <c r="I1610" s="29">
        <f>Table1[[#This Row],[Total Revenue]]/$H$5056*100</f>
        <v>4.9366351107854398E-3</v>
      </c>
      <c r="J1610" s="3" t="s">
        <v>15</v>
      </c>
      <c r="K1610" s="4">
        <v>8.1999999999999993</v>
      </c>
      <c r="M1610"/>
    </row>
    <row r="1611" spans="1:13" x14ac:dyDescent="0.25">
      <c r="A1611" s="2">
        <v>45540</v>
      </c>
      <c r="B1611" s="3" t="s">
        <v>245</v>
      </c>
      <c r="C1611" s="3" t="s">
        <v>13</v>
      </c>
      <c r="D1611" s="3" t="s">
        <v>19</v>
      </c>
      <c r="E1611" s="5" t="s">
        <v>14</v>
      </c>
      <c r="F1611" s="17">
        <v>77.72</v>
      </c>
      <c r="G1611" s="3">
        <v>2</v>
      </c>
      <c r="H1611" s="17">
        <f>Table1[[#This Row],[Unit price]]*Table1[[#This Row],[Quantity]]</f>
        <v>155.44</v>
      </c>
      <c r="I1611" s="29">
        <f>Table1[[#This Row],[Total Revenue]]/$H$5056*100</f>
        <v>1.649152292328581E-2</v>
      </c>
      <c r="J1611" s="3" t="s">
        <v>17</v>
      </c>
      <c r="K1611" s="4">
        <v>7.6</v>
      </c>
      <c r="M1611"/>
    </row>
    <row r="1612" spans="1:13" x14ac:dyDescent="0.25">
      <c r="A1612" s="2">
        <v>45540</v>
      </c>
      <c r="B1612" s="3" t="s">
        <v>243</v>
      </c>
      <c r="C1612" s="3" t="s">
        <v>13</v>
      </c>
      <c r="D1612" s="3" t="s">
        <v>10</v>
      </c>
      <c r="E1612" s="5" t="s">
        <v>16</v>
      </c>
      <c r="F1612" s="17">
        <v>76.400000000000006</v>
      </c>
      <c r="G1612" s="3">
        <v>1</v>
      </c>
      <c r="H1612" s="17">
        <f>Table1[[#This Row],[Unit price]]*Table1[[#This Row],[Quantity]]</f>
        <v>76.400000000000006</v>
      </c>
      <c r="I1612" s="29">
        <f>Table1[[#This Row],[Total Revenue]]/$H$5056*100</f>
        <v>8.1057150755213334E-3</v>
      </c>
      <c r="J1612" s="3" t="s">
        <v>15</v>
      </c>
      <c r="K1612" s="4">
        <v>7.1</v>
      </c>
      <c r="M1612"/>
    </row>
    <row r="1613" spans="1:13" x14ac:dyDescent="0.25">
      <c r="A1613" s="2">
        <v>45540</v>
      </c>
      <c r="B1613" s="3" t="s">
        <v>243</v>
      </c>
      <c r="C1613" s="3" t="s">
        <v>9</v>
      </c>
      <c r="D1613" s="3" t="s">
        <v>19</v>
      </c>
      <c r="E1613" s="5" t="s">
        <v>16</v>
      </c>
      <c r="F1613" s="17">
        <v>23.75</v>
      </c>
      <c r="G1613" s="3">
        <v>3</v>
      </c>
      <c r="H1613" s="17">
        <f>Table1[[#This Row],[Unit price]]*Table1[[#This Row],[Quantity]]</f>
        <v>71.25</v>
      </c>
      <c r="I1613" s="29">
        <f>Table1[[#This Row],[Total Revenue]]/$H$5056*100</f>
        <v>7.5593219781530767E-3</v>
      </c>
      <c r="J1613" s="3" t="s">
        <v>12</v>
      </c>
      <c r="K1613" s="4">
        <v>9.1999999999999993</v>
      </c>
      <c r="M1613"/>
    </row>
    <row r="1614" spans="1:13" x14ac:dyDescent="0.25">
      <c r="A1614" s="2">
        <v>45540</v>
      </c>
      <c r="B1614" s="3" t="s">
        <v>243</v>
      </c>
      <c r="C1614" s="3" t="s">
        <v>13</v>
      </c>
      <c r="D1614" s="3" t="s">
        <v>19</v>
      </c>
      <c r="E1614" s="5" t="s">
        <v>11</v>
      </c>
      <c r="F1614" s="17">
        <v>42.82</v>
      </c>
      <c r="G1614" s="3">
        <v>1</v>
      </c>
      <c r="H1614" s="17">
        <f>Table1[[#This Row],[Unit price]]*Table1[[#This Row],[Quantity]]</f>
        <v>42.82</v>
      </c>
      <c r="I1614" s="29">
        <f>Table1[[#This Row],[Total Revenue]]/$H$5056*100</f>
        <v>4.5430198891861714E-3</v>
      </c>
      <c r="J1614" s="3" t="s">
        <v>12</v>
      </c>
      <c r="K1614" s="4">
        <v>8.6999999999999993</v>
      </c>
      <c r="M1614"/>
    </row>
    <row r="1615" spans="1:13" x14ac:dyDescent="0.25">
      <c r="A1615" s="2">
        <v>45540</v>
      </c>
      <c r="B1615" s="3" t="s">
        <v>244</v>
      </c>
      <c r="C1615" s="3" t="s">
        <v>13</v>
      </c>
      <c r="D1615" s="3" t="s">
        <v>19</v>
      </c>
      <c r="E1615" s="5" t="s">
        <v>18</v>
      </c>
      <c r="F1615" s="17">
        <v>73.52</v>
      </c>
      <c r="G1615" s="3">
        <v>3</v>
      </c>
      <c r="H1615" s="17">
        <f>Table1[[#This Row],[Unit price]]*Table1[[#This Row],[Quantity]]</f>
        <v>220.56</v>
      </c>
      <c r="I1615" s="29">
        <f>Table1[[#This Row],[Total Revenue]]/$H$5056*100</f>
        <v>2.3400477971950068E-2</v>
      </c>
      <c r="J1615" s="3" t="s">
        <v>15</v>
      </c>
      <c r="K1615" s="4">
        <v>8.1999999999999993</v>
      </c>
      <c r="M1615"/>
    </row>
    <row r="1616" spans="1:13" x14ac:dyDescent="0.25">
      <c r="A1616" s="2">
        <v>45540</v>
      </c>
      <c r="B1616" s="3" t="s">
        <v>244</v>
      </c>
      <c r="C1616" s="3" t="s">
        <v>13</v>
      </c>
      <c r="D1616" s="3" t="s">
        <v>10</v>
      </c>
      <c r="E1616" s="5" t="s">
        <v>18</v>
      </c>
      <c r="F1616" s="17">
        <v>39.21</v>
      </c>
      <c r="G1616" s="3">
        <v>3</v>
      </c>
      <c r="H1616" s="17">
        <f>Table1[[#This Row],[Unit price]]*Table1[[#This Row],[Quantity]]</f>
        <v>117.63</v>
      </c>
      <c r="I1616" s="29">
        <f>Table1[[#This Row],[Total Revenue]]/$H$5056*100</f>
        <v>1.2480042726879245E-2</v>
      </c>
      <c r="J1616" s="3" t="s">
        <v>15</v>
      </c>
      <c r="K1616" s="4">
        <v>7.8</v>
      </c>
      <c r="M1616"/>
    </row>
    <row r="1617" spans="1:13" x14ac:dyDescent="0.25">
      <c r="A1617" s="2">
        <v>45540</v>
      </c>
      <c r="B1617" s="3" t="s">
        <v>245</v>
      </c>
      <c r="C1617" s="3" t="s">
        <v>13</v>
      </c>
      <c r="D1617" s="3" t="s">
        <v>19</v>
      </c>
      <c r="E1617" s="5" t="s">
        <v>21</v>
      </c>
      <c r="F1617" s="17">
        <v>25</v>
      </c>
      <c r="G1617" s="3">
        <v>4</v>
      </c>
      <c r="H1617" s="17">
        <f>Table1[[#This Row],[Unit price]]*Table1[[#This Row],[Quantity]]</f>
        <v>100</v>
      </c>
      <c r="I1617" s="29">
        <f>Table1[[#This Row],[Total Revenue]]/$H$5056*100</f>
        <v>1.0609574706179755E-2</v>
      </c>
      <c r="J1617" s="3" t="s">
        <v>17</v>
      </c>
      <c r="K1617" s="4">
        <v>8.6</v>
      </c>
      <c r="M1617"/>
    </row>
    <row r="1618" spans="1:13" x14ac:dyDescent="0.25">
      <c r="A1618" s="2">
        <v>45540</v>
      </c>
      <c r="B1618" s="3" t="s">
        <v>243</v>
      </c>
      <c r="C1618" s="3" t="s">
        <v>13</v>
      </c>
      <c r="D1618" s="3" t="s">
        <v>19</v>
      </c>
      <c r="E1618" s="5" t="s">
        <v>21</v>
      </c>
      <c r="F1618" s="17">
        <v>28.95</v>
      </c>
      <c r="G1618" s="3">
        <v>2</v>
      </c>
      <c r="H1618" s="17">
        <f>Table1[[#This Row],[Unit price]]*Table1[[#This Row],[Quantity]]</f>
        <v>57.9</v>
      </c>
      <c r="I1618" s="29">
        <f>Table1[[#This Row],[Total Revenue]]/$H$5056*100</f>
        <v>6.142943754878079E-3</v>
      </c>
      <c r="J1618" s="3" t="s">
        <v>17</v>
      </c>
      <c r="K1618" s="4">
        <v>7.8</v>
      </c>
      <c r="M1618"/>
    </row>
    <row r="1619" spans="1:13" x14ac:dyDescent="0.25">
      <c r="A1619" s="2">
        <v>45540</v>
      </c>
      <c r="B1619" s="3" t="s">
        <v>243</v>
      </c>
      <c r="C1619" s="3" t="s">
        <v>13</v>
      </c>
      <c r="D1619" s="3" t="s">
        <v>10</v>
      </c>
      <c r="E1619" s="5" t="s">
        <v>21</v>
      </c>
      <c r="F1619" s="17">
        <v>68.709999999999994</v>
      </c>
      <c r="G1619" s="3">
        <v>3</v>
      </c>
      <c r="H1619" s="17">
        <f>Table1[[#This Row],[Unit price]]*Table1[[#This Row],[Quantity]]</f>
        <v>206.13</v>
      </c>
      <c r="I1619" s="29">
        <f>Table1[[#This Row],[Total Revenue]]/$H$5056*100</f>
        <v>2.1869516341848329E-2</v>
      </c>
      <c r="J1619" s="3" t="s">
        <v>17</v>
      </c>
      <c r="K1619" s="4">
        <v>9.1</v>
      </c>
      <c r="M1619"/>
    </row>
    <row r="1620" spans="1:13" x14ac:dyDescent="0.25">
      <c r="A1620" s="2">
        <v>45570</v>
      </c>
      <c r="B1620" s="3" t="s">
        <v>243</v>
      </c>
      <c r="C1620" s="3" t="s">
        <v>13</v>
      </c>
      <c r="D1620" s="3" t="s">
        <v>10</v>
      </c>
      <c r="E1620" s="5" t="s">
        <v>11</v>
      </c>
      <c r="F1620" s="17">
        <v>47.27</v>
      </c>
      <c r="G1620" s="3">
        <v>4</v>
      </c>
      <c r="H1620" s="17">
        <f>Table1[[#This Row],[Unit price]]*Table1[[#This Row],[Quantity]]</f>
        <v>189.08</v>
      </c>
      <c r="I1620" s="29">
        <f>Table1[[#This Row],[Total Revenue]]/$H$5056*100</f>
        <v>2.0060583854444682E-2</v>
      </c>
      <c r="J1620" s="3" t="s">
        <v>15</v>
      </c>
      <c r="K1620" s="4">
        <v>8.9</v>
      </c>
      <c r="M1620"/>
    </row>
    <row r="1621" spans="1:13" x14ac:dyDescent="0.25">
      <c r="A1621" s="2">
        <v>45570</v>
      </c>
      <c r="B1621" s="3" t="s">
        <v>244</v>
      </c>
      <c r="C1621" s="3" t="s">
        <v>13</v>
      </c>
      <c r="D1621" s="3" t="s">
        <v>10</v>
      </c>
      <c r="E1621" s="5" t="s">
        <v>11</v>
      </c>
      <c r="F1621" s="17">
        <v>87.9</v>
      </c>
      <c r="G1621" s="3">
        <v>2</v>
      </c>
      <c r="H1621" s="17">
        <f>Table1[[#This Row],[Unit price]]*Table1[[#This Row],[Quantity]]</f>
        <v>175.8</v>
      </c>
      <c r="I1621" s="29">
        <f>Table1[[#This Row],[Total Revenue]]/$H$5056*100</f>
        <v>1.8651632333464011E-2</v>
      </c>
      <c r="J1621" s="3" t="s">
        <v>12</v>
      </c>
      <c r="K1621" s="4">
        <v>7.2</v>
      </c>
      <c r="M1621"/>
    </row>
    <row r="1622" spans="1:13" x14ac:dyDescent="0.25">
      <c r="A1622" s="2">
        <v>45570</v>
      </c>
      <c r="B1622" s="3" t="s">
        <v>244</v>
      </c>
      <c r="C1622" s="3" t="s">
        <v>9</v>
      </c>
      <c r="D1622" s="3" t="s">
        <v>10</v>
      </c>
      <c r="E1622" s="5" t="s">
        <v>16</v>
      </c>
      <c r="F1622" s="17">
        <v>75.819999999999993</v>
      </c>
      <c r="G1622" s="3">
        <v>2</v>
      </c>
      <c r="H1622" s="17">
        <f>Table1[[#This Row],[Unit price]]*Table1[[#This Row],[Quantity]]</f>
        <v>151.63999999999999</v>
      </c>
      <c r="I1622" s="29">
        <f>Table1[[#This Row],[Total Revenue]]/$H$5056*100</f>
        <v>1.6088359084450981E-2</v>
      </c>
      <c r="J1622" s="3" t="s">
        <v>17</v>
      </c>
      <c r="K1622" s="4">
        <v>5.9</v>
      </c>
      <c r="M1622"/>
    </row>
    <row r="1623" spans="1:13" x14ac:dyDescent="0.25">
      <c r="A1623" s="2">
        <v>45570</v>
      </c>
      <c r="B1623" s="3" t="s">
        <v>243</v>
      </c>
      <c r="C1623" s="3" t="s">
        <v>13</v>
      </c>
      <c r="D1623" s="3" t="s">
        <v>19</v>
      </c>
      <c r="E1623" s="5" t="s">
        <v>16</v>
      </c>
      <c r="F1623" s="17">
        <v>79.930000000000007</v>
      </c>
      <c r="G1623" s="3">
        <v>2</v>
      </c>
      <c r="H1623" s="17">
        <f>Table1[[#This Row],[Unit price]]*Table1[[#This Row],[Quantity]]</f>
        <v>159.86000000000001</v>
      </c>
      <c r="I1623" s="29">
        <f>Table1[[#This Row],[Total Revenue]]/$H$5056*100</f>
        <v>1.6960466125298959E-2</v>
      </c>
      <c r="J1623" s="3" t="s">
        <v>17</v>
      </c>
      <c r="K1623" s="4">
        <v>5.5</v>
      </c>
      <c r="M1623"/>
    </row>
    <row r="1624" spans="1:13" x14ac:dyDescent="0.25">
      <c r="A1624" s="2">
        <v>45570</v>
      </c>
      <c r="B1624" s="3" t="s">
        <v>243</v>
      </c>
      <c r="C1624" s="3" t="s">
        <v>13</v>
      </c>
      <c r="D1624" s="3" t="s">
        <v>19</v>
      </c>
      <c r="E1624" s="5" t="s">
        <v>16</v>
      </c>
      <c r="F1624" s="17">
        <v>69.52</v>
      </c>
      <c r="G1624" s="3">
        <v>2</v>
      </c>
      <c r="H1624" s="17">
        <f>Table1[[#This Row],[Unit price]]*Table1[[#This Row],[Quantity]]</f>
        <v>139.04</v>
      </c>
      <c r="I1624" s="29">
        <f>Table1[[#This Row],[Total Revenue]]/$H$5056*100</f>
        <v>1.4751552671472332E-2</v>
      </c>
      <c r="J1624" s="3" t="s">
        <v>17</v>
      </c>
      <c r="K1624" s="4">
        <v>9.4</v>
      </c>
      <c r="M1624"/>
    </row>
    <row r="1625" spans="1:13" x14ac:dyDescent="0.25">
      <c r="A1625" s="2">
        <v>45570</v>
      </c>
      <c r="B1625" s="3" t="s">
        <v>245</v>
      </c>
      <c r="C1625" s="3" t="s">
        <v>13</v>
      </c>
      <c r="D1625" s="3" t="s">
        <v>19</v>
      </c>
      <c r="E1625" s="5" t="s">
        <v>11</v>
      </c>
      <c r="F1625" s="17">
        <v>20.010000000000002</v>
      </c>
      <c r="G1625" s="3">
        <v>3</v>
      </c>
      <c r="H1625" s="17">
        <f>Table1[[#This Row],[Unit price]]*Table1[[#This Row],[Quantity]]</f>
        <v>60.03</v>
      </c>
      <c r="I1625" s="29">
        <f>Table1[[#This Row],[Total Revenue]]/$H$5056*100</f>
        <v>6.3689276961197078E-3</v>
      </c>
      <c r="J1625" s="3" t="s">
        <v>17</v>
      </c>
      <c r="K1625" s="4">
        <v>9.5</v>
      </c>
      <c r="M1625"/>
    </row>
    <row r="1626" spans="1:13" x14ac:dyDescent="0.25">
      <c r="A1626" s="2">
        <v>45570</v>
      </c>
      <c r="B1626" s="3" t="s">
        <v>243</v>
      </c>
      <c r="C1626" s="3" t="s">
        <v>13</v>
      </c>
      <c r="D1626" s="3" t="s">
        <v>19</v>
      </c>
      <c r="E1626" s="5" t="s">
        <v>11</v>
      </c>
      <c r="F1626" s="17">
        <v>99.42</v>
      </c>
      <c r="G1626" s="3">
        <v>1</v>
      </c>
      <c r="H1626" s="17">
        <f>Table1[[#This Row],[Unit price]]*Table1[[#This Row],[Quantity]]</f>
        <v>99.42</v>
      </c>
      <c r="I1626" s="29">
        <f>Table1[[#This Row],[Total Revenue]]/$H$5056*100</f>
        <v>1.0548039172883912E-2</v>
      </c>
      <c r="J1626" s="3" t="s">
        <v>12</v>
      </c>
      <c r="K1626" s="4">
        <v>6</v>
      </c>
      <c r="M1626"/>
    </row>
    <row r="1627" spans="1:13" x14ac:dyDescent="0.25">
      <c r="A1627" s="2">
        <v>45570</v>
      </c>
      <c r="B1627" s="3" t="s">
        <v>244</v>
      </c>
      <c r="C1627" s="3" t="s">
        <v>13</v>
      </c>
      <c r="D1627" s="3" t="s">
        <v>19</v>
      </c>
      <c r="E1627" s="5" t="s">
        <v>21</v>
      </c>
      <c r="F1627" s="17">
        <v>14.62</v>
      </c>
      <c r="G1627" s="3">
        <v>4</v>
      </c>
      <c r="H1627" s="17">
        <f>Table1[[#This Row],[Unit price]]*Table1[[#This Row],[Quantity]]</f>
        <v>58.48</v>
      </c>
      <c r="I1627" s="29">
        <f>Table1[[#This Row],[Total Revenue]]/$H$5056*100</f>
        <v>6.2044792881739202E-3</v>
      </c>
      <c r="J1627" s="3" t="s">
        <v>12</v>
      </c>
      <c r="K1627" s="4">
        <v>6.8</v>
      </c>
      <c r="M1627"/>
    </row>
    <row r="1628" spans="1:13" x14ac:dyDescent="0.25">
      <c r="A1628" s="2">
        <v>45570</v>
      </c>
      <c r="B1628" s="3" t="s">
        <v>245</v>
      </c>
      <c r="C1628" s="3" t="s">
        <v>13</v>
      </c>
      <c r="D1628" s="3" t="s">
        <v>19</v>
      </c>
      <c r="E1628" s="5" t="s">
        <v>11</v>
      </c>
      <c r="F1628" s="17">
        <v>52.42</v>
      </c>
      <c r="G1628" s="3">
        <v>2</v>
      </c>
      <c r="H1628" s="17">
        <f>Table1[[#This Row],[Unit price]]*Table1[[#This Row],[Quantity]]</f>
        <v>104.84</v>
      </c>
      <c r="I1628" s="29">
        <f>Table1[[#This Row],[Total Revenue]]/$H$5056*100</f>
        <v>1.1123078121958856E-2</v>
      </c>
      <c r="J1628" s="3" t="s">
        <v>17</v>
      </c>
      <c r="K1628" s="4">
        <v>6.5</v>
      </c>
      <c r="M1628"/>
    </row>
    <row r="1629" spans="1:13" x14ac:dyDescent="0.25">
      <c r="A1629" s="2">
        <v>45570</v>
      </c>
      <c r="B1629" s="3" t="s">
        <v>243</v>
      </c>
      <c r="C1629" s="3" t="s">
        <v>9</v>
      </c>
      <c r="D1629" s="3" t="s">
        <v>19</v>
      </c>
      <c r="E1629" s="5" t="s">
        <v>11</v>
      </c>
      <c r="F1629" s="17">
        <v>16.48</v>
      </c>
      <c r="G1629" s="3">
        <v>4</v>
      </c>
      <c r="H1629" s="17">
        <f>Table1[[#This Row],[Unit price]]*Table1[[#This Row],[Quantity]]</f>
        <v>65.92</v>
      </c>
      <c r="I1629" s="29">
        <f>Table1[[#This Row],[Total Revenue]]/$H$5056*100</f>
        <v>6.9938316463136951E-3</v>
      </c>
      <c r="J1629" s="3" t="s">
        <v>15</v>
      </c>
      <c r="K1629" s="4">
        <v>9.6999999999999993</v>
      </c>
      <c r="M1629"/>
    </row>
    <row r="1630" spans="1:13" x14ac:dyDescent="0.25">
      <c r="A1630" s="2">
        <v>45601</v>
      </c>
      <c r="B1630" s="3" t="s">
        <v>244</v>
      </c>
      <c r="C1630" s="3" t="s">
        <v>9</v>
      </c>
      <c r="D1630" s="3" t="s">
        <v>19</v>
      </c>
      <c r="E1630" s="5" t="s">
        <v>21</v>
      </c>
      <c r="F1630" s="17">
        <v>99.83</v>
      </c>
      <c r="G1630" s="3">
        <v>1</v>
      </c>
      <c r="H1630" s="17">
        <f>Table1[[#This Row],[Unit price]]*Table1[[#This Row],[Quantity]]</f>
        <v>99.83</v>
      </c>
      <c r="I1630" s="29">
        <f>Table1[[#This Row],[Total Revenue]]/$H$5056*100</f>
        <v>1.059153842917925E-2</v>
      </c>
      <c r="J1630" s="3" t="s">
        <v>12</v>
      </c>
      <c r="K1630" s="4">
        <v>8.4</v>
      </c>
      <c r="M1630"/>
    </row>
    <row r="1631" spans="1:13" x14ac:dyDescent="0.25">
      <c r="A1631" s="2">
        <v>45601</v>
      </c>
      <c r="B1631" s="3" t="s">
        <v>245</v>
      </c>
      <c r="C1631" s="3" t="s">
        <v>13</v>
      </c>
      <c r="D1631" s="3" t="s">
        <v>10</v>
      </c>
      <c r="E1631" s="5" t="s">
        <v>20</v>
      </c>
      <c r="F1631" s="17">
        <v>73.56</v>
      </c>
      <c r="G1631" s="3">
        <v>4</v>
      </c>
      <c r="H1631" s="17">
        <f>Table1[[#This Row],[Unit price]]*Table1[[#This Row],[Quantity]]</f>
        <v>294.24</v>
      </c>
      <c r="I1631" s="29">
        <f>Table1[[#This Row],[Total Revenue]]/$H$5056*100</f>
        <v>3.1217612615463311E-2</v>
      </c>
      <c r="J1631" s="3" t="s">
        <v>12</v>
      </c>
      <c r="K1631" s="4">
        <v>6.8</v>
      </c>
      <c r="M1631"/>
    </row>
    <row r="1632" spans="1:13" x14ac:dyDescent="0.25">
      <c r="A1632" s="2">
        <v>45601</v>
      </c>
      <c r="B1632" s="3" t="s">
        <v>244</v>
      </c>
      <c r="C1632" s="3" t="s">
        <v>9</v>
      </c>
      <c r="D1632" s="3" t="s">
        <v>10</v>
      </c>
      <c r="E1632" s="5" t="s">
        <v>11</v>
      </c>
      <c r="F1632" s="17">
        <v>43.19</v>
      </c>
      <c r="G1632" s="3">
        <v>1</v>
      </c>
      <c r="H1632" s="17">
        <f>Table1[[#This Row],[Unit price]]*Table1[[#This Row],[Quantity]]</f>
        <v>43.19</v>
      </c>
      <c r="I1632" s="29">
        <f>Table1[[#This Row],[Total Revenue]]/$H$5056*100</f>
        <v>4.5822753155990359E-3</v>
      </c>
      <c r="J1632" s="3" t="s">
        <v>15</v>
      </c>
      <c r="K1632" s="4">
        <v>7.5</v>
      </c>
      <c r="M1632"/>
    </row>
    <row r="1633" spans="1:13" x14ac:dyDescent="0.25">
      <c r="A1633" s="2">
        <v>45601</v>
      </c>
      <c r="B1633" s="3" t="s">
        <v>243</v>
      </c>
      <c r="C1633" s="3" t="s">
        <v>13</v>
      </c>
      <c r="D1633" s="3" t="s">
        <v>10</v>
      </c>
      <c r="E1633" s="5" t="s">
        <v>11</v>
      </c>
      <c r="F1633" s="17">
        <v>54.36</v>
      </c>
      <c r="G1633" s="3">
        <v>2</v>
      </c>
      <c r="H1633" s="17">
        <f>Table1[[#This Row],[Unit price]]*Table1[[#This Row],[Quantity]]</f>
        <v>108.72</v>
      </c>
      <c r="I1633" s="29">
        <f>Table1[[#This Row],[Total Revenue]]/$H$5056*100</f>
        <v>1.1534729620558629E-2</v>
      </c>
      <c r="J1633" s="3" t="s">
        <v>15</v>
      </c>
      <c r="K1633" s="4">
        <v>7.8</v>
      </c>
      <c r="M1633"/>
    </row>
    <row r="1634" spans="1:13" x14ac:dyDescent="0.25">
      <c r="A1634" s="2">
        <v>45601</v>
      </c>
      <c r="B1634" s="3" t="s">
        <v>244</v>
      </c>
      <c r="C1634" s="3" t="s">
        <v>13</v>
      </c>
      <c r="D1634" s="3" t="s">
        <v>10</v>
      </c>
      <c r="E1634" s="5" t="s">
        <v>11</v>
      </c>
      <c r="F1634" s="17">
        <v>35.04</v>
      </c>
      <c r="G1634" s="3">
        <v>1</v>
      </c>
      <c r="H1634" s="17">
        <f>Table1[[#This Row],[Unit price]]*Table1[[#This Row],[Quantity]]</f>
        <v>35.04</v>
      </c>
      <c r="I1634" s="29">
        <f>Table1[[#This Row],[Total Revenue]]/$H$5056*100</f>
        <v>3.7175949770453863E-3</v>
      </c>
      <c r="J1634" s="3" t="s">
        <v>15</v>
      </c>
      <c r="K1634" s="4">
        <v>8.1</v>
      </c>
      <c r="M1634"/>
    </row>
    <row r="1635" spans="1:13" x14ac:dyDescent="0.25">
      <c r="A1635" s="2">
        <v>45601</v>
      </c>
      <c r="B1635" s="3" t="s">
        <v>244</v>
      </c>
      <c r="C1635" s="3" t="s">
        <v>13</v>
      </c>
      <c r="D1635" s="3" t="s">
        <v>10</v>
      </c>
      <c r="E1635" s="5" t="s">
        <v>11</v>
      </c>
      <c r="F1635" s="17">
        <v>21.58</v>
      </c>
      <c r="G1635" s="3">
        <v>3</v>
      </c>
      <c r="H1635" s="17">
        <f>Table1[[#This Row],[Unit price]]*Table1[[#This Row],[Quantity]]</f>
        <v>64.739999999999995</v>
      </c>
      <c r="I1635" s="29">
        <f>Table1[[#This Row],[Total Revenue]]/$H$5056*100</f>
        <v>6.8686386647807737E-3</v>
      </c>
      <c r="J1635" s="3" t="s">
        <v>15</v>
      </c>
      <c r="K1635" s="4">
        <v>7.6</v>
      </c>
      <c r="M1635"/>
    </row>
    <row r="1636" spans="1:13" x14ac:dyDescent="0.25">
      <c r="A1636" s="2">
        <v>45601</v>
      </c>
      <c r="B1636" s="3" t="s">
        <v>244</v>
      </c>
      <c r="C1636" s="3" t="s">
        <v>13</v>
      </c>
      <c r="D1636" s="3" t="s">
        <v>10</v>
      </c>
      <c r="E1636" s="5" t="s">
        <v>20</v>
      </c>
      <c r="F1636" s="17">
        <v>82.04</v>
      </c>
      <c r="G1636" s="3">
        <v>3</v>
      </c>
      <c r="H1636" s="17">
        <f>Table1[[#This Row],[Unit price]]*Table1[[#This Row],[Quantity]]</f>
        <v>246.12</v>
      </c>
      <c r="I1636" s="29">
        <f>Table1[[#This Row],[Total Revenue]]/$H$5056*100</f>
        <v>2.6112285266849618E-2</v>
      </c>
      <c r="J1636" s="3" t="s">
        <v>17</v>
      </c>
      <c r="K1636" s="4">
        <v>7.2</v>
      </c>
      <c r="M1636"/>
    </row>
    <row r="1637" spans="1:13" x14ac:dyDescent="0.25">
      <c r="A1637" s="2">
        <v>45601</v>
      </c>
      <c r="B1637" s="3" t="s">
        <v>243</v>
      </c>
      <c r="C1637" s="3" t="s">
        <v>9</v>
      </c>
      <c r="D1637" s="3" t="s">
        <v>10</v>
      </c>
      <c r="E1637" s="5" t="s">
        <v>21</v>
      </c>
      <c r="F1637" s="17">
        <v>48.63</v>
      </c>
      <c r="G1637" s="3">
        <v>1</v>
      </c>
      <c r="H1637" s="17">
        <f>Table1[[#This Row],[Unit price]]*Table1[[#This Row],[Quantity]]</f>
        <v>48.63</v>
      </c>
      <c r="I1637" s="29">
        <f>Table1[[#This Row],[Total Revenue]]/$H$5056*100</f>
        <v>5.1594361796152158E-3</v>
      </c>
      <c r="J1637" s="3" t="s">
        <v>17</v>
      </c>
      <c r="K1637" s="4">
        <v>5.5</v>
      </c>
      <c r="M1637"/>
    </row>
    <row r="1638" spans="1:13" x14ac:dyDescent="0.25">
      <c r="A1638" s="2">
        <v>45601</v>
      </c>
      <c r="B1638" s="3" t="s">
        <v>244</v>
      </c>
      <c r="C1638" s="3" t="s">
        <v>13</v>
      </c>
      <c r="D1638" s="3" t="s">
        <v>10</v>
      </c>
      <c r="E1638" s="5" t="s">
        <v>20</v>
      </c>
      <c r="F1638" s="17">
        <v>34.729999999999997</v>
      </c>
      <c r="G1638" s="3">
        <v>1</v>
      </c>
      <c r="H1638" s="17">
        <f>Table1[[#This Row],[Unit price]]*Table1[[#This Row],[Quantity]]</f>
        <v>34.729999999999997</v>
      </c>
      <c r="I1638" s="29">
        <f>Table1[[#This Row],[Total Revenue]]/$H$5056*100</f>
        <v>3.6847052954562284E-3</v>
      </c>
      <c r="J1638" s="3" t="s">
        <v>17</v>
      </c>
      <c r="K1638" s="4">
        <v>8.1999999999999993</v>
      </c>
      <c r="M1638"/>
    </row>
    <row r="1639" spans="1:13" x14ac:dyDescent="0.25">
      <c r="A1639" s="2">
        <v>45631</v>
      </c>
      <c r="B1639" s="3" t="s">
        <v>245</v>
      </c>
      <c r="C1639" s="3" t="s">
        <v>13</v>
      </c>
      <c r="D1639" s="3" t="s">
        <v>10</v>
      </c>
      <c r="E1639" s="5" t="s">
        <v>20</v>
      </c>
      <c r="F1639" s="17">
        <v>97.38</v>
      </c>
      <c r="G1639" s="3">
        <v>5</v>
      </c>
      <c r="H1639" s="17">
        <f>Table1[[#This Row],[Unit price]]*Table1[[#This Row],[Quantity]]</f>
        <v>486.9</v>
      </c>
      <c r="I1639" s="29">
        <f>Table1[[#This Row],[Total Revenue]]/$H$5056*100</f>
        <v>5.1658019244389231E-2</v>
      </c>
      <c r="J1639" s="3" t="s">
        <v>17</v>
      </c>
      <c r="K1639" s="4">
        <v>7.1</v>
      </c>
      <c r="M1639"/>
    </row>
    <row r="1640" spans="1:13" x14ac:dyDescent="0.25">
      <c r="A1640" s="2">
        <v>45631</v>
      </c>
      <c r="B1640" s="3" t="s">
        <v>245</v>
      </c>
      <c r="C1640" s="3" t="s">
        <v>13</v>
      </c>
      <c r="D1640" s="3" t="s">
        <v>10</v>
      </c>
      <c r="E1640" s="5" t="s">
        <v>20</v>
      </c>
      <c r="F1640" s="17">
        <v>27</v>
      </c>
      <c r="G1640" s="3">
        <v>1</v>
      </c>
      <c r="H1640" s="17">
        <f>Table1[[#This Row],[Unit price]]*Table1[[#This Row],[Quantity]]</f>
        <v>27</v>
      </c>
      <c r="I1640" s="29">
        <f>Table1[[#This Row],[Total Revenue]]/$H$5056*100</f>
        <v>2.8645851706685338E-3</v>
      </c>
      <c r="J1640" s="3" t="s">
        <v>15</v>
      </c>
      <c r="K1640" s="4">
        <v>8</v>
      </c>
      <c r="M1640"/>
    </row>
    <row r="1641" spans="1:13" x14ac:dyDescent="0.25">
      <c r="A1641" s="2">
        <v>45631</v>
      </c>
      <c r="B1641" s="3" t="s">
        <v>243</v>
      </c>
      <c r="C1641" s="3" t="s">
        <v>13</v>
      </c>
      <c r="D1641" s="3" t="s">
        <v>19</v>
      </c>
      <c r="E1641" s="5" t="s">
        <v>11</v>
      </c>
      <c r="F1641" s="17">
        <v>31.84</v>
      </c>
      <c r="G1641" s="3">
        <v>3</v>
      </c>
      <c r="H1641" s="17">
        <f>Table1[[#This Row],[Unit price]]*Table1[[#This Row],[Quantity]]</f>
        <v>95.52</v>
      </c>
      <c r="I1641" s="29">
        <f>Table1[[#This Row],[Total Revenue]]/$H$5056*100</f>
        <v>1.0134265759342901E-2</v>
      </c>
      <c r="J1641" s="3" t="s">
        <v>12</v>
      </c>
      <c r="K1641" s="4">
        <v>7</v>
      </c>
      <c r="M1641"/>
    </row>
    <row r="1642" spans="1:13" x14ac:dyDescent="0.25">
      <c r="A1642" s="2">
        <v>45631</v>
      </c>
      <c r="B1642" s="3" t="s">
        <v>244</v>
      </c>
      <c r="C1642" s="3" t="s">
        <v>13</v>
      </c>
      <c r="D1642" s="3" t="s">
        <v>19</v>
      </c>
      <c r="E1642" s="5" t="s">
        <v>21</v>
      </c>
      <c r="F1642" s="17">
        <v>41.06</v>
      </c>
      <c r="G1642" s="3">
        <v>2</v>
      </c>
      <c r="H1642" s="17">
        <f>Table1[[#This Row],[Unit price]]*Table1[[#This Row],[Quantity]]</f>
        <v>82.12</v>
      </c>
      <c r="I1642" s="29">
        <f>Table1[[#This Row],[Total Revenue]]/$H$5056*100</f>
        <v>8.7125827487148158E-3</v>
      </c>
      <c r="J1642" s="3" t="s">
        <v>17</v>
      </c>
      <c r="K1642" s="4">
        <v>5.7</v>
      </c>
      <c r="M1642"/>
    </row>
    <row r="1643" spans="1:13" x14ac:dyDescent="0.25">
      <c r="A1643" s="2">
        <v>45631</v>
      </c>
      <c r="B1643" s="3" t="s">
        <v>243</v>
      </c>
      <c r="C1643" s="3" t="s">
        <v>13</v>
      </c>
      <c r="D1643" s="3" t="s">
        <v>10</v>
      </c>
      <c r="E1643" s="5" t="s">
        <v>20</v>
      </c>
      <c r="F1643" s="17">
        <v>88.39</v>
      </c>
      <c r="G1643" s="3">
        <v>4</v>
      </c>
      <c r="H1643" s="17">
        <f>Table1[[#This Row],[Unit price]]*Table1[[#This Row],[Quantity]]</f>
        <v>353.56</v>
      </c>
      <c r="I1643" s="29">
        <f>Table1[[#This Row],[Total Revenue]]/$H$5056*100</f>
        <v>3.7511212331169143E-2</v>
      </c>
      <c r="J1643" s="3" t="s">
        <v>15</v>
      </c>
      <c r="K1643" s="4">
        <v>5.9</v>
      </c>
      <c r="M1643"/>
    </row>
    <row r="1644" spans="1:13" x14ac:dyDescent="0.25">
      <c r="A1644" s="2">
        <v>45631</v>
      </c>
      <c r="B1644" s="3" t="s">
        <v>244</v>
      </c>
      <c r="C1644" s="3" t="s">
        <v>13</v>
      </c>
      <c r="D1644" s="3" t="s">
        <v>10</v>
      </c>
      <c r="E1644" s="5" t="s">
        <v>21</v>
      </c>
      <c r="F1644" s="17">
        <v>25.32</v>
      </c>
      <c r="G1644" s="3">
        <v>4</v>
      </c>
      <c r="H1644" s="17">
        <f>Table1[[#This Row],[Unit price]]*Table1[[#This Row],[Quantity]]</f>
        <v>101.28</v>
      </c>
      <c r="I1644" s="29">
        <f>Table1[[#This Row],[Total Revenue]]/$H$5056*100</f>
        <v>1.0745377262418856E-2</v>
      </c>
      <c r="J1644" s="3" t="s">
        <v>12</v>
      </c>
      <c r="K1644" s="4">
        <v>5.5</v>
      </c>
      <c r="M1644"/>
    </row>
    <row r="1645" spans="1:13" x14ac:dyDescent="0.25">
      <c r="A1645" s="2">
        <v>45631</v>
      </c>
      <c r="B1645" s="3" t="s">
        <v>243</v>
      </c>
      <c r="C1645" s="3" t="s">
        <v>13</v>
      </c>
      <c r="D1645" s="3" t="s">
        <v>10</v>
      </c>
      <c r="E1645" s="5" t="s">
        <v>20</v>
      </c>
      <c r="F1645" s="17">
        <v>44.01</v>
      </c>
      <c r="G1645" s="3">
        <v>3</v>
      </c>
      <c r="H1645" s="17">
        <f>Table1[[#This Row],[Unit price]]*Table1[[#This Row],[Quantity]]</f>
        <v>132.03</v>
      </c>
      <c r="I1645" s="29">
        <f>Table1[[#This Row],[Total Revenue]]/$H$5056*100</f>
        <v>1.4007821484569132E-2</v>
      </c>
      <c r="J1645" s="3" t="s">
        <v>15</v>
      </c>
      <c r="K1645" s="4">
        <v>8</v>
      </c>
      <c r="M1645"/>
    </row>
    <row r="1646" spans="1:13" x14ac:dyDescent="0.25">
      <c r="A1646" s="2">
        <v>45631</v>
      </c>
      <c r="B1646" s="3" t="s">
        <v>244</v>
      </c>
      <c r="C1646" s="3" t="s">
        <v>9</v>
      </c>
      <c r="D1646" s="3" t="s">
        <v>10</v>
      </c>
      <c r="E1646" s="5" t="s">
        <v>16</v>
      </c>
      <c r="F1646" s="17">
        <v>51.52</v>
      </c>
      <c r="G1646" s="3">
        <v>2</v>
      </c>
      <c r="H1646" s="17">
        <f>Table1[[#This Row],[Unit price]]*Table1[[#This Row],[Quantity]]</f>
        <v>103.04</v>
      </c>
      <c r="I1646" s="29">
        <f>Table1[[#This Row],[Total Revenue]]/$H$5056*100</f>
        <v>1.0932105777247621E-2</v>
      </c>
      <c r="J1646" s="3" t="s">
        <v>15</v>
      </c>
      <c r="K1646" s="4">
        <v>7.8</v>
      </c>
      <c r="M1646"/>
    </row>
    <row r="1647" spans="1:13" x14ac:dyDescent="0.25">
      <c r="A1647" s="3" t="s">
        <v>94</v>
      </c>
      <c r="B1647" s="3" t="s">
        <v>244</v>
      </c>
      <c r="C1647" s="3" t="s">
        <v>13</v>
      </c>
      <c r="D1647" s="3" t="s">
        <v>10</v>
      </c>
      <c r="E1647" s="5" t="s">
        <v>21</v>
      </c>
      <c r="F1647" s="17">
        <v>55.97</v>
      </c>
      <c r="G1647" s="3">
        <v>1</v>
      </c>
      <c r="H1647" s="17">
        <f>Table1[[#This Row],[Unit price]]*Table1[[#This Row],[Quantity]]</f>
        <v>55.97</v>
      </c>
      <c r="I1647" s="29">
        <f>Table1[[#This Row],[Total Revenue]]/$H$5056*100</f>
        <v>5.9381789630488088E-3</v>
      </c>
      <c r="J1647" s="3" t="s">
        <v>17</v>
      </c>
      <c r="K1647" s="4">
        <v>5.0999999999999996</v>
      </c>
      <c r="M1647"/>
    </row>
    <row r="1648" spans="1:13" x14ac:dyDescent="0.25">
      <c r="A1648" s="3" t="s">
        <v>94</v>
      </c>
      <c r="B1648" s="3" t="s">
        <v>243</v>
      </c>
      <c r="C1648" s="3" t="s">
        <v>9</v>
      </c>
      <c r="D1648" s="3" t="s">
        <v>10</v>
      </c>
      <c r="E1648" s="5" t="s">
        <v>11</v>
      </c>
      <c r="F1648" s="17">
        <v>21.08</v>
      </c>
      <c r="G1648" s="3">
        <v>1</v>
      </c>
      <c r="H1648" s="17">
        <f>Table1[[#This Row],[Unit price]]*Table1[[#This Row],[Quantity]]</f>
        <v>21.08</v>
      </c>
      <c r="I1648" s="29">
        <f>Table1[[#This Row],[Total Revenue]]/$H$5056*100</f>
        <v>2.2364983480626923E-3</v>
      </c>
      <c r="J1648" s="3" t="s">
        <v>15</v>
      </c>
      <c r="K1648" s="4">
        <v>8.4</v>
      </c>
      <c r="M1648"/>
    </row>
    <row r="1649" spans="1:13" x14ac:dyDescent="0.25">
      <c r="A1649" s="3" t="s">
        <v>94</v>
      </c>
      <c r="B1649" s="3" t="s">
        <v>243</v>
      </c>
      <c r="C1649" s="3" t="s">
        <v>13</v>
      </c>
      <c r="D1649" s="3" t="s">
        <v>19</v>
      </c>
      <c r="E1649" s="5" t="s">
        <v>21</v>
      </c>
      <c r="F1649" s="17">
        <v>65.31</v>
      </c>
      <c r="G1649" s="3">
        <v>4</v>
      </c>
      <c r="H1649" s="17">
        <f>Table1[[#This Row],[Unit price]]*Table1[[#This Row],[Quantity]]</f>
        <v>261.24</v>
      </c>
      <c r="I1649" s="29">
        <f>Table1[[#This Row],[Total Revenue]]/$H$5056*100</f>
        <v>2.7716452962423997E-2</v>
      </c>
      <c r="J1649" s="3" t="s">
        <v>17</v>
      </c>
      <c r="K1649" s="4">
        <v>6.3</v>
      </c>
      <c r="M1649"/>
    </row>
    <row r="1650" spans="1:13" x14ac:dyDescent="0.25">
      <c r="A1650" s="3" t="s">
        <v>94</v>
      </c>
      <c r="B1650" s="3" t="s">
        <v>245</v>
      </c>
      <c r="C1650" s="3" t="s">
        <v>13</v>
      </c>
      <c r="D1650" s="3" t="s">
        <v>19</v>
      </c>
      <c r="E1650" s="5" t="s">
        <v>18</v>
      </c>
      <c r="F1650" s="17">
        <v>51.36</v>
      </c>
      <c r="G1650" s="3">
        <v>1</v>
      </c>
      <c r="H1650" s="17">
        <f>Table1[[#This Row],[Unit price]]*Table1[[#This Row],[Quantity]]</f>
        <v>51.36</v>
      </c>
      <c r="I1650" s="29">
        <f>Table1[[#This Row],[Total Revenue]]/$H$5056*100</f>
        <v>5.4490775690939222E-3</v>
      </c>
      <c r="J1650" s="3" t="s">
        <v>17</v>
      </c>
      <c r="K1650" s="4">
        <v>7</v>
      </c>
      <c r="M1650"/>
    </row>
    <row r="1651" spans="1:13" x14ac:dyDescent="0.25">
      <c r="A1651" s="3" t="s">
        <v>94</v>
      </c>
      <c r="B1651" s="3" t="s">
        <v>245</v>
      </c>
      <c r="C1651" s="3" t="s">
        <v>9</v>
      </c>
      <c r="D1651" s="3" t="s">
        <v>10</v>
      </c>
      <c r="E1651" s="5" t="s">
        <v>11</v>
      </c>
      <c r="F1651" s="17">
        <v>44.59</v>
      </c>
      <c r="G1651" s="3">
        <v>5</v>
      </c>
      <c r="H1651" s="17">
        <f>Table1[[#This Row],[Unit price]]*Table1[[#This Row],[Quantity]]</f>
        <v>222.95000000000002</v>
      </c>
      <c r="I1651" s="29">
        <f>Table1[[#This Row],[Total Revenue]]/$H$5056*100</f>
        <v>2.3654046807427768E-2</v>
      </c>
      <c r="J1651" s="3" t="s">
        <v>15</v>
      </c>
      <c r="K1651" s="4">
        <v>7.2</v>
      </c>
      <c r="M1651"/>
    </row>
    <row r="1652" spans="1:13" x14ac:dyDescent="0.25">
      <c r="A1652" s="3" t="s">
        <v>94</v>
      </c>
      <c r="B1652" s="3" t="s">
        <v>245</v>
      </c>
      <c r="C1652" s="3" t="s">
        <v>13</v>
      </c>
      <c r="D1652" s="3" t="s">
        <v>19</v>
      </c>
      <c r="E1652" s="5" t="s">
        <v>18</v>
      </c>
      <c r="F1652" s="17">
        <v>88.15</v>
      </c>
      <c r="G1652" s="3">
        <v>2</v>
      </c>
      <c r="H1652" s="17">
        <f>Table1[[#This Row],[Unit price]]*Table1[[#This Row],[Quantity]]</f>
        <v>176.3</v>
      </c>
      <c r="I1652" s="29">
        <f>Table1[[#This Row],[Total Revenue]]/$H$5056*100</f>
        <v>1.8704680206994909E-2</v>
      </c>
      <c r="J1652" s="3" t="s">
        <v>12</v>
      </c>
      <c r="K1652" s="4">
        <v>8.1999999999999993</v>
      </c>
      <c r="M1652"/>
    </row>
    <row r="1653" spans="1:13" x14ac:dyDescent="0.25">
      <c r="A1653" s="3" t="s">
        <v>94</v>
      </c>
      <c r="B1653" s="3" t="s">
        <v>243</v>
      </c>
      <c r="C1653" s="3" t="s">
        <v>13</v>
      </c>
      <c r="D1653" s="3" t="s">
        <v>19</v>
      </c>
      <c r="E1653" s="5" t="s">
        <v>20</v>
      </c>
      <c r="F1653" s="17">
        <v>94.49</v>
      </c>
      <c r="G1653" s="3">
        <v>5</v>
      </c>
      <c r="H1653" s="17">
        <f>Table1[[#This Row],[Unit price]]*Table1[[#This Row],[Quantity]]</f>
        <v>472.45</v>
      </c>
      <c r="I1653" s="29">
        <f>Table1[[#This Row],[Total Revenue]]/$H$5056*100</f>
        <v>5.012493569934625E-2</v>
      </c>
      <c r="J1653" s="3" t="s">
        <v>15</v>
      </c>
      <c r="K1653" s="4">
        <v>7.2</v>
      </c>
      <c r="M1653"/>
    </row>
    <row r="1654" spans="1:13" x14ac:dyDescent="0.25">
      <c r="A1654" s="3" t="s">
        <v>94</v>
      </c>
      <c r="B1654" s="3" t="s">
        <v>243</v>
      </c>
      <c r="C1654" s="3" t="s">
        <v>9</v>
      </c>
      <c r="D1654" s="3" t="s">
        <v>10</v>
      </c>
      <c r="E1654" s="5" t="s">
        <v>11</v>
      </c>
      <c r="F1654" s="17">
        <v>89.2</v>
      </c>
      <c r="G1654" s="3">
        <v>4</v>
      </c>
      <c r="H1654" s="17">
        <f>Table1[[#This Row],[Unit price]]*Table1[[#This Row],[Quantity]]</f>
        <v>356.8</v>
      </c>
      <c r="I1654" s="29">
        <f>Table1[[#This Row],[Total Revenue]]/$H$5056*100</f>
        <v>3.7854962551649371E-2</v>
      </c>
      <c r="J1654" s="3" t="s">
        <v>17</v>
      </c>
      <c r="K1654" s="4">
        <v>7.8</v>
      </c>
      <c r="M1654"/>
    </row>
    <row r="1655" spans="1:13" x14ac:dyDescent="0.25">
      <c r="A1655" s="3" t="s">
        <v>94</v>
      </c>
      <c r="B1655" s="3" t="s">
        <v>243</v>
      </c>
      <c r="C1655" s="3" t="s">
        <v>13</v>
      </c>
      <c r="D1655" s="3" t="s">
        <v>19</v>
      </c>
      <c r="E1655" s="5" t="s">
        <v>21</v>
      </c>
      <c r="F1655" s="17">
        <v>87.98</v>
      </c>
      <c r="G1655" s="3">
        <v>3</v>
      </c>
      <c r="H1655" s="17">
        <f>Table1[[#This Row],[Unit price]]*Table1[[#This Row],[Quantity]]</f>
        <v>263.94</v>
      </c>
      <c r="I1655" s="29">
        <f>Table1[[#This Row],[Total Revenue]]/$H$5056*100</f>
        <v>2.8002911479490845E-2</v>
      </c>
      <c r="J1655" s="3" t="s">
        <v>15</v>
      </c>
      <c r="K1655" s="4">
        <v>7.6</v>
      </c>
      <c r="M1655"/>
    </row>
    <row r="1656" spans="1:13" x14ac:dyDescent="0.25">
      <c r="A1656" s="3" t="s">
        <v>94</v>
      </c>
      <c r="B1656" s="3" t="s">
        <v>244</v>
      </c>
      <c r="C1656" s="3" t="s">
        <v>13</v>
      </c>
      <c r="D1656" s="3" t="s">
        <v>10</v>
      </c>
      <c r="E1656" s="5" t="s">
        <v>11</v>
      </c>
      <c r="F1656" s="17">
        <v>77.2</v>
      </c>
      <c r="G1656" s="3">
        <v>4</v>
      </c>
      <c r="H1656" s="17">
        <f>Table1[[#This Row],[Unit price]]*Table1[[#This Row],[Quantity]]</f>
        <v>308.8</v>
      </c>
      <c r="I1656" s="29">
        <f>Table1[[#This Row],[Total Revenue]]/$H$5056*100</f>
        <v>3.2762366692683086E-2</v>
      </c>
      <c r="J1656" s="3" t="s">
        <v>15</v>
      </c>
      <c r="K1656" s="4">
        <v>9</v>
      </c>
      <c r="M1656"/>
    </row>
    <row r="1657" spans="1:13" x14ac:dyDescent="0.25">
      <c r="A1657" s="3" t="s">
        <v>95</v>
      </c>
      <c r="B1657" s="3" t="s">
        <v>243</v>
      </c>
      <c r="C1657" s="3" t="s">
        <v>13</v>
      </c>
      <c r="D1657" s="3" t="s">
        <v>19</v>
      </c>
      <c r="E1657" s="5" t="s">
        <v>21</v>
      </c>
      <c r="F1657" s="17">
        <v>79.739999999999995</v>
      </c>
      <c r="G1657" s="3">
        <v>4</v>
      </c>
      <c r="H1657" s="17">
        <f>Table1[[#This Row],[Unit price]]*Table1[[#This Row],[Quantity]]</f>
        <v>318.95999999999998</v>
      </c>
      <c r="I1657" s="29">
        <f>Table1[[#This Row],[Total Revenue]]/$H$5056*100</f>
        <v>3.3840299482830946E-2</v>
      </c>
      <c r="J1657" s="3" t="s">
        <v>15</v>
      </c>
      <c r="K1657" s="4">
        <v>8.3000000000000007</v>
      </c>
      <c r="M1657"/>
    </row>
    <row r="1658" spans="1:13" x14ac:dyDescent="0.25">
      <c r="A1658" s="3" t="s">
        <v>95</v>
      </c>
      <c r="B1658" s="3" t="s">
        <v>243</v>
      </c>
      <c r="C1658" s="3" t="s">
        <v>13</v>
      </c>
      <c r="D1658" s="3" t="s">
        <v>10</v>
      </c>
      <c r="E1658" s="5" t="s">
        <v>11</v>
      </c>
      <c r="F1658" s="17">
        <v>87.1</v>
      </c>
      <c r="G1658" s="3">
        <v>6</v>
      </c>
      <c r="H1658" s="17">
        <f>Table1[[#This Row],[Unit price]]*Table1[[#This Row],[Quantity]]</f>
        <v>522.59999999999991</v>
      </c>
      <c r="I1658" s="29">
        <f>Table1[[#This Row],[Total Revenue]]/$H$5056*100</f>
        <v>5.5445637414495388E-2</v>
      </c>
      <c r="J1658" s="3" t="s">
        <v>15</v>
      </c>
      <c r="K1658" s="4">
        <v>7.8</v>
      </c>
      <c r="M1658"/>
    </row>
    <row r="1659" spans="1:13" x14ac:dyDescent="0.25">
      <c r="A1659" s="3" t="s">
        <v>95</v>
      </c>
      <c r="B1659" s="3" t="s">
        <v>243</v>
      </c>
      <c r="C1659" s="3" t="s">
        <v>9</v>
      </c>
      <c r="D1659" s="3" t="s">
        <v>10</v>
      </c>
      <c r="E1659" s="5" t="s">
        <v>21</v>
      </c>
      <c r="F1659" s="17">
        <v>15.55</v>
      </c>
      <c r="G1659" s="3">
        <v>1</v>
      </c>
      <c r="H1659" s="17">
        <f>Table1[[#This Row],[Unit price]]*Table1[[#This Row],[Quantity]]</f>
        <v>15.55</v>
      </c>
      <c r="I1659" s="29">
        <f>Table1[[#This Row],[Total Revenue]]/$H$5056*100</f>
        <v>1.6497888668109519E-3</v>
      </c>
      <c r="J1659" s="3" t="s">
        <v>15</v>
      </c>
      <c r="K1659" s="4">
        <v>5.8</v>
      </c>
      <c r="M1659"/>
    </row>
    <row r="1660" spans="1:13" x14ac:dyDescent="0.25">
      <c r="A1660" s="3" t="s">
        <v>95</v>
      </c>
      <c r="B1660" s="3" t="s">
        <v>245</v>
      </c>
      <c r="C1660" s="3" t="s">
        <v>13</v>
      </c>
      <c r="D1660" s="3" t="s">
        <v>19</v>
      </c>
      <c r="E1660" s="5" t="s">
        <v>16</v>
      </c>
      <c r="F1660" s="17">
        <v>55.07</v>
      </c>
      <c r="G1660" s="3">
        <v>3</v>
      </c>
      <c r="H1660" s="17">
        <f>Table1[[#This Row],[Unit price]]*Table1[[#This Row],[Quantity]]</f>
        <v>165.21</v>
      </c>
      <c r="I1660" s="29">
        <f>Table1[[#This Row],[Total Revenue]]/$H$5056*100</f>
        <v>1.7528078372079575E-2</v>
      </c>
      <c r="J1660" s="3" t="s">
        <v>17</v>
      </c>
      <c r="K1660" s="4">
        <v>5.2</v>
      </c>
      <c r="M1660"/>
    </row>
    <row r="1661" spans="1:13" x14ac:dyDescent="0.25">
      <c r="A1661" s="3" t="s">
        <v>95</v>
      </c>
      <c r="B1661" s="3" t="s">
        <v>244</v>
      </c>
      <c r="C1661" s="3" t="s">
        <v>9</v>
      </c>
      <c r="D1661" s="3" t="s">
        <v>19</v>
      </c>
      <c r="E1661" s="5" t="s">
        <v>16</v>
      </c>
      <c r="F1661" s="17">
        <v>42.97</v>
      </c>
      <c r="G1661" s="3">
        <v>1</v>
      </c>
      <c r="H1661" s="17">
        <f>Table1[[#This Row],[Unit price]]*Table1[[#This Row],[Quantity]]</f>
        <v>42.97</v>
      </c>
      <c r="I1661" s="29">
        <f>Table1[[#This Row],[Total Revenue]]/$H$5056*100</f>
        <v>4.5589342512454408E-3</v>
      </c>
      <c r="J1661" s="3" t="s">
        <v>17</v>
      </c>
      <c r="K1661" s="4">
        <v>9.8000000000000007</v>
      </c>
      <c r="M1661"/>
    </row>
    <row r="1662" spans="1:13" x14ac:dyDescent="0.25">
      <c r="A1662" s="3" t="s">
        <v>95</v>
      </c>
      <c r="B1662" s="3" t="s">
        <v>244</v>
      </c>
      <c r="C1662" s="3" t="s">
        <v>9</v>
      </c>
      <c r="D1662" s="3" t="s">
        <v>10</v>
      </c>
      <c r="E1662" s="5" t="s">
        <v>20</v>
      </c>
      <c r="F1662" s="17">
        <v>30.12</v>
      </c>
      <c r="G1662" s="3">
        <v>4</v>
      </c>
      <c r="H1662" s="17">
        <f>Table1[[#This Row],[Unit price]]*Table1[[#This Row],[Quantity]]</f>
        <v>120.48</v>
      </c>
      <c r="I1662" s="29">
        <f>Table1[[#This Row],[Total Revenue]]/$H$5056*100</f>
        <v>1.2782415606005371E-2</v>
      </c>
      <c r="J1662" s="3" t="s">
        <v>17</v>
      </c>
      <c r="K1662" s="4">
        <v>7.9</v>
      </c>
      <c r="M1662"/>
    </row>
    <row r="1663" spans="1:13" x14ac:dyDescent="0.25">
      <c r="A1663" s="3" t="s">
        <v>95</v>
      </c>
      <c r="B1663" s="3" t="s">
        <v>244</v>
      </c>
      <c r="C1663" s="3" t="s">
        <v>9</v>
      </c>
      <c r="D1663" s="3" t="s">
        <v>19</v>
      </c>
      <c r="E1663" s="5" t="s">
        <v>11</v>
      </c>
      <c r="F1663" s="17">
        <v>14.87</v>
      </c>
      <c r="G1663" s="3">
        <v>1</v>
      </c>
      <c r="H1663" s="17">
        <f>Table1[[#This Row],[Unit price]]*Table1[[#This Row],[Quantity]]</f>
        <v>14.87</v>
      </c>
      <c r="I1663" s="29">
        <f>Table1[[#This Row],[Total Revenue]]/$H$5056*100</f>
        <v>1.5776437588089294E-3</v>
      </c>
      <c r="J1663" s="3" t="s">
        <v>17</v>
      </c>
      <c r="K1663" s="4">
        <v>6</v>
      </c>
      <c r="M1663"/>
    </row>
    <row r="1664" spans="1:13" x14ac:dyDescent="0.25">
      <c r="A1664" s="3" t="s">
        <v>95</v>
      </c>
      <c r="B1664" s="3" t="s">
        <v>244</v>
      </c>
      <c r="C1664" s="3" t="s">
        <v>13</v>
      </c>
      <c r="D1664" s="3" t="s">
        <v>19</v>
      </c>
      <c r="E1664" s="5" t="s">
        <v>11</v>
      </c>
      <c r="F1664" s="17">
        <v>27.66</v>
      </c>
      <c r="G1664" s="3">
        <v>5</v>
      </c>
      <c r="H1664" s="17">
        <f>Table1[[#This Row],[Unit price]]*Table1[[#This Row],[Quantity]]</f>
        <v>138.30000000000001</v>
      </c>
      <c r="I1664" s="29">
        <f>Table1[[#This Row],[Total Revenue]]/$H$5056*100</f>
        <v>1.4673041818646603E-2</v>
      </c>
      <c r="J1664" s="3" t="s">
        <v>17</v>
      </c>
      <c r="K1664" s="4">
        <v>8.3000000000000007</v>
      </c>
      <c r="M1664"/>
    </row>
    <row r="1665" spans="1:13" x14ac:dyDescent="0.25">
      <c r="A1665" s="3" t="s">
        <v>95</v>
      </c>
      <c r="B1665" s="3" t="s">
        <v>244</v>
      </c>
      <c r="C1665" s="3" t="s">
        <v>13</v>
      </c>
      <c r="D1665" s="3" t="s">
        <v>10</v>
      </c>
      <c r="E1665" s="5" t="s">
        <v>20</v>
      </c>
      <c r="F1665" s="17">
        <v>46.33</v>
      </c>
      <c r="G1665" s="3">
        <v>3</v>
      </c>
      <c r="H1665" s="17">
        <f>Table1[[#This Row],[Unit price]]*Table1[[#This Row],[Quantity]]</f>
        <v>138.99</v>
      </c>
      <c r="I1665" s="29">
        <f>Table1[[#This Row],[Total Revenue]]/$H$5056*100</f>
        <v>1.4746247884119242E-2</v>
      </c>
      <c r="J1665" s="3" t="s">
        <v>17</v>
      </c>
      <c r="K1665" s="4">
        <v>6.6</v>
      </c>
      <c r="M1665"/>
    </row>
    <row r="1666" spans="1:13" x14ac:dyDescent="0.25">
      <c r="A1666" s="3" t="s">
        <v>95</v>
      </c>
      <c r="B1666" s="3" t="s">
        <v>243</v>
      </c>
      <c r="C1666" s="3" t="s">
        <v>13</v>
      </c>
      <c r="D1666" s="3" t="s">
        <v>19</v>
      </c>
      <c r="E1666" s="5" t="s">
        <v>11</v>
      </c>
      <c r="F1666" s="17">
        <v>99.37</v>
      </c>
      <c r="G1666" s="3">
        <v>4</v>
      </c>
      <c r="H1666" s="17">
        <f>Table1[[#This Row],[Unit price]]*Table1[[#This Row],[Quantity]]</f>
        <v>397.48</v>
      </c>
      <c r="I1666" s="29">
        <f>Table1[[#This Row],[Total Revenue]]/$H$5056*100</f>
        <v>4.2170937542123296E-2</v>
      </c>
      <c r="J1666" s="3" t="s">
        <v>17</v>
      </c>
      <c r="K1666" s="4">
        <v>7.4</v>
      </c>
      <c r="M1666"/>
    </row>
    <row r="1667" spans="1:13" x14ac:dyDescent="0.25">
      <c r="A1667" s="3" t="s">
        <v>95</v>
      </c>
      <c r="B1667" s="3" t="s">
        <v>245</v>
      </c>
      <c r="C1667" s="3" t="s">
        <v>13</v>
      </c>
      <c r="D1667" s="3" t="s">
        <v>19</v>
      </c>
      <c r="E1667" s="5" t="s">
        <v>20</v>
      </c>
      <c r="F1667" s="17">
        <v>33.299999999999997</v>
      </c>
      <c r="G1667" s="3">
        <v>5</v>
      </c>
      <c r="H1667" s="17">
        <f>Table1[[#This Row],[Unit price]]*Table1[[#This Row],[Quantity]]</f>
        <v>166.5</v>
      </c>
      <c r="I1667" s="29">
        <f>Table1[[#This Row],[Total Revenue]]/$H$5056*100</f>
        <v>1.7664941885789293E-2</v>
      </c>
      <c r="J1667" s="3" t="s">
        <v>15</v>
      </c>
      <c r="K1667" s="4">
        <v>6.3</v>
      </c>
      <c r="M1667"/>
    </row>
    <row r="1668" spans="1:13" x14ac:dyDescent="0.25">
      <c r="A1668" s="3" t="s">
        <v>95</v>
      </c>
      <c r="B1668" s="3" t="s">
        <v>243</v>
      </c>
      <c r="C1668" s="3" t="s">
        <v>9</v>
      </c>
      <c r="D1668" s="3" t="s">
        <v>10</v>
      </c>
      <c r="E1668" s="5" t="s">
        <v>18</v>
      </c>
      <c r="F1668" s="17">
        <v>60.74</v>
      </c>
      <c r="G1668" s="3">
        <v>1</v>
      </c>
      <c r="H1668" s="17">
        <f>Table1[[#This Row],[Unit price]]*Table1[[#This Row],[Quantity]]</f>
        <v>60.74</v>
      </c>
      <c r="I1668" s="29">
        <f>Table1[[#This Row],[Total Revenue]]/$H$5056*100</f>
        <v>6.4442556765335838E-3</v>
      </c>
      <c r="J1668" s="3" t="s">
        <v>17</v>
      </c>
      <c r="K1668" s="4">
        <v>7.9</v>
      </c>
      <c r="M1668"/>
    </row>
    <row r="1669" spans="1:13" x14ac:dyDescent="0.25">
      <c r="A1669" s="3" t="s">
        <v>96</v>
      </c>
      <c r="B1669" s="3" t="s">
        <v>245</v>
      </c>
      <c r="C1669" s="3" t="s">
        <v>13</v>
      </c>
      <c r="D1669" s="3" t="s">
        <v>19</v>
      </c>
      <c r="E1669" s="5" t="s">
        <v>14</v>
      </c>
      <c r="F1669" s="17">
        <v>50.23</v>
      </c>
      <c r="G1669" s="3">
        <v>1</v>
      </c>
      <c r="H1669" s="17">
        <f>Table1[[#This Row],[Unit price]]*Table1[[#This Row],[Quantity]]</f>
        <v>50.23</v>
      </c>
      <c r="I1669" s="29">
        <f>Table1[[#This Row],[Total Revenue]]/$H$5056*100</f>
        <v>5.3291893749140909E-3</v>
      </c>
      <c r="J1669" s="3" t="s">
        <v>17</v>
      </c>
      <c r="K1669" s="4">
        <v>6.1</v>
      </c>
      <c r="M1669"/>
    </row>
    <row r="1670" spans="1:13" x14ac:dyDescent="0.25">
      <c r="A1670" s="3" t="s">
        <v>96</v>
      </c>
      <c r="B1670" s="3" t="s">
        <v>244</v>
      </c>
      <c r="C1670" s="3" t="s">
        <v>13</v>
      </c>
      <c r="D1670" s="3" t="s">
        <v>10</v>
      </c>
      <c r="E1670" s="5" t="s">
        <v>18</v>
      </c>
      <c r="F1670" s="17">
        <v>60.74</v>
      </c>
      <c r="G1670" s="3">
        <v>3</v>
      </c>
      <c r="H1670" s="17">
        <f>Table1[[#This Row],[Unit price]]*Table1[[#This Row],[Quantity]]</f>
        <v>182.22</v>
      </c>
      <c r="I1670" s="29">
        <f>Table1[[#This Row],[Total Revenue]]/$H$5056*100</f>
        <v>1.933276702960075E-2</v>
      </c>
      <c r="J1670" s="3" t="s">
        <v>17</v>
      </c>
      <c r="K1670" s="4">
        <v>7.7</v>
      </c>
      <c r="M1670"/>
    </row>
    <row r="1671" spans="1:13" x14ac:dyDescent="0.25">
      <c r="A1671" s="3" t="s">
        <v>96</v>
      </c>
      <c r="B1671" s="3" t="s">
        <v>243</v>
      </c>
      <c r="C1671" s="3" t="s">
        <v>13</v>
      </c>
      <c r="D1671" s="3" t="s">
        <v>19</v>
      </c>
      <c r="E1671" s="5" t="s">
        <v>11</v>
      </c>
      <c r="F1671" s="17">
        <v>52.2</v>
      </c>
      <c r="G1671" s="3">
        <v>1</v>
      </c>
      <c r="H1671" s="17">
        <f>Table1[[#This Row],[Unit price]]*Table1[[#This Row],[Quantity]]</f>
        <v>52.2</v>
      </c>
      <c r="I1671" s="29">
        <f>Table1[[#This Row],[Total Revenue]]/$H$5056*100</f>
        <v>5.5381979966258321E-3</v>
      </c>
      <c r="J1671" s="3" t="s">
        <v>17</v>
      </c>
      <c r="K1671" s="4">
        <v>6.9</v>
      </c>
      <c r="M1671"/>
    </row>
    <row r="1672" spans="1:13" x14ac:dyDescent="0.25">
      <c r="A1672" s="3" t="s">
        <v>96</v>
      </c>
      <c r="B1672" s="3" t="s">
        <v>243</v>
      </c>
      <c r="C1672" s="3" t="s">
        <v>13</v>
      </c>
      <c r="D1672" s="3" t="s">
        <v>10</v>
      </c>
      <c r="E1672" s="5" t="s">
        <v>11</v>
      </c>
      <c r="F1672" s="17">
        <v>77.400000000000006</v>
      </c>
      <c r="G1672" s="3">
        <v>2</v>
      </c>
      <c r="H1672" s="17">
        <f>Table1[[#This Row],[Unit price]]*Table1[[#This Row],[Quantity]]</f>
        <v>154.80000000000001</v>
      </c>
      <c r="I1672" s="29">
        <f>Table1[[#This Row],[Total Revenue]]/$H$5056*100</f>
        <v>1.642362164516626E-2</v>
      </c>
      <c r="J1672" s="3" t="s">
        <v>15</v>
      </c>
      <c r="K1672" s="4">
        <v>7.1</v>
      </c>
      <c r="M1672"/>
    </row>
    <row r="1673" spans="1:13" x14ac:dyDescent="0.25">
      <c r="A1673" s="3" t="s">
        <v>96</v>
      </c>
      <c r="B1673" s="3" t="s">
        <v>243</v>
      </c>
      <c r="C1673" s="3" t="s">
        <v>13</v>
      </c>
      <c r="D1673" s="3" t="s">
        <v>10</v>
      </c>
      <c r="E1673" s="5" t="s">
        <v>20</v>
      </c>
      <c r="F1673" s="17">
        <v>56.53</v>
      </c>
      <c r="G1673" s="3">
        <v>5</v>
      </c>
      <c r="H1673" s="17">
        <f>Table1[[#This Row],[Unit price]]*Table1[[#This Row],[Quantity]]</f>
        <v>282.64999999999998</v>
      </c>
      <c r="I1673" s="29">
        <f>Table1[[#This Row],[Total Revenue]]/$H$5056*100</f>
        <v>2.9987962907017076E-2</v>
      </c>
      <c r="J1673" s="3" t="s">
        <v>12</v>
      </c>
      <c r="K1673" s="4">
        <v>5.0999999999999996</v>
      </c>
      <c r="M1673"/>
    </row>
    <row r="1674" spans="1:13" x14ac:dyDescent="0.25">
      <c r="A1674" s="3" t="s">
        <v>96</v>
      </c>
      <c r="B1674" s="3" t="s">
        <v>244</v>
      </c>
      <c r="C1674" s="3" t="s">
        <v>13</v>
      </c>
      <c r="D1674" s="3" t="s">
        <v>19</v>
      </c>
      <c r="E1674" s="5" t="s">
        <v>11</v>
      </c>
      <c r="F1674" s="17">
        <v>67.099999999999994</v>
      </c>
      <c r="G1674" s="3">
        <v>1</v>
      </c>
      <c r="H1674" s="17">
        <f>Table1[[#This Row],[Unit price]]*Table1[[#This Row],[Quantity]]</f>
        <v>67.099999999999994</v>
      </c>
      <c r="I1674" s="29">
        <f>Table1[[#This Row],[Total Revenue]]/$H$5056*100</f>
        <v>7.1190246278466157E-3</v>
      </c>
      <c r="J1674" s="3" t="s">
        <v>12</v>
      </c>
      <c r="K1674" s="4">
        <v>9.8000000000000007</v>
      </c>
      <c r="M1674"/>
    </row>
    <row r="1675" spans="1:13" x14ac:dyDescent="0.25">
      <c r="A1675" s="3" t="s">
        <v>96</v>
      </c>
      <c r="B1675" s="3" t="s">
        <v>245</v>
      </c>
      <c r="C1675" s="3" t="s">
        <v>13</v>
      </c>
      <c r="D1675" s="3" t="s">
        <v>10</v>
      </c>
      <c r="E1675" s="5" t="s">
        <v>11</v>
      </c>
      <c r="F1675" s="17">
        <v>24.82</v>
      </c>
      <c r="G1675" s="3">
        <v>4</v>
      </c>
      <c r="H1675" s="17">
        <f>Table1[[#This Row],[Unit price]]*Table1[[#This Row],[Quantity]]</f>
        <v>99.28</v>
      </c>
      <c r="I1675" s="29">
        <f>Table1[[#This Row],[Total Revenue]]/$H$5056*100</f>
        <v>1.0533185768295261E-2</v>
      </c>
      <c r="J1675" s="3" t="s">
        <v>15</v>
      </c>
      <c r="K1675" s="4">
        <v>6.2</v>
      </c>
      <c r="M1675"/>
    </row>
    <row r="1676" spans="1:13" x14ac:dyDescent="0.25">
      <c r="A1676" s="3" t="s">
        <v>96</v>
      </c>
      <c r="B1676" s="3" t="s">
        <v>243</v>
      </c>
      <c r="C1676" s="3" t="s">
        <v>9</v>
      </c>
      <c r="D1676" s="3" t="s">
        <v>10</v>
      </c>
      <c r="E1676" s="5" t="s">
        <v>18</v>
      </c>
      <c r="F1676" s="17">
        <v>60.74</v>
      </c>
      <c r="G1676" s="3">
        <v>2</v>
      </c>
      <c r="H1676" s="17">
        <f>Table1[[#This Row],[Unit price]]*Table1[[#This Row],[Quantity]]</f>
        <v>121.48</v>
      </c>
      <c r="I1676" s="29">
        <f>Table1[[#This Row],[Total Revenue]]/$H$5056*100</f>
        <v>1.2888511353067168E-2</v>
      </c>
      <c r="J1676" s="3" t="s">
        <v>15</v>
      </c>
      <c r="K1676" s="4">
        <v>6.7</v>
      </c>
      <c r="M1676"/>
    </row>
    <row r="1677" spans="1:13" x14ac:dyDescent="0.25">
      <c r="A1677" s="3" t="s">
        <v>96</v>
      </c>
      <c r="B1677" s="3" t="s">
        <v>244</v>
      </c>
      <c r="C1677" s="3" t="s">
        <v>13</v>
      </c>
      <c r="D1677" s="3" t="s">
        <v>10</v>
      </c>
      <c r="E1677" s="5" t="s">
        <v>11</v>
      </c>
      <c r="F1677" s="17">
        <v>80.959999999999994</v>
      </c>
      <c r="G1677" s="3">
        <v>4</v>
      </c>
      <c r="H1677" s="17">
        <f>Table1[[#This Row],[Unit price]]*Table1[[#This Row],[Quantity]]</f>
        <v>323.83999999999997</v>
      </c>
      <c r="I1677" s="29">
        <f>Table1[[#This Row],[Total Revenue]]/$H$5056*100</f>
        <v>3.435804672849252E-2</v>
      </c>
      <c r="J1677" s="3" t="s">
        <v>17</v>
      </c>
      <c r="K1677" s="4">
        <v>7</v>
      </c>
      <c r="M1677"/>
    </row>
    <row r="1678" spans="1:13" x14ac:dyDescent="0.25">
      <c r="A1678" s="3" t="s">
        <v>96</v>
      </c>
      <c r="B1678" s="3" t="s">
        <v>243</v>
      </c>
      <c r="C1678" s="3" t="s">
        <v>9</v>
      </c>
      <c r="D1678" s="3" t="s">
        <v>19</v>
      </c>
      <c r="E1678" s="5" t="s">
        <v>20</v>
      </c>
      <c r="F1678" s="17">
        <v>12.12</v>
      </c>
      <c r="G1678" s="3">
        <v>2</v>
      </c>
      <c r="H1678" s="17">
        <f>Table1[[#This Row],[Unit price]]*Table1[[#This Row],[Quantity]]</f>
        <v>24.24</v>
      </c>
      <c r="I1678" s="29">
        <f>Table1[[#This Row],[Total Revenue]]/$H$5056*100</f>
        <v>2.5717609087779728E-3</v>
      </c>
      <c r="J1678" s="3" t="s">
        <v>15</v>
      </c>
      <c r="K1678" s="4">
        <v>8.6</v>
      </c>
      <c r="M1678"/>
    </row>
    <row r="1679" spans="1:13" x14ac:dyDescent="0.25">
      <c r="A1679" s="3" t="s">
        <v>96</v>
      </c>
      <c r="B1679" s="3" t="s">
        <v>245</v>
      </c>
      <c r="C1679" s="3" t="s">
        <v>13</v>
      </c>
      <c r="D1679" s="3" t="s">
        <v>10</v>
      </c>
      <c r="E1679" s="5" t="s">
        <v>11</v>
      </c>
      <c r="F1679" s="17">
        <v>32.9</v>
      </c>
      <c r="G1679" s="3">
        <v>2</v>
      </c>
      <c r="H1679" s="17">
        <f>Table1[[#This Row],[Unit price]]*Table1[[#This Row],[Quantity]]</f>
        <v>65.8</v>
      </c>
      <c r="I1679" s="29">
        <f>Table1[[#This Row],[Total Revenue]]/$H$5056*100</f>
        <v>6.9811001566662785E-3</v>
      </c>
      <c r="J1679" s="3" t="s">
        <v>17</v>
      </c>
      <c r="K1679" s="4">
        <v>8.8000000000000007</v>
      </c>
      <c r="M1679"/>
    </row>
    <row r="1680" spans="1:13" x14ac:dyDescent="0.25">
      <c r="A1680" s="3" t="s">
        <v>96</v>
      </c>
      <c r="B1680" s="3" t="s">
        <v>244</v>
      </c>
      <c r="C1680" s="3" t="s">
        <v>13</v>
      </c>
      <c r="D1680" s="3" t="s">
        <v>10</v>
      </c>
      <c r="E1680" s="5" t="s">
        <v>14</v>
      </c>
      <c r="F1680" s="17">
        <v>79.59</v>
      </c>
      <c r="G1680" s="3">
        <v>2</v>
      </c>
      <c r="H1680" s="17">
        <f>Table1[[#This Row],[Unit price]]*Table1[[#This Row],[Quantity]]</f>
        <v>159.18</v>
      </c>
      <c r="I1680" s="29">
        <f>Table1[[#This Row],[Total Revenue]]/$H$5056*100</f>
        <v>1.6888321017296936E-2</v>
      </c>
      <c r="J1680" s="3" t="s">
        <v>15</v>
      </c>
      <c r="K1680" s="4">
        <v>7.1</v>
      </c>
      <c r="M1680"/>
    </row>
    <row r="1681" spans="1:13" x14ac:dyDescent="0.25">
      <c r="A1681" s="3" t="s">
        <v>96</v>
      </c>
      <c r="B1681" s="3" t="s">
        <v>243</v>
      </c>
      <c r="C1681" s="3" t="s">
        <v>9</v>
      </c>
      <c r="D1681" s="3" t="s">
        <v>19</v>
      </c>
      <c r="E1681" s="5" t="s">
        <v>14</v>
      </c>
      <c r="F1681" s="17">
        <v>96.37</v>
      </c>
      <c r="G1681" s="3">
        <v>1</v>
      </c>
      <c r="H1681" s="17">
        <f>Table1[[#This Row],[Unit price]]*Table1[[#This Row],[Quantity]]</f>
        <v>96.37</v>
      </c>
      <c r="I1681" s="29">
        <f>Table1[[#This Row],[Total Revenue]]/$H$5056*100</f>
        <v>1.0224447144345431E-2</v>
      </c>
      <c r="J1681" s="3" t="s">
        <v>12</v>
      </c>
      <c r="K1681" s="4">
        <v>6.7</v>
      </c>
      <c r="M1681"/>
    </row>
    <row r="1682" spans="1:13" x14ac:dyDescent="0.25">
      <c r="A1682" s="3" t="s">
        <v>96</v>
      </c>
      <c r="B1682" s="3" t="s">
        <v>245</v>
      </c>
      <c r="C1682" s="3" t="s">
        <v>13</v>
      </c>
      <c r="D1682" s="3" t="s">
        <v>10</v>
      </c>
      <c r="E1682" s="5" t="s">
        <v>20</v>
      </c>
      <c r="F1682" s="17">
        <v>95.46</v>
      </c>
      <c r="G1682" s="3">
        <v>3</v>
      </c>
      <c r="H1682" s="17">
        <f>Table1[[#This Row],[Unit price]]*Table1[[#This Row],[Quantity]]</f>
        <v>286.38</v>
      </c>
      <c r="I1682" s="29">
        <f>Table1[[#This Row],[Total Revenue]]/$H$5056*100</f>
        <v>3.0383700043557584E-2</v>
      </c>
      <c r="J1682" s="3" t="s">
        <v>15</v>
      </c>
      <c r="K1682" s="4">
        <v>4.7</v>
      </c>
      <c r="M1682"/>
    </row>
    <row r="1683" spans="1:13" x14ac:dyDescent="0.25">
      <c r="A1683" s="3" t="s">
        <v>96</v>
      </c>
      <c r="B1683" s="3" t="s">
        <v>244</v>
      </c>
      <c r="C1683" s="3" t="s">
        <v>13</v>
      </c>
      <c r="D1683" s="3" t="s">
        <v>10</v>
      </c>
      <c r="E1683" s="5" t="s">
        <v>11</v>
      </c>
      <c r="F1683" s="17">
        <v>71.39</v>
      </c>
      <c r="G1683" s="3">
        <v>1</v>
      </c>
      <c r="H1683" s="17">
        <f>Table1[[#This Row],[Unit price]]*Table1[[#This Row],[Quantity]]</f>
        <v>71.39</v>
      </c>
      <c r="I1683" s="29">
        <f>Table1[[#This Row],[Total Revenue]]/$H$5056*100</f>
        <v>7.574175382741727E-3</v>
      </c>
      <c r="J1683" s="3" t="s">
        <v>15</v>
      </c>
      <c r="K1683" s="4">
        <v>8.4</v>
      </c>
      <c r="M1683"/>
    </row>
    <row r="1684" spans="1:13" x14ac:dyDescent="0.25">
      <c r="A1684" s="3" t="s">
        <v>96</v>
      </c>
      <c r="B1684" s="3" t="s">
        <v>244</v>
      </c>
      <c r="C1684" s="3" t="s">
        <v>9</v>
      </c>
      <c r="D1684" s="3" t="s">
        <v>19</v>
      </c>
      <c r="E1684" s="5" t="s">
        <v>21</v>
      </c>
      <c r="F1684" s="17">
        <v>81.3</v>
      </c>
      <c r="G1684" s="3">
        <v>2</v>
      </c>
      <c r="H1684" s="17">
        <f>Table1[[#This Row],[Unit price]]*Table1[[#This Row],[Quantity]]</f>
        <v>162.6</v>
      </c>
      <c r="I1684" s="29">
        <f>Table1[[#This Row],[Total Revenue]]/$H$5056*100</f>
        <v>1.7251168472248283E-2</v>
      </c>
      <c r="J1684" s="3" t="s">
        <v>15</v>
      </c>
      <c r="K1684" s="4">
        <v>8.9</v>
      </c>
      <c r="M1684"/>
    </row>
    <row r="1685" spans="1:13" x14ac:dyDescent="0.25">
      <c r="A1685" s="3" t="s">
        <v>96</v>
      </c>
      <c r="B1685" s="3" t="s">
        <v>245</v>
      </c>
      <c r="C1685" s="3" t="s">
        <v>13</v>
      </c>
      <c r="D1685" s="3" t="s">
        <v>19</v>
      </c>
      <c r="E1685" s="5" t="s">
        <v>11</v>
      </c>
      <c r="F1685" s="17">
        <v>98.66</v>
      </c>
      <c r="G1685" s="3">
        <v>1</v>
      </c>
      <c r="H1685" s="17">
        <f>Table1[[#This Row],[Unit price]]*Table1[[#This Row],[Quantity]]</f>
        <v>98.66</v>
      </c>
      <c r="I1685" s="29">
        <f>Table1[[#This Row],[Total Revenue]]/$H$5056*100</f>
        <v>1.0467406405116945E-2</v>
      </c>
      <c r="J1685" s="3" t="s">
        <v>12</v>
      </c>
      <c r="K1685" s="4">
        <v>7.7</v>
      </c>
      <c r="M1685"/>
    </row>
    <row r="1686" spans="1:13" x14ac:dyDescent="0.25">
      <c r="A1686" s="3" t="s">
        <v>96</v>
      </c>
      <c r="B1686" s="3" t="s">
        <v>245</v>
      </c>
      <c r="C1686" s="3" t="s">
        <v>13</v>
      </c>
      <c r="D1686" s="3" t="s">
        <v>10</v>
      </c>
      <c r="E1686" s="5" t="s">
        <v>11</v>
      </c>
      <c r="F1686" s="17">
        <v>41.24</v>
      </c>
      <c r="G1686" s="3">
        <v>1</v>
      </c>
      <c r="H1686" s="17">
        <f>Table1[[#This Row],[Unit price]]*Table1[[#This Row],[Quantity]]</f>
        <v>41.24</v>
      </c>
      <c r="I1686" s="29">
        <f>Table1[[#This Row],[Total Revenue]]/$H$5056*100</f>
        <v>4.375388608828531E-3</v>
      </c>
      <c r="J1686" s="3" t="s">
        <v>15</v>
      </c>
      <c r="K1686" s="4">
        <v>6.6</v>
      </c>
      <c r="M1686"/>
    </row>
    <row r="1687" spans="1:13" x14ac:dyDescent="0.25">
      <c r="A1687" s="3" t="s">
        <v>96</v>
      </c>
      <c r="B1687" s="3" t="s">
        <v>243</v>
      </c>
      <c r="C1687" s="3" t="s">
        <v>13</v>
      </c>
      <c r="D1687" s="3" t="s">
        <v>19</v>
      </c>
      <c r="E1687" s="5" t="s">
        <v>21</v>
      </c>
      <c r="F1687" s="17">
        <v>46.26</v>
      </c>
      <c r="G1687" s="3">
        <v>2</v>
      </c>
      <c r="H1687" s="17">
        <f>Table1[[#This Row],[Unit price]]*Table1[[#This Row],[Quantity]]</f>
        <v>92.52</v>
      </c>
      <c r="I1687" s="29">
        <f>Table1[[#This Row],[Total Revenue]]/$H$5056*100</f>
        <v>9.8159785181575095E-3</v>
      </c>
      <c r="J1687" s="3" t="s">
        <v>17</v>
      </c>
      <c r="K1687" s="4">
        <v>7</v>
      </c>
      <c r="M1687"/>
    </row>
    <row r="1688" spans="1:13" x14ac:dyDescent="0.25">
      <c r="A1688" s="3" t="s">
        <v>97</v>
      </c>
      <c r="B1688" s="3" t="s">
        <v>245</v>
      </c>
      <c r="C1688" s="3" t="s">
        <v>9</v>
      </c>
      <c r="D1688" s="3" t="s">
        <v>10</v>
      </c>
      <c r="E1688" s="5" t="s">
        <v>20</v>
      </c>
      <c r="F1688" s="17">
        <v>82.7</v>
      </c>
      <c r="G1688" s="3">
        <v>1</v>
      </c>
      <c r="H1688" s="17">
        <f>Table1[[#This Row],[Unit price]]*Table1[[#This Row],[Quantity]]</f>
        <v>82.7</v>
      </c>
      <c r="I1688" s="29">
        <f>Table1[[#This Row],[Total Revenue]]/$H$5056*100</f>
        <v>8.7741182820106588E-3</v>
      </c>
      <c r="J1688" s="3" t="s">
        <v>15</v>
      </c>
      <c r="K1688" s="4">
        <v>7.2</v>
      </c>
      <c r="M1688"/>
    </row>
    <row r="1689" spans="1:13" x14ac:dyDescent="0.25">
      <c r="A1689" s="3" t="s">
        <v>97</v>
      </c>
      <c r="B1689" s="3" t="s">
        <v>243</v>
      </c>
      <c r="C1689" s="3" t="s">
        <v>9</v>
      </c>
      <c r="D1689" s="3" t="s">
        <v>10</v>
      </c>
      <c r="E1689" s="5" t="s">
        <v>16</v>
      </c>
      <c r="F1689" s="17">
        <v>73.95</v>
      </c>
      <c r="G1689" s="3">
        <v>2</v>
      </c>
      <c r="H1689" s="17">
        <f>Table1[[#This Row],[Unit price]]*Table1[[#This Row],[Quantity]]</f>
        <v>147.9</v>
      </c>
      <c r="I1689" s="29">
        <f>Table1[[#This Row],[Total Revenue]]/$H$5056*100</f>
        <v>1.5691560990439859E-2</v>
      </c>
      <c r="J1689" s="3" t="s">
        <v>17</v>
      </c>
      <c r="K1689" s="4">
        <v>8.1999999999999993</v>
      </c>
      <c r="M1689"/>
    </row>
    <row r="1690" spans="1:13" x14ac:dyDescent="0.25">
      <c r="A1690" s="3" t="s">
        <v>97</v>
      </c>
      <c r="B1690" s="3" t="s">
        <v>244</v>
      </c>
      <c r="C1690" s="3" t="s">
        <v>13</v>
      </c>
      <c r="D1690" s="3" t="s">
        <v>10</v>
      </c>
      <c r="E1690" s="5" t="s">
        <v>16</v>
      </c>
      <c r="F1690" s="17">
        <v>49.33</v>
      </c>
      <c r="G1690" s="3">
        <v>1</v>
      </c>
      <c r="H1690" s="17">
        <f>Table1[[#This Row],[Unit price]]*Table1[[#This Row],[Quantity]]</f>
        <v>49.33</v>
      </c>
      <c r="I1690" s="29">
        <f>Table1[[#This Row],[Total Revenue]]/$H$5056*100</f>
        <v>5.2337032025584727E-3</v>
      </c>
      <c r="J1690" s="3" t="s">
        <v>17</v>
      </c>
      <c r="K1690" s="4">
        <v>8.5</v>
      </c>
      <c r="M1690"/>
    </row>
    <row r="1691" spans="1:13" x14ac:dyDescent="0.25">
      <c r="A1691" s="3" t="s">
        <v>97</v>
      </c>
      <c r="B1691" s="3" t="s">
        <v>244</v>
      </c>
      <c r="C1691" s="3" t="s">
        <v>9</v>
      </c>
      <c r="D1691" s="3" t="s">
        <v>10</v>
      </c>
      <c r="E1691" s="5" t="s">
        <v>16</v>
      </c>
      <c r="F1691" s="17">
        <v>73.97</v>
      </c>
      <c r="G1691" s="3">
        <v>3</v>
      </c>
      <c r="H1691" s="17">
        <f>Table1[[#This Row],[Unit price]]*Table1[[#This Row],[Quantity]]</f>
        <v>221.91</v>
      </c>
      <c r="I1691" s="29">
        <f>Table1[[#This Row],[Total Revenue]]/$H$5056*100</f>
        <v>2.3543707230483497E-2</v>
      </c>
      <c r="J1691" s="3" t="s">
        <v>12</v>
      </c>
      <c r="K1691" s="4">
        <v>8</v>
      </c>
      <c r="M1691"/>
    </row>
    <row r="1692" spans="1:13" x14ac:dyDescent="0.25">
      <c r="A1692" s="3" t="s">
        <v>97</v>
      </c>
      <c r="B1692" s="3" t="s">
        <v>243</v>
      </c>
      <c r="C1692" s="3" t="s">
        <v>13</v>
      </c>
      <c r="D1692" s="3" t="s">
        <v>10</v>
      </c>
      <c r="E1692" s="5" t="s">
        <v>11</v>
      </c>
      <c r="F1692" s="17">
        <v>54.84</v>
      </c>
      <c r="G1692" s="3">
        <v>6</v>
      </c>
      <c r="H1692" s="17">
        <f>Table1[[#This Row],[Unit price]]*Table1[[#This Row],[Quantity]]</f>
        <v>329.04</v>
      </c>
      <c r="I1692" s="29">
        <f>Table1[[#This Row],[Total Revenue]]/$H$5056*100</f>
        <v>3.4909744613213868E-2</v>
      </c>
      <c r="J1692" s="3" t="s">
        <v>12</v>
      </c>
      <c r="K1692" s="4">
        <v>8.5</v>
      </c>
      <c r="M1692"/>
    </row>
    <row r="1693" spans="1:13" x14ac:dyDescent="0.25">
      <c r="A1693" s="3" t="s">
        <v>97</v>
      </c>
      <c r="B1693" s="3" t="s">
        <v>244</v>
      </c>
      <c r="C1693" s="3" t="s">
        <v>13</v>
      </c>
      <c r="D1693" s="3" t="s">
        <v>19</v>
      </c>
      <c r="E1693" s="5" t="s">
        <v>16</v>
      </c>
      <c r="F1693" s="17">
        <v>43.06</v>
      </c>
      <c r="G1693" s="3">
        <v>3</v>
      </c>
      <c r="H1693" s="17">
        <f>Table1[[#This Row],[Unit price]]*Table1[[#This Row],[Quantity]]</f>
        <v>129.18</v>
      </c>
      <c r="I1693" s="29">
        <f>Table1[[#This Row],[Total Revenue]]/$H$5056*100</f>
        <v>1.3705448605443009E-2</v>
      </c>
      <c r="J1693" s="3" t="s">
        <v>12</v>
      </c>
      <c r="K1693" s="4">
        <v>6.6</v>
      </c>
      <c r="M1693"/>
    </row>
    <row r="1694" spans="1:13" x14ac:dyDescent="0.25">
      <c r="A1694" s="3" t="s">
        <v>97</v>
      </c>
      <c r="B1694" s="3" t="s">
        <v>243</v>
      </c>
      <c r="C1694" s="3" t="s">
        <v>13</v>
      </c>
      <c r="D1694" s="3" t="s">
        <v>10</v>
      </c>
      <c r="E1694" s="5" t="s">
        <v>11</v>
      </c>
      <c r="F1694" s="17">
        <v>39.9</v>
      </c>
      <c r="G1694" s="3">
        <v>4</v>
      </c>
      <c r="H1694" s="17">
        <f>Table1[[#This Row],[Unit price]]*Table1[[#This Row],[Quantity]]</f>
        <v>159.6</v>
      </c>
      <c r="I1694" s="29">
        <f>Table1[[#This Row],[Total Revenue]]/$H$5056*100</f>
        <v>1.6932881231062888E-2</v>
      </c>
      <c r="J1694" s="3" t="s">
        <v>17</v>
      </c>
      <c r="K1694" s="4">
        <v>8.3000000000000007</v>
      </c>
      <c r="M1694"/>
    </row>
    <row r="1695" spans="1:13" x14ac:dyDescent="0.25">
      <c r="A1695" s="3" t="s">
        <v>97</v>
      </c>
      <c r="B1695" s="3" t="s">
        <v>244</v>
      </c>
      <c r="C1695" s="3" t="s">
        <v>9</v>
      </c>
      <c r="D1695" s="3" t="s">
        <v>10</v>
      </c>
      <c r="E1695" s="5" t="s">
        <v>16</v>
      </c>
      <c r="F1695" s="17">
        <v>16.489999999999998</v>
      </c>
      <c r="G1695" s="3">
        <v>1</v>
      </c>
      <c r="H1695" s="17">
        <f>Table1[[#This Row],[Unit price]]*Table1[[#This Row],[Quantity]]</f>
        <v>16.489999999999998</v>
      </c>
      <c r="I1695" s="29">
        <f>Table1[[#This Row],[Total Revenue]]/$H$5056*100</f>
        <v>1.7495188690490415E-3</v>
      </c>
      <c r="J1695" s="3" t="s">
        <v>17</v>
      </c>
      <c r="K1695" s="4">
        <v>8.1999999999999993</v>
      </c>
      <c r="M1695"/>
    </row>
    <row r="1696" spans="1:13" x14ac:dyDescent="0.25">
      <c r="A1696" s="3" t="s">
        <v>97</v>
      </c>
      <c r="B1696" s="3" t="s">
        <v>243</v>
      </c>
      <c r="C1696" s="3" t="s">
        <v>9</v>
      </c>
      <c r="D1696" s="3" t="s">
        <v>10</v>
      </c>
      <c r="E1696" s="5" t="s">
        <v>11</v>
      </c>
      <c r="F1696" s="17">
        <v>60.3</v>
      </c>
      <c r="G1696" s="3">
        <v>3</v>
      </c>
      <c r="H1696" s="17">
        <f>Table1[[#This Row],[Unit price]]*Table1[[#This Row],[Quantity]]</f>
        <v>180.89999999999998</v>
      </c>
      <c r="I1696" s="29">
        <f>Table1[[#This Row],[Total Revenue]]/$H$5056*100</f>
        <v>1.9192720643479176E-2</v>
      </c>
      <c r="J1696" s="3" t="s">
        <v>15</v>
      </c>
      <c r="K1696" s="4">
        <v>8.5</v>
      </c>
      <c r="M1696"/>
    </row>
    <row r="1697" spans="1:13" x14ac:dyDescent="0.25">
      <c r="A1697" s="3" t="s">
        <v>97</v>
      </c>
      <c r="B1697" s="3" t="s">
        <v>243</v>
      </c>
      <c r="C1697" s="3" t="s">
        <v>9</v>
      </c>
      <c r="D1697" s="3" t="s">
        <v>19</v>
      </c>
      <c r="E1697" s="5" t="s">
        <v>14</v>
      </c>
      <c r="F1697" s="17">
        <v>74.790000000000006</v>
      </c>
      <c r="G1697" s="3">
        <v>2</v>
      </c>
      <c r="H1697" s="17">
        <f>Table1[[#This Row],[Unit price]]*Table1[[#This Row],[Quantity]]</f>
        <v>149.58000000000001</v>
      </c>
      <c r="I1697" s="29">
        <f>Table1[[#This Row],[Total Revenue]]/$H$5056*100</f>
        <v>1.586980184550368E-2</v>
      </c>
      <c r="J1697" s="3" t="s">
        <v>12</v>
      </c>
      <c r="K1697" s="4">
        <v>6.9</v>
      </c>
      <c r="M1697"/>
    </row>
    <row r="1698" spans="1:13" x14ac:dyDescent="0.25">
      <c r="A1698" s="3" t="s">
        <v>97</v>
      </c>
      <c r="B1698" s="3" t="s">
        <v>243</v>
      </c>
      <c r="C1698" s="3" t="s">
        <v>13</v>
      </c>
      <c r="D1698" s="3" t="s">
        <v>19</v>
      </c>
      <c r="E1698" s="5" t="s">
        <v>21</v>
      </c>
      <c r="F1698" s="17">
        <v>51.71</v>
      </c>
      <c r="G1698" s="3">
        <v>4</v>
      </c>
      <c r="H1698" s="17">
        <f>Table1[[#This Row],[Unit price]]*Table1[[#This Row],[Quantity]]</f>
        <v>206.84</v>
      </c>
      <c r="I1698" s="29">
        <f>Table1[[#This Row],[Total Revenue]]/$H$5056*100</f>
        <v>2.1944844322262205E-2</v>
      </c>
      <c r="J1698" s="3" t="s">
        <v>15</v>
      </c>
      <c r="K1698" s="4">
        <v>9.8000000000000007</v>
      </c>
      <c r="M1698"/>
    </row>
    <row r="1699" spans="1:13" x14ac:dyDescent="0.25">
      <c r="A1699" s="3" t="s">
        <v>98</v>
      </c>
      <c r="B1699" s="3" t="s">
        <v>243</v>
      </c>
      <c r="C1699" s="3" t="s">
        <v>13</v>
      </c>
      <c r="D1699" s="3" t="s">
        <v>10</v>
      </c>
      <c r="E1699" s="5" t="s">
        <v>14</v>
      </c>
      <c r="F1699" s="17">
        <v>13.78</v>
      </c>
      <c r="G1699" s="3">
        <v>1</v>
      </c>
      <c r="H1699" s="17">
        <f>Table1[[#This Row],[Unit price]]*Table1[[#This Row],[Quantity]]</f>
        <v>13.78</v>
      </c>
      <c r="I1699" s="29">
        <f>Table1[[#This Row],[Total Revenue]]/$H$5056*100</f>
        <v>1.4619993945115702E-3</v>
      </c>
      <c r="J1699" s="3" t="s">
        <v>12</v>
      </c>
      <c r="K1699" s="4">
        <v>8.4</v>
      </c>
      <c r="M1699"/>
    </row>
    <row r="1700" spans="1:13" x14ac:dyDescent="0.25">
      <c r="A1700" s="3" t="s">
        <v>98</v>
      </c>
      <c r="B1700" s="3" t="s">
        <v>243</v>
      </c>
      <c r="C1700" s="3" t="s">
        <v>13</v>
      </c>
      <c r="D1700" s="3" t="s">
        <v>10</v>
      </c>
      <c r="E1700" s="5" t="s">
        <v>11</v>
      </c>
      <c r="F1700" s="17">
        <v>92.29</v>
      </c>
      <c r="G1700" s="3">
        <v>2</v>
      </c>
      <c r="H1700" s="17">
        <f>Table1[[#This Row],[Unit price]]*Table1[[#This Row],[Quantity]]</f>
        <v>184.58</v>
      </c>
      <c r="I1700" s="29">
        <f>Table1[[#This Row],[Total Revenue]]/$H$5056*100</f>
        <v>1.9583152992666594E-2</v>
      </c>
      <c r="J1700" s="3" t="s">
        <v>12</v>
      </c>
      <c r="K1700" s="4">
        <v>7</v>
      </c>
      <c r="M1700"/>
    </row>
    <row r="1701" spans="1:13" x14ac:dyDescent="0.25">
      <c r="A1701" s="3" t="s">
        <v>98</v>
      </c>
      <c r="B1701" s="3" t="s">
        <v>244</v>
      </c>
      <c r="C1701" s="3" t="s">
        <v>13</v>
      </c>
      <c r="D1701" s="3" t="s">
        <v>19</v>
      </c>
      <c r="E1701" s="5" t="s">
        <v>21</v>
      </c>
      <c r="F1701" s="17">
        <v>51.94</v>
      </c>
      <c r="G1701" s="3">
        <v>3</v>
      </c>
      <c r="H1701" s="17">
        <f>Table1[[#This Row],[Unit price]]*Table1[[#This Row],[Quantity]]</f>
        <v>155.82</v>
      </c>
      <c r="I1701" s="29">
        <f>Table1[[#This Row],[Total Revenue]]/$H$5056*100</f>
        <v>1.6531839307169293E-2</v>
      </c>
      <c r="J1701" s="3" t="s">
        <v>17</v>
      </c>
      <c r="K1701" s="4">
        <v>6.2</v>
      </c>
      <c r="M1701"/>
    </row>
    <row r="1702" spans="1:13" x14ac:dyDescent="0.25">
      <c r="A1702" s="3" t="s">
        <v>98</v>
      </c>
      <c r="B1702" s="3" t="s">
        <v>243</v>
      </c>
      <c r="C1702" s="3" t="s">
        <v>9</v>
      </c>
      <c r="D1702" s="3" t="s">
        <v>10</v>
      </c>
      <c r="E1702" s="5" t="s">
        <v>21</v>
      </c>
      <c r="F1702" s="17">
        <v>81.95</v>
      </c>
      <c r="G1702" s="3">
        <v>3</v>
      </c>
      <c r="H1702" s="17">
        <f>Table1[[#This Row],[Unit price]]*Table1[[#This Row],[Quantity]]</f>
        <v>245.85000000000002</v>
      </c>
      <c r="I1702" s="29">
        <f>Table1[[#This Row],[Total Revenue]]/$H$5056*100</f>
        <v>2.6083639415142929E-2</v>
      </c>
      <c r="J1702" s="3" t="s">
        <v>17</v>
      </c>
      <c r="K1702" s="4">
        <v>6.9</v>
      </c>
      <c r="M1702"/>
    </row>
    <row r="1703" spans="1:13" x14ac:dyDescent="0.25">
      <c r="A1703" s="3" t="s">
        <v>98</v>
      </c>
      <c r="B1703" s="3" t="s">
        <v>244</v>
      </c>
      <c r="C1703" s="3" t="s">
        <v>13</v>
      </c>
      <c r="D1703" s="3" t="s">
        <v>10</v>
      </c>
      <c r="E1703" s="5" t="s">
        <v>11</v>
      </c>
      <c r="F1703" s="17">
        <v>57.74</v>
      </c>
      <c r="G1703" s="3">
        <v>2</v>
      </c>
      <c r="H1703" s="17">
        <f>Table1[[#This Row],[Unit price]]*Table1[[#This Row],[Quantity]]</f>
        <v>115.48</v>
      </c>
      <c r="I1703" s="29">
        <f>Table1[[#This Row],[Total Revenue]]/$H$5056*100</f>
        <v>1.2251936870696383E-2</v>
      </c>
      <c r="J1703" s="3" t="s">
        <v>15</v>
      </c>
      <c r="K1703" s="4">
        <v>7.9</v>
      </c>
      <c r="M1703"/>
    </row>
    <row r="1704" spans="1:13" x14ac:dyDescent="0.25">
      <c r="A1704" s="3" t="s">
        <v>98</v>
      </c>
      <c r="B1704" s="3" t="s">
        <v>244</v>
      </c>
      <c r="C1704" s="3" t="s">
        <v>9</v>
      </c>
      <c r="D1704" s="3" t="s">
        <v>10</v>
      </c>
      <c r="E1704" s="5" t="s">
        <v>11</v>
      </c>
      <c r="F1704" s="17">
        <v>30.41</v>
      </c>
      <c r="G1704" s="3">
        <v>4</v>
      </c>
      <c r="H1704" s="17">
        <f>Table1[[#This Row],[Unit price]]*Table1[[#This Row],[Quantity]]</f>
        <v>121.64</v>
      </c>
      <c r="I1704" s="29">
        <f>Table1[[#This Row],[Total Revenue]]/$H$5056*100</f>
        <v>1.2905486672597053E-2</v>
      </c>
      <c r="J1704" s="3" t="s">
        <v>12</v>
      </c>
      <c r="K1704" s="4">
        <v>6.1</v>
      </c>
      <c r="M1704"/>
    </row>
    <row r="1705" spans="1:13" x14ac:dyDescent="0.25">
      <c r="A1705" s="3" t="s">
        <v>98</v>
      </c>
      <c r="B1705" s="3" t="s">
        <v>243</v>
      </c>
      <c r="C1705" s="3" t="s">
        <v>9</v>
      </c>
      <c r="D1705" s="3" t="s">
        <v>19</v>
      </c>
      <c r="E1705" s="5" t="s">
        <v>21</v>
      </c>
      <c r="F1705" s="17">
        <v>68.930000000000007</v>
      </c>
      <c r="G1705" s="3">
        <v>2</v>
      </c>
      <c r="H1705" s="17">
        <f>Table1[[#This Row],[Unit price]]*Table1[[#This Row],[Quantity]]</f>
        <v>137.86000000000001</v>
      </c>
      <c r="I1705" s="29">
        <f>Table1[[#This Row],[Total Revenue]]/$H$5056*100</f>
        <v>1.4626359689939413E-2</v>
      </c>
      <c r="J1705" s="3" t="s">
        <v>17</v>
      </c>
      <c r="K1705" s="4">
        <v>7.2</v>
      </c>
      <c r="M1705"/>
    </row>
    <row r="1706" spans="1:13" x14ac:dyDescent="0.25">
      <c r="A1706" s="3" t="s">
        <v>98</v>
      </c>
      <c r="B1706" s="3" t="s">
        <v>245</v>
      </c>
      <c r="C1706" s="3" t="s">
        <v>9</v>
      </c>
      <c r="D1706" s="3" t="s">
        <v>19</v>
      </c>
      <c r="E1706" s="5" t="s">
        <v>11</v>
      </c>
      <c r="F1706" s="17">
        <v>35.89</v>
      </c>
      <c r="G1706" s="3">
        <v>1</v>
      </c>
      <c r="H1706" s="17">
        <f>Table1[[#This Row],[Unit price]]*Table1[[#This Row],[Quantity]]</f>
        <v>35.89</v>
      </c>
      <c r="I1706" s="29">
        <f>Table1[[#This Row],[Total Revenue]]/$H$5056*100</f>
        <v>3.8077763620479139E-3</v>
      </c>
      <c r="J1706" s="3" t="s">
        <v>15</v>
      </c>
      <c r="K1706" s="4">
        <v>6.9</v>
      </c>
      <c r="M1706"/>
    </row>
    <row r="1707" spans="1:13" x14ac:dyDescent="0.25">
      <c r="A1707" s="3" t="s">
        <v>98</v>
      </c>
      <c r="B1707" s="3" t="s">
        <v>244</v>
      </c>
      <c r="C1707" s="3" t="s">
        <v>13</v>
      </c>
      <c r="D1707" s="3" t="s">
        <v>19</v>
      </c>
      <c r="E1707" s="5" t="s">
        <v>16</v>
      </c>
      <c r="F1707" s="17">
        <v>75.2</v>
      </c>
      <c r="G1707" s="3">
        <v>2</v>
      </c>
      <c r="H1707" s="17">
        <f>Table1[[#This Row],[Unit price]]*Table1[[#This Row],[Quantity]]</f>
        <v>150.4</v>
      </c>
      <c r="I1707" s="29">
        <f>Table1[[#This Row],[Total Revenue]]/$H$5056*100</f>
        <v>1.5956800358094353E-2</v>
      </c>
      <c r="J1707" s="3" t="s">
        <v>12</v>
      </c>
      <c r="K1707" s="4">
        <v>6.7</v>
      </c>
      <c r="M1707"/>
    </row>
    <row r="1708" spans="1:13" x14ac:dyDescent="0.25">
      <c r="A1708" s="3" t="s">
        <v>98</v>
      </c>
      <c r="B1708" s="3" t="s">
        <v>244</v>
      </c>
      <c r="C1708" s="3" t="s">
        <v>9</v>
      </c>
      <c r="D1708" s="3" t="s">
        <v>10</v>
      </c>
      <c r="E1708" s="5" t="s">
        <v>21</v>
      </c>
      <c r="F1708" s="17">
        <v>59.77</v>
      </c>
      <c r="G1708" s="3">
        <v>3</v>
      </c>
      <c r="H1708" s="17">
        <f>Table1[[#This Row],[Unit price]]*Table1[[#This Row],[Quantity]]</f>
        <v>179.31</v>
      </c>
      <c r="I1708" s="29">
        <f>Table1[[#This Row],[Total Revenue]]/$H$5056*100</f>
        <v>1.9024028405650917E-2</v>
      </c>
      <c r="J1708" s="3" t="s">
        <v>15</v>
      </c>
      <c r="K1708" s="4">
        <v>8.3000000000000007</v>
      </c>
      <c r="M1708"/>
    </row>
    <row r="1709" spans="1:13" x14ac:dyDescent="0.25">
      <c r="A1709" s="3" t="s">
        <v>99</v>
      </c>
      <c r="B1709" s="3" t="s">
        <v>243</v>
      </c>
      <c r="C1709" s="3" t="s">
        <v>13</v>
      </c>
      <c r="D1709" s="3" t="s">
        <v>19</v>
      </c>
      <c r="E1709" s="5" t="s">
        <v>20</v>
      </c>
      <c r="F1709" s="17">
        <v>71.86</v>
      </c>
      <c r="G1709" s="3">
        <v>2</v>
      </c>
      <c r="H1709" s="17">
        <f>Table1[[#This Row],[Unit price]]*Table1[[#This Row],[Quantity]]</f>
        <v>143.72</v>
      </c>
      <c r="I1709" s="29">
        <f>Table1[[#This Row],[Total Revenue]]/$H$5056*100</f>
        <v>1.5248080767721545E-2</v>
      </c>
      <c r="J1709" s="3" t="s">
        <v>17</v>
      </c>
      <c r="K1709" s="4">
        <v>6</v>
      </c>
      <c r="M1709"/>
    </row>
    <row r="1710" spans="1:13" x14ac:dyDescent="0.25">
      <c r="A1710" s="3" t="s">
        <v>99</v>
      </c>
      <c r="B1710" s="3" t="s">
        <v>245</v>
      </c>
      <c r="C1710" s="3" t="s">
        <v>13</v>
      </c>
      <c r="D1710" s="3" t="s">
        <v>19</v>
      </c>
      <c r="E1710" s="5" t="s">
        <v>20</v>
      </c>
      <c r="F1710" s="17">
        <v>37</v>
      </c>
      <c r="G1710" s="3">
        <v>1</v>
      </c>
      <c r="H1710" s="17">
        <f>Table1[[#This Row],[Unit price]]*Table1[[#This Row],[Quantity]]</f>
        <v>37</v>
      </c>
      <c r="I1710" s="29">
        <f>Table1[[#This Row],[Total Revenue]]/$H$5056*100</f>
        <v>3.9255426412865098E-3</v>
      </c>
      <c r="J1710" s="3" t="s">
        <v>12</v>
      </c>
      <c r="K1710" s="4">
        <v>7.4</v>
      </c>
      <c r="M1710"/>
    </row>
    <row r="1711" spans="1:13" x14ac:dyDescent="0.25">
      <c r="A1711" s="3" t="s">
        <v>99</v>
      </c>
      <c r="B1711" s="3" t="s">
        <v>245</v>
      </c>
      <c r="C1711" s="3" t="s">
        <v>13</v>
      </c>
      <c r="D1711" s="3" t="s">
        <v>19</v>
      </c>
      <c r="E1711" s="5" t="s">
        <v>11</v>
      </c>
      <c r="F1711" s="17">
        <v>98.79</v>
      </c>
      <c r="G1711" s="3">
        <v>2</v>
      </c>
      <c r="H1711" s="17">
        <f>Table1[[#This Row],[Unit price]]*Table1[[#This Row],[Quantity]]</f>
        <v>197.58</v>
      </c>
      <c r="I1711" s="29">
        <f>Table1[[#This Row],[Total Revenue]]/$H$5056*100</f>
        <v>2.0962397704469962E-2</v>
      </c>
      <c r="J1711" s="3" t="s">
        <v>17</v>
      </c>
      <c r="K1711" s="4">
        <v>6.8</v>
      </c>
      <c r="M1711"/>
    </row>
    <row r="1712" spans="1:13" x14ac:dyDescent="0.25">
      <c r="A1712" s="3" t="s">
        <v>99</v>
      </c>
      <c r="B1712" s="3" t="s">
        <v>243</v>
      </c>
      <c r="C1712" s="3" t="s">
        <v>13</v>
      </c>
      <c r="D1712" s="3" t="s">
        <v>10</v>
      </c>
      <c r="E1712" s="5" t="s">
        <v>11</v>
      </c>
      <c r="F1712" s="17">
        <v>73.47</v>
      </c>
      <c r="G1712" s="3">
        <v>4</v>
      </c>
      <c r="H1712" s="17">
        <f>Table1[[#This Row],[Unit price]]*Table1[[#This Row],[Quantity]]</f>
        <v>293.88</v>
      </c>
      <c r="I1712" s="29">
        <f>Table1[[#This Row],[Total Revenue]]/$H$5056*100</f>
        <v>3.1179418146521063E-2</v>
      </c>
      <c r="J1712" s="3" t="s">
        <v>17</v>
      </c>
      <c r="K1712" s="4">
        <v>7.5</v>
      </c>
      <c r="M1712"/>
    </row>
    <row r="1713" spans="1:13" x14ac:dyDescent="0.25">
      <c r="A1713" s="3" t="s">
        <v>99</v>
      </c>
      <c r="B1713" s="3" t="s">
        <v>244</v>
      </c>
      <c r="C1713" s="3" t="s">
        <v>13</v>
      </c>
      <c r="D1713" s="3" t="s">
        <v>10</v>
      </c>
      <c r="E1713" s="5" t="s">
        <v>18</v>
      </c>
      <c r="F1713" s="17">
        <v>60.74</v>
      </c>
      <c r="G1713" s="3">
        <v>2</v>
      </c>
      <c r="H1713" s="17">
        <f>Table1[[#This Row],[Unit price]]*Table1[[#This Row],[Quantity]]</f>
        <v>121.48</v>
      </c>
      <c r="I1713" s="29">
        <f>Table1[[#This Row],[Total Revenue]]/$H$5056*100</f>
        <v>1.2888511353067168E-2</v>
      </c>
      <c r="J1713" s="3" t="s">
        <v>17</v>
      </c>
      <c r="K1713" s="4">
        <v>6.7</v>
      </c>
      <c r="M1713"/>
    </row>
    <row r="1714" spans="1:13" x14ac:dyDescent="0.25">
      <c r="A1714" s="3" t="s">
        <v>99</v>
      </c>
      <c r="B1714" s="3" t="s">
        <v>243</v>
      </c>
      <c r="C1714" s="3" t="s">
        <v>13</v>
      </c>
      <c r="D1714" s="3" t="s">
        <v>10</v>
      </c>
      <c r="E1714" s="5" t="s">
        <v>18</v>
      </c>
      <c r="F1714" s="17">
        <v>60.74</v>
      </c>
      <c r="G1714" s="3">
        <v>2</v>
      </c>
      <c r="H1714" s="17">
        <f>Table1[[#This Row],[Unit price]]*Table1[[#This Row],[Quantity]]</f>
        <v>121.48</v>
      </c>
      <c r="I1714" s="29">
        <f>Table1[[#This Row],[Total Revenue]]/$H$5056*100</f>
        <v>1.2888511353067168E-2</v>
      </c>
      <c r="J1714" s="3" t="s">
        <v>17</v>
      </c>
      <c r="K1714" s="4">
        <v>9.4</v>
      </c>
      <c r="M1714"/>
    </row>
    <row r="1715" spans="1:13" x14ac:dyDescent="0.25">
      <c r="A1715" s="3" t="s">
        <v>99</v>
      </c>
      <c r="B1715" s="3" t="s">
        <v>243</v>
      </c>
      <c r="C1715" s="3" t="s">
        <v>13</v>
      </c>
      <c r="D1715" s="3" t="s">
        <v>19</v>
      </c>
      <c r="E1715" s="5" t="s">
        <v>11</v>
      </c>
      <c r="F1715" s="17">
        <v>80.36</v>
      </c>
      <c r="G1715" s="3">
        <v>2</v>
      </c>
      <c r="H1715" s="17">
        <f>Table1[[#This Row],[Unit price]]*Table1[[#This Row],[Quantity]]</f>
        <v>160.72</v>
      </c>
      <c r="I1715" s="29">
        <f>Table1[[#This Row],[Total Revenue]]/$H$5056*100</f>
        <v>1.7051708467772101E-2</v>
      </c>
      <c r="J1715" s="3" t="s">
        <v>15</v>
      </c>
      <c r="K1715" s="4">
        <v>7.8</v>
      </c>
      <c r="M1715"/>
    </row>
    <row r="1716" spans="1:13" x14ac:dyDescent="0.25">
      <c r="A1716" s="3" t="s">
        <v>99</v>
      </c>
      <c r="B1716" s="3" t="s">
        <v>244</v>
      </c>
      <c r="C1716" s="3" t="s">
        <v>13</v>
      </c>
      <c r="D1716" s="3" t="s">
        <v>10</v>
      </c>
      <c r="E1716" s="5" t="s">
        <v>20</v>
      </c>
      <c r="F1716" s="17">
        <v>16.16</v>
      </c>
      <c r="G1716" s="3">
        <v>3</v>
      </c>
      <c r="H1716" s="17">
        <f>Table1[[#This Row],[Unit price]]*Table1[[#This Row],[Quantity]]</f>
        <v>48.480000000000004</v>
      </c>
      <c r="I1716" s="29">
        <f>Table1[[#This Row],[Total Revenue]]/$H$5056*100</f>
        <v>5.1435218175559455E-3</v>
      </c>
      <c r="J1716" s="3" t="s">
        <v>17</v>
      </c>
      <c r="K1716" s="4">
        <v>9</v>
      </c>
      <c r="M1716"/>
    </row>
    <row r="1717" spans="1:13" x14ac:dyDescent="0.25">
      <c r="A1717" s="3" t="s">
        <v>99</v>
      </c>
      <c r="B1717" s="3" t="s">
        <v>243</v>
      </c>
      <c r="C1717" s="3" t="s">
        <v>13</v>
      </c>
      <c r="D1717" s="3" t="s">
        <v>10</v>
      </c>
      <c r="E1717" s="5" t="s">
        <v>21</v>
      </c>
      <c r="F1717" s="17">
        <v>29.67</v>
      </c>
      <c r="G1717" s="3">
        <v>4</v>
      </c>
      <c r="H1717" s="17">
        <f>Table1[[#This Row],[Unit price]]*Table1[[#This Row],[Quantity]]</f>
        <v>118.68</v>
      </c>
      <c r="I1717" s="29">
        <f>Table1[[#This Row],[Total Revenue]]/$H$5056*100</f>
        <v>1.2591443261294135E-2</v>
      </c>
      <c r="J1717" s="3" t="s">
        <v>12</v>
      </c>
      <c r="K1717" s="4">
        <v>7.3</v>
      </c>
      <c r="M1717"/>
    </row>
    <row r="1718" spans="1:13" x14ac:dyDescent="0.25">
      <c r="A1718" s="3" t="s">
        <v>100</v>
      </c>
      <c r="B1718" s="3" t="s">
        <v>243</v>
      </c>
      <c r="C1718" s="3" t="s">
        <v>13</v>
      </c>
      <c r="D1718" s="3" t="s">
        <v>19</v>
      </c>
      <c r="E1718" s="5" t="s">
        <v>20</v>
      </c>
      <c r="F1718" s="17">
        <v>28.31</v>
      </c>
      <c r="G1718" s="3">
        <v>2</v>
      </c>
      <c r="H1718" s="17">
        <f>Table1[[#This Row],[Unit price]]*Table1[[#This Row],[Quantity]]</f>
        <v>56.62</v>
      </c>
      <c r="I1718" s="29">
        <f>Table1[[#This Row],[Total Revenue]]/$H$5056*100</f>
        <v>6.0071411986389774E-3</v>
      </c>
      <c r="J1718" s="3" t="s">
        <v>15</v>
      </c>
      <c r="K1718" s="4">
        <v>8.1999999999999993</v>
      </c>
      <c r="M1718"/>
    </row>
    <row r="1719" spans="1:13" x14ac:dyDescent="0.25">
      <c r="A1719" s="3" t="s">
        <v>100</v>
      </c>
      <c r="B1719" s="3" t="s">
        <v>243</v>
      </c>
      <c r="C1719" s="3" t="s">
        <v>9</v>
      </c>
      <c r="D1719" s="3" t="s">
        <v>19</v>
      </c>
      <c r="E1719" s="5" t="s">
        <v>18</v>
      </c>
      <c r="F1719" s="17">
        <v>60.74</v>
      </c>
      <c r="G1719" s="3">
        <v>1</v>
      </c>
      <c r="H1719" s="17">
        <f>Table1[[#This Row],[Unit price]]*Table1[[#This Row],[Quantity]]</f>
        <v>60.74</v>
      </c>
      <c r="I1719" s="29">
        <f>Table1[[#This Row],[Total Revenue]]/$H$5056*100</f>
        <v>6.4442556765335838E-3</v>
      </c>
      <c r="J1719" s="3" t="s">
        <v>12</v>
      </c>
      <c r="K1719" s="4">
        <v>8.8000000000000007</v>
      </c>
      <c r="M1719"/>
    </row>
    <row r="1720" spans="1:13" x14ac:dyDescent="0.25">
      <c r="A1720" s="3" t="s">
        <v>100</v>
      </c>
      <c r="B1720" s="3" t="s">
        <v>244</v>
      </c>
      <c r="C1720" s="3" t="s">
        <v>13</v>
      </c>
      <c r="D1720" s="3" t="s">
        <v>10</v>
      </c>
      <c r="E1720" s="5" t="s">
        <v>11</v>
      </c>
      <c r="F1720" s="17">
        <v>26.43</v>
      </c>
      <c r="G1720" s="3">
        <v>6</v>
      </c>
      <c r="H1720" s="17">
        <f>Table1[[#This Row],[Unit price]]*Table1[[#This Row],[Quantity]]</f>
        <v>158.57999999999998</v>
      </c>
      <c r="I1720" s="29">
        <f>Table1[[#This Row],[Total Revenue]]/$H$5056*100</f>
        <v>1.6824663569059855E-2</v>
      </c>
      <c r="J1720" s="3" t="s">
        <v>17</v>
      </c>
      <c r="K1720" s="4">
        <v>8.3000000000000007</v>
      </c>
      <c r="M1720"/>
    </row>
    <row r="1721" spans="1:13" x14ac:dyDescent="0.25">
      <c r="A1721" s="3" t="s">
        <v>100</v>
      </c>
      <c r="B1721" s="3" t="s">
        <v>244</v>
      </c>
      <c r="C1721" s="3" t="s">
        <v>9</v>
      </c>
      <c r="D1721" s="3" t="s">
        <v>19</v>
      </c>
      <c r="E1721" s="5" t="s">
        <v>20</v>
      </c>
      <c r="F1721" s="17">
        <v>97.94</v>
      </c>
      <c r="G1721" s="3">
        <v>4</v>
      </c>
      <c r="H1721" s="17">
        <f>Table1[[#This Row],[Unit price]]*Table1[[#This Row],[Quantity]]</f>
        <v>391.76</v>
      </c>
      <c r="I1721" s="29">
        <f>Table1[[#This Row],[Total Revenue]]/$H$5056*100</f>
        <v>4.1564069868929812E-2</v>
      </c>
      <c r="J1721" s="3" t="s">
        <v>17</v>
      </c>
      <c r="K1721" s="4">
        <v>8.6</v>
      </c>
      <c r="M1721"/>
    </row>
    <row r="1722" spans="1:13" x14ac:dyDescent="0.25">
      <c r="A1722" s="3" t="s">
        <v>100</v>
      </c>
      <c r="B1722" s="3" t="s">
        <v>245</v>
      </c>
      <c r="C1722" s="3" t="s">
        <v>9</v>
      </c>
      <c r="D1722" s="3" t="s">
        <v>10</v>
      </c>
      <c r="E1722" s="5" t="s">
        <v>21</v>
      </c>
      <c r="F1722" s="17">
        <v>47.67</v>
      </c>
      <c r="G1722" s="3">
        <v>3</v>
      </c>
      <c r="H1722" s="17">
        <f>Table1[[#This Row],[Unit price]]*Table1[[#This Row],[Quantity]]</f>
        <v>143.01</v>
      </c>
      <c r="I1722" s="29">
        <f>Table1[[#This Row],[Total Revenue]]/$H$5056*100</f>
        <v>1.5172752787307668E-2</v>
      </c>
      <c r="J1722" s="3" t="s">
        <v>17</v>
      </c>
      <c r="K1722" s="4">
        <v>6.8</v>
      </c>
      <c r="M1722"/>
    </row>
    <row r="1723" spans="1:13" x14ac:dyDescent="0.25">
      <c r="A1723" s="3" t="s">
        <v>100</v>
      </c>
      <c r="B1723" s="3" t="s">
        <v>243</v>
      </c>
      <c r="C1723" s="3" t="s">
        <v>13</v>
      </c>
      <c r="D1723" s="3" t="s">
        <v>10</v>
      </c>
      <c r="E1723" s="5" t="s">
        <v>21</v>
      </c>
      <c r="F1723" s="17">
        <v>64.36</v>
      </c>
      <c r="G1723" s="3">
        <v>4</v>
      </c>
      <c r="H1723" s="17">
        <f>Table1[[#This Row],[Unit price]]*Table1[[#This Row],[Quantity]]</f>
        <v>257.44</v>
      </c>
      <c r="I1723" s="29">
        <f>Table1[[#This Row],[Total Revenue]]/$H$5056*100</f>
        <v>2.7313289123589161E-2</v>
      </c>
      <c r="J1723" s="3" t="s">
        <v>17</v>
      </c>
      <c r="K1723" s="4">
        <v>7.6</v>
      </c>
      <c r="M1723"/>
    </row>
    <row r="1724" spans="1:13" x14ac:dyDescent="0.25">
      <c r="A1724" s="3" t="s">
        <v>100</v>
      </c>
      <c r="B1724" s="3" t="s">
        <v>244</v>
      </c>
      <c r="C1724" s="3" t="s">
        <v>13</v>
      </c>
      <c r="D1724" s="3" t="s">
        <v>19</v>
      </c>
      <c r="E1724" s="5" t="s">
        <v>11</v>
      </c>
      <c r="F1724" s="17">
        <v>94.13</v>
      </c>
      <c r="G1724" s="3">
        <v>3</v>
      </c>
      <c r="H1724" s="17">
        <f>Table1[[#This Row],[Unit price]]*Table1[[#This Row],[Quantity]]</f>
        <v>282.39</v>
      </c>
      <c r="I1724" s="29">
        <f>Table1[[#This Row],[Total Revenue]]/$H$5056*100</f>
        <v>2.9960378012781008E-2</v>
      </c>
      <c r="J1724" s="3" t="s">
        <v>15</v>
      </c>
      <c r="K1724" s="4">
        <v>6.9</v>
      </c>
      <c r="M1724"/>
    </row>
    <row r="1725" spans="1:13" x14ac:dyDescent="0.25">
      <c r="A1725" s="3" t="s">
        <v>100</v>
      </c>
      <c r="B1725" s="3" t="s">
        <v>245</v>
      </c>
      <c r="C1725" s="3" t="s">
        <v>13</v>
      </c>
      <c r="D1725" s="3" t="s">
        <v>19</v>
      </c>
      <c r="E1725" s="5" t="s">
        <v>16</v>
      </c>
      <c r="F1725" s="17">
        <v>45.58</v>
      </c>
      <c r="G1725" s="3">
        <v>2</v>
      </c>
      <c r="H1725" s="17">
        <f>Table1[[#This Row],[Unit price]]*Table1[[#This Row],[Quantity]]</f>
        <v>91.16</v>
      </c>
      <c r="I1725" s="29">
        <f>Table1[[#This Row],[Total Revenue]]/$H$5056*100</f>
        <v>9.6716883021534649E-3</v>
      </c>
      <c r="J1725" s="3" t="s">
        <v>17</v>
      </c>
      <c r="K1725" s="4">
        <v>4.9000000000000004</v>
      </c>
      <c r="M1725"/>
    </row>
    <row r="1726" spans="1:13" x14ac:dyDescent="0.25">
      <c r="A1726" s="3" t="s">
        <v>101</v>
      </c>
      <c r="B1726" s="3" t="s">
        <v>243</v>
      </c>
      <c r="C1726" s="3" t="s">
        <v>13</v>
      </c>
      <c r="D1726" s="3" t="s">
        <v>10</v>
      </c>
      <c r="E1726" s="5" t="s">
        <v>11</v>
      </c>
      <c r="F1726" s="17">
        <v>48.61</v>
      </c>
      <c r="G1726" s="3">
        <v>3</v>
      </c>
      <c r="H1726" s="17">
        <f>Table1[[#This Row],[Unit price]]*Table1[[#This Row],[Quantity]]</f>
        <v>145.82999999999998</v>
      </c>
      <c r="I1726" s="29">
        <f>Table1[[#This Row],[Total Revenue]]/$H$5056*100</f>
        <v>1.5471942794021936E-2</v>
      </c>
      <c r="J1726" s="3" t="s">
        <v>15</v>
      </c>
      <c r="K1726" s="4">
        <v>7</v>
      </c>
      <c r="M1726"/>
    </row>
    <row r="1727" spans="1:13" x14ac:dyDescent="0.25">
      <c r="A1727" s="3" t="s">
        <v>101</v>
      </c>
      <c r="B1727" s="3" t="s">
        <v>244</v>
      </c>
      <c r="C1727" s="3" t="s">
        <v>13</v>
      </c>
      <c r="D1727" s="3" t="s">
        <v>19</v>
      </c>
      <c r="E1727" s="5" t="s">
        <v>21</v>
      </c>
      <c r="F1727" s="17">
        <v>41.5</v>
      </c>
      <c r="G1727" s="3">
        <v>1</v>
      </c>
      <c r="H1727" s="17">
        <f>Table1[[#This Row],[Unit price]]*Table1[[#This Row],[Quantity]]</f>
        <v>41.5</v>
      </c>
      <c r="I1727" s="29">
        <f>Table1[[#This Row],[Total Revenue]]/$H$5056*100</f>
        <v>4.4029735030645979E-3</v>
      </c>
      <c r="J1727" s="3" t="s">
        <v>12</v>
      </c>
      <c r="K1727" s="4">
        <v>8.9</v>
      </c>
      <c r="M1727"/>
    </row>
    <row r="1728" spans="1:13" x14ac:dyDescent="0.25">
      <c r="A1728" s="3" t="s">
        <v>101</v>
      </c>
      <c r="B1728" s="3" t="s">
        <v>245</v>
      </c>
      <c r="C1728" s="3" t="s">
        <v>9</v>
      </c>
      <c r="D1728" s="3" t="s">
        <v>10</v>
      </c>
      <c r="E1728" s="5" t="s">
        <v>14</v>
      </c>
      <c r="F1728" s="17">
        <v>91.56</v>
      </c>
      <c r="G1728" s="3">
        <v>1</v>
      </c>
      <c r="H1728" s="17">
        <f>Table1[[#This Row],[Unit price]]*Table1[[#This Row],[Quantity]]</f>
        <v>91.56</v>
      </c>
      <c r="I1728" s="29">
        <f>Table1[[#This Row],[Total Revenue]]/$H$5056*100</f>
        <v>9.7141266009781839E-3</v>
      </c>
      <c r="J1728" s="3" t="s">
        <v>17</v>
      </c>
      <c r="K1728" s="4">
        <v>8.1</v>
      </c>
      <c r="M1728"/>
    </row>
    <row r="1729" spans="1:13" x14ac:dyDescent="0.25">
      <c r="A1729" s="3" t="s">
        <v>101</v>
      </c>
      <c r="B1729" s="3" t="s">
        <v>244</v>
      </c>
      <c r="C1729" s="3" t="s">
        <v>9</v>
      </c>
      <c r="D1729" s="3" t="s">
        <v>10</v>
      </c>
      <c r="E1729" s="5" t="s">
        <v>11</v>
      </c>
      <c r="F1729" s="17">
        <v>62.85</v>
      </c>
      <c r="G1729" s="3">
        <v>4</v>
      </c>
      <c r="H1729" s="17">
        <f>Table1[[#This Row],[Unit price]]*Table1[[#This Row],[Quantity]]</f>
        <v>251.4</v>
      </c>
      <c r="I1729" s="29">
        <f>Table1[[#This Row],[Total Revenue]]/$H$5056*100</f>
        <v>2.6672470811335905E-2</v>
      </c>
      <c r="J1729" s="3" t="s">
        <v>17</v>
      </c>
      <c r="K1729" s="4">
        <v>8.1</v>
      </c>
      <c r="M1729"/>
    </row>
    <row r="1730" spans="1:13" x14ac:dyDescent="0.25">
      <c r="A1730" s="3" t="s">
        <v>101</v>
      </c>
      <c r="B1730" s="3" t="s">
        <v>244</v>
      </c>
      <c r="C1730" s="3" t="s">
        <v>9</v>
      </c>
      <c r="D1730" s="3" t="s">
        <v>19</v>
      </c>
      <c r="E1730" s="5" t="s">
        <v>11</v>
      </c>
      <c r="F1730" s="17">
        <v>22.93</v>
      </c>
      <c r="G1730" s="3">
        <v>7</v>
      </c>
      <c r="H1730" s="17">
        <f>Table1[[#This Row],[Unit price]]*Table1[[#This Row],[Quantity]]</f>
        <v>160.51</v>
      </c>
      <c r="I1730" s="29">
        <f>Table1[[#This Row],[Total Revenue]]/$H$5056*100</f>
        <v>1.7029428360889123E-2</v>
      </c>
      <c r="J1730" s="3" t="s">
        <v>17</v>
      </c>
      <c r="K1730" s="4">
        <v>9.8000000000000007</v>
      </c>
      <c r="M1730"/>
    </row>
    <row r="1731" spans="1:13" x14ac:dyDescent="0.25">
      <c r="A1731" s="3" t="s">
        <v>101</v>
      </c>
      <c r="B1731" s="3" t="s">
        <v>243</v>
      </c>
      <c r="C1731" s="3" t="s">
        <v>9</v>
      </c>
      <c r="D1731" s="3" t="s">
        <v>10</v>
      </c>
      <c r="E1731" s="5" t="s">
        <v>11</v>
      </c>
      <c r="F1731" s="17">
        <v>26.6</v>
      </c>
      <c r="G1731" s="3">
        <v>4</v>
      </c>
      <c r="H1731" s="17">
        <f>Table1[[#This Row],[Unit price]]*Table1[[#This Row],[Quantity]]</f>
        <v>106.4</v>
      </c>
      <c r="I1731" s="29">
        <f>Table1[[#This Row],[Total Revenue]]/$H$5056*100</f>
        <v>1.1288587487375259E-2</v>
      </c>
      <c r="J1731" s="3" t="s">
        <v>17</v>
      </c>
      <c r="K1731" s="4">
        <v>7.8</v>
      </c>
      <c r="M1731"/>
    </row>
    <row r="1732" spans="1:13" x14ac:dyDescent="0.25">
      <c r="A1732" s="3" t="s">
        <v>101</v>
      </c>
      <c r="B1732" s="3" t="s">
        <v>244</v>
      </c>
      <c r="C1732" s="3" t="s">
        <v>13</v>
      </c>
      <c r="D1732" s="3" t="s">
        <v>10</v>
      </c>
      <c r="E1732" s="5" t="s">
        <v>11</v>
      </c>
      <c r="F1732" s="17">
        <v>94.47</v>
      </c>
      <c r="G1732" s="3">
        <v>6</v>
      </c>
      <c r="H1732" s="17">
        <f>Table1[[#This Row],[Unit price]]*Table1[[#This Row],[Quantity]]</f>
        <v>566.81999999999994</v>
      </c>
      <c r="I1732" s="29">
        <f>Table1[[#This Row],[Total Revenue]]/$H$5056*100</f>
        <v>6.0137191349568089E-2</v>
      </c>
      <c r="J1732" s="3" t="s">
        <v>17</v>
      </c>
      <c r="K1732" s="4">
        <v>6.7</v>
      </c>
      <c r="M1732"/>
    </row>
    <row r="1733" spans="1:13" x14ac:dyDescent="0.25">
      <c r="A1733" s="3" t="s">
        <v>102</v>
      </c>
      <c r="B1733" s="3" t="s">
        <v>243</v>
      </c>
      <c r="C1733" s="3" t="s">
        <v>13</v>
      </c>
      <c r="D1733" s="3" t="s">
        <v>19</v>
      </c>
      <c r="E1733" s="5" t="s">
        <v>11</v>
      </c>
      <c r="F1733" s="17">
        <v>18.850000000000001</v>
      </c>
      <c r="G1733" s="3">
        <v>2</v>
      </c>
      <c r="H1733" s="17">
        <f>Table1[[#This Row],[Unit price]]*Table1[[#This Row],[Quantity]]</f>
        <v>37.700000000000003</v>
      </c>
      <c r="I1733" s="29">
        <f>Table1[[#This Row],[Total Revenue]]/$H$5056*100</f>
        <v>3.9998096642297675E-3</v>
      </c>
      <c r="J1733" s="3" t="s">
        <v>17</v>
      </c>
      <c r="K1733" s="4">
        <v>6.7</v>
      </c>
      <c r="M1733"/>
    </row>
    <row r="1734" spans="1:13" x14ac:dyDescent="0.25">
      <c r="A1734" s="3" t="s">
        <v>102</v>
      </c>
      <c r="B1734" s="3" t="s">
        <v>244</v>
      </c>
      <c r="C1734" s="3" t="s">
        <v>13</v>
      </c>
      <c r="D1734" s="3" t="s">
        <v>19</v>
      </c>
      <c r="E1734" s="5" t="s">
        <v>11</v>
      </c>
      <c r="F1734" s="17">
        <v>53.72</v>
      </c>
      <c r="G1734" s="3">
        <v>3</v>
      </c>
      <c r="H1734" s="17">
        <f>Table1[[#This Row],[Unit price]]*Table1[[#This Row],[Quantity]]</f>
        <v>161.16</v>
      </c>
      <c r="I1734" s="29">
        <f>Table1[[#This Row],[Total Revenue]]/$H$5056*100</f>
        <v>1.7098390596479295E-2</v>
      </c>
      <c r="J1734" s="3" t="s">
        <v>17</v>
      </c>
      <c r="K1734" s="4">
        <v>7.8</v>
      </c>
      <c r="M1734"/>
    </row>
    <row r="1735" spans="1:13" x14ac:dyDescent="0.25">
      <c r="A1735" s="3" t="s">
        <v>102</v>
      </c>
      <c r="B1735" s="3" t="s">
        <v>244</v>
      </c>
      <c r="C1735" s="3" t="s">
        <v>13</v>
      </c>
      <c r="D1735" s="3" t="s">
        <v>10</v>
      </c>
      <c r="E1735" s="5" t="s">
        <v>21</v>
      </c>
      <c r="F1735" s="17">
        <v>39.01</v>
      </c>
      <c r="G1735" s="3">
        <v>2</v>
      </c>
      <c r="H1735" s="17">
        <f>Table1[[#This Row],[Unit price]]*Table1[[#This Row],[Quantity]]</f>
        <v>78.02</v>
      </c>
      <c r="I1735" s="29">
        <f>Table1[[#This Row],[Total Revenue]]/$H$5056*100</f>
        <v>8.277590185761444E-3</v>
      </c>
      <c r="J1735" s="3" t="s">
        <v>15</v>
      </c>
      <c r="K1735" s="4">
        <v>8.6</v>
      </c>
      <c r="M1735"/>
    </row>
    <row r="1736" spans="1:13" x14ac:dyDescent="0.25">
      <c r="A1736" s="3" t="s">
        <v>102</v>
      </c>
      <c r="B1736" s="3" t="s">
        <v>244</v>
      </c>
      <c r="C1736" s="3" t="s">
        <v>9</v>
      </c>
      <c r="D1736" s="3" t="s">
        <v>19</v>
      </c>
      <c r="E1736" s="5" t="s">
        <v>20</v>
      </c>
      <c r="F1736" s="17">
        <v>50.28</v>
      </c>
      <c r="G1736" s="3">
        <v>5</v>
      </c>
      <c r="H1736" s="17">
        <f>Table1[[#This Row],[Unit price]]*Table1[[#This Row],[Quantity]]</f>
        <v>251.4</v>
      </c>
      <c r="I1736" s="29">
        <f>Table1[[#This Row],[Total Revenue]]/$H$5056*100</f>
        <v>2.6672470811335905E-2</v>
      </c>
      <c r="J1736" s="3" t="s">
        <v>12</v>
      </c>
      <c r="K1736" s="4">
        <v>7.6</v>
      </c>
      <c r="M1736"/>
    </row>
    <row r="1737" spans="1:13" x14ac:dyDescent="0.25">
      <c r="A1737" s="3" t="s">
        <v>102</v>
      </c>
      <c r="B1737" s="3" t="s">
        <v>244</v>
      </c>
      <c r="C1737" s="3" t="s">
        <v>13</v>
      </c>
      <c r="D1737" s="3" t="s">
        <v>10</v>
      </c>
      <c r="E1737" s="5" t="s">
        <v>18</v>
      </c>
      <c r="F1737" s="17">
        <v>60.74</v>
      </c>
      <c r="G1737" s="3">
        <v>1</v>
      </c>
      <c r="H1737" s="17">
        <f>Table1[[#This Row],[Unit price]]*Table1[[#This Row],[Quantity]]</f>
        <v>60.74</v>
      </c>
      <c r="I1737" s="29">
        <f>Table1[[#This Row],[Total Revenue]]/$H$5056*100</f>
        <v>6.4442556765335838E-3</v>
      </c>
      <c r="J1737" s="3" t="s">
        <v>12</v>
      </c>
      <c r="K1737" s="4">
        <v>6</v>
      </c>
      <c r="M1737"/>
    </row>
    <row r="1738" spans="1:13" x14ac:dyDescent="0.25">
      <c r="A1738" s="3" t="s">
        <v>102</v>
      </c>
      <c r="B1738" s="3" t="s">
        <v>244</v>
      </c>
      <c r="C1738" s="3" t="s">
        <v>9</v>
      </c>
      <c r="D1738" s="3" t="s">
        <v>19</v>
      </c>
      <c r="E1738" s="5" t="s">
        <v>16</v>
      </c>
      <c r="F1738" s="17">
        <v>10.17</v>
      </c>
      <c r="G1738" s="3">
        <v>2</v>
      </c>
      <c r="H1738" s="17">
        <f>Table1[[#This Row],[Unit price]]*Table1[[#This Row],[Quantity]]</f>
        <v>20.34</v>
      </c>
      <c r="I1738" s="29">
        <f>Table1[[#This Row],[Total Revenue]]/$H$5056*100</f>
        <v>2.1579874952369622E-3</v>
      </c>
      <c r="J1738" s="3" t="s">
        <v>12</v>
      </c>
      <c r="K1738" s="4">
        <v>7.4</v>
      </c>
      <c r="M1738"/>
    </row>
    <row r="1739" spans="1:13" x14ac:dyDescent="0.25">
      <c r="A1739" s="3" t="s">
        <v>102</v>
      </c>
      <c r="B1739" s="3" t="s">
        <v>243</v>
      </c>
      <c r="C1739" s="3" t="s">
        <v>13</v>
      </c>
      <c r="D1739" s="3" t="s">
        <v>19</v>
      </c>
      <c r="E1739" s="5" t="s">
        <v>18</v>
      </c>
      <c r="F1739" s="17">
        <v>60.74</v>
      </c>
      <c r="G1739" s="3">
        <v>2</v>
      </c>
      <c r="H1739" s="17">
        <f>Table1[[#This Row],[Unit price]]*Table1[[#This Row],[Quantity]]</f>
        <v>121.48</v>
      </c>
      <c r="I1739" s="29">
        <f>Table1[[#This Row],[Total Revenue]]/$H$5056*100</f>
        <v>1.2888511353067168E-2</v>
      </c>
      <c r="J1739" s="3" t="s">
        <v>17</v>
      </c>
      <c r="K1739" s="4">
        <v>7</v>
      </c>
      <c r="M1739"/>
    </row>
    <row r="1740" spans="1:13" x14ac:dyDescent="0.25">
      <c r="A1740" s="3" t="s">
        <v>102</v>
      </c>
      <c r="B1740" s="3" t="s">
        <v>245</v>
      </c>
      <c r="C1740" s="3" t="s">
        <v>13</v>
      </c>
      <c r="D1740" s="3" t="s">
        <v>19</v>
      </c>
      <c r="E1740" s="5" t="s">
        <v>20</v>
      </c>
      <c r="F1740" s="17">
        <v>33.99</v>
      </c>
      <c r="G1740" s="3">
        <v>2</v>
      </c>
      <c r="H1740" s="17">
        <f>Table1[[#This Row],[Unit price]]*Table1[[#This Row],[Quantity]]</f>
        <v>67.98</v>
      </c>
      <c r="I1740" s="29">
        <f>Table1[[#This Row],[Total Revenue]]/$H$5056*100</f>
        <v>7.2123888852609975E-3</v>
      </c>
      <c r="J1740" s="3" t="s">
        <v>12</v>
      </c>
      <c r="K1740" s="4">
        <v>5.3</v>
      </c>
      <c r="M1740"/>
    </row>
    <row r="1741" spans="1:13" x14ac:dyDescent="0.25">
      <c r="A1741" s="3" t="s">
        <v>102</v>
      </c>
      <c r="B1741" s="3" t="s">
        <v>243</v>
      </c>
      <c r="C1741" s="3" t="s">
        <v>9</v>
      </c>
      <c r="D1741" s="3" t="s">
        <v>19</v>
      </c>
      <c r="E1741" s="5" t="s">
        <v>11</v>
      </c>
      <c r="F1741" s="17">
        <v>66.52</v>
      </c>
      <c r="G1741" s="3">
        <v>4</v>
      </c>
      <c r="H1741" s="17">
        <f>Table1[[#This Row],[Unit price]]*Table1[[#This Row],[Quantity]]</f>
        <v>266.08</v>
      </c>
      <c r="I1741" s="29">
        <f>Table1[[#This Row],[Total Revenue]]/$H$5056*100</f>
        <v>2.8229956378203091E-2</v>
      </c>
      <c r="J1741" s="3" t="s">
        <v>17</v>
      </c>
      <c r="K1741" s="4">
        <v>7</v>
      </c>
      <c r="M1741"/>
    </row>
    <row r="1742" spans="1:13" x14ac:dyDescent="0.25">
      <c r="A1742" s="3" t="s">
        <v>102</v>
      </c>
      <c r="B1742" s="3" t="s">
        <v>243</v>
      </c>
      <c r="C1742" s="3" t="s">
        <v>9</v>
      </c>
      <c r="D1742" s="3" t="s">
        <v>19</v>
      </c>
      <c r="E1742" s="5" t="s">
        <v>11</v>
      </c>
      <c r="F1742" s="17">
        <v>22.17</v>
      </c>
      <c r="G1742" s="3">
        <v>1</v>
      </c>
      <c r="H1742" s="17">
        <f>Table1[[#This Row],[Unit price]]*Table1[[#This Row],[Quantity]]</f>
        <v>22.17</v>
      </c>
      <c r="I1742" s="29">
        <f>Table1[[#This Row],[Total Revenue]]/$H$5056*100</f>
        <v>2.3521427123600518E-3</v>
      </c>
      <c r="J1742" s="3" t="s">
        <v>15</v>
      </c>
      <c r="K1742" s="4">
        <v>7.3</v>
      </c>
      <c r="M1742"/>
    </row>
    <row r="1743" spans="1:13" x14ac:dyDescent="0.25">
      <c r="A1743" s="3" t="s">
        <v>102</v>
      </c>
      <c r="B1743" s="3" t="s">
        <v>244</v>
      </c>
      <c r="C1743" s="3" t="s">
        <v>13</v>
      </c>
      <c r="D1743" s="3" t="s">
        <v>10</v>
      </c>
      <c r="E1743" s="5" t="s">
        <v>11</v>
      </c>
      <c r="F1743" s="17">
        <v>73.05</v>
      </c>
      <c r="G1743" s="3">
        <v>3</v>
      </c>
      <c r="H1743" s="17">
        <f>Table1[[#This Row],[Unit price]]*Table1[[#This Row],[Quantity]]</f>
        <v>219.14999999999998</v>
      </c>
      <c r="I1743" s="29">
        <f>Table1[[#This Row],[Total Revenue]]/$H$5056*100</f>
        <v>2.3250882968592932E-2</v>
      </c>
      <c r="J1743" s="3" t="s">
        <v>15</v>
      </c>
      <c r="K1743" s="4">
        <v>6.7</v>
      </c>
      <c r="M1743"/>
    </row>
    <row r="1744" spans="1:13" x14ac:dyDescent="0.25">
      <c r="A1744" s="3" t="s">
        <v>102</v>
      </c>
      <c r="B1744" s="3" t="s">
        <v>244</v>
      </c>
      <c r="C1744" s="3" t="s">
        <v>13</v>
      </c>
      <c r="D1744" s="3" t="s">
        <v>10</v>
      </c>
      <c r="E1744" s="5" t="s">
        <v>11</v>
      </c>
      <c r="F1744" s="17">
        <v>74.66</v>
      </c>
      <c r="G1744" s="3">
        <v>3</v>
      </c>
      <c r="H1744" s="17">
        <f>Table1[[#This Row],[Unit price]]*Table1[[#This Row],[Quantity]]</f>
        <v>223.98</v>
      </c>
      <c r="I1744" s="29">
        <f>Table1[[#This Row],[Total Revenue]]/$H$5056*100</f>
        <v>2.3763325426901415E-2</v>
      </c>
      <c r="J1744" s="3" t="s">
        <v>15</v>
      </c>
      <c r="K1744" s="4">
        <v>8</v>
      </c>
      <c r="M1744"/>
    </row>
    <row r="1745" spans="1:13" x14ac:dyDescent="0.25">
      <c r="A1745" s="3" t="s">
        <v>103</v>
      </c>
      <c r="B1745" s="3" t="s">
        <v>244</v>
      </c>
      <c r="C1745" s="3" t="s">
        <v>13</v>
      </c>
      <c r="D1745" s="3" t="s">
        <v>19</v>
      </c>
      <c r="E1745" s="5" t="s">
        <v>16</v>
      </c>
      <c r="F1745" s="17">
        <v>86.31</v>
      </c>
      <c r="G1745" s="3">
        <v>1</v>
      </c>
      <c r="H1745" s="17">
        <f>Table1[[#This Row],[Unit price]]*Table1[[#This Row],[Quantity]]</f>
        <v>86.31</v>
      </c>
      <c r="I1745" s="29">
        <f>Table1[[#This Row],[Total Revenue]]/$H$5056*100</f>
        <v>9.157123928903747E-3</v>
      </c>
      <c r="J1745" s="3" t="s">
        <v>15</v>
      </c>
      <c r="K1745" s="4">
        <v>5.9</v>
      </c>
      <c r="M1745"/>
    </row>
    <row r="1746" spans="1:13" x14ac:dyDescent="0.25">
      <c r="A1746" s="3" t="s">
        <v>103</v>
      </c>
      <c r="B1746" s="3" t="s">
        <v>243</v>
      </c>
      <c r="C1746" s="3" t="s">
        <v>13</v>
      </c>
      <c r="D1746" s="3" t="s">
        <v>10</v>
      </c>
      <c r="E1746" s="5" t="s">
        <v>20</v>
      </c>
      <c r="F1746" s="17">
        <v>90.65</v>
      </c>
      <c r="G1746" s="3">
        <v>5</v>
      </c>
      <c r="H1746" s="17">
        <f>Table1[[#This Row],[Unit price]]*Table1[[#This Row],[Quantity]]</f>
        <v>453.25</v>
      </c>
      <c r="I1746" s="29">
        <f>Table1[[#This Row],[Total Revenue]]/$H$5056*100</f>
        <v>4.8087897355759739E-2</v>
      </c>
      <c r="J1746" s="3" t="s">
        <v>17</v>
      </c>
      <c r="K1746" s="4">
        <v>8.3000000000000007</v>
      </c>
      <c r="M1746"/>
    </row>
    <row r="1747" spans="1:13" x14ac:dyDescent="0.25">
      <c r="A1747" s="3" t="s">
        <v>103</v>
      </c>
      <c r="B1747" s="3" t="s">
        <v>244</v>
      </c>
      <c r="C1747" s="3" t="s">
        <v>9</v>
      </c>
      <c r="D1747" s="3" t="s">
        <v>10</v>
      </c>
      <c r="E1747" s="5" t="s">
        <v>21</v>
      </c>
      <c r="F1747" s="17">
        <v>15.87</v>
      </c>
      <c r="G1747" s="3">
        <v>1</v>
      </c>
      <c r="H1747" s="17">
        <f>Table1[[#This Row],[Unit price]]*Table1[[#This Row],[Quantity]]</f>
        <v>15.87</v>
      </c>
      <c r="I1747" s="29">
        <f>Table1[[#This Row],[Total Revenue]]/$H$5056*100</f>
        <v>1.6837395058707269E-3</v>
      </c>
      <c r="J1747" s="3" t="s">
        <v>12</v>
      </c>
      <c r="K1747" s="4">
        <v>6.5</v>
      </c>
      <c r="M1747"/>
    </row>
    <row r="1748" spans="1:13" x14ac:dyDescent="0.25">
      <c r="A1748" s="3" t="s">
        <v>103</v>
      </c>
      <c r="B1748" s="3" t="s">
        <v>243</v>
      </c>
      <c r="C1748" s="3" t="s">
        <v>9</v>
      </c>
      <c r="D1748" s="3" t="s">
        <v>10</v>
      </c>
      <c r="E1748" s="5" t="s">
        <v>18</v>
      </c>
      <c r="F1748" s="17">
        <v>60.74</v>
      </c>
      <c r="G1748" s="3">
        <v>3</v>
      </c>
      <c r="H1748" s="17">
        <f>Table1[[#This Row],[Unit price]]*Table1[[#This Row],[Quantity]]</f>
        <v>182.22</v>
      </c>
      <c r="I1748" s="29">
        <f>Table1[[#This Row],[Total Revenue]]/$H$5056*100</f>
        <v>1.933276702960075E-2</v>
      </c>
      <c r="J1748" s="3" t="s">
        <v>17</v>
      </c>
      <c r="K1748" s="4">
        <v>7.2</v>
      </c>
      <c r="M1748"/>
    </row>
    <row r="1749" spans="1:13" x14ac:dyDescent="0.25">
      <c r="A1749" s="3" t="s">
        <v>103</v>
      </c>
      <c r="B1749" s="3" t="s">
        <v>243</v>
      </c>
      <c r="C1749" s="3" t="s">
        <v>13</v>
      </c>
      <c r="D1749" s="3" t="s">
        <v>10</v>
      </c>
      <c r="E1749" s="5" t="s">
        <v>20</v>
      </c>
      <c r="F1749" s="17">
        <v>52.18</v>
      </c>
      <c r="G1749" s="3">
        <v>5</v>
      </c>
      <c r="H1749" s="17">
        <f>Table1[[#This Row],[Unit price]]*Table1[[#This Row],[Quantity]]</f>
        <v>260.89999999999998</v>
      </c>
      <c r="I1749" s="29">
        <f>Table1[[#This Row],[Total Revenue]]/$H$5056*100</f>
        <v>2.768038040842298E-2</v>
      </c>
      <c r="J1749" s="3" t="s">
        <v>15</v>
      </c>
      <c r="K1749" s="4">
        <v>8</v>
      </c>
      <c r="M1749"/>
    </row>
    <row r="1750" spans="1:13" x14ac:dyDescent="0.25">
      <c r="A1750" s="3" t="s">
        <v>103</v>
      </c>
      <c r="B1750" s="3" t="s">
        <v>243</v>
      </c>
      <c r="C1750" s="3" t="s">
        <v>13</v>
      </c>
      <c r="D1750" s="3" t="s">
        <v>10</v>
      </c>
      <c r="E1750" s="5" t="s">
        <v>18</v>
      </c>
      <c r="F1750" s="17">
        <v>60.74</v>
      </c>
      <c r="G1750" s="3">
        <v>2</v>
      </c>
      <c r="H1750" s="17">
        <f>Table1[[#This Row],[Unit price]]*Table1[[#This Row],[Quantity]]</f>
        <v>121.48</v>
      </c>
      <c r="I1750" s="29">
        <f>Table1[[#This Row],[Total Revenue]]/$H$5056*100</f>
        <v>1.2888511353067168E-2</v>
      </c>
      <c r="J1750" s="3" t="s">
        <v>12</v>
      </c>
      <c r="K1750" s="4">
        <v>7.5</v>
      </c>
      <c r="M1750"/>
    </row>
    <row r="1751" spans="1:13" x14ac:dyDescent="0.25">
      <c r="A1751" s="3" t="s">
        <v>103</v>
      </c>
      <c r="B1751" s="3" t="s">
        <v>245</v>
      </c>
      <c r="C1751" s="3" t="s">
        <v>13</v>
      </c>
      <c r="D1751" s="3" t="s">
        <v>10</v>
      </c>
      <c r="E1751" s="5" t="s">
        <v>21</v>
      </c>
      <c r="F1751" s="17">
        <v>18.11</v>
      </c>
      <c r="G1751" s="3">
        <v>4</v>
      </c>
      <c r="H1751" s="17">
        <f>Table1[[#This Row],[Unit price]]*Table1[[#This Row],[Quantity]]</f>
        <v>72.44</v>
      </c>
      <c r="I1751" s="29">
        <f>Table1[[#This Row],[Total Revenue]]/$H$5056*100</f>
        <v>7.6855759171566146E-3</v>
      </c>
      <c r="J1751" s="3" t="s">
        <v>15</v>
      </c>
      <c r="K1751" s="4">
        <v>9.8000000000000007</v>
      </c>
      <c r="M1751"/>
    </row>
    <row r="1752" spans="1:13" x14ac:dyDescent="0.25">
      <c r="A1752" s="3" t="s">
        <v>103</v>
      </c>
      <c r="B1752" s="3" t="s">
        <v>244</v>
      </c>
      <c r="C1752" s="3" t="s">
        <v>13</v>
      </c>
      <c r="D1752" s="3" t="s">
        <v>19</v>
      </c>
      <c r="E1752" s="5" t="s">
        <v>11</v>
      </c>
      <c r="F1752" s="17">
        <v>98.7</v>
      </c>
      <c r="G1752" s="3">
        <v>5</v>
      </c>
      <c r="H1752" s="17">
        <f>Table1[[#This Row],[Unit price]]*Table1[[#This Row],[Quantity]]</f>
        <v>493.5</v>
      </c>
      <c r="I1752" s="29">
        <f>Table1[[#This Row],[Total Revenue]]/$H$5056*100</f>
        <v>5.2358251174997095E-2</v>
      </c>
      <c r="J1752" s="3" t="s">
        <v>17</v>
      </c>
      <c r="K1752" s="4">
        <v>7.2</v>
      </c>
      <c r="M1752"/>
    </row>
    <row r="1753" spans="1:13" x14ac:dyDescent="0.25">
      <c r="A1753" s="3" t="s">
        <v>103</v>
      </c>
      <c r="B1753" s="3" t="s">
        <v>244</v>
      </c>
      <c r="C1753" s="3" t="s">
        <v>13</v>
      </c>
      <c r="D1753" s="3" t="s">
        <v>19</v>
      </c>
      <c r="E1753" s="5" t="s">
        <v>11</v>
      </c>
      <c r="F1753" s="17">
        <v>48.52</v>
      </c>
      <c r="G1753" s="3">
        <v>6</v>
      </c>
      <c r="H1753" s="17">
        <f>Table1[[#This Row],[Unit price]]*Table1[[#This Row],[Quantity]]</f>
        <v>291.12</v>
      </c>
      <c r="I1753" s="29">
        <f>Table1[[#This Row],[Total Revenue]]/$H$5056*100</f>
        <v>3.0886593884630501E-2</v>
      </c>
      <c r="J1753" s="3" t="s">
        <v>12</v>
      </c>
      <c r="K1753" s="4">
        <v>9.1</v>
      </c>
      <c r="M1753"/>
    </row>
    <row r="1754" spans="1:13" x14ac:dyDescent="0.25">
      <c r="A1754" s="3" t="s">
        <v>103</v>
      </c>
      <c r="B1754" s="3" t="s">
        <v>243</v>
      </c>
      <c r="C1754" s="3" t="s">
        <v>13</v>
      </c>
      <c r="D1754" s="3" t="s">
        <v>10</v>
      </c>
      <c r="E1754" s="5" t="s">
        <v>11</v>
      </c>
      <c r="F1754" s="17">
        <v>18.079999999999998</v>
      </c>
      <c r="G1754" s="3">
        <v>2</v>
      </c>
      <c r="H1754" s="17">
        <f>Table1[[#This Row],[Unit price]]*Table1[[#This Row],[Quantity]]</f>
        <v>36.159999999999997</v>
      </c>
      <c r="I1754" s="29">
        <f>Table1[[#This Row],[Total Revenue]]/$H$5056*100</f>
        <v>3.836422213754599E-3</v>
      </c>
      <c r="J1754" s="3" t="s">
        <v>17</v>
      </c>
      <c r="K1754" s="4">
        <v>5.9</v>
      </c>
      <c r="M1754"/>
    </row>
    <row r="1755" spans="1:13" x14ac:dyDescent="0.25">
      <c r="A1755" s="3" t="s">
        <v>103</v>
      </c>
      <c r="B1755" s="3" t="s">
        <v>244</v>
      </c>
      <c r="C1755" s="3" t="s">
        <v>9</v>
      </c>
      <c r="D1755" s="3" t="s">
        <v>19</v>
      </c>
      <c r="E1755" s="5" t="s">
        <v>21</v>
      </c>
      <c r="F1755" s="17">
        <v>82.58</v>
      </c>
      <c r="G1755" s="3">
        <v>4</v>
      </c>
      <c r="H1755" s="17">
        <f>Table1[[#This Row],[Unit price]]*Table1[[#This Row],[Quantity]]</f>
        <v>330.32</v>
      </c>
      <c r="I1755" s="29">
        <f>Table1[[#This Row],[Total Revenue]]/$H$5056*100</f>
        <v>3.5045547169452969E-2</v>
      </c>
      <c r="J1755" s="3" t="s">
        <v>15</v>
      </c>
      <c r="K1755" s="4">
        <v>8.9</v>
      </c>
      <c r="M1755"/>
    </row>
    <row r="1756" spans="1:13" x14ac:dyDescent="0.25">
      <c r="A1756" s="3" t="s">
        <v>103</v>
      </c>
      <c r="B1756" s="3" t="s">
        <v>243</v>
      </c>
      <c r="C1756" s="3" t="s">
        <v>13</v>
      </c>
      <c r="D1756" s="3" t="s">
        <v>19</v>
      </c>
      <c r="E1756" s="5" t="s">
        <v>11</v>
      </c>
      <c r="F1756" s="17">
        <v>78.31</v>
      </c>
      <c r="G1756" s="3">
        <v>4</v>
      </c>
      <c r="H1756" s="17">
        <f>Table1[[#This Row],[Unit price]]*Table1[[#This Row],[Quantity]]</f>
        <v>313.24</v>
      </c>
      <c r="I1756" s="29">
        <f>Table1[[#This Row],[Total Revenue]]/$H$5056*100</f>
        <v>3.3233431809637462E-2</v>
      </c>
      <c r="J1756" s="3" t="s">
        <v>15</v>
      </c>
      <c r="K1756" s="4">
        <v>7.2</v>
      </c>
      <c r="M1756"/>
    </row>
    <row r="1757" spans="1:13" x14ac:dyDescent="0.25">
      <c r="A1757" s="3" t="s">
        <v>103</v>
      </c>
      <c r="B1757" s="3" t="s">
        <v>245</v>
      </c>
      <c r="C1757" s="3" t="s">
        <v>13</v>
      </c>
      <c r="D1757" s="3" t="s">
        <v>19</v>
      </c>
      <c r="E1757" s="5" t="s">
        <v>11</v>
      </c>
      <c r="F1757" s="17">
        <v>62.08</v>
      </c>
      <c r="G1757" s="3">
        <v>2</v>
      </c>
      <c r="H1757" s="17">
        <f>Table1[[#This Row],[Unit price]]*Table1[[#This Row],[Quantity]]</f>
        <v>124.16</v>
      </c>
      <c r="I1757" s="29">
        <f>Table1[[#This Row],[Total Revenue]]/$H$5056*100</f>
        <v>1.3172847955192782E-2</v>
      </c>
      <c r="J1757" s="3" t="s">
        <v>15</v>
      </c>
      <c r="K1757" s="4">
        <v>7.5</v>
      </c>
      <c r="M1757"/>
    </row>
    <row r="1758" spans="1:13" x14ac:dyDescent="0.25">
      <c r="A1758" s="3" t="s">
        <v>103</v>
      </c>
      <c r="B1758" s="3" t="s">
        <v>244</v>
      </c>
      <c r="C1758" s="3" t="s">
        <v>9</v>
      </c>
      <c r="D1758" s="3" t="s">
        <v>19</v>
      </c>
      <c r="E1758" s="5" t="s">
        <v>11</v>
      </c>
      <c r="F1758" s="17">
        <v>99.79</v>
      </c>
      <c r="G1758" s="3">
        <v>1</v>
      </c>
      <c r="H1758" s="17">
        <f>Table1[[#This Row],[Unit price]]*Table1[[#This Row],[Quantity]]</f>
        <v>99.79</v>
      </c>
      <c r="I1758" s="29">
        <f>Table1[[#This Row],[Total Revenue]]/$H$5056*100</f>
        <v>1.0587294599296779E-2</v>
      </c>
      <c r="J1758" s="3" t="s">
        <v>17</v>
      </c>
      <c r="K1758" s="4">
        <v>8.8000000000000007</v>
      </c>
      <c r="M1758"/>
    </row>
    <row r="1759" spans="1:13" x14ac:dyDescent="0.25">
      <c r="A1759" s="3" t="s">
        <v>104</v>
      </c>
      <c r="B1759" s="3" t="s">
        <v>244</v>
      </c>
      <c r="C1759" s="3" t="s">
        <v>13</v>
      </c>
      <c r="D1759" s="3" t="s">
        <v>19</v>
      </c>
      <c r="E1759" s="5" t="s">
        <v>11</v>
      </c>
      <c r="F1759" s="17">
        <v>17.04</v>
      </c>
      <c r="G1759" s="3">
        <v>3</v>
      </c>
      <c r="H1759" s="17">
        <f>Table1[[#This Row],[Unit price]]*Table1[[#This Row],[Quantity]]</f>
        <v>51.12</v>
      </c>
      <c r="I1759" s="29">
        <f>Table1[[#This Row],[Total Revenue]]/$H$5056*100</f>
        <v>5.4236145897990909E-3</v>
      </c>
      <c r="J1759" s="3" t="s">
        <v>17</v>
      </c>
      <c r="K1759" s="4">
        <v>7.7</v>
      </c>
      <c r="M1759"/>
    </row>
    <row r="1760" spans="1:13" x14ac:dyDescent="0.25">
      <c r="A1760" s="3" t="s">
        <v>104</v>
      </c>
      <c r="B1760" s="3" t="s">
        <v>243</v>
      </c>
      <c r="C1760" s="3" t="s">
        <v>9</v>
      </c>
      <c r="D1760" s="3" t="s">
        <v>19</v>
      </c>
      <c r="E1760" s="5" t="s">
        <v>20</v>
      </c>
      <c r="F1760" s="17">
        <v>93.69</v>
      </c>
      <c r="G1760" s="3">
        <v>3</v>
      </c>
      <c r="H1760" s="17">
        <f>Table1[[#This Row],[Unit price]]*Table1[[#This Row],[Quantity]]</f>
        <v>281.07</v>
      </c>
      <c r="I1760" s="29">
        <f>Table1[[#This Row],[Total Revenue]]/$H$5056*100</f>
        <v>2.9820331626659438E-2</v>
      </c>
      <c r="J1760" s="3" t="s">
        <v>15</v>
      </c>
      <c r="K1760" s="4">
        <v>7.9</v>
      </c>
      <c r="M1760"/>
    </row>
    <row r="1761" spans="1:13" x14ac:dyDescent="0.25">
      <c r="A1761" s="3" t="s">
        <v>104</v>
      </c>
      <c r="B1761" s="3" t="s">
        <v>244</v>
      </c>
      <c r="C1761" s="3" t="s">
        <v>9</v>
      </c>
      <c r="D1761" s="3" t="s">
        <v>19</v>
      </c>
      <c r="E1761" s="5" t="s">
        <v>11</v>
      </c>
      <c r="F1761" s="17">
        <v>43.27</v>
      </c>
      <c r="G1761" s="3">
        <v>4</v>
      </c>
      <c r="H1761" s="17">
        <f>Table1[[#This Row],[Unit price]]*Table1[[#This Row],[Quantity]]</f>
        <v>173.08</v>
      </c>
      <c r="I1761" s="29">
        <f>Table1[[#This Row],[Total Revenue]]/$H$5056*100</f>
        <v>1.8363051901455922E-2</v>
      </c>
      <c r="J1761" s="3" t="s">
        <v>12</v>
      </c>
      <c r="K1761" s="4">
        <v>7.8</v>
      </c>
      <c r="M1761"/>
    </row>
    <row r="1762" spans="1:13" x14ac:dyDescent="0.25">
      <c r="A1762" s="3" t="s">
        <v>104</v>
      </c>
      <c r="B1762" s="3" t="s">
        <v>243</v>
      </c>
      <c r="C1762" s="3" t="s">
        <v>13</v>
      </c>
      <c r="D1762" s="3" t="s">
        <v>19</v>
      </c>
      <c r="E1762" s="5" t="s">
        <v>16</v>
      </c>
      <c r="F1762" s="17">
        <v>90.28</v>
      </c>
      <c r="G1762" s="3">
        <v>2</v>
      </c>
      <c r="H1762" s="17">
        <f>Table1[[#This Row],[Unit price]]*Table1[[#This Row],[Quantity]]</f>
        <v>180.56</v>
      </c>
      <c r="I1762" s="29">
        <f>Table1[[#This Row],[Total Revenue]]/$H$5056*100</f>
        <v>1.9156648089478166E-2</v>
      </c>
      <c r="J1762" s="3" t="s">
        <v>17</v>
      </c>
      <c r="K1762" s="4">
        <v>6</v>
      </c>
      <c r="M1762"/>
    </row>
    <row r="1763" spans="1:13" x14ac:dyDescent="0.25">
      <c r="A1763" s="3" t="s">
        <v>104</v>
      </c>
      <c r="B1763" s="3" t="s">
        <v>243</v>
      </c>
      <c r="C1763" s="3" t="s">
        <v>9</v>
      </c>
      <c r="D1763" s="3" t="s">
        <v>10</v>
      </c>
      <c r="E1763" s="5" t="s">
        <v>11</v>
      </c>
      <c r="F1763" s="17">
        <v>17.63</v>
      </c>
      <c r="G1763" s="3">
        <v>1</v>
      </c>
      <c r="H1763" s="17">
        <f>Table1[[#This Row],[Unit price]]*Table1[[#This Row],[Quantity]]</f>
        <v>17.63</v>
      </c>
      <c r="I1763" s="29">
        <f>Table1[[#This Row],[Total Revenue]]/$H$5056*100</f>
        <v>1.8704680206994909E-3</v>
      </c>
      <c r="J1763" s="3" t="s">
        <v>12</v>
      </c>
      <c r="K1763" s="4">
        <v>6.3</v>
      </c>
      <c r="M1763"/>
    </row>
    <row r="1764" spans="1:13" x14ac:dyDescent="0.25">
      <c r="A1764" s="3" t="s">
        <v>104</v>
      </c>
      <c r="B1764" s="3" t="s">
        <v>245</v>
      </c>
      <c r="C1764" s="3" t="s">
        <v>13</v>
      </c>
      <c r="D1764" s="3" t="s">
        <v>10</v>
      </c>
      <c r="E1764" s="5" t="s">
        <v>11</v>
      </c>
      <c r="F1764" s="17">
        <v>98.97</v>
      </c>
      <c r="G1764" s="3">
        <v>2</v>
      </c>
      <c r="H1764" s="17">
        <f>Table1[[#This Row],[Unit price]]*Table1[[#This Row],[Quantity]]</f>
        <v>197.94</v>
      </c>
      <c r="I1764" s="29">
        <f>Table1[[#This Row],[Total Revenue]]/$H$5056*100</f>
        <v>2.100059217341221E-2</v>
      </c>
      <c r="J1764" s="3" t="s">
        <v>17</v>
      </c>
      <c r="K1764" s="4">
        <v>8</v>
      </c>
      <c r="M1764"/>
    </row>
    <row r="1765" spans="1:13" x14ac:dyDescent="0.25">
      <c r="A1765" s="3" t="s">
        <v>104</v>
      </c>
      <c r="B1765" s="3" t="s">
        <v>244</v>
      </c>
      <c r="C1765" s="3" t="s">
        <v>9</v>
      </c>
      <c r="D1765" s="3" t="s">
        <v>10</v>
      </c>
      <c r="E1765" s="5" t="s">
        <v>20</v>
      </c>
      <c r="F1765" s="17">
        <v>35.79</v>
      </c>
      <c r="G1765" s="3">
        <v>4</v>
      </c>
      <c r="H1765" s="17">
        <f>Table1[[#This Row],[Unit price]]*Table1[[#This Row],[Quantity]]</f>
        <v>143.16</v>
      </c>
      <c r="I1765" s="29">
        <f>Table1[[#This Row],[Total Revenue]]/$H$5056*100</f>
        <v>1.5188667149366937E-2</v>
      </c>
      <c r="J1765" s="3" t="s">
        <v>17</v>
      </c>
      <c r="K1765" s="4">
        <v>7.5</v>
      </c>
      <c r="M1765"/>
    </row>
    <row r="1766" spans="1:13" x14ac:dyDescent="0.25">
      <c r="A1766" s="3" t="s">
        <v>104</v>
      </c>
      <c r="B1766" s="3" t="s">
        <v>244</v>
      </c>
      <c r="C1766" s="3" t="s">
        <v>13</v>
      </c>
      <c r="D1766" s="3" t="s">
        <v>10</v>
      </c>
      <c r="E1766" s="5" t="s">
        <v>11</v>
      </c>
      <c r="F1766" s="17">
        <v>99.78</v>
      </c>
      <c r="G1766" s="3">
        <v>4</v>
      </c>
      <c r="H1766" s="17">
        <f>Table1[[#This Row],[Unit price]]*Table1[[#This Row],[Quantity]]</f>
        <v>399.12</v>
      </c>
      <c r="I1766" s="29">
        <f>Table1[[#This Row],[Total Revenue]]/$H$5056*100</f>
        <v>4.2344934567304642E-2</v>
      </c>
      <c r="J1766" s="3" t="s">
        <v>17</v>
      </c>
      <c r="K1766" s="4">
        <v>8.4</v>
      </c>
      <c r="M1766"/>
    </row>
    <row r="1767" spans="1:13" x14ac:dyDescent="0.25">
      <c r="A1767" s="3" t="s">
        <v>104</v>
      </c>
      <c r="B1767" s="3" t="s">
        <v>245</v>
      </c>
      <c r="C1767" s="3" t="s">
        <v>13</v>
      </c>
      <c r="D1767" s="3" t="s">
        <v>19</v>
      </c>
      <c r="E1767" s="5" t="s">
        <v>20</v>
      </c>
      <c r="F1767" s="17">
        <v>40.299999999999997</v>
      </c>
      <c r="G1767" s="3">
        <v>3</v>
      </c>
      <c r="H1767" s="17">
        <f>Table1[[#This Row],[Unit price]]*Table1[[#This Row],[Quantity]]</f>
        <v>120.89999999999999</v>
      </c>
      <c r="I1767" s="29">
        <f>Table1[[#This Row],[Total Revenue]]/$H$5056*100</f>
        <v>1.2826975819771325E-2</v>
      </c>
      <c r="J1767" s="3" t="s">
        <v>12</v>
      </c>
      <c r="K1767" s="4">
        <v>7.8</v>
      </c>
      <c r="M1767"/>
    </row>
    <row r="1768" spans="1:13" x14ac:dyDescent="0.25">
      <c r="A1768" s="3" t="s">
        <v>104</v>
      </c>
      <c r="B1768" s="3" t="s">
        <v>243</v>
      </c>
      <c r="C1768" s="3" t="s">
        <v>9</v>
      </c>
      <c r="D1768" s="3" t="s">
        <v>10</v>
      </c>
      <c r="E1768" s="5" t="s">
        <v>18</v>
      </c>
      <c r="F1768" s="17">
        <v>60.74</v>
      </c>
      <c r="G1768" s="3">
        <v>1</v>
      </c>
      <c r="H1768" s="17">
        <f>Table1[[#This Row],[Unit price]]*Table1[[#This Row],[Quantity]]</f>
        <v>60.74</v>
      </c>
      <c r="I1768" s="29">
        <f>Table1[[#This Row],[Total Revenue]]/$H$5056*100</f>
        <v>6.4442556765335838E-3</v>
      </c>
      <c r="J1768" s="3" t="s">
        <v>12</v>
      </c>
      <c r="K1768" s="4">
        <v>8.1999999999999993</v>
      </c>
      <c r="M1768"/>
    </row>
    <row r="1769" spans="1:13" x14ac:dyDescent="0.25">
      <c r="A1769" s="3" t="s">
        <v>104</v>
      </c>
      <c r="B1769" s="3" t="s">
        <v>245</v>
      </c>
      <c r="C1769" s="3" t="s">
        <v>9</v>
      </c>
      <c r="D1769" s="3" t="s">
        <v>10</v>
      </c>
      <c r="E1769" s="5" t="s">
        <v>20</v>
      </c>
      <c r="F1769" s="17">
        <v>63.42</v>
      </c>
      <c r="G1769" s="3">
        <v>3</v>
      </c>
      <c r="H1769" s="17">
        <f>Table1[[#This Row],[Unit price]]*Table1[[#This Row],[Quantity]]</f>
        <v>190.26</v>
      </c>
      <c r="I1769" s="29">
        <f>Table1[[#This Row],[Total Revenue]]/$H$5056*100</f>
        <v>2.0185776835977602E-2</v>
      </c>
      <c r="J1769" s="3" t="s">
        <v>15</v>
      </c>
      <c r="K1769" s="4">
        <v>8.5</v>
      </c>
      <c r="M1769"/>
    </row>
    <row r="1770" spans="1:13" x14ac:dyDescent="0.25">
      <c r="A1770" s="3" t="s">
        <v>104</v>
      </c>
      <c r="B1770" s="3" t="s">
        <v>245</v>
      </c>
      <c r="C1770" s="3" t="s">
        <v>13</v>
      </c>
      <c r="D1770" s="3" t="s">
        <v>19</v>
      </c>
      <c r="E1770" s="5" t="s">
        <v>11</v>
      </c>
      <c r="F1770" s="17">
        <v>18.22</v>
      </c>
      <c r="G1770" s="3">
        <v>4</v>
      </c>
      <c r="H1770" s="17">
        <f>Table1[[#This Row],[Unit price]]*Table1[[#This Row],[Quantity]]</f>
        <v>72.88</v>
      </c>
      <c r="I1770" s="29">
        <f>Table1[[#This Row],[Total Revenue]]/$H$5056*100</f>
        <v>7.7322580458638055E-3</v>
      </c>
      <c r="J1770" s="3" t="s">
        <v>17</v>
      </c>
      <c r="K1770" s="4">
        <v>8.6</v>
      </c>
      <c r="M1770"/>
    </row>
    <row r="1771" spans="1:13" x14ac:dyDescent="0.25">
      <c r="A1771" s="3" t="s">
        <v>104</v>
      </c>
      <c r="B1771" s="3" t="s">
        <v>243</v>
      </c>
      <c r="C1771" s="3" t="s">
        <v>13</v>
      </c>
      <c r="D1771" s="3" t="s">
        <v>10</v>
      </c>
      <c r="E1771" s="5" t="s">
        <v>11</v>
      </c>
      <c r="F1771" s="17">
        <v>57.34</v>
      </c>
      <c r="G1771" s="3">
        <v>2</v>
      </c>
      <c r="H1771" s="17">
        <f>Table1[[#This Row],[Unit price]]*Table1[[#This Row],[Quantity]]</f>
        <v>114.68</v>
      </c>
      <c r="I1771" s="29">
        <f>Table1[[#This Row],[Total Revenue]]/$H$5056*100</f>
        <v>1.2167060273046943E-2</v>
      </c>
      <c r="J1771" s="3" t="s">
        <v>15</v>
      </c>
      <c r="K1771" s="4">
        <v>7.6</v>
      </c>
      <c r="M1771"/>
    </row>
    <row r="1772" spans="1:13" x14ac:dyDescent="0.25">
      <c r="A1772" s="3" t="s">
        <v>105</v>
      </c>
      <c r="B1772" s="3" t="s">
        <v>243</v>
      </c>
      <c r="C1772" s="3" t="s">
        <v>9</v>
      </c>
      <c r="D1772" s="3" t="s">
        <v>19</v>
      </c>
      <c r="E1772" s="5" t="s">
        <v>16</v>
      </c>
      <c r="F1772" s="17">
        <v>64.97</v>
      </c>
      <c r="G1772" s="3">
        <v>1</v>
      </c>
      <c r="H1772" s="17">
        <f>Table1[[#This Row],[Unit price]]*Table1[[#This Row],[Quantity]]</f>
        <v>64.97</v>
      </c>
      <c r="I1772" s="29">
        <f>Table1[[#This Row],[Total Revenue]]/$H$5056*100</f>
        <v>6.893040686604986E-3</v>
      </c>
      <c r="J1772" s="3" t="s">
        <v>17</v>
      </c>
      <c r="K1772" s="4">
        <v>7.1</v>
      </c>
      <c r="M1772"/>
    </row>
    <row r="1773" spans="1:13" x14ac:dyDescent="0.25">
      <c r="A1773" s="3" t="s">
        <v>105</v>
      </c>
      <c r="B1773" s="3" t="s">
        <v>245</v>
      </c>
      <c r="C1773" s="3" t="s">
        <v>9</v>
      </c>
      <c r="D1773" s="3" t="s">
        <v>10</v>
      </c>
      <c r="E1773" s="5" t="s">
        <v>11</v>
      </c>
      <c r="F1773" s="17">
        <v>10.130000000000001</v>
      </c>
      <c r="G1773" s="3">
        <v>1</v>
      </c>
      <c r="H1773" s="17">
        <f>Table1[[#This Row],[Unit price]]*Table1[[#This Row],[Quantity]]</f>
        <v>10.130000000000001</v>
      </c>
      <c r="I1773" s="29">
        <f>Table1[[#This Row],[Total Revenue]]/$H$5056*100</f>
        <v>1.0747499177360092E-3</v>
      </c>
      <c r="J1773" s="3" t="s">
        <v>12</v>
      </c>
      <c r="K1773" s="4">
        <v>7.3</v>
      </c>
      <c r="M1773"/>
    </row>
    <row r="1774" spans="1:13" x14ac:dyDescent="0.25">
      <c r="A1774" s="3" t="s">
        <v>105</v>
      </c>
      <c r="B1774" s="3" t="s">
        <v>244</v>
      </c>
      <c r="C1774" s="3" t="s">
        <v>13</v>
      </c>
      <c r="D1774" s="3" t="s">
        <v>19</v>
      </c>
      <c r="E1774" s="5" t="s">
        <v>16</v>
      </c>
      <c r="F1774" s="17">
        <v>69.12</v>
      </c>
      <c r="G1774" s="3">
        <v>2</v>
      </c>
      <c r="H1774" s="17">
        <f>Table1[[#This Row],[Unit price]]*Table1[[#This Row],[Quantity]]</f>
        <v>138.24</v>
      </c>
      <c r="I1774" s="29">
        <f>Table1[[#This Row],[Total Revenue]]/$H$5056*100</f>
        <v>1.4666676073822894E-2</v>
      </c>
      <c r="J1774" s="3" t="s">
        <v>15</v>
      </c>
      <c r="K1774" s="4">
        <v>7</v>
      </c>
      <c r="M1774"/>
    </row>
    <row r="1775" spans="1:13" x14ac:dyDescent="0.25">
      <c r="A1775" s="3" t="s">
        <v>105</v>
      </c>
      <c r="B1775" s="3" t="s">
        <v>244</v>
      </c>
      <c r="C1775" s="3" t="s">
        <v>13</v>
      </c>
      <c r="D1775" s="3" t="s">
        <v>10</v>
      </c>
      <c r="E1775" s="5" t="s">
        <v>18</v>
      </c>
      <c r="F1775" s="17">
        <v>60.74</v>
      </c>
      <c r="G1775" s="3">
        <v>2</v>
      </c>
      <c r="H1775" s="17">
        <f>Table1[[#This Row],[Unit price]]*Table1[[#This Row],[Quantity]]</f>
        <v>121.48</v>
      </c>
      <c r="I1775" s="29">
        <f>Table1[[#This Row],[Total Revenue]]/$H$5056*100</f>
        <v>1.2888511353067168E-2</v>
      </c>
      <c r="J1775" s="3" t="s">
        <v>17</v>
      </c>
      <c r="K1775" s="4">
        <v>7</v>
      </c>
      <c r="M1775"/>
    </row>
    <row r="1776" spans="1:13" x14ac:dyDescent="0.25">
      <c r="A1776" s="3" t="s">
        <v>105</v>
      </c>
      <c r="B1776" s="3" t="s">
        <v>244</v>
      </c>
      <c r="C1776" s="3" t="s">
        <v>9</v>
      </c>
      <c r="D1776" s="3" t="s">
        <v>19</v>
      </c>
      <c r="E1776" s="5" t="s">
        <v>11</v>
      </c>
      <c r="F1776" s="17">
        <v>46.77</v>
      </c>
      <c r="G1776" s="3">
        <v>4</v>
      </c>
      <c r="H1776" s="17">
        <f>Table1[[#This Row],[Unit price]]*Table1[[#This Row],[Quantity]]</f>
        <v>187.08</v>
      </c>
      <c r="I1776" s="29">
        <f>Table1[[#This Row],[Total Revenue]]/$H$5056*100</f>
        <v>1.9848392360321088E-2</v>
      </c>
      <c r="J1776" s="3" t="s">
        <v>17</v>
      </c>
      <c r="K1776" s="4">
        <v>8.1</v>
      </c>
      <c r="M1776"/>
    </row>
    <row r="1777" spans="1:13" x14ac:dyDescent="0.25">
      <c r="A1777" s="3" t="s">
        <v>105</v>
      </c>
      <c r="B1777" s="3" t="s">
        <v>244</v>
      </c>
      <c r="C1777" s="3" t="s">
        <v>9</v>
      </c>
      <c r="D1777" s="3" t="s">
        <v>19</v>
      </c>
      <c r="E1777" s="5" t="s">
        <v>21</v>
      </c>
      <c r="F1777" s="17">
        <v>24.89</v>
      </c>
      <c r="G1777" s="3">
        <v>1</v>
      </c>
      <c r="H1777" s="17">
        <f>Table1[[#This Row],[Unit price]]*Table1[[#This Row],[Quantity]]</f>
        <v>24.89</v>
      </c>
      <c r="I1777" s="29">
        <f>Table1[[#This Row],[Total Revenue]]/$H$5056*100</f>
        <v>2.6407231443681413E-3</v>
      </c>
      <c r="J1777" s="3" t="s">
        <v>15</v>
      </c>
      <c r="K1777" s="4">
        <v>7.1</v>
      </c>
      <c r="M1777"/>
    </row>
    <row r="1778" spans="1:13" x14ac:dyDescent="0.25">
      <c r="A1778" s="3" t="s">
        <v>105</v>
      </c>
      <c r="B1778" s="3" t="s">
        <v>245</v>
      </c>
      <c r="C1778" s="3" t="s">
        <v>13</v>
      </c>
      <c r="D1778" s="3" t="s">
        <v>19</v>
      </c>
      <c r="E1778" s="5" t="s">
        <v>20</v>
      </c>
      <c r="F1778" s="17">
        <v>28.32</v>
      </c>
      <c r="G1778" s="3">
        <v>2</v>
      </c>
      <c r="H1778" s="17">
        <f>Table1[[#This Row],[Unit price]]*Table1[[#This Row],[Quantity]]</f>
        <v>56.64</v>
      </c>
      <c r="I1778" s="29">
        <f>Table1[[#This Row],[Total Revenue]]/$H$5056*100</f>
        <v>6.0092631135802137E-3</v>
      </c>
      <c r="J1778" s="3" t="s">
        <v>12</v>
      </c>
      <c r="K1778" s="4">
        <v>5.7</v>
      </c>
      <c r="M1778"/>
    </row>
    <row r="1779" spans="1:13" x14ac:dyDescent="0.25">
      <c r="A1779" s="3" t="s">
        <v>105</v>
      </c>
      <c r="B1779" s="3" t="s">
        <v>243</v>
      </c>
      <c r="C1779" s="3" t="s">
        <v>13</v>
      </c>
      <c r="D1779" s="3" t="s">
        <v>19</v>
      </c>
      <c r="E1779" s="5" t="s">
        <v>11</v>
      </c>
      <c r="F1779" s="17">
        <v>94.26</v>
      </c>
      <c r="G1779" s="3">
        <v>6</v>
      </c>
      <c r="H1779" s="17">
        <f>Table1[[#This Row],[Unit price]]*Table1[[#This Row],[Quantity]]</f>
        <v>565.56000000000006</v>
      </c>
      <c r="I1779" s="29">
        <f>Table1[[#This Row],[Total Revenue]]/$H$5056*100</f>
        <v>6.0003510708270223E-2</v>
      </c>
      <c r="J1779" s="3" t="s">
        <v>17</v>
      </c>
      <c r="K1779" s="4">
        <v>7.7</v>
      </c>
      <c r="M1779"/>
    </row>
    <row r="1780" spans="1:13" x14ac:dyDescent="0.25">
      <c r="A1780" s="3" t="s">
        <v>105</v>
      </c>
      <c r="B1780" s="3" t="s">
        <v>244</v>
      </c>
      <c r="C1780" s="3" t="s">
        <v>13</v>
      </c>
      <c r="D1780" s="3" t="s">
        <v>19</v>
      </c>
      <c r="E1780" s="5" t="s">
        <v>18</v>
      </c>
      <c r="F1780" s="17">
        <v>60.74</v>
      </c>
      <c r="G1780" s="3">
        <v>1</v>
      </c>
      <c r="H1780" s="17">
        <f>Table1[[#This Row],[Unit price]]*Table1[[#This Row],[Quantity]]</f>
        <v>60.74</v>
      </c>
      <c r="I1780" s="29">
        <f>Table1[[#This Row],[Total Revenue]]/$H$5056*100</f>
        <v>6.4442556765335838E-3</v>
      </c>
      <c r="J1780" s="3" t="s">
        <v>15</v>
      </c>
      <c r="K1780" s="4">
        <v>5.3</v>
      </c>
      <c r="M1780"/>
    </row>
    <row r="1781" spans="1:13" x14ac:dyDescent="0.25">
      <c r="A1781" s="3" t="s">
        <v>105</v>
      </c>
      <c r="B1781" s="3" t="s">
        <v>244</v>
      </c>
      <c r="C1781" s="3" t="s">
        <v>9</v>
      </c>
      <c r="D1781" s="3" t="s">
        <v>10</v>
      </c>
      <c r="E1781" s="5" t="s">
        <v>11</v>
      </c>
      <c r="F1781" s="17">
        <v>55.04</v>
      </c>
      <c r="G1781" s="3">
        <v>2</v>
      </c>
      <c r="H1781" s="17">
        <f>Table1[[#This Row],[Unit price]]*Table1[[#This Row],[Quantity]]</f>
        <v>110.08</v>
      </c>
      <c r="I1781" s="29">
        <f>Table1[[#This Row],[Total Revenue]]/$H$5056*100</f>
        <v>1.1679019836562676E-2</v>
      </c>
      <c r="J1781" s="3" t="s">
        <v>17</v>
      </c>
      <c r="K1781" s="4">
        <v>7.1</v>
      </c>
      <c r="M1781"/>
    </row>
    <row r="1782" spans="1:13" x14ac:dyDescent="0.25">
      <c r="A1782" s="3" t="s">
        <v>105</v>
      </c>
      <c r="B1782" s="3" t="s">
        <v>244</v>
      </c>
      <c r="C1782" s="3" t="s">
        <v>9</v>
      </c>
      <c r="D1782" s="3" t="s">
        <v>19</v>
      </c>
      <c r="E1782" s="5" t="s">
        <v>20</v>
      </c>
      <c r="F1782" s="17">
        <v>40.729999999999997</v>
      </c>
      <c r="G1782" s="3">
        <v>4</v>
      </c>
      <c r="H1782" s="17">
        <f>Table1[[#This Row],[Unit price]]*Table1[[#This Row],[Quantity]]</f>
        <v>162.91999999999999</v>
      </c>
      <c r="I1782" s="29">
        <f>Table1[[#This Row],[Total Revenue]]/$H$5056*100</f>
        <v>1.7285119111308055E-2</v>
      </c>
      <c r="J1782" s="3" t="s">
        <v>12</v>
      </c>
      <c r="K1782" s="4">
        <v>8.6999999999999993</v>
      </c>
      <c r="M1782"/>
    </row>
    <row r="1783" spans="1:13" x14ac:dyDescent="0.25">
      <c r="A1783" s="3" t="s">
        <v>106</v>
      </c>
      <c r="B1783" s="3" t="s">
        <v>245</v>
      </c>
      <c r="C1783" s="3" t="s">
        <v>13</v>
      </c>
      <c r="D1783" s="3" t="s">
        <v>10</v>
      </c>
      <c r="E1783" s="5" t="s">
        <v>11</v>
      </c>
      <c r="F1783" s="17">
        <v>54.27</v>
      </c>
      <c r="G1783" s="3">
        <v>3</v>
      </c>
      <c r="H1783" s="17">
        <f>Table1[[#This Row],[Unit price]]*Table1[[#This Row],[Quantity]]</f>
        <v>162.81</v>
      </c>
      <c r="I1783" s="29">
        <f>Table1[[#This Row],[Total Revenue]]/$H$5056*100</f>
        <v>1.7273448579131261E-2</v>
      </c>
      <c r="J1783" s="3" t="s">
        <v>15</v>
      </c>
      <c r="K1783" s="4">
        <v>8.5</v>
      </c>
      <c r="M1783"/>
    </row>
    <row r="1784" spans="1:13" x14ac:dyDescent="0.25">
      <c r="A1784" s="3" t="s">
        <v>106</v>
      </c>
      <c r="B1784" s="3" t="s">
        <v>245</v>
      </c>
      <c r="C1784" s="3" t="s">
        <v>9</v>
      </c>
      <c r="D1784" s="3" t="s">
        <v>10</v>
      </c>
      <c r="E1784" s="5" t="s">
        <v>11</v>
      </c>
      <c r="F1784" s="17">
        <v>45.79</v>
      </c>
      <c r="G1784" s="3">
        <v>3</v>
      </c>
      <c r="H1784" s="17">
        <f>Table1[[#This Row],[Unit price]]*Table1[[#This Row],[Quantity]]</f>
        <v>137.37</v>
      </c>
      <c r="I1784" s="29">
        <f>Table1[[#This Row],[Total Revenue]]/$H$5056*100</f>
        <v>1.4574372773879131E-2</v>
      </c>
      <c r="J1784" s="3" t="s">
        <v>15</v>
      </c>
      <c r="K1784" s="4">
        <v>8.1</v>
      </c>
      <c r="M1784"/>
    </row>
    <row r="1785" spans="1:13" x14ac:dyDescent="0.25">
      <c r="A1785" s="3" t="s">
        <v>106</v>
      </c>
      <c r="B1785" s="3" t="s">
        <v>243</v>
      </c>
      <c r="C1785" s="3" t="s">
        <v>9</v>
      </c>
      <c r="D1785" s="3" t="s">
        <v>10</v>
      </c>
      <c r="E1785" s="5" t="s">
        <v>11</v>
      </c>
      <c r="F1785" s="17">
        <v>77.56</v>
      </c>
      <c r="G1785" s="3">
        <v>3</v>
      </c>
      <c r="H1785" s="17">
        <f>Table1[[#This Row],[Unit price]]*Table1[[#This Row],[Quantity]]</f>
        <v>232.68</v>
      </c>
      <c r="I1785" s="29">
        <f>Table1[[#This Row],[Total Revenue]]/$H$5056*100</f>
        <v>2.4686358426339053E-2</v>
      </c>
      <c r="J1785" s="3" t="s">
        <v>12</v>
      </c>
      <c r="K1785" s="4">
        <v>9.1</v>
      </c>
      <c r="M1785"/>
    </row>
    <row r="1786" spans="1:13" x14ac:dyDescent="0.25">
      <c r="A1786" s="3" t="s">
        <v>106</v>
      </c>
      <c r="B1786" s="3" t="s">
        <v>243</v>
      </c>
      <c r="C1786" s="3" t="s">
        <v>13</v>
      </c>
      <c r="D1786" s="3" t="s">
        <v>19</v>
      </c>
      <c r="E1786" s="5" t="s">
        <v>20</v>
      </c>
      <c r="F1786" s="17">
        <v>46.22</v>
      </c>
      <c r="G1786" s="3">
        <v>1</v>
      </c>
      <c r="H1786" s="17">
        <f>Table1[[#This Row],[Unit price]]*Table1[[#This Row],[Quantity]]</f>
        <v>46.22</v>
      </c>
      <c r="I1786" s="29">
        <f>Table1[[#This Row],[Total Revenue]]/$H$5056*100</f>
        <v>4.9037454291962828E-3</v>
      </c>
      <c r="J1786" s="3" t="s">
        <v>15</v>
      </c>
      <c r="K1786" s="4">
        <v>6.9</v>
      </c>
      <c r="M1786"/>
    </row>
    <row r="1787" spans="1:13" x14ac:dyDescent="0.25">
      <c r="A1787" s="3" t="s">
        <v>106</v>
      </c>
      <c r="B1787" s="3" t="s">
        <v>245</v>
      </c>
      <c r="C1787" s="3" t="s">
        <v>13</v>
      </c>
      <c r="D1787" s="3" t="s">
        <v>19</v>
      </c>
      <c r="E1787" s="5" t="s">
        <v>20</v>
      </c>
      <c r="F1787" s="17">
        <v>63.91</v>
      </c>
      <c r="G1787" s="3">
        <v>1</v>
      </c>
      <c r="H1787" s="17">
        <f>Table1[[#This Row],[Unit price]]*Table1[[#This Row],[Quantity]]</f>
        <v>63.91</v>
      </c>
      <c r="I1787" s="29">
        <f>Table1[[#This Row],[Total Revenue]]/$H$5056*100</f>
        <v>6.7805791947194811E-3</v>
      </c>
      <c r="J1787" s="3" t="s">
        <v>17</v>
      </c>
      <c r="K1787" s="4">
        <v>8.3000000000000007</v>
      </c>
      <c r="M1787"/>
    </row>
    <row r="1788" spans="1:13" x14ac:dyDescent="0.25">
      <c r="A1788" s="3" t="s">
        <v>106</v>
      </c>
      <c r="B1788" s="3" t="s">
        <v>244</v>
      </c>
      <c r="C1788" s="3" t="s">
        <v>13</v>
      </c>
      <c r="D1788" s="3" t="s">
        <v>10</v>
      </c>
      <c r="E1788" s="5" t="s">
        <v>11</v>
      </c>
      <c r="F1788" s="17">
        <v>53.21</v>
      </c>
      <c r="G1788" s="3">
        <v>2</v>
      </c>
      <c r="H1788" s="17">
        <f>Table1[[#This Row],[Unit price]]*Table1[[#This Row],[Quantity]]</f>
        <v>106.42</v>
      </c>
      <c r="I1788" s="29">
        <f>Table1[[#This Row],[Total Revenue]]/$H$5056*100</f>
        <v>1.1290709402316496E-2</v>
      </c>
      <c r="J1788" s="3" t="s">
        <v>17</v>
      </c>
      <c r="K1788" s="4">
        <v>7.6</v>
      </c>
      <c r="M1788"/>
    </row>
    <row r="1789" spans="1:13" x14ac:dyDescent="0.25">
      <c r="A1789" s="3" t="s">
        <v>106</v>
      </c>
      <c r="B1789" s="3" t="s">
        <v>244</v>
      </c>
      <c r="C1789" s="3" t="s">
        <v>13</v>
      </c>
      <c r="D1789" s="3" t="s">
        <v>10</v>
      </c>
      <c r="E1789" s="5" t="s">
        <v>21</v>
      </c>
      <c r="F1789" s="17">
        <v>10.75</v>
      </c>
      <c r="G1789" s="3">
        <v>2</v>
      </c>
      <c r="H1789" s="17">
        <f>Table1[[#This Row],[Unit price]]*Table1[[#This Row],[Quantity]]</f>
        <v>21.5</v>
      </c>
      <c r="I1789" s="29">
        <f>Table1[[#This Row],[Total Revenue]]/$H$5056*100</f>
        <v>2.2810585618286473E-3</v>
      </c>
      <c r="J1789" s="3" t="s">
        <v>12</v>
      </c>
      <c r="K1789" s="4">
        <v>8.3000000000000007</v>
      </c>
      <c r="M1789"/>
    </row>
    <row r="1790" spans="1:13" x14ac:dyDescent="0.25">
      <c r="A1790" s="3" t="s">
        <v>106</v>
      </c>
      <c r="B1790" s="3" t="s">
        <v>245</v>
      </c>
      <c r="C1790" s="3" t="s">
        <v>9</v>
      </c>
      <c r="D1790" s="3" t="s">
        <v>10</v>
      </c>
      <c r="E1790" s="5" t="s">
        <v>21</v>
      </c>
      <c r="F1790" s="17">
        <v>96.58</v>
      </c>
      <c r="G1790" s="3">
        <v>1</v>
      </c>
      <c r="H1790" s="17">
        <f>Table1[[#This Row],[Unit price]]*Table1[[#This Row],[Quantity]]</f>
        <v>96.58</v>
      </c>
      <c r="I1790" s="29">
        <f>Table1[[#This Row],[Total Revenue]]/$H$5056*100</f>
        <v>1.0246727251228408E-2</v>
      </c>
      <c r="J1790" s="3" t="s">
        <v>12</v>
      </c>
      <c r="K1790" s="4">
        <v>8.1</v>
      </c>
      <c r="M1790"/>
    </row>
    <row r="1791" spans="1:13" x14ac:dyDescent="0.25">
      <c r="A1791" s="3" t="s">
        <v>106</v>
      </c>
      <c r="B1791" s="3" t="s">
        <v>244</v>
      </c>
      <c r="C1791" s="3" t="s">
        <v>9</v>
      </c>
      <c r="D1791" s="3" t="s">
        <v>19</v>
      </c>
      <c r="E1791" s="5" t="s">
        <v>11</v>
      </c>
      <c r="F1791" s="17">
        <v>87.8</v>
      </c>
      <c r="G1791" s="3">
        <v>3</v>
      </c>
      <c r="H1791" s="17">
        <f>Table1[[#This Row],[Unit price]]*Table1[[#This Row],[Quantity]]</f>
        <v>263.39999999999998</v>
      </c>
      <c r="I1791" s="29">
        <f>Table1[[#This Row],[Total Revenue]]/$H$5056*100</f>
        <v>2.7945619776077475E-2</v>
      </c>
      <c r="J1791" s="3" t="s">
        <v>12</v>
      </c>
      <c r="K1791" s="4">
        <v>8</v>
      </c>
      <c r="M1791"/>
    </row>
    <row r="1792" spans="1:13" x14ac:dyDescent="0.25">
      <c r="A1792" s="3" t="s">
        <v>106</v>
      </c>
      <c r="B1792" s="3" t="s">
        <v>245</v>
      </c>
      <c r="C1792" s="3" t="s">
        <v>13</v>
      </c>
      <c r="D1792" s="3" t="s">
        <v>10</v>
      </c>
      <c r="E1792" s="5" t="s">
        <v>11</v>
      </c>
      <c r="F1792" s="17">
        <v>63.61</v>
      </c>
      <c r="G1792" s="3">
        <v>5</v>
      </c>
      <c r="H1792" s="17">
        <f>Table1[[#This Row],[Unit price]]*Table1[[#This Row],[Quantity]]</f>
        <v>318.05</v>
      </c>
      <c r="I1792" s="29">
        <f>Table1[[#This Row],[Total Revenue]]/$H$5056*100</f>
        <v>3.3743752353004711E-2</v>
      </c>
      <c r="J1792" s="3" t="s">
        <v>15</v>
      </c>
      <c r="K1792" s="4">
        <v>7.4</v>
      </c>
      <c r="M1792"/>
    </row>
    <row r="1793" spans="1:13" x14ac:dyDescent="0.25">
      <c r="A1793" s="3" t="s">
        <v>107</v>
      </c>
      <c r="B1793" s="3" t="s">
        <v>245</v>
      </c>
      <c r="C1793" s="3" t="s">
        <v>9</v>
      </c>
      <c r="D1793" s="3" t="s">
        <v>10</v>
      </c>
      <c r="E1793" s="5" t="s">
        <v>11</v>
      </c>
      <c r="F1793" s="17">
        <v>22.62</v>
      </c>
      <c r="G1793" s="3">
        <v>1</v>
      </c>
      <c r="H1793" s="17">
        <f>Table1[[#This Row],[Unit price]]*Table1[[#This Row],[Quantity]]</f>
        <v>22.62</v>
      </c>
      <c r="I1793" s="29">
        <f>Table1[[#This Row],[Total Revenue]]/$H$5056*100</f>
        <v>2.3998857985378609E-3</v>
      </c>
      <c r="J1793" s="3" t="s">
        <v>15</v>
      </c>
      <c r="K1793" s="4">
        <v>8.1</v>
      </c>
      <c r="M1793"/>
    </row>
    <row r="1794" spans="1:13" x14ac:dyDescent="0.25">
      <c r="A1794" s="3" t="s">
        <v>107</v>
      </c>
      <c r="B1794" s="3" t="s">
        <v>244</v>
      </c>
      <c r="C1794" s="3" t="s">
        <v>9</v>
      </c>
      <c r="D1794" s="3" t="s">
        <v>19</v>
      </c>
      <c r="E1794" s="5" t="s">
        <v>11</v>
      </c>
      <c r="F1794" s="17">
        <v>83.34</v>
      </c>
      <c r="G1794" s="3">
        <v>4</v>
      </c>
      <c r="H1794" s="17">
        <f>Table1[[#This Row],[Unit price]]*Table1[[#This Row],[Quantity]]</f>
        <v>333.36</v>
      </c>
      <c r="I1794" s="29">
        <f>Table1[[#This Row],[Total Revenue]]/$H$5056*100</f>
        <v>3.536807824052083E-2</v>
      </c>
      <c r="J1794" s="3" t="s">
        <v>17</v>
      </c>
      <c r="K1794" s="4">
        <v>9.6999999999999993</v>
      </c>
      <c r="M1794"/>
    </row>
    <row r="1795" spans="1:13" x14ac:dyDescent="0.25">
      <c r="A1795" s="3" t="s">
        <v>107</v>
      </c>
      <c r="B1795" s="3" t="s">
        <v>245</v>
      </c>
      <c r="C1795" s="3" t="s">
        <v>13</v>
      </c>
      <c r="D1795" s="3" t="s">
        <v>10</v>
      </c>
      <c r="E1795" s="5" t="s">
        <v>11</v>
      </c>
      <c r="F1795" s="17">
        <v>20.87</v>
      </c>
      <c r="G1795" s="3">
        <v>2</v>
      </c>
      <c r="H1795" s="17">
        <f>Table1[[#This Row],[Unit price]]*Table1[[#This Row],[Quantity]]</f>
        <v>41.74</v>
      </c>
      <c r="I1795" s="29">
        <f>Table1[[#This Row],[Total Revenue]]/$H$5056*100</f>
        <v>4.4284364823594302E-3</v>
      </c>
      <c r="J1795" s="3" t="s">
        <v>15</v>
      </c>
      <c r="K1795" s="4">
        <v>7.6</v>
      </c>
      <c r="M1795"/>
    </row>
    <row r="1796" spans="1:13" x14ac:dyDescent="0.25">
      <c r="A1796" s="3" t="s">
        <v>107</v>
      </c>
      <c r="B1796" s="3" t="s">
        <v>243</v>
      </c>
      <c r="C1796" s="3" t="s">
        <v>9</v>
      </c>
      <c r="D1796" s="3" t="s">
        <v>19</v>
      </c>
      <c r="E1796" s="5" t="s">
        <v>16</v>
      </c>
      <c r="F1796" s="17">
        <v>22.24</v>
      </c>
      <c r="G1796" s="3">
        <v>1</v>
      </c>
      <c r="H1796" s="17">
        <f>Table1[[#This Row],[Unit price]]*Table1[[#This Row],[Quantity]]</f>
        <v>22.24</v>
      </c>
      <c r="I1796" s="29">
        <f>Table1[[#This Row],[Total Revenue]]/$H$5056*100</f>
        <v>2.3595694146543774E-3</v>
      </c>
      <c r="J1796" s="3" t="s">
        <v>15</v>
      </c>
      <c r="K1796" s="4">
        <v>5.7</v>
      </c>
      <c r="M1796"/>
    </row>
    <row r="1797" spans="1:13" x14ac:dyDescent="0.25">
      <c r="A1797" s="3" t="s">
        <v>107</v>
      </c>
      <c r="B1797" s="3" t="s">
        <v>243</v>
      </c>
      <c r="C1797" s="3" t="s">
        <v>13</v>
      </c>
      <c r="D1797" s="3" t="s">
        <v>10</v>
      </c>
      <c r="E1797" s="5" t="s">
        <v>21</v>
      </c>
      <c r="F1797" s="17">
        <v>92.78</v>
      </c>
      <c r="G1797" s="3">
        <v>2</v>
      </c>
      <c r="H1797" s="17">
        <f>Table1[[#This Row],[Unit price]]*Table1[[#This Row],[Quantity]]</f>
        <v>185.56</v>
      </c>
      <c r="I1797" s="29">
        <f>Table1[[#This Row],[Total Revenue]]/$H$5056*100</f>
        <v>1.9687126824787154E-2</v>
      </c>
      <c r="J1797" s="3" t="s">
        <v>12</v>
      </c>
      <c r="K1797" s="4">
        <v>6.5</v>
      </c>
      <c r="M1797"/>
    </row>
    <row r="1798" spans="1:13" x14ac:dyDescent="0.25">
      <c r="A1798" s="3" t="s">
        <v>107</v>
      </c>
      <c r="B1798" s="3" t="s">
        <v>244</v>
      </c>
      <c r="C1798" s="3" t="s">
        <v>13</v>
      </c>
      <c r="D1798" s="3" t="s">
        <v>10</v>
      </c>
      <c r="E1798" s="5" t="s">
        <v>21</v>
      </c>
      <c r="F1798" s="17">
        <v>15.37</v>
      </c>
      <c r="G1798" s="3">
        <v>3</v>
      </c>
      <c r="H1798" s="17">
        <f>Table1[[#This Row],[Unit price]]*Table1[[#This Row],[Quantity]]</f>
        <v>46.11</v>
      </c>
      <c r="I1798" s="29">
        <f>Table1[[#This Row],[Total Revenue]]/$H$5056*100</f>
        <v>4.8920748970194853E-3</v>
      </c>
      <c r="J1798" s="3" t="s">
        <v>17</v>
      </c>
      <c r="K1798" s="4">
        <v>6.5</v>
      </c>
      <c r="M1798"/>
    </row>
    <row r="1799" spans="1:13" x14ac:dyDescent="0.25">
      <c r="A1799" s="3" t="s">
        <v>107</v>
      </c>
      <c r="B1799" s="3" t="s">
        <v>243</v>
      </c>
      <c r="C1799" s="3" t="s">
        <v>9</v>
      </c>
      <c r="D1799" s="3" t="s">
        <v>10</v>
      </c>
      <c r="E1799" s="5" t="s">
        <v>21</v>
      </c>
      <c r="F1799" s="17">
        <v>30.35</v>
      </c>
      <c r="G1799" s="3">
        <v>1</v>
      </c>
      <c r="H1799" s="17">
        <f>Table1[[#This Row],[Unit price]]*Table1[[#This Row],[Quantity]]</f>
        <v>30.35</v>
      </c>
      <c r="I1799" s="29">
        <f>Table1[[#This Row],[Total Revenue]]/$H$5056*100</f>
        <v>3.2200059233255559E-3</v>
      </c>
      <c r="J1799" s="3" t="s">
        <v>15</v>
      </c>
      <c r="K1799" s="4">
        <v>7.2</v>
      </c>
      <c r="M1799"/>
    </row>
    <row r="1800" spans="1:13" x14ac:dyDescent="0.25">
      <c r="A1800" s="3" t="s">
        <v>107</v>
      </c>
      <c r="B1800" s="3" t="s">
        <v>243</v>
      </c>
      <c r="C1800" s="3" t="s">
        <v>13</v>
      </c>
      <c r="D1800" s="3" t="s">
        <v>10</v>
      </c>
      <c r="E1800" s="5" t="s">
        <v>18</v>
      </c>
      <c r="F1800" s="17">
        <v>60.74</v>
      </c>
      <c r="G1800" s="3">
        <v>1</v>
      </c>
      <c r="H1800" s="17">
        <f>Table1[[#This Row],[Unit price]]*Table1[[#This Row],[Quantity]]</f>
        <v>60.74</v>
      </c>
      <c r="I1800" s="29">
        <f>Table1[[#This Row],[Total Revenue]]/$H$5056*100</f>
        <v>6.4442556765335838E-3</v>
      </c>
      <c r="J1800" s="3" t="s">
        <v>17</v>
      </c>
      <c r="K1800" s="4">
        <v>7.7</v>
      </c>
      <c r="M1800"/>
    </row>
    <row r="1801" spans="1:13" x14ac:dyDescent="0.25">
      <c r="A1801" s="3" t="s">
        <v>107</v>
      </c>
      <c r="B1801" s="3" t="s">
        <v>243</v>
      </c>
      <c r="C1801" s="3" t="s">
        <v>9</v>
      </c>
      <c r="D1801" s="3" t="s">
        <v>19</v>
      </c>
      <c r="E1801" s="5" t="s">
        <v>11</v>
      </c>
      <c r="F1801" s="17">
        <v>79.91</v>
      </c>
      <c r="G1801" s="3">
        <v>3</v>
      </c>
      <c r="H1801" s="17">
        <f>Table1[[#This Row],[Unit price]]*Table1[[#This Row],[Quantity]]</f>
        <v>239.73</v>
      </c>
      <c r="I1801" s="29">
        <f>Table1[[#This Row],[Total Revenue]]/$H$5056*100</f>
        <v>2.5434333443124728E-2</v>
      </c>
      <c r="J1801" s="3" t="s">
        <v>17</v>
      </c>
      <c r="K1801" s="4">
        <v>8.1</v>
      </c>
      <c r="M1801"/>
    </row>
    <row r="1802" spans="1:13" x14ac:dyDescent="0.25">
      <c r="A1802" s="3" t="s">
        <v>107</v>
      </c>
      <c r="B1802" s="3" t="s">
        <v>245</v>
      </c>
      <c r="C1802" s="3" t="s">
        <v>13</v>
      </c>
      <c r="D1802" s="3" t="s">
        <v>10</v>
      </c>
      <c r="E1802" s="5" t="s">
        <v>11</v>
      </c>
      <c r="F1802" s="17">
        <v>91.61</v>
      </c>
      <c r="G1802" s="3">
        <v>4</v>
      </c>
      <c r="H1802" s="17">
        <f>Table1[[#This Row],[Unit price]]*Table1[[#This Row],[Quantity]]</f>
        <v>366.44</v>
      </c>
      <c r="I1802" s="29">
        <f>Table1[[#This Row],[Total Revenue]]/$H$5056*100</f>
        <v>3.8877725553325096E-2</v>
      </c>
      <c r="J1802" s="3" t="s">
        <v>17</v>
      </c>
      <c r="K1802" s="4">
        <v>8.1999999999999993</v>
      </c>
      <c r="M1802"/>
    </row>
    <row r="1803" spans="1:13" x14ac:dyDescent="0.25">
      <c r="A1803" s="3" t="s">
        <v>107</v>
      </c>
      <c r="B1803" s="3" t="s">
        <v>243</v>
      </c>
      <c r="C1803" s="3" t="s">
        <v>13</v>
      </c>
      <c r="D1803" s="3" t="s">
        <v>19</v>
      </c>
      <c r="E1803" s="5" t="s">
        <v>11</v>
      </c>
      <c r="F1803" s="17">
        <v>43.25</v>
      </c>
      <c r="G1803" s="3">
        <v>3</v>
      </c>
      <c r="H1803" s="17">
        <f>Table1[[#This Row],[Unit price]]*Table1[[#This Row],[Quantity]]</f>
        <v>129.75</v>
      </c>
      <c r="I1803" s="29">
        <f>Table1[[#This Row],[Total Revenue]]/$H$5056*100</f>
        <v>1.3765923181268232E-2</v>
      </c>
      <c r="J1803" s="3" t="s">
        <v>17</v>
      </c>
      <c r="K1803" s="4">
        <v>4.9000000000000004</v>
      </c>
      <c r="M1803"/>
    </row>
    <row r="1804" spans="1:13" x14ac:dyDescent="0.25">
      <c r="A1804" s="3" t="s">
        <v>107</v>
      </c>
      <c r="B1804" s="3" t="s">
        <v>245</v>
      </c>
      <c r="C1804" s="3" t="s">
        <v>9</v>
      </c>
      <c r="D1804" s="3" t="s">
        <v>10</v>
      </c>
      <c r="E1804" s="5" t="s">
        <v>11</v>
      </c>
      <c r="F1804" s="17">
        <v>57.29</v>
      </c>
      <c r="G1804" s="3">
        <v>3</v>
      </c>
      <c r="H1804" s="17">
        <f>Table1[[#This Row],[Unit price]]*Table1[[#This Row],[Quantity]]</f>
        <v>171.87</v>
      </c>
      <c r="I1804" s="29">
        <f>Table1[[#This Row],[Total Revenue]]/$H$5056*100</f>
        <v>1.8234676047511146E-2</v>
      </c>
      <c r="J1804" s="3" t="s">
        <v>15</v>
      </c>
      <c r="K1804" s="4">
        <v>7.9</v>
      </c>
      <c r="M1804"/>
    </row>
    <row r="1805" spans="1:13" x14ac:dyDescent="0.25">
      <c r="A1805" s="3" t="s">
        <v>107</v>
      </c>
      <c r="B1805" s="3" t="s">
        <v>244</v>
      </c>
      <c r="C1805" s="3" t="s">
        <v>13</v>
      </c>
      <c r="D1805" s="3" t="s">
        <v>10</v>
      </c>
      <c r="E1805" s="5" t="s">
        <v>11</v>
      </c>
      <c r="F1805" s="17">
        <v>56.56</v>
      </c>
      <c r="G1805" s="3">
        <v>5</v>
      </c>
      <c r="H1805" s="17">
        <f>Table1[[#This Row],[Unit price]]*Table1[[#This Row],[Quantity]]</f>
        <v>282.8</v>
      </c>
      <c r="I1805" s="29">
        <f>Table1[[#This Row],[Total Revenue]]/$H$5056*100</f>
        <v>3.000387726907635E-2</v>
      </c>
      <c r="J1805" s="3" t="s">
        <v>17</v>
      </c>
      <c r="K1805" s="4">
        <v>6.9</v>
      </c>
      <c r="M1805"/>
    </row>
    <row r="1806" spans="1:13" x14ac:dyDescent="0.25">
      <c r="A1806" s="3" t="s">
        <v>107</v>
      </c>
      <c r="B1806" s="3" t="s">
        <v>244</v>
      </c>
      <c r="C1806" s="3" t="s">
        <v>13</v>
      </c>
      <c r="D1806" s="3" t="s">
        <v>19</v>
      </c>
      <c r="E1806" s="5" t="s">
        <v>16</v>
      </c>
      <c r="F1806" s="17">
        <v>34.840000000000003</v>
      </c>
      <c r="G1806" s="3">
        <v>2</v>
      </c>
      <c r="H1806" s="17">
        <f>Table1[[#This Row],[Unit price]]*Table1[[#This Row],[Quantity]]</f>
        <v>69.680000000000007</v>
      </c>
      <c r="I1806" s="29">
        <f>Table1[[#This Row],[Total Revenue]]/$H$5056*100</f>
        <v>7.3927516552660544E-3</v>
      </c>
      <c r="J1806" s="3" t="s">
        <v>17</v>
      </c>
      <c r="K1806" s="4">
        <v>8.4</v>
      </c>
      <c r="M1806"/>
    </row>
    <row r="1807" spans="1:13" x14ac:dyDescent="0.25">
      <c r="A1807" s="3" t="s">
        <v>107</v>
      </c>
      <c r="B1807" s="3" t="s">
        <v>243</v>
      </c>
      <c r="C1807" s="3" t="s">
        <v>9</v>
      </c>
      <c r="D1807" s="3" t="s">
        <v>19</v>
      </c>
      <c r="E1807" s="5" t="s">
        <v>11</v>
      </c>
      <c r="F1807" s="17">
        <v>52.75</v>
      </c>
      <c r="G1807" s="3">
        <v>3</v>
      </c>
      <c r="H1807" s="17">
        <f>Table1[[#This Row],[Unit price]]*Table1[[#This Row],[Quantity]]</f>
        <v>158.25</v>
      </c>
      <c r="I1807" s="29">
        <f>Table1[[#This Row],[Total Revenue]]/$H$5056*100</f>
        <v>1.6789651972529462E-2</v>
      </c>
      <c r="J1807" s="3" t="s">
        <v>15</v>
      </c>
      <c r="K1807" s="4">
        <v>9</v>
      </c>
      <c r="M1807"/>
    </row>
    <row r="1808" spans="1:13" x14ac:dyDescent="0.25">
      <c r="A1808" s="3" t="s">
        <v>108</v>
      </c>
      <c r="B1808" s="3" t="s">
        <v>243</v>
      </c>
      <c r="C1808" s="3" t="s">
        <v>13</v>
      </c>
      <c r="D1808" s="3" t="s">
        <v>19</v>
      </c>
      <c r="E1808" s="5" t="s">
        <v>14</v>
      </c>
      <c r="F1808" s="17">
        <v>88.67</v>
      </c>
      <c r="G1808" s="3">
        <v>1</v>
      </c>
      <c r="H1808" s="17">
        <f>Table1[[#This Row],[Unit price]]*Table1[[#This Row],[Quantity]]</f>
        <v>88.67</v>
      </c>
      <c r="I1808" s="29">
        <f>Table1[[#This Row],[Total Revenue]]/$H$5056*100</f>
        <v>9.4075098919695899E-3</v>
      </c>
      <c r="J1808" s="3" t="s">
        <v>17</v>
      </c>
      <c r="K1808" s="4">
        <v>6.7</v>
      </c>
      <c r="M1808"/>
    </row>
    <row r="1809" spans="1:13" x14ac:dyDescent="0.25">
      <c r="A1809" s="3" t="s">
        <v>108</v>
      </c>
      <c r="B1809" s="3" t="s">
        <v>244</v>
      </c>
      <c r="C1809" s="3" t="s">
        <v>9</v>
      </c>
      <c r="D1809" s="3" t="s">
        <v>10</v>
      </c>
      <c r="E1809" s="5" t="s">
        <v>16</v>
      </c>
      <c r="F1809" s="17">
        <v>94.76</v>
      </c>
      <c r="G1809" s="3">
        <v>2</v>
      </c>
      <c r="H1809" s="17">
        <f>Table1[[#This Row],[Unit price]]*Table1[[#This Row],[Quantity]]</f>
        <v>189.52</v>
      </c>
      <c r="I1809" s="29">
        <f>Table1[[#This Row],[Total Revenue]]/$H$5056*100</f>
        <v>2.0107265983151875E-2</v>
      </c>
      <c r="J1809" s="3" t="s">
        <v>17</v>
      </c>
      <c r="K1809" s="4">
        <v>6</v>
      </c>
      <c r="M1809"/>
    </row>
    <row r="1810" spans="1:13" x14ac:dyDescent="0.25">
      <c r="A1810" s="3" t="s">
        <v>108</v>
      </c>
      <c r="B1810" s="3" t="s">
        <v>245</v>
      </c>
      <c r="C1810" s="3" t="s">
        <v>13</v>
      </c>
      <c r="D1810" s="3" t="s">
        <v>10</v>
      </c>
      <c r="E1810" s="5" t="s">
        <v>21</v>
      </c>
      <c r="F1810" s="17">
        <v>66.14</v>
      </c>
      <c r="G1810" s="3">
        <v>2</v>
      </c>
      <c r="H1810" s="17">
        <f>Table1[[#This Row],[Unit price]]*Table1[[#This Row],[Quantity]]</f>
        <v>132.28</v>
      </c>
      <c r="I1810" s="29">
        <f>Table1[[#This Row],[Total Revenue]]/$H$5056*100</f>
        <v>1.403434542133458E-2</v>
      </c>
      <c r="J1810" s="3" t="s">
        <v>17</v>
      </c>
      <c r="K1810" s="4">
        <v>5.4</v>
      </c>
      <c r="M1810"/>
    </row>
    <row r="1811" spans="1:13" x14ac:dyDescent="0.25">
      <c r="A1811" s="3" t="s">
        <v>108</v>
      </c>
      <c r="B1811" s="3" t="s">
        <v>245</v>
      </c>
      <c r="C1811" s="3" t="s">
        <v>13</v>
      </c>
      <c r="D1811" s="3" t="s">
        <v>19</v>
      </c>
      <c r="E1811" s="5" t="s">
        <v>11</v>
      </c>
      <c r="F1811" s="17">
        <v>73.88</v>
      </c>
      <c r="G1811" s="3">
        <v>5</v>
      </c>
      <c r="H1811" s="17">
        <f>Table1[[#This Row],[Unit price]]*Table1[[#This Row],[Quantity]]</f>
        <v>369.4</v>
      </c>
      <c r="I1811" s="29">
        <f>Table1[[#This Row],[Total Revenue]]/$H$5056*100</f>
        <v>3.9191768964628011E-2</v>
      </c>
      <c r="J1811" s="3" t="s">
        <v>17</v>
      </c>
      <c r="K1811" s="4">
        <v>6.8</v>
      </c>
      <c r="M1811"/>
    </row>
    <row r="1812" spans="1:13" x14ac:dyDescent="0.25">
      <c r="A1812" s="3" t="s">
        <v>108</v>
      </c>
      <c r="B1812" s="3" t="s">
        <v>245</v>
      </c>
      <c r="C1812" s="3" t="s">
        <v>13</v>
      </c>
      <c r="D1812" s="3" t="s">
        <v>19</v>
      </c>
      <c r="E1812" s="5" t="s">
        <v>11</v>
      </c>
      <c r="F1812" s="17">
        <v>33.979999999999997</v>
      </c>
      <c r="G1812" s="3">
        <v>4</v>
      </c>
      <c r="H1812" s="17">
        <f>Table1[[#This Row],[Unit price]]*Table1[[#This Row],[Quantity]]</f>
        <v>135.91999999999999</v>
      </c>
      <c r="I1812" s="29">
        <f>Table1[[#This Row],[Total Revenue]]/$H$5056*100</f>
        <v>1.4420533940639522E-2</v>
      </c>
      <c r="J1812" s="3" t="s">
        <v>15</v>
      </c>
      <c r="K1812" s="4">
        <v>8.5</v>
      </c>
      <c r="M1812"/>
    </row>
    <row r="1813" spans="1:13" x14ac:dyDescent="0.25">
      <c r="A1813" s="3" t="s">
        <v>108</v>
      </c>
      <c r="B1813" s="3" t="s">
        <v>245</v>
      </c>
      <c r="C1813" s="3" t="s">
        <v>13</v>
      </c>
      <c r="D1813" s="3" t="s">
        <v>19</v>
      </c>
      <c r="E1813" s="5" t="s">
        <v>16</v>
      </c>
      <c r="F1813" s="17">
        <v>71.63</v>
      </c>
      <c r="G1813" s="3">
        <v>2</v>
      </c>
      <c r="H1813" s="17">
        <f>Table1[[#This Row],[Unit price]]*Table1[[#This Row],[Quantity]]</f>
        <v>143.26</v>
      </c>
      <c r="I1813" s="29">
        <f>Table1[[#This Row],[Total Revenue]]/$H$5056*100</f>
        <v>1.5199276724073117E-2</v>
      </c>
      <c r="J1813" s="3" t="s">
        <v>17</v>
      </c>
      <c r="K1813" s="4">
        <v>8.8000000000000007</v>
      </c>
      <c r="M1813"/>
    </row>
    <row r="1814" spans="1:13" x14ac:dyDescent="0.25">
      <c r="A1814" s="3" t="s">
        <v>108</v>
      </c>
      <c r="B1814" s="3" t="s">
        <v>243</v>
      </c>
      <c r="C1814" s="3" t="s">
        <v>9</v>
      </c>
      <c r="D1814" s="3" t="s">
        <v>10</v>
      </c>
      <c r="E1814" s="5" t="s">
        <v>21</v>
      </c>
      <c r="F1814" s="17">
        <v>54.92</v>
      </c>
      <c r="G1814" s="3">
        <v>1</v>
      </c>
      <c r="H1814" s="17">
        <f>Table1[[#This Row],[Unit price]]*Table1[[#This Row],[Quantity]]</f>
        <v>54.92</v>
      </c>
      <c r="I1814" s="29">
        <f>Table1[[#This Row],[Total Revenue]]/$H$5056*100</f>
        <v>5.8267784286339221E-3</v>
      </c>
      <c r="J1814" s="3" t="s">
        <v>15</v>
      </c>
      <c r="K1814" s="4">
        <v>7.1</v>
      </c>
      <c r="M1814"/>
    </row>
    <row r="1815" spans="1:13" x14ac:dyDescent="0.25">
      <c r="A1815" s="3" t="s">
        <v>108</v>
      </c>
      <c r="B1815" s="3" t="s">
        <v>243</v>
      </c>
      <c r="C1815" s="3" t="s">
        <v>13</v>
      </c>
      <c r="D1815" s="3" t="s">
        <v>19</v>
      </c>
      <c r="E1815" s="5" t="s">
        <v>11</v>
      </c>
      <c r="F1815" s="17">
        <v>39.43</v>
      </c>
      <c r="G1815" s="3">
        <v>3</v>
      </c>
      <c r="H1815" s="17">
        <f>Table1[[#This Row],[Unit price]]*Table1[[#This Row],[Quantity]]</f>
        <v>118.28999999999999</v>
      </c>
      <c r="I1815" s="29">
        <f>Table1[[#This Row],[Total Revenue]]/$H$5056*100</f>
        <v>1.2550065919940033E-2</v>
      </c>
      <c r="J1815" s="3" t="s">
        <v>15</v>
      </c>
      <c r="K1815" s="4">
        <v>8.6999999999999993</v>
      </c>
      <c r="M1815"/>
    </row>
    <row r="1816" spans="1:13" x14ac:dyDescent="0.25">
      <c r="A1816" s="3" t="s">
        <v>108</v>
      </c>
      <c r="B1816" s="3" t="s">
        <v>244</v>
      </c>
      <c r="C1816" s="3" t="s">
        <v>13</v>
      </c>
      <c r="D1816" s="3" t="s">
        <v>10</v>
      </c>
      <c r="E1816" s="5" t="s">
        <v>11</v>
      </c>
      <c r="F1816" s="17">
        <v>55.39</v>
      </c>
      <c r="G1816" s="3">
        <v>1</v>
      </c>
      <c r="H1816" s="17">
        <f>Table1[[#This Row],[Unit price]]*Table1[[#This Row],[Quantity]]</f>
        <v>55.39</v>
      </c>
      <c r="I1816" s="29">
        <f>Table1[[#This Row],[Total Revenue]]/$H$5056*100</f>
        <v>5.8766434297529667E-3</v>
      </c>
      <c r="J1816" s="3" t="s">
        <v>15</v>
      </c>
      <c r="K1816" s="4">
        <v>8.5</v>
      </c>
      <c r="M1816"/>
    </row>
    <row r="1817" spans="1:13" x14ac:dyDescent="0.25">
      <c r="A1817" s="3" t="s">
        <v>108</v>
      </c>
      <c r="B1817" s="3" t="s">
        <v>245</v>
      </c>
      <c r="C1817" s="3" t="s">
        <v>13</v>
      </c>
      <c r="D1817" s="3" t="s">
        <v>19</v>
      </c>
      <c r="E1817" s="5" t="s">
        <v>11</v>
      </c>
      <c r="F1817" s="17">
        <v>16.309999999999999</v>
      </c>
      <c r="G1817" s="3">
        <v>2</v>
      </c>
      <c r="H1817" s="17">
        <f>Table1[[#This Row],[Unit price]]*Table1[[#This Row],[Quantity]]</f>
        <v>32.619999999999997</v>
      </c>
      <c r="I1817" s="29">
        <f>Table1[[#This Row],[Total Revenue]]/$H$5056*100</f>
        <v>3.4608432691558364E-3</v>
      </c>
      <c r="J1817" s="3" t="s">
        <v>12</v>
      </c>
      <c r="K1817" s="4">
        <v>6.7</v>
      </c>
      <c r="M1817"/>
    </row>
    <row r="1818" spans="1:13" x14ac:dyDescent="0.25">
      <c r="A1818" s="3" t="s">
        <v>108</v>
      </c>
      <c r="B1818" s="3" t="s">
        <v>244</v>
      </c>
      <c r="C1818" s="3" t="s">
        <v>13</v>
      </c>
      <c r="D1818" s="3" t="s">
        <v>19</v>
      </c>
      <c r="E1818" s="5" t="s">
        <v>20</v>
      </c>
      <c r="F1818" s="17">
        <v>70.11</v>
      </c>
      <c r="G1818" s="3">
        <v>4</v>
      </c>
      <c r="H1818" s="17">
        <f>Table1[[#This Row],[Unit price]]*Table1[[#This Row],[Quantity]]</f>
        <v>280.44</v>
      </c>
      <c r="I1818" s="29">
        <f>Table1[[#This Row],[Total Revenue]]/$H$5056*100</f>
        <v>2.9753491306010509E-2</v>
      </c>
      <c r="J1818" s="3" t="s">
        <v>17</v>
      </c>
      <c r="K1818" s="4">
        <v>7.9</v>
      </c>
      <c r="M1818"/>
    </row>
    <row r="1819" spans="1:13" x14ac:dyDescent="0.25">
      <c r="A1819" s="3" t="s">
        <v>108</v>
      </c>
      <c r="B1819" s="3" t="s">
        <v>244</v>
      </c>
      <c r="C1819" s="3" t="s">
        <v>13</v>
      </c>
      <c r="D1819" s="3" t="s">
        <v>10</v>
      </c>
      <c r="E1819" s="5" t="s">
        <v>20</v>
      </c>
      <c r="F1819" s="17">
        <v>35.47</v>
      </c>
      <c r="G1819" s="3">
        <v>2</v>
      </c>
      <c r="H1819" s="17">
        <f>Table1[[#This Row],[Unit price]]*Table1[[#This Row],[Quantity]]</f>
        <v>70.94</v>
      </c>
      <c r="I1819" s="29">
        <f>Table1[[#This Row],[Total Revenue]]/$H$5056*100</f>
        <v>7.526432296563918E-3</v>
      </c>
      <c r="J1819" s="3" t="s">
        <v>15</v>
      </c>
      <c r="K1819" s="4">
        <v>8.5</v>
      </c>
      <c r="M1819"/>
    </row>
    <row r="1820" spans="1:13" x14ac:dyDescent="0.25">
      <c r="A1820" s="3" t="s">
        <v>108</v>
      </c>
      <c r="B1820" s="3" t="s">
        <v>245</v>
      </c>
      <c r="C1820" s="3" t="s">
        <v>13</v>
      </c>
      <c r="D1820" s="3" t="s">
        <v>19</v>
      </c>
      <c r="E1820" s="5" t="s">
        <v>16</v>
      </c>
      <c r="F1820" s="17">
        <v>20.18</v>
      </c>
      <c r="G1820" s="3">
        <v>2</v>
      </c>
      <c r="H1820" s="17">
        <f>Table1[[#This Row],[Unit price]]*Table1[[#This Row],[Quantity]]</f>
        <v>40.36</v>
      </c>
      <c r="I1820" s="29">
        <f>Table1[[#This Row],[Total Revenue]]/$H$5056*100</f>
        <v>4.2820243514141492E-3</v>
      </c>
      <c r="J1820" s="3" t="s">
        <v>12</v>
      </c>
      <c r="K1820" s="4">
        <v>6.1</v>
      </c>
      <c r="M1820"/>
    </row>
    <row r="1821" spans="1:13" x14ac:dyDescent="0.25">
      <c r="A1821" s="3" t="s">
        <v>108</v>
      </c>
      <c r="B1821" s="3" t="s">
        <v>244</v>
      </c>
      <c r="C1821" s="3" t="s">
        <v>13</v>
      </c>
      <c r="D1821" s="3" t="s">
        <v>10</v>
      </c>
      <c r="E1821" s="5" t="s">
        <v>18</v>
      </c>
      <c r="F1821" s="17">
        <v>60.74</v>
      </c>
      <c r="G1821" s="3">
        <v>3</v>
      </c>
      <c r="H1821" s="17">
        <f>Table1[[#This Row],[Unit price]]*Table1[[#This Row],[Quantity]]</f>
        <v>182.22</v>
      </c>
      <c r="I1821" s="29">
        <f>Table1[[#This Row],[Total Revenue]]/$H$5056*100</f>
        <v>1.933276702960075E-2</v>
      </c>
      <c r="J1821" s="3" t="s">
        <v>12</v>
      </c>
      <c r="K1821" s="4">
        <v>7.3</v>
      </c>
      <c r="M1821"/>
    </row>
    <row r="1822" spans="1:13" x14ac:dyDescent="0.25">
      <c r="A1822" s="3" t="s">
        <v>108</v>
      </c>
      <c r="B1822" s="3" t="s">
        <v>244</v>
      </c>
      <c r="C1822" s="3" t="s">
        <v>13</v>
      </c>
      <c r="D1822" s="3" t="s">
        <v>10</v>
      </c>
      <c r="E1822" s="5" t="s">
        <v>11</v>
      </c>
      <c r="F1822" s="17">
        <v>52.34</v>
      </c>
      <c r="G1822" s="3">
        <v>3</v>
      </c>
      <c r="H1822" s="17">
        <f>Table1[[#This Row],[Unit price]]*Table1[[#This Row],[Quantity]]</f>
        <v>157.02000000000001</v>
      </c>
      <c r="I1822" s="29">
        <f>Table1[[#This Row],[Total Revenue]]/$H$5056*100</f>
        <v>1.6659154203643455E-2</v>
      </c>
      <c r="J1822" s="3" t="s">
        <v>12</v>
      </c>
      <c r="K1822" s="4">
        <v>5.8</v>
      </c>
      <c r="M1822"/>
    </row>
    <row r="1823" spans="1:13" x14ac:dyDescent="0.25">
      <c r="A1823" s="3" t="s">
        <v>108</v>
      </c>
      <c r="B1823" s="3" t="s">
        <v>245</v>
      </c>
      <c r="C1823" s="3" t="s">
        <v>9</v>
      </c>
      <c r="D1823" s="3" t="s">
        <v>10</v>
      </c>
      <c r="E1823" s="5" t="s">
        <v>16</v>
      </c>
      <c r="F1823" s="17">
        <v>13.69</v>
      </c>
      <c r="G1823" s="3">
        <v>3</v>
      </c>
      <c r="H1823" s="17">
        <f>Table1[[#This Row],[Unit price]]*Table1[[#This Row],[Quantity]]</f>
        <v>41.07</v>
      </c>
      <c r="I1823" s="29">
        <f>Table1[[#This Row],[Total Revenue]]/$H$5056*100</f>
        <v>4.3573523318280252E-3</v>
      </c>
      <c r="J1823" s="3" t="s">
        <v>17</v>
      </c>
      <c r="K1823" s="4">
        <v>8.6999999999999993</v>
      </c>
      <c r="M1823"/>
    </row>
    <row r="1824" spans="1:13" x14ac:dyDescent="0.25">
      <c r="A1824" s="3" t="s">
        <v>109</v>
      </c>
      <c r="B1824" s="3" t="s">
        <v>243</v>
      </c>
      <c r="C1824" s="3" t="s">
        <v>13</v>
      </c>
      <c r="D1824" s="3" t="s">
        <v>10</v>
      </c>
      <c r="E1824" s="5" t="s">
        <v>21</v>
      </c>
      <c r="F1824" s="17">
        <v>82.88</v>
      </c>
      <c r="G1824" s="3">
        <v>2</v>
      </c>
      <c r="H1824" s="17">
        <f>Table1[[#This Row],[Unit price]]*Table1[[#This Row],[Quantity]]</f>
        <v>165.76</v>
      </c>
      <c r="I1824" s="29">
        <f>Table1[[#This Row],[Total Revenue]]/$H$5056*100</f>
        <v>1.7586431032963562E-2</v>
      </c>
      <c r="J1824" s="3" t="s">
        <v>15</v>
      </c>
      <c r="K1824" s="4">
        <v>8.3000000000000007</v>
      </c>
      <c r="M1824"/>
    </row>
    <row r="1825" spans="1:13" x14ac:dyDescent="0.25">
      <c r="A1825" s="3" t="s">
        <v>109</v>
      </c>
      <c r="B1825" s="3" t="s">
        <v>244</v>
      </c>
      <c r="C1825" s="3" t="s">
        <v>9</v>
      </c>
      <c r="D1825" s="3" t="s">
        <v>19</v>
      </c>
      <c r="E1825" s="5" t="s">
        <v>11</v>
      </c>
      <c r="F1825" s="17">
        <v>49.38</v>
      </c>
      <c r="G1825" s="3">
        <v>2</v>
      </c>
      <c r="H1825" s="17">
        <f>Table1[[#This Row],[Unit price]]*Table1[[#This Row],[Quantity]]</f>
        <v>98.76</v>
      </c>
      <c r="I1825" s="29">
        <f>Table1[[#This Row],[Total Revenue]]/$H$5056*100</f>
        <v>1.0478015979823127E-2</v>
      </c>
      <c r="J1825" s="3" t="s">
        <v>15</v>
      </c>
      <c r="K1825" s="4">
        <v>8.8000000000000007</v>
      </c>
      <c r="M1825"/>
    </row>
    <row r="1826" spans="1:13" x14ac:dyDescent="0.25">
      <c r="A1826" s="3" t="s">
        <v>109</v>
      </c>
      <c r="B1826" s="3" t="s">
        <v>243</v>
      </c>
      <c r="C1826" s="3" t="s">
        <v>13</v>
      </c>
      <c r="D1826" s="3" t="s">
        <v>10</v>
      </c>
      <c r="E1826" s="5" t="s">
        <v>11</v>
      </c>
      <c r="F1826" s="17">
        <v>29.15</v>
      </c>
      <c r="G1826" s="3">
        <v>4</v>
      </c>
      <c r="H1826" s="17">
        <f>Table1[[#This Row],[Unit price]]*Table1[[#This Row],[Quantity]]</f>
        <v>116.6</v>
      </c>
      <c r="I1826" s="29">
        <f>Table1[[#This Row],[Total Revenue]]/$H$5056*100</f>
        <v>1.2370764107405596E-2</v>
      </c>
      <c r="J1826" s="3" t="s">
        <v>17</v>
      </c>
      <c r="K1826" s="4">
        <v>9</v>
      </c>
      <c r="M1826"/>
    </row>
    <row r="1827" spans="1:13" x14ac:dyDescent="0.25">
      <c r="A1827" s="3" t="s">
        <v>109</v>
      </c>
      <c r="B1827" s="3" t="s">
        <v>244</v>
      </c>
      <c r="C1827" s="3" t="s">
        <v>13</v>
      </c>
      <c r="D1827" s="3" t="s">
        <v>10</v>
      </c>
      <c r="E1827" s="5" t="s">
        <v>20</v>
      </c>
      <c r="F1827" s="17">
        <v>33.200000000000003</v>
      </c>
      <c r="G1827" s="3">
        <v>4</v>
      </c>
      <c r="H1827" s="17">
        <f>Table1[[#This Row],[Unit price]]*Table1[[#This Row],[Quantity]]</f>
        <v>132.80000000000001</v>
      </c>
      <c r="I1827" s="29">
        <f>Table1[[#This Row],[Total Revenue]]/$H$5056*100</f>
        <v>1.4089515209806718E-2</v>
      </c>
      <c r="J1827" s="3" t="s">
        <v>12</v>
      </c>
      <c r="K1827" s="4">
        <v>9.3000000000000007</v>
      </c>
      <c r="M1827"/>
    </row>
    <row r="1828" spans="1:13" x14ac:dyDescent="0.25">
      <c r="A1828" s="3" t="s">
        <v>109</v>
      </c>
      <c r="B1828" s="3" t="s">
        <v>243</v>
      </c>
      <c r="C1828" s="3" t="s">
        <v>13</v>
      </c>
      <c r="D1828" s="3" t="s">
        <v>10</v>
      </c>
      <c r="E1828" s="5" t="s">
        <v>11</v>
      </c>
      <c r="F1828" s="17">
        <v>79.540000000000006</v>
      </c>
      <c r="G1828" s="3">
        <v>2</v>
      </c>
      <c r="H1828" s="17">
        <f>Table1[[#This Row],[Unit price]]*Table1[[#This Row],[Quantity]]</f>
        <v>159.08000000000001</v>
      </c>
      <c r="I1828" s="29">
        <f>Table1[[#This Row],[Total Revenue]]/$H$5056*100</f>
        <v>1.6877711442590756E-2</v>
      </c>
      <c r="J1828" s="3" t="s">
        <v>17</v>
      </c>
      <c r="K1828" s="4">
        <v>7.7</v>
      </c>
      <c r="M1828"/>
    </row>
    <row r="1829" spans="1:13" x14ac:dyDescent="0.25">
      <c r="A1829" s="3" t="s">
        <v>109</v>
      </c>
      <c r="B1829" s="3" t="s">
        <v>243</v>
      </c>
      <c r="C1829" s="3" t="s">
        <v>9</v>
      </c>
      <c r="D1829" s="3" t="s">
        <v>10</v>
      </c>
      <c r="E1829" s="5" t="s">
        <v>20</v>
      </c>
      <c r="F1829" s="17">
        <v>65.260000000000005</v>
      </c>
      <c r="G1829" s="3">
        <v>1</v>
      </c>
      <c r="H1829" s="17">
        <f>Table1[[#This Row],[Unit price]]*Table1[[#This Row],[Quantity]]</f>
        <v>65.260000000000005</v>
      </c>
      <c r="I1829" s="29">
        <f>Table1[[#This Row],[Total Revenue]]/$H$5056*100</f>
        <v>6.9238084532529092E-3</v>
      </c>
      <c r="J1829" s="3" t="s">
        <v>15</v>
      </c>
      <c r="K1829" s="4">
        <v>6.3</v>
      </c>
      <c r="M1829"/>
    </row>
    <row r="1830" spans="1:13" x14ac:dyDescent="0.25">
      <c r="A1830" s="3" t="s">
        <v>109</v>
      </c>
      <c r="B1830" s="3" t="s">
        <v>245</v>
      </c>
      <c r="C1830" s="3" t="s">
        <v>13</v>
      </c>
      <c r="D1830" s="3" t="s">
        <v>10</v>
      </c>
      <c r="E1830" s="5" t="s">
        <v>11</v>
      </c>
      <c r="F1830" s="17">
        <v>32.32</v>
      </c>
      <c r="G1830" s="3">
        <v>5</v>
      </c>
      <c r="H1830" s="17">
        <f>Table1[[#This Row],[Unit price]]*Table1[[#This Row],[Quantity]]</f>
        <v>161.6</v>
      </c>
      <c r="I1830" s="29">
        <f>Table1[[#This Row],[Total Revenue]]/$H$5056*100</f>
        <v>1.7145072725186485E-2</v>
      </c>
      <c r="J1830" s="3" t="s">
        <v>17</v>
      </c>
      <c r="K1830" s="4">
        <v>6.6</v>
      </c>
      <c r="M1830"/>
    </row>
    <row r="1831" spans="1:13" x14ac:dyDescent="0.25">
      <c r="A1831" s="3" t="s">
        <v>109</v>
      </c>
      <c r="B1831" s="3" t="s">
        <v>244</v>
      </c>
      <c r="C1831" s="3" t="s">
        <v>9</v>
      </c>
      <c r="D1831" s="3" t="s">
        <v>10</v>
      </c>
      <c r="E1831" s="5" t="s">
        <v>11</v>
      </c>
      <c r="F1831" s="17">
        <v>71.680000000000007</v>
      </c>
      <c r="G1831" s="3">
        <v>3</v>
      </c>
      <c r="H1831" s="17">
        <f>Table1[[#This Row],[Unit price]]*Table1[[#This Row],[Quantity]]</f>
        <v>215.04000000000002</v>
      </c>
      <c r="I1831" s="29">
        <f>Table1[[#This Row],[Total Revenue]]/$H$5056*100</f>
        <v>2.2814829448168948E-2</v>
      </c>
      <c r="J1831" s="3" t="s">
        <v>17</v>
      </c>
      <c r="K1831" s="4">
        <v>7.2</v>
      </c>
      <c r="M1831"/>
    </row>
    <row r="1832" spans="1:13" x14ac:dyDescent="0.25">
      <c r="A1832" s="3" t="s">
        <v>109</v>
      </c>
      <c r="B1832" s="3" t="s">
        <v>245</v>
      </c>
      <c r="C1832" s="3" t="s">
        <v>13</v>
      </c>
      <c r="D1832" s="3" t="s">
        <v>19</v>
      </c>
      <c r="E1832" s="5" t="s">
        <v>21</v>
      </c>
      <c r="F1832" s="17">
        <v>15.8</v>
      </c>
      <c r="G1832" s="3">
        <v>1</v>
      </c>
      <c r="H1832" s="17">
        <f>Table1[[#This Row],[Unit price]]*Table1[[#This Row],[Quantity]]</f>
        <v>15.8</v>
      </c>
      <c r="I1832" s="29">
        <f>Table1[[#This Row],[Total Revenue]]/$H$5056*100</f>
        <v>1.6763128035764013E-3</v>
      </c>
      <c r="J1832" s="3" t="s">
        <v>15</v>
      </c>
      <c r="K1832" s="4">
        <v>7</v>
      </c>
      <c r="M1832"/>
    </row>
    <row r="1833" spans="1:13" x14ac:dyDescent="0.25">
      <c r="A1833" s="3" t="s">
        <v>109</v>
      </c>
      <c r="B1833" s="3" t="s">
        <v>244</v>
      </c>
      <c r="C1833" s="3" t="s">
        <v>13</v>
      </c>
      <c r="D1833" s="3" t="s">
        <v>19</v>
      </c>
      <c r="E1833" s="5" t="s">
        <v>20</v>
      </c>
      <c r="F1833" s="17">
        <v>13.59</v>
      </c>
      <c r="G1833" s="3">
        <v>3</v>
      </c>
      <c r="H1833" s="17">
        <f>Table1[[#This Row],[Unit price]]*Table1[[#This Row],[Quantity]]</f>
        <v>40.769999999999996</v>
      </c>
      <c r="I1833" s="29">
        <f>Table1[[#This Row],[Total Revenue]]/$H$5056*100</f>
        <v>4.3255236077094856E-3</v>
      </c>
      <c r="J1833" s="3" t="s">
        <v>17</v>
      </c>
      <c r="K1833" s="4">
        <v>7.7</v>
      </c>
      <c r="M1833"/>
    </row>
    <row r="1834" spans="1:13" x14ac:dyDescent="0.25">
      <c r="A1834" s="3" t="s">
        <v>109</v>
      </c>
      <c r="B1834" s="3" t="s">
        <v>245</v>
      </c>
      <c r="C1834" s="3" t="s">
        <v>13</v>
      </c>
      <c r="D1834" s="3" t="s">
        <v>19</v>
      </c>
      <c r="E1834" s="5" t="s">
        <v>16</v>
      </c>
      <c r="F1834" s="17">
        <v>44.65</v>
      </c>
      <c r="G1834" s="3">
        <v>2</v>
      </c>
      <c r="H1834" s="17">
        <f>Table1[[#This Row],[Unit price]]*Table1[[#This Row],[Quantity]]</f>
        <v>89.3</v>
      </c>
      <c r="I1834" s="29">
        <f>Table1[[#This Row],[Total Revenue]]/$H$5056*100</f>
        <v>9.4743502126185212E-3</v>
      </c>
      <c r="J1834" s="3" t="s">
        <v>17</v>
      </c>
      <c r="K1834" s="4">
        <v>7</v>
      </c>
      <c r="M1834"/>
    </row>
    <row r="1835" spans="1:13" x14ac:dyDescent="0.25">
      <c r="A1835" s="3" t="s">
        <v>109</v>
      </c>
      <c r="B1835" s="3" t="s">
        <v>244</v>
      </c>
      <c r="C1835" s="3" t="s">
        <v>13</v>
      </c>
      <c r="D1835" s="3" t="s">
        <v>19</v>
      </c>
      <c r="E1835" s="5" t="s">
        <v>21</v>
      </c>
      <c r="F1835" s="17">
        <v>64.27</v>
      </c>
      <c r="G1835" s="3">
        <v>1</v>
      </c>
      <c r="H1835" s="17">
        <f>Table1[[#This Row],[Unit price]]*Table1[[#This Row],[Quantity]]</f>
        <v>64.27</v>
      </c>
      <c r="I1835" s="29">
        <f>Table1[[#This Row],[Total Revenue]]/$H$5056*100</f>
        <v>6.8187736636617282E-3</v>
      </c>
      <c r="J1835" s="3" t="s">
        <v>15</v>
      </c>
      <c r="K1835" s="4">
        <v>6.3</v>
      </c>
      <c r="M1835"/>
    </row>
    <row r="1836" spans="1:13" x14ac:dyDescent="0.25">
      <c r="A1836" s="3" t="s">
        <v>109</v>
      </c>
      <c r="B1836" s="3" t="s">
        <v>243</v>
      </c>
      <c r="C1836" s="3" t="s">
        <v>13</v>
      </c>
      <c r="D1836" s="3" t="s">
        <v>10</v>
      </c>
      <c r="E1836" s="5" t="s">
        <v>21</v>
      </c>
      <c r="F1836" s="17">
        <v>27.73</v>
      </c>
      <c r="G1836" s="3">
        <v>4</v>
      </c>
      <c r="H1836" s="17">
        <f>Table1[[#This Row],[Unit price]]*Table1[[#This Row],[Quantity]]</f>
        <v>110.92</v>
      </c>
      <c r="I1836" s="29">
        <f>Table1[[#This Row],[Total Revenue]]/$H$5056*100</f>
        <v>1.1768140264094585E-2</v>
      </c>
      <c r="J1836" s="3" t="s">
        <v>17</v>
      </c>
      <c r="K1836" s="4">
        <v>7.2</v>
      </c>
      <c r="M1836"/>
    </row>
    <row r="1837" spans="1:13" x14ac:dyDescent="0.25">
      <c r="A1837" s="3" t="s">
        <v>109</v>
      </c>
      <c r="B1837" s="3" t="s">
        <v>245</v>
      </c>
      <c r="C1837" s="3" t="s">
        <v>9</v>
      </c>
      <c r="D1837" s="3" t="s">
        <v>10</v>
      </c>
      <c r="E1837" s="5" t="s">
        <v>18</v>
      </c>
      <c r="F1837" s="17">
        <v>60.74</v>
      </c>
      <c r="G1837" s="3">
        <v>2</v>
      </c>
      <c r="H1837" s="17">
        <f>Table1[[#This Row],[Unit price]]*Table1[[#This Row],[Quantity]]</f>
        <v>121.48</v>
      </c>
      <c r="I1837" s="29">
        <f>Table1[[#This Row],[Total Revenue]]/$H$5056*100</f>
        <v>1.2888511353067168E-2</v>
      </c>
      <c r="J1837" s="3" t="s">
        <v>15</v>
      </c>
      <c r="K1837" s="4">
        <v>9.4</v>
      </c>
      <c r="M1837"/>
    </row>
    <row r="1838" spans="1:13" x14ac:dyDescent="0.25">
      <c r="A1838" s="3" t="s">
        <v>110</v>
      </c>
      <c r="B1838" s="3" t="s">
        <v>243</v>
      </c>
      <c r="C1838" s="3" t="s">
        <v>13</v>
      </c>
      <c r="D1838" s="3" t="s">
        <v>19</v>
      </c>
      <c r="E1838" s="5" t="s">
        <v>21</v>
      </c>
      <c r="F1838" s="17">
        <v>43.7</v>
      </c>
      <c r="G1838" s="3">
        <v>2</v>
      </c>
      <c r="H1838" s="17">
        <f>Table1[[#This Row],[Unit price]]*Table1[[#This Row],[Quantity]]</f>
        <v>87.4</v>
      </c>
      <c r="I1838" s="29">
        <f>Table1[[#This Row],[Total Revenue]]/$H$5056*100</f>
        <v>9.2727682932011064E-3</v>
      </c>
      <c r="J1838" s="3" t="s">
        <v>17</v>
      </c>
      <c r="K1838" s="4">
        <v>6.5</v>
      </c>
      <c r="M1838"/>
    </row>
    <row r="1839" spans="1:13" x14ac:dyDescent="0.25">
      <c r="A1839" s="3" t="s">
        <v>110</v>
      </c>
      <c r="B1839" s="3" t="s">
        <v>244</v>
      </c>
      <c r="C1839" s="3" t="s">
        <v>13</v>
      </c>
      <c r="D1839" s="3" t="s">
        <v>10</v>
      </c>
      <c r="E1839" s="5" t="s">
        <v>21</v>
      </c>
      <c r="F1839" s="17">
        <v>10.69</v>
      </c>
      <c r="G1839" s="3">
        <v>1</v>
      </c>
      <c r="H1839" s="17">
        <f>Table1[[#This Row],[Unit price]]*Table1[[#This Row],[Quantity]]</f>
        <v>10.69</v>
      </c>
      <c r="I1839" s="29">
        <f>Table1[[#This Row],[Total Revenue]]/$H$5056*100</f>
        <v>1.1341635360906158E-3</v>
      </c>
      <c r="J1839" s="3" t="s">
        <v>12</v>
      </c>
      <c r="K1839" s="4">
        <v>9.6</v>
      </c>
      <c r="M1839"/>
    </row>
    <row r="1840" spans="1:13" x14ac:dyDescent="0.25">
      <c r="A1840" s="3" t="s">
        <v>110</v>
      </c>
      <c r="B1840" s="3" t="s">
        <v>244</v>
      </c>
      <c r="C1840" s="3" t="s">
        <v>9</v>
      </c>
      <c r="D1840" s="3" t="s">
        <v>10</v>
      </c>
      <c r="E1840" s="5" t="s">
        <v>20</v>
      </c>
      <c r="F1840" s="17">
        <v>23.75</v>
      </c>
      <c r="G1840" s="3">
        <v>4</v>
      </c>
      <c r="H1840" s="17">
        <f>Table1[[#This Row],[Unit price]]*Table1[[#This Row],[Quantity]]</f>
        <v>95</v>
      </c>
      <c r="I1840" s="29">
        <f>Table1[[#This Row],[Total Revenue]]/$H$5056*100</f>
        <v>1.0079095970870767E-2</v>
      </c>
      <c r="J1840" s="3" t="s">
        <v>17</v>
      </c>
      <c r="K1840" s="4">
        <v>6.4</v>
      </c>
      <c r="M1840"/>
    </row>
    <row r="1841" spans="1:13" x14ac:dyDescent="0.25">
      <c r="A1841" s="3" t="s">
        <v>110</v>
      </c>
      <c r="B1841" s="3" t="s">
        <v>243</v>
      </c>
      <c r="C1841" s="3" t="s">
        <v>9</v>
      </c>
      <c r="D1841" s="3" t="s">
        <v>19</v>
      </c>
      <c r="E1841" s="5" t="s">
        <v>21</v>
      </c>
      <c r="F1841" s="17">
        <v>32.46</v>
      </c>
      <c r="G1841" s="3">
        <v>1</v>
      </c>
      <c r="H1841" s="17">
        <f>Table1[[#This Row],[Unit price]]*Table1[[#This Row],[Quantity]]</f>
        <v>32.46</v>
      </c>
      <c r="I1841" s="29">
        <f>Table1[[#This Row],[Total Revenue]]/$H$5056*100</f>
        <v>3.4438679496259488E-3</v>
      </c>
      <c r="J1841" s="3" t="s">
        <v>12</v>
      </c>
      <c r="K1841" s="4">
        <v>8.3000000000000007</v>
      </c>
      <c r="M1841"/>
    </row>
    <row r="1842" spans="1:13" x14ac:dyDescent="0.25">
      <c r="A1842" s="3" t="s">
        <v>110</v>
      </c>
      <c r="B1842" s="3" t="s">
        <v>243</v>
      </c>
      <c r="C1842" s="3" t="s">
        <v>13</v>
      </c>
      <c r="D1842" s="3" t="s">
        <v>19</v>
      </c>
      <c r="E1842" s="5" t="s">
        <v>11</v>
      </c>
      <c r="F1842" s="17">
        <v>51.34</v>
      </c>
      <c r="G1842" s="3">
        <v>4</v>
      </c>
      <c r="H1842" s="17">
        <f>Table1[[#This Row],[Unit price]]*Table1[[#This Row],[Quantity]]</f>
        <v>205.36</v>
      </c>
      <c r="I1842" s="29">
        <f>Table1[[#This Row],[Total Revenue]]/$H$5056*100</f>
        <v>2.1787822616610747E-2</v>
      </c>
      <c r="J1842" s="3" t="s">
        <v>17</v>
      </c>
      <c r="K1842" s="4">
        <v>9.3000000000000007</v>
      </c>
      <c r="M1842"/>
    </row>
    <row r="1843" spans="1:13" x14ac:dyDescent="0.25">
      <c r="A1843" s="3" t="s">
        <v>110</v>
      </c>
      <c r="B1843" s="3" t="s">
        <v>245</v>
      </c>
      <c r="C1843" s="3" t="s">
        <v>13</v>
      </c>
      <c r="D1843" s="3" t="s">
        <v>10</v>
      </c>
      <c r="E1843" s="5" t="s">
        <v>11</v>
      </c>
      <c r="F1843" s="17">
        <v>58.26</v>
      </c>
      <c r="G1843" s="3">
        <v>3</v>
      </c>
      <c r="H1843" s="17">
        <f>Table1[[#This Row],[Unit price]]*Table1[[#This Row],[Quantity]]</f>
        <v>174.78</v>
      </c>
      <c r="I1843" s="29">
        <f>Table1[[#This Row],[Total Revenue]]/$H$5056*100</f>
        <v>1.8543414671460975E-2</v>
      </c>
      <c r="J1843" s="3" t="s">
        <v>17</v>
      </c>
      <c r="K1843" s="4">
        <v>6.6</v>
      </c>
      <c r="M1843"/>
    </row>
    <row r="1844" spans="1:13" x14ac:dyDescent="0.25">
      <c r="A1844" s="3" t="s">
        <v>110</v>
      </c>
      <c r="B1844" s="3" t="s">
        <v>243</v>
      </c>
      <c r="C1844" s="3" t="s">
        <v>9</v>
      </c>
      <c r="D1844" s="3" t="s">
        <v>10</v>
      </c>
      <c r="E1844" s="5" t="s">
        <v>16</v>
      </c>
      <c r="F1844" s="17">
        <v>60.08</v>
      </c>
      <c r="G1844" s="3">
        <v>3</v>
      </c>
      <c r="H1844" s="17">
        <f>Table1[[#This Row],[Unit price]]*Table1[[#This Row],[Quantity]]</f>
        <v>180.24</v>
      </c>
      <c r="I1844" s="29">
        <f>Table1[[#This Row],[Total Revenue]]/$H$5056*100</f>
        <v>1.9122697450418395E-2</v>
      </c>
      <c r="J1844" s="3" t="s">
        <v>12</v>
      </c>
      <c r="K1844" s="4">
        <v>8.1999999999999993</v>
      </c>
      <c r="M1844"/>
    </row>
    <row r="1845" spans="1:13" x14ac:dyDescent="0.25">
      <c r="A1845" s="3" t="s">
        <v>110</v>
      </c>
      <c r="B1845" s="3" t="s">
        <v>244</v>
      </c>
      <c r="C1845" s="3" t="s">
        <v>13</v>
      </c>
      <c r="D1845" s="3" t="s">
        <v>19</v>
      </c>
      <c r="E1845" s="5" t="s">
        <v>11</v>
      </c>
      <c r="F1845" s="17">
        <v>38.6</v>
      </c>
      <c r="G1845" s="3">
        <v>2</v>
      </c>
      <c r="H1845" s="17">
        <f>Table1[[#This Row],[Unit price]]*Table1[[#This Row],[Quantity]]</f>
        <v>77.2</v>
      </c>
      <c r="I1845" s="29">
        <f>Table1[[#This Row],[Total Revenue]]/$H$5056*100</f>
        <v>8.1905916731707714E-3</v>
      </c>
      <c r="J1845" s="3" t="s">
        <v>12</v>
      </c>
      <c r="K1845" s="4">
        <v>5.8</v>
      </c>
      <c r="M1845"/>
    </row>
    <row r="1846" spans="1:13" x14ac:dyDescent="0.25">
      <c r="A1846" s="3" t="s">
        <v>110</v>
      </c>
      <c r="B1846" s="3" t="s">
        <v>244</v>
      </c>
      <c r="C1846" s="3" t="s">
        <v>13</v>
      </c>
      <c r="D1846" s="3" t="s">
        <v>10</v>
      </c>
      <c r="E1846" s="5" t="s">
        <v>11</v>
      </c>
      <c r="F1846" s="17">
        <v>49.79</v>
      </c>
      <c r="G1846" s="3">
        <v>3</v>
      </c>
      <c r="H1846" s="17">
        <f>Table1[[#This Row],[Unit price]]*Table1[[#This Row],[Quantity]]</f>
        <v>149.37</v>
      </c>
      <c r="I1846" s="29">
        <f>Table1[[#This Row],[Total Revenue]]/$H$5056*100</f>
        <v>1.5847521738620699E-2</v>
      </c>
      <c r="J1846" s="3" t="s">
        <v>12</v>
      </c>
      <c r="K1846" s="4">
        <v>9.1</v>
      </c>
      <c r="M1846"/>
    </row>
    <row r="1847" spans="1:13" x14ac:dyDescent="0.25">
      <c r="A1847" s="3" t="s">
        <v>110</v>
      </c>
      <c r="B1847" s="3" t="s">
        <v>244</v>
      </c>
      <c r="C1847" s="3" t="s">
        <v>9</v>
      </c>
      <c r="D1847" s="3" t="s">
        <v>10</v>
      </c>
      <c r="E1847" s="5" t="s">
        <v>20</v>
      </c>
      <c r="F1847" s="17">
        <v>11.28</v>
      </c>
      <c r="G1847" s="3">
        <v>1</v>
      </c>
      <c r="H1847" s="17">
        <f>Table1[[#This Row],[Unit price]]*Table1[[#This Row],[Quantity]]</f>
        <v>11.28</v>
      </c>
      <c r="I1847" s="29">
        <f>Table1[[#This Row],[Total Revenue]]/$H$5056*100</f>
        <v>1.1967600268570763E-3</v>
      </c>
      <c r="J1847" s="3" t="s">
        <v>17</v>
      </c>
      <c r="K1847" s="4">
        <v>8.6999999999999993</v>
      </c>
      <c r="M1847"/>
    </row>
    <row r="1848" spans="1:13" x14ac:dyDescent="0.25">
      <c r="A1848" s="3" t="s">
        <v>110</v>
      </c>
      <c r="B1848" s="3" t="s">
        <v>244</v>
      </c>
      <c r="C1848" s="3" t="s">
        <v>13</v>
      </c>
      <c r="D1848" s="3" t="s">
        <v>19</v>
      </c>
      <c r="E1848" s="5" t="s">
        <v>21</v>
      </c>
      <c r="F1848" s="17">
        <v>10.08</v>
      </c>
      <c r="G1848" s="3">
        <v>4</v>
      </c>
      <c r="H1848" s="17">
        <f>Table1[[#This Row],[Unit price]]*Table1[[#This Row],[Quantity]]</f>
        <v>40.32</v>
      </c>
      <c r="I1848" s="29">
        <f>Table1[[#This Row],[Total Revenue]]/$H$5056*100</f>
        <v>4.2777805215316773E-3</v>
      </c>
      <c r="J1848" s="3" t="s">
        <v>17</v>
      </c>
      <c r="K1848" s="4">
        <v>9.8000000000000007</v>
      </c>
      <c r="M1848"/>
    </row>
    <row r="1849" spans="1:13" x14ac:dyDescent="0.25">
      <c r="A1849" s="3" t="s">
        <v>110</v>
      </c>
      <c r="B1849" s="3" t="s">
        <v>243</v>
      </c>
      <c r="C1849" s="3" t="s">
        <v>13</v>
      </c>
      <c r="D1849" s="3" t="s">
        <v>10</v>
      </c>
      <c r="E1849" s="5" t="s">
        <v>20</v>
      </c>
      <c r="F1849" s="17">
        <v>77.47</v>
      </c>
      <c r="G1849" s="3">
        <v>4</v>
      </c>
      <c r="H1849" s="17">
        <f>Table1[[#This Row],[Unit price]]*Table1[[#This Row],[Quantity]]</f>
        <v>309.88</v>
      </c>
      <c r="I1849" s="29">
        <f>Table1[[#This Row],[Total Revenue]]/$H$5056*100</f>
        <v>3.2876950099509826E-2</v>
      </c>
      <c r="J1849" s="3" t="s">
        <v>12</v>
      </c>
      <c r="K1849" s="4">
        <v>7.6</v>
      </c>
      <c r="M1849"/>
    </row>
    <row r="1850" spans="1:13" x14ac:dyDescent="0.25">
      <c r="A1850" s="3" t="s">
        <v>110</v>
      </c>
      <c r="B1850" s="3" t="s">
        <v>243</v>
      </c>
      <c r="C1850" s="3" t="s">
        <v>13</v>
      </c>
      <c r="D1850" s="3" t="s">
        <v>10</v>
      </c>
      <c r="E1850" s="5" t="s">
        <v>21</v>
      </c>
      <c r="F1850" s="17">
        <v>71.77</v>
      </c>
      <c r="G1850" s="3">
        <v>1</v>
      </c>
      <c r="H1850" s="17">
        <f>Table1[[#This Row],[Unit price]]*Table1[[#This Row],[Quantity]]</f>
        <v>71.77</v>
      </c>
      <c r="I1850" s="29">
        <f>Table1[[#This Row],[Total Revenue]]/$H$5056*100</f>
        <v>7.6144917666252105E-3</v>
      </c>
      <c r="J1850" s="3" t="s">
        <v>15</v>
      </c>
      <c r="K1850" s="4">
        <v>6.7</v>
      </c>
      <c r="M1850"/>
    </row>
    <row r="1851" spans="1:13" x14ac:dyDescent="0.25">
      <c r="A1851" s="3" t="s">
        <v>111</v>
      </c>
      <c r="B1851" s="3" t="s">
        <v>243</v>
      </c>
      <c r="C1851" s="3" t="s">
        <v>13</v>
      </c>
      <c r="D1851" s="3" t="s">
        <v>19</v>
      </c>
      <c r="E1851" s="5" t="s">
        <v>16</v>
      </c>
      <c r="F1851" s="17">
        <v>24.74</v>
      </c>
      <c r="G1851" s="3">
        <v>3</v>
      </c>
      <c r="H1851" s="17">
        <f>Table1[[#This Row],[Unit price]]*Table1[[#This Row],[Quantity]]</f>
        <v>74.22</v>
      </c>
      <c r="I1851" s="29">
        <f>Table1[[#This Row],[Total Revenue]]/$H$5056*100</f>
        <v>7.8744263469266145E-3</v>
      </c>
      <c r="J1851" s="3" t="s">
        <v>15</v>
      </c>
      <c r="K1851" s="4">
        <v>8</v>
      </c>
      <c r="M1851"/>
    </row>
    <row r="1852" spans="1:13" x14ac:dyDescent="0.25">
      <c r="A1852" s="3" t="s">
        <v>111</v>
      </c>
      <c r="B1852" s="3" t="s">
        <v>244</v>
      </c>
      <c r="C1852" s="3" t="s">
        <v>13</v>
      </c>
      <c r="D1852" s="3" t="s">
        <v>10</v>
      </c>
      <c r="E1852" s="5" t="s">
        <v>16</v>
      </c>
      <c r="F1852" s="17">
        <v>88.31</v>
      </c>
      <c r="G1852" s="3">
        <v>2</v>
      </c>
      <c r="H1852" s="17">
        <f>Table1[[#This Row],[Unit price]]*Table1[[#This Row],[Quantity]]</f>
        <v>176.62</v>
      </c>
      <c r="I1852" s="29">
        <f>Table1[[#This Row],[Total Revenue]]/$H$5056*100</f>
        <v>1.8738630846054684E-2</v>
      </c>
      <c r="J1852" s="3" t="s">
        <v>17</v>
      </c>
      <c r="K1852" s="4">
        <v>7</v>
      </c>
      <c r="M1852"/>
    </row>
    <row r="1853" spans="1:13" x14ac:dyDescent="0.25">
      <c r="A1853" s="3" t="s">
        <v>111</v>
      </c>
      <c r="B1853" s="3" t="s">
        <v>245</v>
      </c>
      <c r="C1853" s="3" t="s">
        <v>9</v>
      </c>
      <c r="D1853" s="3" t="s">
        <v>10</v>
      </c>
      <c r="E1853" s="5" t="s">
        <v>11</v>
      </c>
      <c r="F1853" s="17">
        <v>93.4</v>
      </c>
      <c r="G1853" s="3">
        <v>2</v>
      </c>
      <c r="H1853" s="17">
        <f>Table1[[#This Row],[Unit price]]*Table1[[#This Row],[Quantity]]</f>
        <v>186.8</v>
      </c>
      <c r="I1853" s="29">
        <f>Table1[[#This Row],[Total Revenue]]/$H$5056*100</f>
        <v>1.9818685551143782E-2</v>
      </c>
      <c r="J1853" s="3" t="s">
        <v>12</v>
      </c>
      <c r="K1853" s="4">
        <v>5.6</v>
      </c>
      <c r="M1853"/>
    </row>
    <row r="1854" spans="1:13" x14ac:dyDescent="0.25">
      <c r="A1854" s="3" t="s">
        <v>111</v>
      </c>
      <c r="B1854" s="3" t="s">
        <v>244</v>
      </c>
      <c r="C1854" s="3" t="s">
        <v>13</v>
      </c>
      <c r="D1854" s="3" t="s">
        <v>10</v>
      </c>
      <c r="E1854" s="5" t="s">
        <v>11</v>
      </c>
      <c r="F1854" s="17">
        <v>72.52</v>
      </c>
      <c r="G1854" s="3">
        <v>4</v>
      </c>
      <c r="H1854" s="17">
        <f>Table1[[#This Row],[Unit price]]*Table1[[#This Row],[Quantity]]</f>
        <v>290.08</v>
      </c>
      <c r="I1854" s="29">
        <f>Table1[[#This Row],[Total Revenue]]/$H$5056*100</f>
        <v>3.0776254307686234E-2</v>
      </c>
      <c r="J1854" s="3" t="s">
        <v>12</v>
      </c>
      <c r="K1854" s="4">
        <v>8.3000000000000007</v>
      </c>
      <c r="M1854"/>
    </row>
    <row r="1855" spans="1:13" x14ac:dyDescent="0.25">
      <c r="A1855" s="3" t="s">
        <v>111</v>
      </c>
      <c r="B1855" s="3" t="s">
        <v>245</v>
      </c>
      <c r="C1855" s="3" t="s">
        <v>9</v>
      </c>
      <c r="D1855" s="3" t="s">
        <v>10</v>
      </c>
      <c r="E1855" s="5" t="s">
        <v>11</v>
      </c>
      <c r="F1855" s="17">
        <v>67.45</v>
      </c>
      <c r="G1855" s="3">
        <v>3</v>
      </c>
      <c r="H1855" s="17">
        <f>Table1[[#This Row],[Unit price]]*Table1[[#This Row],[Quantity]]</f>
        <v>202.35000000000002</v>
      </c>
      <c r="I1855" s="29">
        <f>Table1[[#This Row],[Total Revenue]]/$H$5056*100</f>
        <v>2.1468474417954738E-2</v>
      </c>
      <c r="J1855" s="3" t="s">
        <v>17</v>
      </c>
      <c r="K1855" s="4">
        <v>9</v>
      </c>
      <c r="M1855"/>
    </row>
    <row r="1856" spans="1:13" x14ac:dyDescent="0.25">
      <c r="A1856" s="3" t="s">
        <v>111</v>
      </c>
      <c r="B1856" s="3" t="s">
        <v>245</v>
      </c>
      <c r="C1856" s="3" t="s">
        <v>13</v>
      </c>
      <c r="D1856" s="3" t="s">
        <v>10</v>
      </c>
      <c r="E1856" s="5" t="s">
        <v>21</v>
      </c>
      <c r="F1856" s="17">
        <v>87.87</v>
      </c>
      <c r="G1856" s="3">
        <v>1</v>
      </c>
      <c r="H1856" s="17">
        <f>Table1[[#This Row],[Unit price]]*Table1[[#This Row],[Quantity]]</f>
        <v>87.87</v>
      </c>
      <c r="I1856" s="29">
        <f>Table1[[#This Row],[Total Revenue]]/$H$5056*100</f>
        <v>9.3226332943201519E-3</v>
      </c>
      <c r="J1856" s="3" t="s">
        <v>12</v>
      </c>
      <c r="K1856" s="4">
        <v>7.7</v>
      </c>
      <c r="M1856"/>
    </row>
    <row r="1857" spans="1:13" x14ac:dyDescent="0.25">
      <c r="A1857" s="3" t="s">
        <v>111</v>
      </c>
      <c r="B1857" s="3" t="s">
        <v>243</v>
      </c>
      <c r="C1857" s="3" t="s">
        <v>13</v>
      </c>
      <c r="D1857" s="3" t="s">
        <v>10</v>
      </c>
      <c r="E1857" s="5" t="s">
        <v>11</v>
      </c>
      <c r="F1857" s="17">
        <v>40.520000000000003</v>
      </c>
      <c r="G1857" s="3">
        <v>5</v>
      </c>
      <c r="H1857" s="17">
        <f>Table1[[#This Row],[Unit price]]*Table1[[#This Row],[Quantity]]</f>
        <v>202.60000000000002</v>
      </c>
      <c r="I1857" s="29">
        <f>Table1[[#This Row],[Total Revenue]]/$H$5056*100</f>
        <v>2.1494998354720185E-2</v>
      </c>
      <c r="J1857" s="3" t="s">
        <v>15</v>
      </c>
      <c r="K1857" s="4">
        <v>5.4</v>
      </c>
      <c r="M1857"/>
    </row>
    <row r="1858" spans="1:13" x14ac:dyDescent="0.25">
      <c r="A1858" s="3" t="s">
        <v>111</v>
      </c>
      <c r="B1858" s="3" t="s">
        <v>243</v>
      </c>
      <c r="C1858" s="3" t="s">
        <v>13</v>
      </c>
      <c r="D1858" s="3" t="s">
        <v>10</v>
      </c>
      <c r="E1858" s="5" t="s">
        <v>18</v>
      </c>
      <c r="F1858" s="17">
        <v>60.74</v>
      </c>
      <c r="G1858" s="3">
        <v>3</v>
      </c>
      <c r="H1858" s="17">
        <f>Table1[[#This Row],[Unit price]]*Table1[[#This Row],[Quantity]]</f>
        <v>182.22</v>
      </c>
      <c r="I1858" s="29">
        <f>Table1[[#This Row],[Total Revenue]]/$H$5056*100</f>
        <v>1.933276702960075E-2</v>
      </c>
      <c r="J1858" s="3" t="s">
        <v>15</v>
      </c>
      <c r="K1858" s="4">
        <v>7.8</v>
      </c>
      <c r="M1858"/>
    </row>
    <row r="1859" spans="1:13" x14ac:dyDescent="0.25">
      <c r="A1859" s="3" t="s">
        <v>111</v>
      </c>
      <c r="B1859" s="3" t="s">
        <v>244</v>
      </c>
      <c r="C1859" s="3" t="s">
        <v>13</v>
      </c>
      <c r="D1859" s="3" t="s">
        <v>10</v>
      </c>
      <c r="E1859" s="5" t="s">
        <v>11</v>
      </c>
      <c r="F1859" s="17">
        <v>67.77</v>
      </c>
      <c r="G1859" s="3">
        <v>1</v>
      </c>
      <c r="H1859" s="17">
        <f>Table1[[#This Row],[Unit price]]*Table1[[#This Row],[Quantity]]</f>
        <v>67.77</v>
      </c>
      <c r="I1859" s="29">
        <f>Table1[[#This Row],[Total Revenue]]/$H$5056*100</f>
        <v>7.1901087783780189E-3</v>
      </c>
      <c r="J1859" s="3" t="s">
        <v>12</v>
      </c>
      <c r="K1859" s="4">
        <v>6.9</v>
      </c>
      <c r="M1859"/>
    </row>
    <row r="1860" spans="1:13" x14ac:dyDescent="0.25">
      <c r="A1860" s="3" t="s">
        <v>111</v>
      </c>
      <c r="B1860" s="3" t="s">
        <v>245</v>
      </c>
      <c r="C1860" s="3" t="s">
        <v>13</v>
      </c>
      <c r="D1860" s="3" t="s">
        <v>10</v>
      </c>
      <c r="E1860" s="5" t="s">
        <v>11</v>
      </c>
      <c r="F1860" s="17">
        <v>23.34</v>
      </c>
      <c r="G1860" s="3">
        <v>4</v>
      </c>
      <c r="H1860" s="17">
        <f>Table1[[#This Row],[Unit price]]*Table1[[#This Row],[Quantity]]</f>
        <v>93.36</v>
      </c>
      <c r="I1860" s="29">
        <f>Table1[[#This Row],[Total Revenue]]/$H$5056*100</f>
        <v>9.9050989456894202E-3</v>
      </c>
      <c r="J1860" s="3" t="s">
        <v>15</v>
      </c>
      <c r="K1860" s="4">
        <v>6.9</v>
      </c>
      <c r="M1860"/>
    </row>
    <row r="1861" spans="1:13" x14ac:dyDescent="0.25">
      <c r="A1861" s="3" t="s">
        <v>111</v>
      </c>
      <c r="B1861" s="3" t="s">
        <v>243</v>
      </c>
      <c r="C1861" s="3" t="s">
        <v>13</v>
      </c>
      <c r="D1861" s="3" t="s">
        <v>19</v>
      </c>
      <c r="E1861" s="5" t="s">
        <v>21</v>
      </c>
      <c r="F1861" s="17">
        <v>54.86</v>
      </c>
      <c r="G1861" s="3">
        <v>4</v>
      </c>
      <c r="H1861" s="17">
        <f>Table1[[#This Row],[Unit price]]*Table1[[#This Row],[Quantity]]</f>
        <v>219.44</v>
      </c>
      <c r="I1861" s="29">
        <f>Table1[[#This Row],[Total Revenue]]/$H$5056*100</f>
        <v>2.3281650735240855E-2</v>
      </c>
      <c r="J1861" s="3" t="s">
        <v>17</v>
      </c>
      <c r="K1861" s="4">
        <v>7.2</v>
      </c>
      <c r="M1861"/>
    </row>
    <row r="1862" spans="1:13" x14ac:dyDescent="0.25">
      <c r="A1862" s="3" t="s">
        <v>111</v>
      </c>
      <c r="B1862" s="3" t="s">
        <v>245</v>
      </c>
      <c r="C1862" s="3" t="s">
        <v>13</v>
      </c>
      <c r="D1862" s="3" t="s">
        <v>19</v>
      </c>
      <c r="E1862" s="5" t="s">
        <v>11</v>
      </c>
      <c r="F1862" s="17">
        <v>42.82</v>
      </c>
      <c r="G1862" s="3">
        <v>1</v>
      </c>
      <c r="H1862" s="17">
        <f>Table1[[#This Row],[Unit price]]*Table1[[#This Row],[Quantity]]</f>
        <v>42.82</v>
      </c>
      <c r="I1862" s="29">
        <f>Table1[[#This Row],[Total Revenue]]/$H$5056*100</f>
        <v>4.5430198891861714E-3</v>
      </c>
      <c r="J1862" s="3" t="s">
        <v>17</v>
      </c>
      <c r="K1862" s="4">
        <v>9.8000000000000007</v>
      </c>
      <c r="M1862"/>
    </row>
    <row r="1863" spans="1:13" x14ac:dyDescent="0.25">
      <c r="A1863" s="3" t="s">
        <v>112</v>
      </c>
      <c r="B1863" s="3" t="s">
        <v>243</v>
      </c>
      <c r="C1863" s="3" t="s">
        <v>13</v>
      </c>
      <c r="D1863" s="3" t="s">
        <v>10</v>
      </c>
      <c r="E1863" s="5" t="s">
        <v>20</v>
      </c>
      <c r="F1863" s="17">
        <v>99.7</v>
      </c>
      <c r="G1863" s="3">
        <v>1</v>
      </c>
      <c r="H1863" s="17">
        <f>Table1[[#This Row],[Unit price]]*Table1[[#This Row],[Quantity]]</f>
        <v>99.7</v>
      </c>
      <c r="I1863" s="29">
        <f>Table1[[#This Row],[Total Revenue]]/$H$5056*100</f>
        <v>1.0577745982061217E-2</v>
      </c>
      <c r="J1863" s="3" t="s">
        <v>17</v>
      </c>
      <c r="K1863" s="4">
        <v>6.2</v>
      </c>
      <c r="M1863"/>
    </row>
    <row r="1864" spans="1:13" x14ac:dyDescent="0.25">
      <c r="A1864" s="3" t="s">
        <v>112</v>
      </c>
      <c r="B1864" s="3" t="s">
        <v>245</v>
      </c>
      <c r="C1864" s="3" t="s">
        <v>13</v>
      </c>
      <c r="D1864" s="3" t="s">
        <v>19</v>
      </c>
      <c r="E1864" s="5" t="s">
        <v>20</v>
      </c>
      <c r="F1864" s="17">
        <v>28.53</v>
      </c>
      <c r="G1864" s="3">
        <v>4</v>
      </c>
      <c r="H1864" s="17">
        <f>Table1[[#This Row],[Unit price]]*Table1[[#This Row],[Quantity]]</f>
        <v>114.12</v>
      </c>
      <c r="I1864" s="29">
        <f>Table1[[#This Row],[Total Revenue]]/$H$5056*100</f>
        <v>1.2107646654692336E-2</v>
      </c>
      <c r="J1864" s="3" t="s">
        <v>17</v>
      </c>
      <c r="K1864" s="4">
        <v>9.1</v>
      </c>
      <c r="M1864"/>
    </row>
    <row r="1865" spans="1:13" x14ac:dyDescent="0.25">
      <c r="A1865" s="3" t="s">
        <v>112</v>
      </c>
      <c r="B1865" s="3" t="s">
        <v>245</v>
      </c>
      <c r="C1865" s="3" t="s">
        <v>13</v>
      </c>
      <c r="D1865" s="3" t="s">
        <v>19</v>
      </c>
      <c r="E1865" s="5" t="s">
        <v>11</v>
      </c>
      <c r="F1865" s="17">
        <v>47.27</v>
      </c>
      <c r="G1865" s="3">
        <v>1</v>
      </c>
      <c r="H1865" s="17">
        <f>Table1[[#This Row],[Unit price]]*Table1[[#This Row],[Quantity]]</f>
        <v>47.27</v>
      </c>
      <c r="I1865" s="29">
        <f>Table1[[#This Row],[Total Revenue]]/$H$5056*100</f>
        <v>5.0151459636111704E-3</v>
      </c>
      <c r="J1865" s="3" t="s">
        <v>15</v>
      </c>
      <c r="K1865" s="4">
        <v>8.8000000000000007</v>
      </c>
      <c r="M1865"/>
    </row>
    <row r="1866" spans="1:13" x14ac:dyDescent="0.25">
      <c r="A1866" s="3" t="s">
        <v>112</v>
      </c>
      <c r="B1866" s="3" t="s">
        <v>245</v>
      </c>
      <c r="C1866" s="3" t="s">
        <v>13</v>
      </c>
      <c r="D1866" s="3" t="s">
        <v>19</v>
      </c>
      <c r="E1866" s="5" t="s">
        <v>14</v>
      </c>
      <c r="F1866" s="17">
        <v>23.46</v>
      </c>
      <c r="G1866" s="3">
        <v>2</v>
      </c>
      <c r="H1866" s="17">
        <f>Table1[[#This Row],[Unit price]]*Table1[[#This Row],[Quantity]]</f>
        <v>46.92</v>
      </c>
      <c r="I1866" s="29">
        <f>Table1[[#This Row],[Total Revenue]]/$H$5056*100</f>
        <v>4.9780124521395415E-3</v>
      </c>
      <c r="J1866" s="3" t="s">
        <v>12</v>
      </c>
      <c r="K1866" s="4">
        <v>9.8000000000000007</v>
      </c>
      <c r="M1866"/>
    </row>
    <row r="1867" spans="1:13" x14ac:dyDescent="0.25">
      <c r="A1867" s="3" t="s">
        <v>112</v>
      </c>
      <c r="B1867" s="3" t="s">
        <v>245</v>
      </c>
      <c r="C1867" s="3" t="s">
        <v>9</v>
      </c>
      <c r="D1867" s="3" t="s">
        <v>10</v>
      </c>
      <c r="E1867" s="5" t="s">
        <v>18</v>
      </c>
      <c r="F1867" s="17">
        <v>60.74</v>
      </c>
      <c r="G1867" s="3">
        <v>2</v>
      </c>
      <c r="H1867" s="17">
        <f>Table1[[#This Row],[Unit price]]*Table1[[#This Row],[Quantity]]</f>
        <v>121.48</v>
      </c>
      <c r="I1867" s="29">
        <f>Table1[[#This Row],[Total Revenue]]/$H$5056*100</f>
        <v>1.2888511353067168E-2</v>
      </c>
      <c r="J1867" s="3" t="s">
        <v>12</v>
      </c>
      <c r="K1867" s="4">
        <v>8.1</v>
      </c>
      <c r="M1867"/>
    </row>
    <row r="1868" spans="1:13" x14ac:dyDescent="0.25">
      <c r="A1868" s="3" t="s">
        <v>112</v>
      </c>
      <c r="B1868" s="3" t="s">
        <v>245</v>
      </c>
      <c r="C1868" s="3" t="s">
        <v>13</v>
      </c>
      <c r="D1868" s="3" t="s">
        <v>10</v>
      </c>
      <c r="E1868" s="5" t="s">
        <v>11</v>
      </c>
      <c r="F1868" s="17">
        <v>87.9</v>
      </c>
      <c r="G1868" s="3">
        <v>3</v>
      </c>
      <c r="H1868" s="17">
        <f>Table1[[#This Row],[Unit price]]*Table1[[#This Row],[Quantity]]</f>
        <v>263.70000000000005</v>
      </c>
      <c r="I1868" s="29">
        <f>Table1[[#This Row],[Total Revenue]]/$H$5056*100</f>
        <v>2.7977448500196019E-2</v>
      </c>
      <c r="J1868" s="3" t="s">
        <v>17</v>
      </c>
      <c r="K1868" s="4">
        <v>6.9</v>
      </c>
      <c r="M1868"/>
    </row>
    <row r="1869" spans="1:13" x14ac:dyDescent="0.25">
      <c r="A1869" s="3" t="s">
        <v>112</v>
      </c>
      <c r="B1869" s="3" t="s">
        <v>244</v>
      </c>
      <c r="C1869" s="3" t="s">
        <v>9</v>
      </c>
      <c r="D1869" s="3" t="s">
        <v>19</v>
      </c>
      <c r="E1869" s="5" t="s">
        <v>21</v>
      </c>
      <c r="F1869" s="17">
        <v>71.38</v>
      </c>
      <c r="G1869" s="3">
        <v>4</v>
      </c>
      <c r="H1869" s="17">
        <f>Table1[[#This Row],[Unit price]]*Table1[[#This Row],[Quantity]]</f>
        <v>285.52</v>
      </c>
      <c r="I1869" s="29">
        <f>Table1[[#This Row],[Total Revenue]]/$H$5056*100</f>
        <v>3.0292457701084435E-2</v>
      </c>
      <c r="J1869" s="3" t="s">
        <v>15</v>
      </c>
      <c r="K1869" s="4">
        <v>6.8</v>
      </c>
      <c r="M1869"/>
    </row>
    <row r="1870" spans="1:13" x14ac:dyDescent="0.25">
      <c r="A1870" s="3" t="s">
        <v>112</v>
      </c>
      <c r="B1870" s="3" t="s">
        <v>243</v>
      </c>
      <c r="C1870" s="3" t="s">
        <v>13</v>
      </c>
      <c r="D1870" s="3" t="s">
        <v>10</v>
      </c>
      <c r="E1870" s="5" t="s">
        <v>14</v>
      </c>
      <c r="F1870" s="17">
        <v>41.65</v>
      </c>
      <c r="G1870" s="3">
        <v>1</v>
      </c>
      <c r="H1870" s="17">
        <f>Table1[[#This Row],[Unit price]]*Table1[[#This Row],[Quantity]]</f>
        <v>41.65</v>
      </c>
      <c r="I1870" s="29">
        <f>Table1[[#This Row],[Total Revenue]]/$H$5056*100</f>
        <v>4.4188878651238682E-3</v>
      </c>
      <c r="J1870" s="3" t="s">
        <v>17</v>
      </c>
      <c r="K1870" s="4">
        <v>4.8</v>
      </c>
      <c r="M1870"/>
    </row>
    <row r="1871" spans="1:13" x14ac:dyDescent="0.25">
      <c r="A1871" s="3" t="s">
        <v>112</v>
      </c>
      <c r="B1871" s="3" t="s">
        <v>245</v>
      </c>
      <c r="C1871" s="3" t="s">
        <v>13</v>
      </c>
      <c r="D1871" s="3" t="s">
        <v>19</v>
      </c>
      <c r="E1871" s="5" t="s">
        <v>18</v>
      </c>
      <c r="F1871" s="17">
        <v>29.56</v>
      </c>
      <c r="G1871" s="3">
        <v>3</v>
      </c>
      <c r="H1871" s="17">
        <f>Table1[[#This Row],[Unit price]]*Table1[[#This Row],[Quantity]]</f>
        <v>88.679999999999993</v>
      </c>
      <c r="I1871" s="29">
        <f>Table1[[#This Row],[Total Revenue]]/$H$5056*100</f>
        <v>9.4085708494402072E-3</v>
      </c>
      <c r="J1871" s="3" t="s">
        <v>15</v>
      </c>
      <c r="K1871" s="4">
        <v>5.4</v>
      </c>
      <c r="M1871"/>
    </row>
    <row r="1872" spans="1:13" x14ac:dyDescent="0.25">
      <c r="A1872" s="3" t="s">
        <v>112</v>
      </c>
      <c r="B1872" s="3" t="s">
        <v>243</v>
      </c>
      <c r="C1872" s="3" t="s">
        <v>13</v>
      </c>
      <c r="D1872" s="3" t="s">
        <v>10</v>
      </c>
      <c r="E1872" s="5" t="s">
        <v>21</v>
      </c>
      <c r="F1872" s="17">
        <v>61.29</v>
      </c>
      <c r="G1872" s="3">
        <v>4</v>
      </c>
      <c r="H1872" s="17">
        <f>Table1[[#This Row],[Unit price]]*Table1[[#This Row],[Quantity]]</f>
        <v>245.16</v>
      </c>
      <c r="I1872" s="29">
        <f>Table1[[#This Row],[Total Revenue]]/$H$5056*100</f>
        <v>2.6010433349670289E-2</v>
      </c>
      <c r="J1872" s="3" t="s">
        <v>15</v>
      </c>
      <c r="K1872" s="4">
        <v>9.1999999999999993</v>
      </c>
      <c r="M1872"/>
    </row>
    <row r="1873" spans="1:13" x14ac:dyDescent="0.25">
      <c r="A1873" s="3" t="s">
        <v>112</v>
      </c>
      <c r="B1873" s="3" t="s">
        <v>243</v>
      </c>
      <c r="C1873" s="3" t="s">
        <v>13</v>
      </c>
      <c r="D1873" s="3" t="s">
        <v>10</v>
      </c>
      <c r="E1873" s="5" t="s">
        <v>11</v>
      </c>
      <c r="F1873" s="17">
        <v>20.010000000000002</v>
      </c>
      <c r="G1873" s="3">
        <v>3</v>
      </c>
      <c r="H1873" s="17">
        <f>Table1[[#This Row],[Unit price]]*Table1[[#This Row],[Quantity]]</f>
        <v>60.03</v>
      </c>
      <c r="I1873" s="29">
        <f>Table1[[#This Row],[Total Revenue]]/$H$5056*100</f>
        <v>6.3689276961197078E-3</v>
      </c>
      <c r="J1873" s="3" t="s">
        <v>17</v>
      </c>
      <c r="K1873" s="4">
        <v>8.3000000000000007</v>
      </c>
      <c r="M1873"/>
    </row>
    <row r="1874" spans="1:13" x14ac:dyDescent="0.25">
      <c r="A1874" s="2">
        <v>45297</v>
      </c>
      <c r="B1874" s="3" t="s">
        <v>243</v>
      </c>
      <c r="C1874" s="3" t="s">
        <v>9</v>
      </c>
      <c r="D1874" s="3" t="s">
        <v>19</v>
      </c>
      <c r="E1874" s="5" t="s">
        <v>21</v>
      </c>
      <c r="F1874" s="17">
        <v>35.64</v>
      </c>
      <c r="G1874" s="3">
        <v>4</v>
      </c>
      <c r="H1874" s="17">
        <f>Table1[[#This Row],[Unit price]]*Table1[[#This Row],[Quantity]]</f>
        <v>142.56</v>
      </c>
      <c r="I1874" s="29">
        <f>Table1[[#This Row],[Total Revenue]]/$H$5056*100</f>
        <v>1.5125009701129859E-2</v>
      </c>
      <c r="J1874" s="3" t="s">
        <v>12</v>
      </c>
      <c r="K1874" s="4">
        <v>7</v>
      </c>
      <c r="M1874"/>
    </row>
    <row r="1875" spans="1:13" x14ac:dyDescent="0.25">
      <c r="A1875" s="2">
        <v>45297</v>
      </c>
      <c r="B1875" s="3" t="s">
        <v>244</v>
      </c>
      <c r="C1875" s="3" t="s">
        <v>13</v>
      </c>
      <c r="D1875" s="3" t="s">
        <v>19</v>
      </c>
      <c r="E1875" s="5" t="s">
        <v>21</v>
      </c>
      <c r="F1875" s="17">
        <v>37</v>
      </c>
      <c r="G1875" s="3">
        <v>2</v>
      </c>
      <c r="H1875" s="17">
        <f>Table1[[#This Row],[Unit price]]*Table1[[#This Row],[Quantity]]</f>
        <v>74</v>
      </c>
      <c r="I1875" s="29">
        <f>Table1[[#This Row],[Total Revenue]]/$H$5056*100</f>
        <v>7.8510852825730195E-3</v>
      </c>
      <c r="J1875" s="3" t="s">
        <v>15</v>
      </c>
      <c r="K1875" s="4">
        <v>6.1</v>
      </c>
      <c r="M1875"/>
    </row>
    <row r="1876" spans="1:13" x14ac:dyDescent="0.25">
      <c r="A1876" s="2">
        <v>45297</v>
      </c>
      <c r="B1876" s="3" t="s">
        <v>245</v>
      </c>
      <c r="C1876" s="3" t="s">
        <v>13</v>
      </c>
      <c r="D1876" s="3" t="s">
        <v>10</v>
      </c>
      <c r="E1876" s="5" t="s">
        <v>21</v>
      </c>
      <c r="F1876" s="17">
        <v>22.8</v>
      </c>
      <c r="G1876" s="3">
        <v>2</v>
      </c>
      <c r="H1876" s="17">
        <f>Table1[[#This Row],[Unit price]]*Table1[[#This Row],[Quantity]]</f>
        <v>45.6</v>
      </c>
      <c r="I1876" s="29">
        <f>Table1[[#This Row],[Total Revenue]]/$H$5056*100</f>
        <v>4.8379660660179688E-3</v>
      </c>
      <c r="J1876" s="3" t="s">
        <v>17</v>
      </c>
      <c r="K1876" s="4">
        <v>5.8</v>
      </c>
      <c r="M1876"/>
    </row>
    <row r="1877" spans="1:13" x14ac:dyDescent="0.25">
      <c r="A1877" s="2">
        <v>45297</v>
      </c>
      <c r="B1877" s="3" t="s">
        <v>244</v>
      </c>
      <c r="C1877" s="3" t="s">
        <v>9</v>
      </c>
      <c r="D1877" s="3" t="s">
        <v>19</v>
      </c>
      <c r="E1877" s="5" t="s">
        <v>20</v>
      </c>
      <c r="F1877" s="17">
        <v>58.36</v>
      </c>
      <c r="G1877" s="3">
        <v>4</v>
      </c>
      <c r="H1877" s="17">
        <f>Table1[[#This Row],[Unit price]]*Table1[[#This Row],[Quantity]]</f>
        <v>233.44</v>
      </c>
      <c r="I1877" s="29">
        <f>Table1[[#This Row],[Total Revenue]]/$H$5056*100</f>
        <v>2.4766991194106022E-2</v>
      </c>
      <c r="J1877" s="3" t="s">
        <v>17</v>
      </c>
      <c r="K1877" s="4">
        <v>8.3000000000000007</v>
      </c>
      <c r="M1877"/>
    </row>
    <row r="1878" spans="1:13" x14ac:dyDescent="0.25">
      <c r="A1878" s="2">
        <v>45297</v>
      </c>
      <c r="B1878" s="3" t="s">
        <v>244</v>
      </c>
      <c r="C1878" s="3" t="s">
        <v>13</v>
      </c>
      <c r="D1878" s="3" t="s">
        <v>19</v>
      </c>
      <c r="E1878" s="5" t="s">
        <v>11</v>
      </c>
      <c r="F1878" s="17">
        <v>7.54</v>
      </c>
      <c r="G1878" s="3">
        <v>5</v>
      </c>
      <c r="H1878" s="17">
        <f>Table1[[#This Row],[Unit price]]*Table1[[#This Row],[Quantity]]</f>
        <v>37.700000000000003</v>
      </c>
      <c r="I1878" s="29">
        <f>Table1[[#This Row],[Total Revenue]]/$H$5056*100</f>
        <v>3.9998096642297675E-3</v>
      </c>
      <c r="J1878" s="3" t="s">
        <v>17</v>
      </c>
      <c r="K1878" s="4">
        <v>8.8000000000000007</v>
      </c>
      <c r="M1878"/>
    </row>
    <row r="1879" spans="1:13" x14ac:dyDescent="0.25">
      <c r="A1879" s="2">
        <v>45297</v>
      </c>
      <c r="B1879" s="3" t="s">
        <v>245</v>
      </c>
      <c r="C1879" s="3" t="s">
        <v>13</v>
      </c>
      <c r="D1879" s="3" t="s">
        <v>10</v>
      </c>
      <c r="E1879" s="5" t="s">
        <v>21</v>
      </c>
      <c r="F1879" s="17">
        <v>21.81</v>
      </c>
      <c r="G1879" s="3">
        <v>4</v>
      </c>
      <c r="H1879" s="17">
        <f>Table1[[#This Row],[Unit price]]*Table1[[#This Row],[Quantity]]</f>
        <v>87.24</v>
      </c>
      <c r="I1879" s="29">
        <f>Table1[[#This Row],[Total Revenue]]/$H$5056*100</f>
        <v>9.2557929736712188E-3</v>
      </c>
      <c r="J1879" s="3" t="s">
        <v>15</v>
      </c>
      <c r="K1879" s="4">
        <v>5.3</v>
      </c>
      <c r="M1879"/>
    </row>
    <row r="1880" spans="1:13" x14ac:dyDescent="0.25">
      <c r="A1880" s="2">
        <v>45297</v>
      </c>
      <c r="B1880" s="3" t="s">
        <v>244</v>
      </c>
      <c r="C1880" s="3" t="s">
        <v>9</v>
      </c>
      <c r="D1880" s="3" t="s">
        <v>10</v>
      </c>
      <c r="E1880" s="5" t="s">
        <v>11</v>
      </c>
      <c r="F1880" s="17">
        <v>5.56</v>
      </c>
      <c r="G1880" s="3">
        <v>4</v>
      </c>
      <c r="H1880" s="17">
        <f>Table1[[#This Row],[Unit price]]*Table1[[#This Row],[Quantity]]</f>
        <v>22.24</v>
      </c>
      <c r="I1880" s="29">
        <f>Table1[[#This Row],[Total Revenue]]/$H$5056*100</f>
        <v>2.3595694146543774E-3</v>
      </c>
      <c r="J1880" s="3" t="s">
        <v>15</v>
      </c>
      <c r="K1880" s="4">
        <v>6</v>
      </c>
      <c r="M1880"/>
    </row>
    <row r="1881" spans="1:13" x14ac:dyDescent="0.25">
      <c r="A1881" s="2">
        <v>45297</v>
      </c>
      <c r="B1881" s="3" t="s">
        <v>244</v>
      </c>
      <c r="C1881" s="3" t="s">
        <v>13</v>
      </c>
      <c r="D1881" s="3" t="s">
        <v>19</v>
      </c>
      <c r="E1881" s="5" t="s">
        <v>21</v>
      </c>
      <c r="F1881" s="17">
        <v>20.12</v>
      </c>
      <c r="G1881" s="3">
        <v>2</v>
      </c>
      <c r="H1881" s="17">
        <f>Table1[[#This Row],[Unit price]]*Table1[[#This Row],[Quantity]]</f>
        <v>40.24</v>
      </c>
      <c r="I1881" s="29">
        <f>Table1[[#This Row],[Total Revenue]]/$H$5056*100</f>
        <v>4.2692928617667335E-3</v>
      </c>
      <c r="J1881" s="3" t="s">
        <v>15</v>
      </c>
      <c r="K1881" s="4">
        <v>6.1</v>
      </c>
      <c r="M1881"/>
    </row>
    <row r="1882" spans="1:13" x14ac:dyDescent="0.25">
      <c r="A1882" s="2">
        <v>45297</v>
      </c>
      <c r="B1882" s="3" t="s">
        <v>243</v>
      </c>
      <c r="C1882" s="3" t="s">
        <v>13</v>
      </c>
      <c r="D1882" s="3" t="s">
        <v>19</v>
      </c>
      <c r="E1882" s="5" t="s">
        <v>11</v>
      </c>
      <c r="F1882" s="17">
        <v>6.26</v>
      </c>
      <c r="G1882" s="3">
        <v>3</v>
      </c>
      <c r="H1882" s="17">
        <f>Table1[[#This Row],[Unit price]]*Table1[[#This Row],[Quantity]]</f>
        <v>18.78</v>
      </c>
      <c r="I1882" s="29">
        <f>Table1[[#This Row],[Total Revenue]]/$H$5056*100</f>
        <v>1.9924781298205582E-3</v>
      </c>
      <c r="J1882" s="3" t="s">
        <v>15</v>
      </c>
      <c r="K1882" s="4">
        <v>6.9</v>
      </c>
      <c r="M1882"/>
    </row>
    <row r="1883" spans="1:13" x14ac:dyDescent="0.25">
      <c r="A1883" s="2">
        <v>45297</v>
      </c>
      <c r="B1883" s="3" t="s">
        <v>243</v>
      </c>
      <c r="C1883" s="3" t="s">
        <v>13</v>
      </c>
      <c r="D1883" s="3" t="s">
        <v>10</v>
      </c>
      <c r="E1883" s="5" t="s">
        <v>11</v>
      </c>
      <c r="F1883" s="17">
        <v>2.96</v>
      </c>
      <c r="G1883" s="3">
        <v>2</v>
      </c>
      <c r="H1883" s="17">
        <f>Table1[[#This Row],[Unit price]]*Table1[[#This Row],[Quantity]]</f>
        <v>5.92</v>
      </c>
      <c r="I1883" s="29">
        <f>Table1[[#This Row],[Total Revenue]]/$H$5056*100</f>
        <v>6.2808682260584144E-4</v>
      </c>
      <c r="J1883" s="3" t="s">
        <v>17</v>
      </c>
      <c r="K1883" s="4">
        <v>8.4</v>
      </c>
      <c r="M1883"/>
    </row>
    <row r="1884" spans="1:13" x14ac:dyDescent="0.25">
      <c r="A1884" s="2">
        <v>45297</v>
      </c>
      <c r="B1884" s="3" t="s">
        <v>245</v>
      </c>
      <c r="C1884" s="3" t="s">
        <v>9</v>
      </c>
      <c r="D1884" s="3" t="s">
        <v>19</v>
      </c>
      <c r="E1884" s="5" t="s">
        <v>11</v>
      </c>
      <c r="F1884" s="17">
        <v>7.31</v>
      </c>
      <c r="G1884" s="3">
        <v>4</v>
      </c>
      <c r="H1884" s="17">
        <f>Table1[[#This Row],[Unit price]]*Table1[[#This Row],[Quantity]]</f>
        <v>29.24</v>
      </c>
      <c r="I1884" s="29">
        <f>Table1[[#This Row],[Total Revenue]]/$H$5056*100</f>
        <v>3.1022396440869601E-3</v>
      </c>
      <c r="J1884" s="3" t="s">
        <v>17</v>
      </c>
      <c r="K1884" s="4">
        <v>8</v>
      </c>
      <c r="M1884"/>
    </row>
    <row r="1885" spans="1:13" x14ac:dyDescent="0.25">
      <c r="A1885" s="2">
        <v>45297</v>
      </c>
      <c r="B1885" s="3" t="s">
        <v>245</v>
      </c>
      <c r="C1885" s="3" t="s">
        <v>9</v>
      </c>
      <c r="D1885" s="3" t="s">
        <v>10</v>
      </c>
      <c r="E1885" s="5" t="s">
        <v>11</v>
      </c>
      <c r="F1885" s="17">
        <v>7.01</v>
      </c>
      <c r="G1885" s="3">
        <v>2</v>
      </c>
      <c r="H1885" s="17">
        <f>Table1[[#This Row],[Unit price]]*Table1[[#This Row],[Quantity]]</f>
        <v>14.02</v>
      </c>
      <c r="I1885" s="29">
        <f>Table1[[#This Row],[Total Revenue]]/$H$5056*100</f>
        <v>1.4874623738064016E-3</v>
      </c>
      <c r="J1885" s="3" t="s">
        <v>12</v>
      </c>
      <c r="K1885" s="4">
        <v>7.7</v>
      </c>
      <c r="M1885"/>
    </row>
    <row r="1886" spans="1:13" x14ac:dyDescent="0.25">
      <c r="A1886" s="2">
        <v>45297</v>
      </c>
      <c r="B1886" s="3" t="s">
        <v>243</v>
      </c>
      <c r="C1886" s="3" t="s">
        <v>13</v>
      </c>
      <c r="D1886" s="3" t="s">
        <v>19</v>
      </c>
      <c r="E1886" s="5" t="s">
        <v>20</v>
      </c>
      <c r="F1886" s="17">
        <v>59.92</v>
      </c>
      <c r="G1886" s="3">
        <v>1</v>
      </c>
      <c r="H1886" s="17">
        <f>Table1[[#This Row],[Unit price]]*Table1[[#This Row],[Quantity]]</f>
        <v>59.92</v>
      </c>
      <c r="I1886" s="29">
        <f>Table1[[#This Row],[Total Revenue]]/$H$5056*100</f>
        <v>6.3572571639429094E-3</v>
      </c>
      <c r="J1886" s="3" t="s">
        <v>17</v>
      </c>
      <c r="K1886" s="4">
        <v>9.6999999999999993</v>
      </c>
      <c r="M1886"/>
    </row>
    <row r="1887" spans="1:13" x14ac:dyDescent="0.25">
      <c r="A1887" s="2">
        <v>45297</v>
      </c>
      <c r="B1887" s="3" t="s">
        <v>244</v>
      </c>
      <c r="C1887" s="3" t="s">
        <v>13</v>
      </c>
      <c r="D1887" s="3" t="s">
        <v>19</v>
      </c>
      <c r="E1887" s="5" t="s">
        <v>11</v>
      </c>
      <c r="F1887" s="17">
        <v>6.99</v>
      </c>
      <c r="G1887" s="3">
        <v>2</v>
      </c>
      <c r="H1887" s="17">
        <f>Table1[[#This Row],[Unit price]]*Table1[[#This Row],[Quantity]]</f>
        <v>13.98</v>
      </c>
      <c r="I1887" s="29">
        <f>Table1[[#This Row],[Total Revenue]]/$H$5056*100</f>
        <v>1.4832185439239299E-3</v>
      </c>
      <c r="J1887" s="3" t="s">
        <v>17</v>
      </c>
      <c r="K1887" s="4">
        <v>8.3000000000000007</v>
      </c>
      <c r="M1887"/>
    </row>
    <row r="1888" spans="1:13" x14ac:dyDescent="0.25">
      <c r="A1888" s="2">
        <v>45297</v>
      </c>
      <c r="B1888" s="3" t="s">
        <v>244</v>
      </c>
      <c r="C1888" s="3" t="s">
        <v>13</v>
      </c>
      <c r="D1888" s="3" t="s">
        <v>19</v>
      </c>
      <c r="E1888" s="5" t="s">
        <v>21</v>
      </c>
      <c r="F1888" s="17">
        <v>35.78</v>
      </c>
      <c r="G1888" s="3">
        <v>1</v>
      </c>
      <c r="H1888" s="17">
        <f>Table1[[#This Row],[Unit price]]*Table1[[#This Row],[Quantity]]</f>
        <v>35.78</v>
      </c>
      <c r="I1888" s="29">
        <f>Table1[[#This Row],[Total Revenue]]/$H$5056*100</f>
        <v>3.7961058298711164E-3</v>
      </c>
      <c r="J1888" s="3" t="s">
        <v>17</v>
      </c>
      <c r="K1888" s="4">
        <v>7.1</v>
      </c>
      <c r="M1888"/>
    </row>
    <row r="1889" spans="1:13" x14ac:dyDescent="0.25">
      <c r="A1889" s="2">
        <v>45297</v>
      </c>
      <c r="B1889" s="3" t="s">
        <v>244</v>
      </c>
      <c r="C1889" s="3" t="s">
        <v>13</v>
      </c>
      <c r="D1889" s="3" t="s">
        <v>10</v>
      </c>
      <c r="E1889" s="5" t="s">
        <v>20</v>
      </c>
      <c r="F1889" s="17">
        <v>65</v>
      </c>
      <c r="G1889" s="3">
        <v>5</v>
      </c>
      <c r="H1889" s="17">
        <f>Table1[[#This Row],[Unit price]]*Table1[[#This Row],[Quantity]]</f>
        <v>325</v>
      </c>
      <c r="I1889" s="29">
        <f>Table1[[#This Row],[Total Revenue]]/$H$5056*100</f>
        <v>3.4481117795084205E-2</v>
      </c>
      <c r="J1889" s="3" t="s">
        <v>12</v>
      </c>
      <c r="K1889" s="4">
        <v>5.0999999999999996</v>
      </c>
      <c r="M1889"/>
    </row>
    <row r="1890" spans="1:13" x14ac:dyDescent="0.25">
      <c r="A1890" s="2">
        <v>45297</v>
      </c>
      <c r="B1890" s="3" t="s">
        <v>243</v>
      </c>
      <c r="C1890" s="3" t="s">
        <v>13</v>
      </c>
      <c r="D1890" s="3" t="s">
        <v>19</v>
      </c>
      <c r="E1890" s="5" t="s">
        <v>11</v>
      </c>
      <c r="F1890" s="17">
        <v>6.25</v>
      </c>
      <c r="G1890" s="3">
        <v>3</v>
      </c>
      <c r="H1890" s="17">
        <f>Table1[[#This Row],[Unit price]]*Table1[[#This Row],[Quantity]]</f>
        <v>18.75</v>
      </c>
      <c r="I1890" s="29">
        <f>Table1[[#This Row],[Total Revenue]]/$H$5056*100</f>
        <v>1.989295257408704E-3</v>
      </c>
      <c r="J1890" s="3" t="s">
        <v>15</v>
      </c>
      <c r="K1890" s="4">
        <v>6.5</v>
      </c>
      <c r="M1890"/>
    </row>
    <row r="1891" spans="1:13" x14ac:dyDescent="0.25">
      <c r="A1891" s="2">
        <v>45297</v>
      </c>
      <c r="B1891" s="3" t="s">
        <v>244</v>
      </c>
      <c r="C1891" s="3" t="s">
        <v>13</v>
      </c>
      <c r="D1891" s="3" t="s">
        <v>10</v>
      </c>
      <c r="E1891" s="5" t="s">
        <v>11</v>
      </c>
      <c r="F1891" s="17">
        <v>3.9</v>
      </c>
      <c r="G1891" s="3">
        <v>2</v>
      </c>
      <c r="H1891" s="17">
        <f>Table1[[#This Row],[Unit price]]*Table1[[#This Row],[Quantity]]</f>
        <v>7.8</v>
      </c>
      <c r="I1891" s="29">
        <f>Table1[[#This Row],[Total Revenue]]/$H$5056*100</f>
        <v>8.2754682708202089E-4</v>
      </c>
      <c r="J1891" s="3" t="s">
        <v>15</v>
      </c>
      <c r="K1891" s="4">
        <v>7.3</v>
      </c>
      <c r="M1891"/>
    </row>
    <row r="1892" spans="1:13" x14ac:dyDescent="0.25">
      <c r="A1892" s="2">
        <v>45297</v>
      </c>
      <c r="B1892" s="3" t="s">
        <v>243</v>
      </c>
      <c r="C1892" s="3" t="s">
        <v>13</v>
      </c>
      <c r="D1892" s="3" t="s">
        <v>19</v>
      </c>
      <c r="E1892" s="5" t="s">
        <v>11</v>
      </c>
      <c r="F1892" s="17">
        <v>4.96</v>
      </c>
      <c r="G1892" s="3">
        <v>4</v>
      </c>
      <c r="H1892" s="17">
        <f>Table1[[#This Row],[Unit price]]*Table1[[#This Row],[Quantity]]</f>
        <v>19.84</v>
      </c>
      <c r="I1892" s="29">
        <f>Table1[[#This Row],[Total Revenue]]/$H$5056*100</f>
        <v>2.1049396217060635E-3</v>
      </c>
      <c r="J1892" s="3" t="s">
        <v>12</v>
      </c>
      <c r="K1892" s="4">
        <v>8.9</v>
      </c>
      <c r="M1892"/>
    </row>
    <row r="1893" spans="1:13" x14ac:dyDescent="0.25">
      <c r="A1893" s="2">
        <v>45297</v>
      </c>
      <c r="B1893" s="3" t="s">
        <v>244</v>
      </c>
      <c r="C1893" s="3" t="s">
        <v>13</v>
      </c>
      <c r="D1893" s="3" t="s">
        <v>19</v>
      </c>
      <c r="E1893" s="5" t="s">
        <v>11</v>
      </c>
      <c r="F1893" s="17">
        <v>6.63</v>
      </c>
      <c r="G1893" s="3">
        <v>4</v>
      </c>
      <c r="H1893" s="17">
        <f>Table1[[#This Row],[Unit price]]*Table1[[#This Row],[Quantity]]</f>
        <v>26.52</v>
      </c>
      <c r="I1893" s="29">
        <f>Table1[[#This Row],[Total Revenue]]/$H$5056*100</f>
        <v>2.813659212078871E-3</v>
      </c>
      <c r="J1893" s="3" t="s">
        <v>15</v>
      </c>
      <c r="K1893" s="4">
        <v>7.3</v>
      </c>
      <c r="M1893"/>
    </row>
    <row r="1894" spans="1:13" x14ac:dyDescent="0.25">
      <c r="A1894" s="2">
        <v>45297</v>
      </c>
      <c r="B1894" s="3" t="s">
        <v>244</v>
      </c>
      <c r="C1894" s="3" t="s">
        <v>13</v>
      </c>
      <c r="D1894" s="3" t="s">
        <v>19</v>
      </c>
      <c r="E1894" s="5" t="s">
        <v>11</v>
      </c>
      <c r="F1894" s="17">
        <v>5.71</v>
      </c>
      <c r="G1894" s="3">
        <v>4</v>
      </c>
      <c r="H1894" s="17">
        <f>Table1[[#This Row],[Unit price]]*Table1[[#This Row],[Quantity]]</f>
        <v>22.84</v>
      </c>
      <c r="I1894" s="29">
        <f>Table1[[#This Row],[Total Revenue]]/$H$5056*100</f>
        <v>2.4232268628914563E-3</v>
      </c>
      <c r="J1894" s="3" t="s">
        <v>17</v>
      </c>
      <c r="K1894" s="4">
        <v>6.2</v>
      </c>
      <c r="M1894"/>
    </row>
    <row r="1895" spans="1:13" x14ac:dyDescent="0.25">
      <c r="A1895" s="2">
        <v>45297</v>
      </c>
      <c r="B1895" s="3" t="s">
        <v>244</v>
      </c>
      <c r="C1895" s="3" t="s">
        <v>9</v>
      </c>
      <c r="D1895" s="3" t="s">
        <v>10</v>
      </c>
      <c r="E1895" s="5" t="s">
        <v>21</v>
      </c>
      <c r="F1895" s="17">
        <v>36.28</v>
      </c>
      <c r="G1895" s="3">
        <v>4</v>
      </c>
      <c r="H1895" s="17">
        <f>Table1[[#This Row],[Unit price]]*Table1[[#This Row],[Quantity]]</f>
        <v>145.12</v>
      </c>
      <c r="I1895" s="29">
        <f>Table1[[#This Row],[Total Revenue]]/$H$5056*100</f>
        <v>1.5396614813608062E-2</v>
      </c>
      <c r="J1895" s="3" t="s">
        <v>15</v>
      </c>
      <c r="K1895" s="4">
        <v>7.2</v>
      </c>
      <c r="M1895"/>
    </row>
    <row r="1896" spans="1:13" x14ac:dyDescent="0.25">
      <c r="A1896" s="2">
        <v>45297</v>
      </c>
      <c r="B1896" s="3" t="s">
        <v>244</v>
      </c>
      <c r="C1896" s="3" t="s">
        <v>13</v>
      </c>
      <c r="D1896" s="3" t="s">
        <v>19</v>
      </c>
      <c r="E1896" s="5" t="s">
        <v>11</v>
      </c>
      <c r="F1896" s="17">
        <v>6.42</v>
      </c>
      <c r="G1896" s="3">
        <v>3</v>
      </c>
      <c r="H1896" s="17">
        <f>Table1[[#This Row],[Unit price]]*Table1[[#This Row],[Quantity]]</f>
        <v>19.259999999999998</v>
      </c>
      <c r="I1896" s="29">
        <f>Table1[[#This Row],[Total Revenue]]/$H$5056*100</f>
        <v>2.0434040884102205E-3</v>
      </c>
      <c r="J1896" s="3" t="s">
        <v>15</v>
      </c>
      <c r="K1896" s="4">
        <v>8.6</v>
      </c>
      <c r="M1896"/>
    </row>
    <row r="1897" spans="1:13" x14ac:dyDescent="0.25">
      <c r="A1897" s="2">
        <v>45297</v>
      </c>
      <c r="B1897" s="3" t="s">
        <v>245</v>
      </c>
      <c r="C1897" s="3" t="s">
        <v>13</v>
      </c>
      <c r="D1897" s="3" t="s">
        <v>10</v>
      </c>
      <c r="E1897" s="5" t="s">
        <v>16</v>
      </c>
      <c r="F1897" s="17">
        <v>70.97</v>
      </c>
      <c r="G1897" s="3">
        <v>3</v>
      </c>
      <c r="H1897" s="17">
        <f>Table1[[#This Row],[Unit price]]*Table1[[#This Row],[Quantity]]</f>
        <v>212.91</v>
      </c>
      <c r="I1897" s="29">
        <f>Table1[[#This Row],[Total Revenue]]/$H$5056*100</f>
        <v>2.2588845506927316E-2</v>
      </c>
      <c r="J1897" s="3" t="s">
        <v>17</v>
      </c>
      <c r="K1897" s="4">
        <v>6.8</v>
      </c>
      <c r="M1897"/>
    </row>
    <row r="1898" spans="1:13" x14ac:dyDescent="0.25">
      <c r="A1898" s="2">
        <v>45297</v>
      </c>
      <c r="B1898" s="3" t="s">
        <v>244</v>
      </c>
      <c r="C1898" s="3" t="s">
        <v>13</v>
      </c>
      <c r="D1898" s="3" t="s">
        <v>10</v>
      </c>
      <c r="E1898" s="5" t="s">
        <v>11</v>
      </c>
      <c r="F1898" s="17">
        <v>5.57</v>
      </c>
      <c r="G1898" s="3">
        <v>4</v>
      </c>
      <c r="H1898" s="17">
        <f>Table1[[#This Row],[Unit price]]*Table1[[#This Row],[Quantity]]</f>
        <v>22.28</v>
      </c>
      <c r="I1898" s="29">
        <f>Table1[[#This Row],[Total Revenue]]/$H$5056*100</f>
        <v>2.3638132445368493E-3</v>
      </c>
      <c r="J1898" s="3" t="s">
        <v>17</v>
      </c>
      <c r="K1898" s="4">
        <v>8.5</v>
      </c>
      <c r="M1898"/>
    </row>
    <row r="1899" spans="1:13" x14ac:dyDescent="0.25">
      <c r="A1899" s="2">
        <v>45328</v>
      </c>
      <c r="B1899" s="3" t="s">
        <v>244</v>
      </c>
      <c r="C1899" s="3" t="s">
        <v>9</v>
      </c>
      <c r="D1899" s="3" t="s">
        <v>10</v>
      </c>
      <c r="E1899" s="5" t="s">
        <v>20</v>
      </c>
      <c r="F1899" s="17">
        <v>72.78</v>
      </c>
      <c r="G1899" s="3">
        <v>5</v>
      </c>
      <c r="H1899" s="17">
        <f>Table1[[#This Row],[Unit price]]*Table1[[#This Row],[Quantity]]</f>
        <v>363.9</v>
      </c>
      <c r="I1899" s="29">
        <f>Table1[[#This Row],[Total Revenue]]/$H$5056*100</f>
        <v>3.8608242355788122E-2</v>
      </c>
      <c r="J1899" s="3" t="s">
        <v>12</v>
      </c>
      <c r="K1899" s="4">
        <v>7.5</v>
      </c>
      <c r="M1899"/>
    </row>
    <row r="1900" spans="1:13" x14ac:dyDescent="0.25">
      <c r="A1900" s="2">
        <v>45328</v>
      </c>
      <c r="B1900" s="3" t="s">
        <v>244</v>
      </c>
      <c r="C1900" s="3" t="s">
        <v>13</v>
      </c>
      <c r="D1900" s="3" t="s">
        <v>10</v>
      </c>
      <c r="E1900" s="5" t="s">
        <v>16</v>
      </c>
      <c r="F1900" s="17">
        <v>50.67</v>
      </c>
      <c r="G1900" s="3">
        <v>2</v>
      </c>
      <c r="H1900" s="17">
        <f>Table1[[#This Row],[Unit price]]*Table1[[#This Row],[Quantity]]</f>
        <v>101.34</v>
      </c>
      <c r="I1900" s="29">
        <f>Table1[[#This Row],[Total Revenue]]/$H$5056*100</f>
        <v>1.0751743007242565E-2</v>
      </c>
      <c r="J1900" s="3" t="s">
        <v>12</v>
      </c>
      <c r="K1900" s="4">
        <v>5.8</v>
      </c>
      <c r="M1900"/>
    </row>
    <row r="1901" spans="1:13" x14ac:dyDescent="0.25">
      <c r="A1901" s="2">
        <v>45328</v>
      </c>
      <c r="B1901" s="3" t="s">
        <v>244</v>
      </c>
      <c r="C1901" s="3" t="s">
        <v>9</v>
      </c>
      <c r="D1901" s="3" t="s">
        <v>19</v>
      </c>
      <c r="E1901" s="5" t="s">
        <v>11</v>
      </c>
      <c r="F1901" s="17">
        <v>3.43</v>
      </c>
      <c r="G1901" s="3">
        <v>4</v>
      </c>
      <c r="H1901" s="17">
        <f>Table1[[#This Row],[Unit price]]*Table1[[#This Row],[Quantity]]</f>
        <v>13.72</v>
      </c>
      <c r="I1901" s="29">
        <f>Table1[[#This Row],[Total Revenue]]/$H$5056*100</f>
        <v>1.4556336496878625E-3</v>
      </c>
      <c r="J1901" s="3" t="s">
        <v>15</v>
      </c>
      <c r="K1901" s="4">
        <v>6.1</v>
      </c>
      <c r="M1901"/>
    </row>
    <row r="1902" spans="1:13" x14ac:dyDescent="0.25">
      <c r="A1902" s="2">
        <v>45328</v>
      </c>
      <c r="B1902" s="3" t="s">
        <v>245</v>
      </c>
      <c r="C1902" s="3" t="s">
        <v>13</v>
      </c>
      <c r="D1902" s="3" t="s">
        <v>10</v>
      </c>
      <c r="E1902" s="5" t="s">
        <v>21</v>
      </c>
      <c r="F1902" s="17">
        <v>17.29</v>
      </c>
      <c r="G1902" s="3">
        <v>3</v>
      </c>
      <c r="H1902" s="17">
        <f>Table1[[#This Row],[Unit price]]*Table1[[#This Row],[Quantity]]</f>
        <v>51.87</v>
      </c>
      <c r="I1902" s="29">
        <f>Table1[[#This Row],[Total Revenue]]/$H$5056*100</f>
        <v>5.5031864000954387E-3</v>
      </c>
      <c r="J1902" s="3" t="s">
        <v>15</v>
      </c>
      <c r="K1902" s="4">
        <v>9.1</v>
      </c>
      <c r="M1902"/>
    </row>
    <row r="1903" spans="1:13" x14ac:dyDescent="0.25">
      <c r="A1903" s="2">
        <v>45328</v>
      </c>
      <c r="B1903" s="3" t="s">
        <v>243</v>
      </c>
      <c r="C1903" s="3" t="s">
        <v>9</v>
      </c>
      <c r="D1903" s="3" t="s">
        <v>19</v>
      </c>
      <c r="E1903" s="5" t="s">
        <v>21</v>
      </c>
      <c r="F1903" s="17">
        <v>32.200000000000003</v>
      </c>
      <c r="G1903" s="3">
        <v>1</v>
      </c>
      <c r="H1903" s="17">
        <f>Table1[[#This Row],[Unit price]]*Table1[[#This Row],[Quantity]]</f>
        <v>32.200000000000003</v>
      </c>
      <c r="I1903" s="29">
        <f>Table1[[#This Row],[Total Revenue]]/$H$5056*100</f>
        <v>3.4162830553898819E-3</v>
      </c>
      <c r="J1903" s="3" t="s">
        <v>17</v>
      </c>
      <c r="K1903" s="4">
        <v>9.3000000000000007</v>
      </c>
      <c r="M1903"/>
    </row>
    <row r="1904" spans="1:13" x14ac:dyDescent="0.25">
      <c r="A1904" s="2">
        <v>45328</v>
      </c>
      <c r="B1904" s="3" t="s">
        <v>244</v>
      </c>
      <c r="C1904" s="3" t="s">
        <v>13</v>
      </c>
      <c r="D1904" s="3" t="s">
        <v>19</v>
      </c>
      <c r="E1904" s="5" t="s">
        <v>20</v>
      </c>
      <c r="F1904" s="17">
        <v>64.239999999999995</v>
      </c>
      <c r="G1904" s="3">
        <v>4</v>
      </c>
      <c r="H1904" s="17">
        <f>Table1[[#This Row],[Unit price]]*Table1[[#This Row],[Quantity]]</f>
        <v>256.95999999999998</v>
      </c>
      <c r="I1904" s="29">
        <f>Table1[[#This Row],[Total Revenue]]/$H$5056*100</f>
        <v>2.7262363164999501E-2</v>
      </c>
      <c r="J1904" s="3" t="s">
        <v>17</v>
      </c>
      <c r="K1904" s="4">
        <v>6.1</v>
      </c>
      <c r="M1904"/>
    </row>
    <row r="1905" spans="1:13" x14ac:dyDescent="0.25">
      <c r="A1905" s="2">
        <v>45328</v>
      </c>
      <c r="B1905" s="3" t="s">
        <v>243</v>
      </c>
      <c r="C1905" s="3" t="s">
        <v>13</v>
      </c>
      <c r="D1905" s="3" t="s">
        <v>10</v>
      </c>
      <c r="E1905" s="5" t="s">
        <v>14</v>
      </c>
      <c r="F1905" s="17">
        <v>81.489999999999995</v>
      </c>
      <c r="G1905" s="3">
        <v>1</v>
      </c>
      <c r="H1905" s="17">
        <f>Table1[[#This Row],[Unit price]]*Table1[[#This Row],[Quantity]]</f>
        <v>81.489999999999995</v>
      </c>
      <c r="I1905" s="29">
        <f>Table1[[#This Row],[Total Revenue]]/$H$5056*100</f>
        <v>8.6457424280658828E-3</v>
      </c>
      <c r="J1905" s="3" t="s">
        <v>17</v>
      </c>
      <c r="K1905" s="4">
        <v>6.1</v>
      </c>
      <c r="M1905"/>
    </row>
    <row r="1906" spans="1:13" x14ac:dyDescent="0.25">
      <c r="A1906" s="2">
        <v>45328</v>
      </c>
      <c r="B1906" s="3" t="s">
        <v>243</v>
      </c>
      <c r="C1906" s="3" t="s">
        <v>13</v>
      </c>
      <c r="D1906" s="3" t="s">
        <v>19</v>
      </c>
      <c r="E1906" s="5" t="s">
        <v>11</v>
      </c>
      <c r="F1906" s="17">
        <v>6.6</v>
      </c>
      <c r="G1906" s="3">
        <v>2</v>
      </c>
      <c r="H1906" s="17">
        <f>Table1[[#This Row],[Unit price]]*Table1[[#This Row],[Quantity]]</f>
        <v>13.2</v>
      </c>
      <c r="I1906" s="29">
        <f>Table1[[#This Row],[Total Revenue]]/$H$5056*100</f>
        <v>1.4004638612157277E-3</v>
      </c>
      <c r="J1906" s="3" t="s">
        <v>12</v>
      </c>
      <c r="K1906" s="4">
        <v>8.6</v>
      </c>
      <c r="M1906"/>
    </row>
    <row r="1907" spans="1:13" x14ac:dyDescent="0.25">
      <c r="A1907" s="2">
        <v>45328</v>
      </c>
      <c r="B1907" s="3" t="s">
        <v>243</v>
      </c>
      <c r="C1907" s="3" t="s">
        <v>13</v>
      </c>
      <c r="D1907" s="3" t="s">
        <v>10</v>
      </c>
      <c r="E1907" s="5" t="s">
        <v>11</v>
      </c>
      <c r="F1907" s="17">
        <v>5.68</v>
      </c>
      <c r="G1907" s="3">
        <v>3</v>
      </c>
      <c r="H1907" s="17">
        <f>Table1[[#This Row],[Unit price]]*Table1[[#This Row],[Quantity]]</f>
        <v>17.04</v>
      </c>
      <c r="I1907" s="29">
        <f>Table1[[#This Row],[Total Revenue]]/$H$5056*100</f>
        <v>1.8078715299330301E-3</v>
      </c>
      <c r="J1907" s="3" t="s">
        <v>17</v>
      </c>
      <c r="K1907" s="4">
        <v>8.6</v>
      </c>
      <c r="M1907"/>
    </row>
    <row r="1908" spans="1:13" x14ac:dyDescent="0.25">
      <c r="A1908" s="2">
        <v>45328</v>
      </c>
      <c r="B1908" s="3" t="s">
        <v>244</v>
      </c>
      <c r="C1908" s="3" t="s">
        <v>13</v>
      </c>
      <c r="D1908" s="3" t="s">
        <v>10</v>
      </c>
      <c r="E1908" s="5" t="s">
        <v>20</v>
      </c>
      <c r="F1908" s="17">
        <v>49.05</v>
      </c>
      <c r="G1908" s="3">
        <v>4</v>
      </c>
      <c r="H1908" s="17">
        <f>Table1[[#This Row],[Unit price]]*Table1[[#This Row],[Quantity]]</f>
        <v>196.2</v>
      </c>
      <c r="I1908" s="29">
        <f>Table1[[#This Row],[Total Revenue]]/$H$5056*100</f>
        <v>2.0815985573524678E-2</v>
      </c>
      <c r="J1908" s="3" t="s">
        <v>12</v>
      </c>
      <c r="K1908" s="4">
        <v>5.0999999999999996</v>
      </c>
      <c r="M1908"/>
    </row>
    <row r="1909" spans="1:13" x14ac:dyDescent="0.25">
      <c r="A1909" s="2">
        <v>45328</v>
      </c>
      <c r="B1909" s="3" t="s">
        <v>244</v>
      </c>
      <c r="C1909" s="3" t="s">
        <v>13</v>
      </c>
      <c r="D1909" s="3" t="s">
        <v>19</v>
      </c>
      <c r="E1909" s="5" t="s">
        <v>11</v>
      </c>
      <c r="F1909" s="17">
        <v>3.87</v>
      </c>
      <c r="G1909" s="3">
        <v>2</v>
      </c>
      <c r="H1909" s="17">
        <f>Table1[[#This Row],[Unit price]]*Table1[[#This Row],[Quantity]]</f>
        <v>7.74</v>
      </c>
      <c r="I1909" s="29">
        <f>Table1[[#This Row],[Total Revenue]]/$H$5056*100</f>
        <v>8.2118108225831305E-4</v>
      </c>
      <c r="J1909" s="3" t="s">
        <v>17</v>
      </c>
      <c r="K1909" s="4">
        <v>5.5</v>
      </c>
      <c r="M1909"/>
    </row>
    <row r="1910" spans="1:13" x14ac:dyDescent="0.25">
      <c r="A1910" s="2">
        <v>45328</v>
      </c>
      <c r="B1910" s="3" t="s">
        <v>245</v>
      </c>
      <c r="C1910" s="3" t="s">
        <v>9</v>
      </c>
      <c r="D1910" s="3" t="s">
        <v>10</v>
      </c>
      <c r="E1910" s="5" t="s">
        <v>11</v>
      </c>
      <c r="F1910" s="17">
        <v>3.85</v>
      </c>
      <c r="G1910" s="3">
        <v>1</v>
      </c>
      <c r="H1910" s="17">
        <f>Table1[[#This Row],[Unit price]]*Table1[[#This Row],[Quantity]]</f>
        <v>3.85</v>
      </c>
      <c r="I1910" s="29">
        <f>Table1[[#This Row],[Total Revenue]]/$H$5056*100</f>
        <v>4.0846862618792057E-4</v>
      </c>
      <c r="J1910" s="3" t="s">
        <v>15</v>
      </c>
      <c r="K1910" s="4">
        <v>8.6999999999999993</v>
      </c>
      <c r="M1910"/>
    </row>
    <row r="1911" spans="1:13" x14ac:dyDescent="0.25">
      <c r="A1911" s="2">
        <v>45328</v>
      </c>
      <c r="B1911" s="3" t="s">
        <v>244</v>
      </c>
      <c r="C1911" s="3" t="s">
        <v>9</v>
      </c>
      <c r="D1911" s="3" t="s">
        <v>19</v>
      </c>
      <c r="E1911" s="5" t="s">
        <v>21</v>
      </c>
      <c r="F1911" s="17">
        <v>36.81</v>
      </c>
      <c r="G1911" s="3">
        <v>3</v>
      </c>
      <c r="H1911" s="17">
        <f>Table1[[#This Row],[Unit price]]*Table1[[#This Row],[Quantity]]</f>
        <v>110.43</v>
      </c>
      <c r="I1911" s="29">
        <f>Table1[[#This Row],[Total Revenue]]/$H$5056*100</f>
        <v>1.1716153348034304E-2</v>
      </c>
      <c r="J1911" s="3" t="s">
        <v>12</v>
      </c>
      <c r="K1911" s="4">
        <v>9.8000000000000007</v>
      </c>
      <c r="M1911"/>
    </row>
    <row r="1912" spans="1:13" x14ac:dyDescent="0.25">
      <c r="A1912" s="2">
        <v>45328</v>
      </c>
      <c r="B1912" s="3" t="s">
        <v>244</v>
      </c>
      <c r="C1912" s="3" t="s">
        <v>9</v>
      </c>
      <c r="D1912" s="3" t="s">
        <v>10</v>
      </c>
      <c r="E1912" s="5" t="s">
        <v>16</v>
      </c>
      <c r="F1912" s="17">
        <v>56.8</v>
      </c>
      <c r="G1912" s="3">
        <v>1</v>
      </c>
      <c r="H1912" s="17">
        <f>Table1[[#This Row],[Unit price]]*Table1[[#This Row],[Quantity]]</f>
        <v>56.8</v>
      </c>
      <c r="I1912" s="29">
        <f>Table1[[#This Row],[Total Revenue]]/$H$5056*100</f>
        <v>6.0262384331101005E-3</v>
      </c>
      <c r="J1912" s="3" t="s">
        <v>17</v>
      </c>
      <c r="K1912" s="4">
        <v>7.4</v>
      </c>
      <c r="M1912"/>
    </row>
    <row r="1913" spans="1:13" x14ac:dyDescent="0.25">
      <c r="A1913" s="2">
        <v>45328</v>
      </c>
      <c r="B1913" s="3" t="s">
        <v>244</v>
      </c>
      <c r="C1913" s="3" t="s">
        <v>13</v>
      </c>
      <c r="D1913" s="3" t="s">
        <v>19</v>
      </c>
      <c r="E1913" s="5" t="s">
        <v>21</v>
      </c>
      <c r="F1913" s="17">
        <v>37.64</v>
      </c>
      <c r="G1913" s="3">
        <v>4</v>
      </c>
      <c r="H1913" s="17">
        <f>Table1[[#This Row],[Unit price]]*Table1[[#This Row],[Quantity]]</f>
        <v>150.56</v>
      </c>
      <c r="I1913" s="29">
        <f>Table1[[#This Row],[Total Revenue]]/$H$5056*100</f>
        <v>1.5973775677624241E-2</v>
      </c>
      <c r="J1913" s="3" t="s">
        <v>12</v>
      </c>
      <c r="K1913" s="4">
        <v>7.3</v>
      </c>
      <c r="M1913"/>
    </row>
    <row r="1914" spans="1:13" x14ac:dyDescent="0.25">
      <c r="A1914" s="2">
        <v>45328</v>
      </c>
      <c r="B1914" s="3" t="s">
        <v>243</v>
      </c>
      <c r="C1914" s="3" t="s">
        <v>9</v>
      </c>
      <c r="D1914" s="3" t="s">
        <v>10</v>
      </c>
      <c r="E1914" s="5" t="s">
        <v>11</v>
      </c>
      <c r="F1914" s="17">
        <v>5.26</v>
      </c>
      <c r="G1914" s="3">
        <v>1</v>
      </c>
      <c r="H1914" s="17">
        <f>Table1[[#This Row],[Unit price]]*Table1[[#This Row],[Quantity]]</f>
        <v>5.26</v>
      </c>
      <c r="I1914" s="29">
        <f>Table1[[#This Row],[Total Revenue]]/$H$5056*100</f>
        <v>5.5806362954505511E-4</v>
      </c>
      <c r="J1914" s="3" t="s">
        <v>15</v>
      </c>
      <c r="K1914" s="4">
        <v>7.2</v>
      </c>
      <c r="M1914"/>
    </row>
    <row r="1915" spans="1:13" x14ac:dyDescent="0.25">
      <c r="A1915" s="2">
        <v>45328</v>
      </c>
      <c r="B1915" s="3" t="s">
        <v>244</v>
      </c>
      <c r="C1915" s="3" t="s">
        <v>13</v>
      </c>
      <c r="D1915" s="3" t="s">
        <v>19</v>
      </c>
      <c r="E1915" s="5" t="s">
        <v>20</v>
      </c>
      <c r="F1915" s="17">
        <v>54.57</v>
      </c>
      <c r="G1915" s="3">
        <v>2</v>
      </c>
      <c r="H1915" s="17">
        <f>Table1[[#This Row],[Unit price]]*Table1[[#This Row],[Quantity]]</f>
        <v>109.14</v>
      </c>
      <c r="I1915" s="29">
        <f>Table1[[#This Row],[Total Revenue]]/$H$5056*100</f>
        <v>1.1579289834324585E-2</v>
      </c>
      <c r="J1915" s="3" t="s">
        <v>12</v>
      </c>
      <c r="K1915" s="4">
        <v>5</v>
      </c>
      <c r="M1915"/>
    </row>
    <row r="1916" spans="1:13" x14ac:dyDescent="0.25">
      <c r="A1916" s="2">
        <v>45328</v>
      </c>
      <c r="B1916" s="3" t="s">
        <v>245</v>
      </c>
      <c r="C1916" s="3" t="s">
        <v>13</v>
      </c>
      <c r="D1916" s="3" t="s">
        <v>10</v>
      </c>
      <c r="E1916" s="5" t="s">
        <v>11</v>
      </c>
      <c r="F1916" s="17">
        <v>2.4700000000000002</v>
      </c>
      <c r="G1916" s="3">
        <v>3</v>
      </c>
      <c r="H1916" s="17">
        <f>Table1[[#This Row],[Unit price]]*Table1[[#This Row],[Quantity]]</f>
        <v>7.41</v>
      </c>
      <c r="I1916" s="29">
        <f>Table1[[#This Row],[Total Revenue]]/$H$5056*100</f>
        <v>7.8616948572791977E-4</v>
      </c>
      <c r="J1916" s="3" t="s">
        <v>17</v>
      </c>
      <c r="K1916" s="4">
        <v>7.1</v>
      </c>
      <c r="M1916"/>
    </row>
    <row r="1917" spans="1:13" x14ac:dyDescent="0.25">
      <c r="A1917" s="2">
        <v>45328</v>
      </c>
      <c r="B1917" s="3" t="s">
        <v>244</v>
      </c>
      <c r="C1917" s="3" t="s">
        <v>13</v>
      </c>
      <c r="D1917" s="3" t="s">
        <v>19</v>
      </c>
      <c r="E1917" s="5" t="s">
        <v>11</v>
      </c>
      <c r="F1917" s="17">
        <v>4.59</v>
      </c>
      <c r="G1917" s="3">
        <v>1</v>
      </c>
      <c r="H1917" s="17">
        <f>Table1[[#This Row],[Unit price]]*Table1[[#This Row],[Quantity]]</f>
        <v>4.59</v>
      </c>
      <c r="I1917" s="29">
        <f>Table1[[#This Row],[Total Revenue]]/$H$5056*100</f>
        <v>4.8697947901365075E-4</v>
      </c>
      <c r="J1917" s="3" t="s">
        <v>17</v>
      </c>
      <c r="K1917" s="4">
        <v>7.4</v>
      </c>
      <c r="M1917"/>
    </row>
    <row r="1918" spans="1:13" x14ac:dyDescent="0.25">
      <c r="A1918" s="2">
        <v>45328</v>
      </c>
      <c r="B1918" s="3" t="s">
        <v>244</v>
      </c>
      <c r="C1918" s="3" t="s">
        <v>13</v>
      </c>
      <c r="D1918" s="3" t="s">
        <v>10</v>
      </c>
      <c r="E1918" s="5" t="s">
        <v>21</v>
      </c>
      <c r="F1918" s="17">
        <v>31.16</v>
      </c>
      <c r="G1918" s="3">
        <v>3</v>
      </c>
      <c r="H1918" s="17">
        <f>Table1[[#This Row],[Unit price]]*Table1[[#This Row],[Quantity]]</f>
        <v>93.48</v>
      </c>
      <c r="I1918" s="29">
        <f>Table1[[#This Row],[Total Revenue]]/$H$5056*100</f>
        <v>9.917830435336835E-3</v>
      </c>
      <c r="J1918" s="3" t="s">
        <v>15</v>
      </c>
      <c r="K1918" s="4">
        <v>7.7</v>
      </c>
      <c r="M1918"/>
    </row>
    <row r="1919" spans="1:13" x14ac:dyDescent="0.25">
      <c r="A1919" s="2">
        <v>45328</v>
      </c>
      <c r="B1919" s="3" t="s">
        <v>244</v>
      </c>
      <c r="C1919" s="3" t="s">
        <v>9</v>
      </c>
      <c r="D1919" s="3" t="s">
        <v>10</v>
      </c>
      <c r="E1919" s="5" t="s">
        <v>21</v>
      </c>
      <c r="F1919" s="17">
        <v>25.9</v>
      </c>
      <c r="G1919" s="3">
        <v>4</v>
      </c>
      <c r="H1919" s="17">
        <f>Table1[[#This Row],[Unit price]]*Table1[[#This Row],[Quantity]]</f>
        <v>103.6</v>
      </c>
      <c r="I1919" s="29">
        <f>Table1[[#This Row],[Total Revenue]]/$H$5056*100</f>
        <v>1.0991519395602226E-2</v>
      </c>
      <c r="J1919" s="3" t="s">
        <v>12</v>
      </c>
      <c r="K1919" s="4">
        <v>8.1999999999999993</v>
      </c>
      <c r="M1919"/>
    </row>
    <row r="1920" spans="1:13" x14ac:dyDescent="0.25">
      <c r="A1920" s="2">
        <v>45328</v>
      </c>
      <c r="B1920" s="3" t="s">
        <v>243</v>
      </c>
      <c r="C1920" s="3" t="s">
        <v>9</v>
      </c>
      <c r="D1920" s="3" t="s">
        <v>19</v>
      </c>
      <c r="E1920" s="5" t="s">
        <v>21</v>
      </c>
      <c r="F1920" s="17">
        <v>26.84</v>
      </c>
      <c r="G1920" s="3">
        <v>1</v>
      </c>
      <c r="H1920" s="17">
        <f>Table1[[#This Row],[Unit price]]*Table1[[#This Row],[Quantity]]</f>
        <v>26.84</v>
      </c>
      <c r="I1920" s="29">
        <f>Table1[[#This Row],[Total Revenue]]/$H$5056*100</f>
        <v>2.8476098511386462E-3</v>
      </c>
      <c r="J1920" s="3" t="s">
        <v>17</v>
      </c>
      <c r="K1920" s="4">
        <v>6</v>
      </c>
      <c r="M1920"/>
    </row>
    <row r="1921" spans="1:13" x14ac:dyDescent="0.25">
      <c r="A1921" s="2">
        <v>45328</v>
      </c>
      <c r="B1921" s="3" t="s">
        <v>244</v>
      </c>
      <c r="C1921" s="3" t="s">
        <v>13</v>
      </c>
      <c r="D1921" s="3" t="s">
        <v>10</v>
      </c>
      <c r="E1921" s="5" t="s">
        <v>20</v>
      </c>
      <c r="F1921" s="17">
        <v>68.05</v>
      </c>
      <c r="G1921" s="3">
        <v>5</v>
      </c>
      <c r="H1921" s="17">
        <f>Table1[[#This Row],[Unit price]]*Table1[[#This Row],[Quantity]]</f>
        <v>340.25</v>
      </c>
      <c r="I1921" s="29">
        <f>Table1[[#This Row],[Total Revenue]]/$H$5056*100</f>
        <v>3.6099077937776614E-2</v>
      </c>
      <c r="J1921" s="3" t="s">
        <v>17</v>
      </c>
      <c r="K1921" s="4">
        <v>8.1</v>
      </c>
      <c r="M1921"/>
    </row>
    <row r="1922" spans="1:13" x14ac:dyDescent="0.25">
      <c r="A1922" s="2">
        <v>45357</v>
      </c>
      <c r="B1922" s="3" t="s">
        <v>245</v>
      </c>
      <c r="C1922" s="3" t="s">
        <v>13</v>
      </c>
      <c r="D1922" s="3" t="s">
        <v>10</v>
      </c>
      <c r="E1922" s="5" t="s">
        <v>20</v>
      </c>
      <c r="F1922" s="17">
        <v>59.45</v>
      </c>
      <c r="G1922" s="3">
        <v>2</v>
      </c>
      <c r="H1922" s="17">
        <f>Table1[[#This Row],[Unit price]]*Table1[[#This Row],[Quantity]]</f>
        <v>118.9</v>
      </c>
      <c r="I1922" s="29">
        <f>Table1[[#This Row],[Total Revenue]]/$H$5056*100</f>
        <v>1.261478432564773E-2</v>
      </c>
      <c r="J1922" s="3" t="s">
        <v>17</v>
      </c>
      <c r="K1922" s="4">
        <v>8.3000000000000007</v>
      </c>
      <c r="M1922"/>
    </row>
    <row r="1923" spans="1:13" x14ac:dyDescent="0.25">
      <c r="A1923" s="2">
        <v>45357</v>
      </c>
      <c r="B1923" s="3" t="s">
        <v>243</v>
      </c>
      <c r="C1923" s="3" t="s">
        <v>13</v>
      </c>
      <c r="D1923" s="3" t="s">
        <v>19</v>
      </c>
      <c r="E1923" s="5" t="s">
        <v>18</v>
      </c>
      <c r="F1923" s="17">
        <v>12.5</v>
      </c>
      <c r="G1923" s="3">
        <v>1</v>
      </c>
      <c r="H1923" s="17">
        <f>Table1[[#This Row],[Unit price]]*Table1[[#This Row],[Quantity]]</f>
        <v>12.5</v>
      </c>
      <c r="I1923" s="29">
        <f>Table1[[#This Row],[Total Revenue]]/$H$5056*100</f>
        <v>1.3261968382724694E-3</v>
      </c>
      <c r="J1923" s="3" t="s">
        <v>17</v>
      </c>
      <c r="K1923" s="4">
        <v>7.3</v>
      </c>
      <c r="M1923"/>
    </row>
    <row r="1924" spans="1:13" x14ac:dyDescent="0.25">
      <c r="A1924" s="2">
        <v>45357</v>
      </c>
      <c r="B1924" s="3" t="s">
        <v>245</v>
      </c>
      <c r="C1924" s="3" t="s">
        <v>9</v>
      </c>
      <c r="D1924" s="3" t="s">
        <v>19</v>
      </c>
      <c r="E1924" s="5" t="s">
        <v>11</v>
      </c>
      <c r="F1924" s="17">
        <v>5.78</v>
      </c>
      <c r="G1924" s="3">
        <v>2</v>
      </c>
      <c r="H1924" s="17">
        <f>Table1[[#This Row],[Unit price]]*Table1[[#This Row],[Quantity]]</f>
        <v>11.56</v>
      </c>
      <c r="I1924" s="29">
        <f>Table1[[#This Row],[Total Revenue]]/$H$5056*100</f>
        <v>1.2264668360343798E-3</v>
      </c>
      <c r="J1924" s="3" t="s">
        <v>17</v>
      </c>
      <c r="K1924" s="4">
        <v>7.3</v>
      </c>
      <c r="M1924"/>
    </row>
    <row r="1925" spans="1:13" x14ac:dyDescent="0.25">
      <c r="A1925" s="2">
        <v>45357</v>
      </c>
      <c r="B1925" s="3" t="s">
        <v>244</v>
      </c>
      <c r="C1925" s="3" t="s">
        <v>13</v>
      </c>
      <c r="D1925" s="3" t="s">
        <v>10</v>
      </c>
      <c r="E1925" s="5" t="s">
        <v>11</v>
      </c>
      <c r="F1925" s="17">
        <v>5.19</v>
      </c>
      <c r="G1925" s="3">
        <v>6</v>
      </c>
      <c r="H1925" s="17">
        <f>Table1[[#This Row],[Unit price]]*Table1[[#This Row],[Quantity]]</f>
        <v>31.14</v>
      </c>
      <c r="I1925" s="29">
        <f>Table1[[#This Row],[Total Revenue]]/$H$5056*100</f>
        <v>3.3038215635043762E-3</v>
      </c>
      <c r="J1925" s="3" t="s">
        <v>15</v>
      </c>
      <c r="K1925" s="4">
        <v>9.8000000000000007</v>
      </c>
      <c r="M1925"/>
    </row>
    <row r="1926" spans="1:13" x14ac:dyDescent="0.25">
      <c r="A1926" s="2">
        <v>45357</v>
      </c>
      <c r="B1926" s="3" t="s">
        <v>243</v>
      </c>
      <c r="C1926" s="3" t="s">
        <v>13</v>
      </c>
      <c r="D1926" s="3" t="s">
        <v>19</v>
      </c>
      <c r="E1926" s="5" t="s">
        <v>21</v>
      </c>
      <c r="F1926" s="17">
        <v>21.16</v>
      </c>
      <c r="G1926" s="3">
        <v>3</v>
      </c>
      <c r="H1926" s="17">
        <f>Table1[[#This Row],[Unit price]]*Table1[[#This Row],[Quantity]]</f>
        <v>63.480000000000004</v>
      </c>
      <c r="I1926" s="29">
        <f>Table1[[#This Row],[Total Revenue]]/$H$5056*100</f>
        <v>6.7349580234829093E-3</v>
      </c>
      <c r="J1926" s="3" t="s">
        <v>12</v>
      </c>
      <c r="K1926" s="4">
        <v>6</v>
      </c>
      <c r="M1926"/>
    </row>
    <row r="1927" spans="1:13" x14ac:dyDescent="0.25">
      <c r="A1927" s="2">
        <v>45357</v>
      </c>
      <c r="B1927" s="3" t="s">
        <v>245</v>
      </c>
      <c r="C1927" s="3" t="s">
        <v>9</v>
      </c>
      <c r="D1927" s="3" t="s">
        <v>10</v>
      </c>
      <c r="E1927" s="5" t="s">
        <v>11</v>
      </c>
      <c r="F1927" s="17">
        <v>4.0599999999999996</v>
      </c>
      <c r="G1927" s="3">
        <v>4</v>
      </c>
      <c r="H1927" s="17">
        <f>Table1[[#This Row],[Unit price]]*Table1[[#This Row],[Quantity]]</f>
        <v>16.239999999999998</v>
      </c>
      <c r="I1927" s="29">
        <f>Table1[[#This Row],[Total Revenue]]/$H$5056*100</f>
        <v>1.7229949322835922E-3</v>
      </c>
      <c r="J1927" s="3" t="s">
        <v>15</v>
      </c>
      <c r="K1927" s="4">
        <v>7.5</v>
      </c>
      <c r="M1927"/>
    </row>
    <row r="1928" spans="1:13" x14ac:dyDescent="0.25">
      <c r="A1928" s="2">
        <v>45357</v>
      </c>
      <c r="B1928" s="3" t="s">
        <v>245</v>
      </c>
      <c r="C1928" s="3" t="s">
        <v>13</v>
      </c>
      <c r="D1928" s="3" t="s">
        <v>19</v>
      </c>
      <c r="E1928" s="5" t="s">
        <v>21</v>
      </c>
      <c r="F1928" s="17">
        <v>23.59</v>
      </c>
      <c r="G1928" s="3">
        <v>3</v>
      </c>
      <c r="H1928" s="17">
        <f>Table1[[#This Row],[Unit price]]*Table1[[#This Row],[Quantity]]</f>
        <v>70.77</v>
      </c>
      <c r="I1928" s="29">
        <f>Table1[[#This Row],[Total Revenue]]/$H$5056*100</f>
        <v>7.508396019563413E-3</v>
      </c>
      <c r="J1928" s="3" t="s">
        <v>12</v>
      </c>
      <c r="K1928" s="4">
        <v>7.8</v>
      </c>
      <c r="M1928"/>
    </row>
    <row r="1929" spans="1:13" x14ac:dyDescent="0.25">
      <c r="A1929" s="2">
        <v>45357</v>
      </c>
      <c r="B1929" s="3" t="s">
        <v>245</v>
      </c>
      <c r="C1929" s="3" t="s">
        <v>13</v>
      </c>
      <c r="D1929" s="3" t="s">
        <v>10</v>
      </c>
      <c r="E1929" s="5" t="s">
        <v>11</v>
      </c>
      <c r="F1929" s="17">
        <v>4.83</v>
      </c>
      <c r="G1929" s="3">
        <v>2</v>
      </c>
      <c r="H1929" s="17">
        <f>Table1[[#This Row],[Unit price]]*Table1[[#This Row],[Quantity]]</f>
        <v>9.66</v>
      </c>
      <c r="I1929" s="29">
        <f>Table1[[#This Row],[Total Revenue]]/$H$5056*100</f>
        <v>1.0248849166169644E-3</v>
      </c>
      <c r="J1929" s="3" t="s">
        <v>17</v>
      </c>
      <c r="K1929" s="4">
        <v>7</v>
      </c>
      <c r="M1929"/>
    </row>
    <row r="1930" spans="1:13" x14ac:dyDescent="0.25">
      <c r="A1930" s="2">
        <v>45357</v>
      </c>
      <c r="B1930" s="3" t="s">
        <v>245</v>
      </c>
      <c r="C1930" s="3" t="s">
        <v>13</v>
      </c>
      <c r="D1930" s="3" t="s">
        <v>10</v>
      </c>
      <c r="E1930" s="5" t="s">
        <v>11</v>
      </c>
      <c r="F1930" s="17">
        <v>4.6900000000000004</v>
      </c>
      <c r="G1930" s="3">
        <v>2</v>
      </c>
      <c r="H1930" s="17">
        <f>Table1[[#This Row],[Unit price]]*Table1[[#This Row],[Quantity]]</f>
        <v>9.3800000000000008</v>
      </c>
      <c r="I1930" s="29">
        <f>Table1[[#This Row],[Total Revenue]]/$H$5056*100</f>
        <v>9.9517810743966111E-4</v>
      </c>
      <c r="J1930" s="3" t="s">
        <v>12</v>
      </c>
      <c r="K1930" s="4">
        <v>8.1</v>
      </c>
      <c r="M1930"/>
    </row>
    <row r="1931" spans="1:13" x14ac:dyDescent="0.25">
      <c r="A1931" s="2">
        <v>45357</v>
      </c>
      <c r="B1931" s="3" t="s">
        <v>243</v>
      </c>
      <c r="C1931" s="3" t="s">
        <v>13</v>
      </c>
      <c r="D1931" s="3" t="s">
        <v>10</v>
      </c>
      <c r="E1931" s="5" t="s">
        <v>20</v>
      </c>
      <c r="F1931" s="17">
        <v>54.42</v>
      </c>
      <c r="G1931" s="3">
        <v>1</v>
      </c>
      <c r="H1931" s="17">
        <f>Table1[[#This Row],[Unit price]]*Table1[[#This Row],[Quantity]]</f>
        <v>54.42</v>
      </c>
      <c r="I1931" s="29">
        <f>Table1[[#This Row],[Total Revenue]]/$H$5056*100</f>
        <v>5.7737305551030229E-3</v>
      </c>
      <c r="J1931" s="3" t="s">
        <v>15</v>
      </c>
      <c r="K1931" s="4">
        <v>5.6</v>
      </c>
      <c r="M1931"/>
    </row>
    <row r="1932" spans="1:13" x14ac:dyDescent="0.25">
      <c r="A1932" s="2">
        <v>45357</v>
      </c>
      <c r="B1932" s="3" t="s">
        <v>245</v>
      </c>
      <c r="C1932" s="3" t="s">
        <v>9</v>
      </c>
      <c r="D1932" s="3" t="s">
        <v>10</v>
      </c>
      <c r="E1932" s="5" t="s">
        <v>21</v>
      </c>
      <c r="F1932" s="17">
        <v>33.36</v>
      </c>
      <c r="G1932" s="3">
        <v>3</v>
      </c>
      <c r="H1932" s="17">
        <f>Table1[[#This Row],[Unit price]]*Table1[[#This Row],[Quantity]]</f>
        <v>100.08</v>
      </c>
      <c r="I1932" s="29">
        <f>Table1[[#This Row],[Total Revenue]]/$H$5056*100</f>
        <v>1.0618062365944699E-2</v>
      </c>
      <c r="J1932" s="3" t="s">
        <v>15</v>
      </c>
      <c r="K1932" s="4">
        <v>8.6999999999999993</v>
      </c>
      <c r="M1932"/>
    </row>
    <row r="1933" spans="1:13" x14ac:dyDescent="0.25">
      <c r="A1933" s="2">
        <v>45357</v>
      </c>
      <c r="B1933" s="3" t="s">
        <v>244</v>
      </c>
      <c r="C1933" s="3" t="s">
        <v>13</v>
      </c>
      <c r="D1933" s="3" t="s">
        <v>19</v>
      </c>
      <c r="E1933" s="5" t="s">
        <v>20</v>
      </c>
      <c r="F1933" s="17">
        <v>63.59</v>
      </c>
      <c r="G1933" s="3">
        <v>5</v>
      </c>
      <c r="H1933" s="17">
        <f>Table1[[#This Row],[Unit price]]*Table1[[#This Row],[Quantity]]</f>
        <v>317.95000000000005</v>
      </c>
      <c r="I1933" s="29">
        <f>Table1[[#This Row],[Total Revenue]]/$H$5056*100</f>
        <v>3.3733142778298537E-2</v>
      </c>
      <c r="J1933" s="3" t="s">
        <v>15</v>
      </c>
      <c r="K1933" s="4">
        <v>7.2</v>
      </c>
      <c r="M1933"/>
    </row>
    <row r="1934" spans="1:13" x14ac:dyDescent="0.25">
      <c r="A1934" s="2">
        <v>45357</v>
      </c>
      <c r="B1934" s="3" t="s">
        <v>245</v>
      </c>
      <c r="C1934" s="3" t="s">
        <v>9</v>
      </c>
      <c r="D1934" s="3" t="s">
        <v>10</v>
      </c>
      <c r="E1934" s="5" t="s">
        <v>11</v>
      </c>
      <c r="F1934" s="17">
        <v>4.0199999999999996</v>
      </c>
      <c r="G1934" s="3">
        <v>4</v>
      </c>
      <c r="H1934" s="17">
        <f>Table1[[#This Row],[Unit price]]*Table1[[#This Row],[Quantity]]</f>
        <v>16.079999999999998</v>
      </c>
      <c r="I1934" s="29">
        <f>Table1[[#This Row],[Total Revenue]]/$H$5056*100</f>
        <v>1.7060196127537046E-3</v>
      </c>
      <c r="J1934" s="3" t="s">
        <v>12</v>
      </c>
      <c r="K1934" s="4">
        <v>6.7</v>
      </c>
      <c r="M1934"/>
    </row>
    <row r="1935" spans="1:13" x14ac:dyDescent="0.25">
      <c r="A1935" s="2">
        <v>45357</v>
      </c>
      <c r="B1935" s="3" t="s">
        <v>245</v>
      </c>
      <c r="C1935" s="3" t="s">
        <v>9</v>
      </c>
      <c r="D1935" s="3" t="s">
        <v>10</v>
      </c>
      <c r="E1935" s="5" t="s">
        <v>11</v>
      </c>
      <c r="F1935" s="17">
        <v>5.44</v>
      </c>
      <c r="G1935" s="3">
        <v>3</v>
      </c>
      <c r="H1935" s="17">
        <f>Table1[[#This Row],[Unit price]]*Table1[[#This Row],[Quantity]]</f>
        <v>16.32</v>
      </c>
      <c r="I1935" s="29">
        <f>Table1[[#This Row],[Total Revenue]]/$H$5056*100</f>
        <v>1.7314825920485362E-3</v>
      </c>
      <c r="J1935" s="3" t="s">
        <v>17</v>
      </c>
      <c r="K1935" s="4">
        <v>8.3000000000000007</v>
      </c>
      <c r="M1935"/>
    </row>
    <row r="1936" spans="1:13" x14ac:dyDescent="0.25">
      <c r="A1936" s="2">
        <v>45357</v>
      </c>
      <c r="B1936" s="3" t="s">
        <v>243</v>
      </c>
      <c r="C1936" s="3" t="s">
        <v>13</v>
      </c>
      <c r="D1936" s="3" t="s">
        <v>10</v>
      </c>
      <c r="E1936" s="5" t="s">
        <v>11</v>
      </c>
      <c r="F1936" s="17">
        <v>6.56</v>
      </c>
      <c r="G1936" s="3">
        <v>3</v>
      </c>
      <c r="H1936" s="17">
        <f>Table1[[#This Row],[Unit price]]*Table1[[#This Row],[Quantity]]</f>
        <v>19.68</v>
      </c>
      <c r="I1936" s="29">
        <f>Table1[[#This Row],[Total Revenue]]/$H$5056*100</f>
        <v>2.0879643021761759E-3</v>
      </c>
      <c r="J1936" s="3" t="s">
        <v>17</v>
      </c>
      <c r="K1936" s="4">
        <v>9</v>
      </c>
      <c r="M1936"/>
    </row>
    <row r="1937" spans="1:13" x14ac:dyDescent="0.25">
      <c r="A1937" s="2">
        <v>45357</v>
      </c>
      <c r="B1937" s="3" t="s">
        <v>244</v>
      </c>
      <c r="C1937" s="3" t="s">
        <v>13</v>
      </c>
      <c r="D1937" s="3" t="s">
        <v>19</v>
      </c>
      <c r="E1937" s="5" t="s">
        <v>20</v>
      </c>
      <c r="F1937" s="17">
        <v>59.28</v>
      </c>
      <c r="G1937" s="3">
        <v>3</v>
      </c>
      <c r="H1937" s="17">
        <f>Table1[[#This Row],[Unit price]]*Table1[[#This Row],[Quantity]]</f>
        <v>177.84</v>
      </c>
      <c r="I1937" s="29">
        <f>Table1[[#This Row],[Total Revenue]]/$H$5056*100</f>
        <v>1.8868067657470077E-2</v>
      </c>
      <c r="J1937" s="3" t="s">
        <v>15</v>
      </c>
      <c r="K1937" s="4">
        <v>8.9</v>
      </c>
      <c r="M1937"/>
    </row>
    <row r="1938" spans="1:13" x14ac:dyDescent="0.25">
      <c r="A1938" s="2">
        <v>45357</v>
      </c>
      <c r="B1938" s="3" t="s">
        <v>243</v>
      </c>
      <c r="C1938" s="3" t="s">
        <v>13</v>
      </c>
      <c r="D1938" s="3" t="s">
        <v>10</v>
      </c>
      <c r="E1938" s="5" t="s">
        <v>11</v>
      </c>
      <c r="F1938" s="17">
        <v>6.6</v>
      </c>
      <c r="G1938" s="3">
        <v>5</v>
      </c>
      <c r="H1938" s="17">
        <f>Table1[[#This Row],[Unit price]]*Table1[[#This Row],[Quantity]]</f>
        <v>33</v>
      </c>
      <c r="I1938" s="29">
        <f>Table1[[#This Row],[Total Revenue]]/$H$5056*100</f>
        <v>3.501159653039319E-3</v>
      </c>
      <c r="J1938" s="3" t="s">
        <v>15</v>
      </c>
      <c r="K1938" s="4">
        <v>9.5</v>
      </c>
      <c r="M1938"/>
    </row>
    <row r="1939" spans="1:13" x14ac:dyDescent="0.25">
      <c r="A1939" s="2">
        <v>45357</v>
      </c>
      <c r="B1939" s="3" t="s">
        <v>244</v>
      </c>
      <c r="C1939" s="3" t="s">
        <v>13</v>
      </c>
      <c r="D1939" s="3" t="s">
        <v>19</v>
      </c>
      <c r="E1939" s="5" t="s">
        <v>11</v>
      </c>
      <c r="F1939" s="17">
        <v>7.66</v>
      </c>
      <c r="G1939" s="3">
        <v>4</v>
      </c>
      <c r="H1939" s="17">
        <f>Table1[[#This Row],[Unit price]]*Table1[[#This Row],[Quantity]]</f>
        <v>30.64</v>
      </c>
      <c r="I1939" s="29">
        <f>Table1[[#This Row],[Total Revenue]]/$H$5056*100</f>
        <v>3.2507736899734774E-3</v>
      </c>
      <c r="J1939" s="3" t="s">
        <v>15</v>
      </c>
      <c r="K1939" s="4">
        <v>7.3</v>
      </c>
      <c r="M1939"/>
    </row>
    <row r="1940" spans="1:13" x14ac:dyDescent="0.25">
      <c r="A1940" s="2">
        <v>45357</v>
      </c>
      <c r="B1940" s="3" t="s">
        <v>243</v>
      </c>
      <c r="C1940" s="3" t="s">
        <v>13</v>
      </c>
      <c r="D1940" s="3" t="s">
        <v>10</v>
      </c>
      <c r="E1940" s="5" t="s">
        <v>14</v>
      </c>
      <c r="F1940" s="17">
        <v>89.86</v>
      </c>
      <c r="G1940" s="3">
        <v>1</v>
      </c>
      <c r="H1940" s="17">
        <f>Table1[[#This Row],[Unit price]]*Table1[[#This Row],[Quantity]]</f>
        <v>89.86</v>
      </c>
      <c r="I1940" s="29">
        <f>Table1[[#This Row],[Total Revenue]]/$H$5056*100</f>
        <v>9.5337638309731278E-3</v>
      </c>
      <c r="J1940" s="3" t="s">
        <v>17</v>
      </c>
      <c r="K1940" s="4">
        <v>8.6999999999999993</v>
      </c>
      <c r="M1940"/>
    </row>
    <row r="1941" spans="1:13" x14ac:dyDescent="0.25">
      <c r="A1941" s="2">
        <v>45357</v>
      </c>
      <c r="B1941" s="3" t="s">
        <v>243</v>
      </c>
      <c r="C1941" s="3" t="s">
        <v>9</v>
      </c>
      <c r="D1941" s="3" t="s">
        <v>19</v>
      </c>
      <c r="E1941" s="5" t="s">
        <v>11</v>
      </c>
      <c r="F1941" s="17">
        <v>3.04</v>
      </c>
      <c r="G1941" s="3">
        <v>5</v>
      </c>
      <c r="H1941" s="17">
        <f>Table1[[#This Row],[Unit price]]*Table1[[#This Row],[Quantity]]</f>
        <v>15.2</v>
      </c>
      <c r="I1941" s="29">
        <f>Table1[[#This Row],[Total Revenue]]/$H$5056*100</f>
        <v>1.6126553553393228E-3</v>
      </c>
      <c r="J1941" s="3" t="s">
        <v>12</v>
      </c>
      <c r="K1941" s="4">
        <v>7.7</v>
      </c>
      <c r="M1941"/>
    </row>
    <row r="1942" spans="1:13" x14ac:dyDescent="0.25">
      <c r="A1942" s="2">
        <v>45357</v>
      </c>
      <c r="B1942" s="3" t="s">
        <v>245</v>
      </c>
      <c r="C1942" s="3" t="s">
        <v>13</v>
      </c>
      <c r="D1942" s="3" t="s">
        <v>10</v>
      </c>
      <c r="E1942" s="5" t="s">
        <v>11</v>
      </c>
      <c r="F1942" s="17">
        <v>4.22</v>
      </c>
      <c r="G1942" s="3">
        <v>7</v>
      </c>
      <c r="H1942" s="17">
        <f>Table1[[#This Row],[Unit price]]*Table1[[#This Row],[Quantity]]</f>
        <v>29.54</v>
      </c>
      <c r="I1942" s="29">
        <f>Table1[[#This Row],[Total Revenue]]/$H$5056*100</f>
        <v>3.1340683682054993E-3</v>
      </c>
      <c r="J1942" s="3" t="s">
        <v>17</v>
      </c>
      <c r="K1942" s="4">
        <v>8.4</v>
      </c>
      <c r="M1942"/>
    </row>
    <row r="1943" spans="1:13" x14ac:dyDescent="0.25">
      <c r="A1943" s="2">
        <v>45357</v>
      </c>
      <c r="B1943" s="3" t="s">
        <v>244</v>
      </c>
      <c r="C1943" s="3" t="s">
        <v>13</v>
      </c>
      <c r="D1943" s="3" t="s">
        <v>10</v>
      </c>
      <c r="E1943" s="5" t="s">
        <v>11</v>
      </c>
      <c r="F1943" s="17">
        <v>5.61</v>
      </c>
      <c r="G1943" s="3">
        <v>1</v>
      </c>
      <c r="H1943" s="17">
        <f>Table1[[#This Row],[Unit price]]*Table1[[#This Row],[Quantity]]</f>
        <v>5.61</v>
      </c>
      <c r="I1943" s="29">
        <f>Table1[[#This Row],[Total Revenue]]/$H$5056*100</f>
        <v>5.9519714101668433E-4</v>
      </c>
      <c r="J1943" s="3" t="s">
        <v>12</v>
      </c>
      <c r="K1943" s="4">
        <v>6</v>
      </c>
      <c r="M1943"/>
    </row>
    <row r="1944" spans="1:13" x14ac:dyDescent="0.25">
      <c r="A1944" s="2">
        <v>45388</v>
      </c>
      <c r="B1944" s="3" t="s">
        <v>244</v>
      </c>
      <c r="C1944" s="3" t="s">
        <v>13</v>
      </c>
      <c r="D1944" s="3" t="s">
        <v>10</v>
      </c>
      <c r="E1944" s="5" t="s">
        <v>21</v>
      </c>
      <c r="F1944" s="17">
        <v>33.17</v>
      </c>
      <c r="G1944" s="3">
        <v>2</v>
      </c>
      <c r="H1944" s="17">
        <f>Table1[[#This Row],[Unit price]]*Table1[[#This Row],[Quantity]]</f>
        <v>66.34</v>
      </c>
      <c r="I1944" s="29">
        <f>Table1[[#This Row],[Total Revenue]]/$H$5056*100</f>
        <v>7.0383918600796496E-3</v>
      </c>
      <c r="J1944" s="3" t="s">
        <v>17</v>
      </c>
      <c r="K1944" s="4">
        <v>8.1</v>
      </c>
      <c r="M1944"/>
    </row>
    <row r="1945" spans="1:13" x14ac:dyDescent="0.25">
      <c r="A1945" s="2">
        <v>45388</v>
      </c>
      <c r="B1945" s="3" t="s">
        <v>243</v>
      </c>
      <c r="C1945" s="3" t="s">
        <v>9</v>
      </c>
      <c r="D1945" s="3" t="s">
        <v>10</v>
      </c>
      <c r="E1945" s="5" t="s">
        <v>20</v>
      </c>
      <c r="F1945" s="17">
        <v>68.5</v>
      </c>
      <c r="G1945" s="3">
        <v>5</v>
      </c>
      <c r="H1945" s="17">
        <f>Table1[[#This Row],[Unit price]]*Table1[[#This Row],[Quantity]]</f>
        <v>342.5</v>
      </c>
      <c r="I1945" s="29">
        <f>Table1[[#This Row],[Total Revenue]]/$H$5056*100</f>
        <v>3.6337793368665661E-2</v>
      </c>
      <c r="J1945" s="3" t="s">
        <v>15</v>
      </c>
      <c r="K1945" s="4">
        <v>7.1</v>
      </c>
      <c r="M1945"/>
    </row>
    <row r="1946" spans="1:13" x14ac:dyDescent="0.25">
      <c r="A1946" s="2">
        <v>45388</v>
      </c>
      <c r="B1946" s="3" t="s">
        <v>244</v>
      </c>
      <c r="C1946" s="3" t="s">
        <v>9</v>
      </c>
      <c r="D1946" s="3" t="s">
        <v>10</v>
      </c>
      <c r="E1946" s="5" t="s">
        <v>21</v>
      </c>
      <c r="F1946" s="17">
        <v>36.4</v>
      </c>
      <c r="G1946" s="3">
        <v>4</v>
      </c>
      <c r="H1946" s="17">
        <f>Table1[[#This Row],[Unit price]]*Table1[[#This Row],[Quantity]]</f>
        <v>145.6</v>
      </c>
      <c r="I1946" s="29">
        <f>Table1[[#This Row],[Total Revenue]]/$H$5056*100</f>
        <v>1.5447540772197722E-2</v>
      </c>
      <c r="J1946" s="3" t="s">
        <v>12</v>
      </c>
      <c r="K1946" s="4">
        <v>7.8</v>
      </c>
      <c r="M1946"/>
    </row>
    <row r="1947" spans="1:13" x14ac:dyDescent="0.25">
      <c r="A1947" s="2">
        <v>45388</v>
      </c>
      <c r="B1947" s="3" t="s">
        <v>245</v>
      </c>
      <c r="C1947" s="3" t="s">
        <v>13</v>
      </c>
      <c r="D1947" s="3" t="s">
        <v>10</v>
      </c>
      <c r="E1947" s="5" t="s">
        <v>21</v>
      </c>
      <c r="F1947" s="17">
        <v>37.700000000000003</v>
      </c>
      <c r="G1947" s="3">
        <v>4</v>
      </c>
      <c r="H1947" s="17">
        <f>Table1[[#This Row],[Unit price]]*Table1[[#This Row],[Quantity]]</f>
        <v>150.80000000000001</v>
      </c>
      <c r="I1947" s="29">
        <f>Table1[[#This Row],[Total Revenue]]/$H$5056*100</f>
        <v>1.599923865691907E-2</v>
      </c>
      <c r="J1947" s="3" t="s">
        <v>17</v>
      </c>
      <c r="K1947" s="4">
        <v>6.9</v>
      </c>
      <c r="M1947"/>
    </row>
    <row r="1948" spans="1:13" x14ac:dyDescent="0.25">
      <c r="A1948" s="2">
        <v>45388</v>
      </c>
      <c r="B1948" s="3" t="s">
        <v>244</v>
      </c>
      <c r="C1948" s="3" t="s">
        <v>13</v>
      </c>
      <c r="D1948" s="3" t="s">
        <v>19</v>
      </c>
      <c r="E1948" s="5" t="s">
        <v>14</v>
      </c>
      <c r="F1948" s="17">
        <v>95.88</v>
      </c>
      <c r="G1948" s="3">
        <v>2</v>
      </c>
      <c r="H1948" s="17">
        <f>Table1[[#This Row],[Unit price]]*Table1[[#This Row],[Quantity]]</f>
        <v>191.76</v>
      </c>
      <c r="I1948" s="29">
        <f>Table1[[#This Row],[Total Revenue]]/$H$5056*100</f>
        <v>2.0344920456570298E-2</v>
      </c>
      <c r="J1948" s="3" t="s">
        <v>15</v>
      </c>
      <c r="K1948" s="4">
        <v>6.8</v>
      </c>
      <c r="M1948"/>
    </row>
    <row r="1949" spans="1:13" x14ac:dyDescent="0.25">
      <c r="A1949" s="2">
        <v>45388</v>
      </c>
      <c r="B1949" s="3" t="s">
        <v>245</v>
      </c>
      <c r="C1949" s="3" t="s">
        <v>13</v>
      </c>
      <c r="D1949" s="3" t="s">
        <v>19</v>
      </c>
      <c r="E1949" s="5" t="s">
        <v>16</v>
      </c>
      <c r="F1949" s="17">
        <v>71.08</v>
      </c>
      <c r="G1949" s="3">
        <v>2</v>
      </c>
      <c r="H1949" s="17">
        <f>Table1[[#This Row],[Unit price]]*Table1[[#This Row],[Quantity]]</f>
        <v>142.16</v>
      </c>
      <c r="I1949" s="29">
        <f>Table1[[#This Row],[Total Revenue]]/$H$5056*100</f>
        <v>1.508257140230514E-2</v>
      </c>
      <c r="J1949" s="3" t="s">
        <v>17</v>
      </c>
      <c r="K1949" s="4">
        <v>7.7</v>
      </c>
      <c r="M1949"/>
    </row>
    <row r="1950" spans="1:13" x14ac:dyDescent="0.25">
      <c r="A1950" s="2">
        <v>45388</v>
      </c>
      <c r="B1950" s="3" t="s">
        <v>243</v>
      </c>
      <c r="C1950" s="3" t="s">
        <v>13</v>
      </c>
      <c r="D1950" s="3" t="s">
        <v>10</v>
      </c>
      <c r="E1950" s="5" t="s">
        <v>11</v>
      </c>
      <c r="F1950" s="17">
        <v>7.77</v>
      </c>
      <c r="G1950" s="3">
        <v>2</v>
      </c>
      <c r="H1950" s="17">
        <f>Table1[[#This Row],[Unit price]]*Table1[[#This Row],[Quantity]]</f>
        <v>15.54</v>
      </c>
      <c r="I1950" s="29">
        <f>Table1[[#This Row],[Total Revenue]]/$H$5056*100</f>
        <v>1.6487279093403339E-3</v>
      </c>
      <c r="J1950" s="3" t="s">
        <v>17</v>
      </c>
      <c r="K1950" s="4">
        <v>9.1</v>
      </c>
      <c r="M1950"/>
    </row>
    <row r="1951" spans="1:13" x14ac:dyDescent="0.25">
      <c r="A1951" s="2">
        <v>45388</v>
      </c>
      <c r="B1951" s="3" t="s">
        <v>245</v>
      </c>
      <c r="C1951" s="3" t="s">
        <v>9</v>
      </c>
      <c r="D1951" s="3" t="s">
        <v>10</v>
      </c>
      <c r="E1951" s="5" t="s">
        <v>11</v>
      </c>
      <c r="F1951" s="17">
        <v>5.01</v>
      </c>
      <c r="G1951" s="3">
        <v>5</v>
      </c>
      <c r="H1951" s="17">
        <f>Table1[[#This Row],[Unit price]]*Table1[[#This Row],[Quantity]]</f>
        <v>25.049999999999997</v>
      </c>
      <c r="I1951" s="29">
        <f>Table1[[#This Row],[Total Revenue]]/$H$5056*100</f>
        <v>2.6576984638980285E-3</v>
      </c>
      <c r="J1951" s="3" t="s">
        <v>12</v>
      </c>
      <c r="K1951" s="4">
        <v>8.5</v>
      </c>
      <c r="M1951"/>
    </row>
    <row r="1952" spans="1:13" x14ac:dyDescent="0.25">
      <c r="A1952" s="2">
        <v>45388</v>
      </c>
      <c r="B1952" s="3" t="s">
        <v>243</v>
      </c>
      <c r="C1952" s="3" t="s">
        <v>13</v>
      </c>
      <c r="D1952" s="3" t="s">
        <v>10</v>
      </c>
      <c r="E1952" s="5" t="s">
        <v>11</v>
      </c>
      <c r="F1952" s="17">
        <v>2.66</v>
      </c>
      <c r="G1952" s="3">
        <v>6</v>
      </c>
      <c r="H1952" s="17">
        <f>Table1[[#This Row],[Unit price]]*Table1[[#This Row],[Quantity]]</f>
        <v>15.96</v>
      </c>
      <c r="I1952" s="29">
        <f>Table1[[#This Row],[Total Revenue]]/$H$5056*100</f>
        <v>1.6932881231062891E-3</v>
      </c>
      <c r="J1952" s="3" t="s">
        <v>15</v>
      </c>
      <c r="K1952" s="4">
        <v>8.3000000000000007</v>
      </c>
      <c r="M1952"/>
    </row>
    <row r="1953" spans="1:13" x14ac:dyDescent="0.25">
      <c r="A1953" s="2">
        <v>45388</v>
      </c>
      <c r="B1953" s="3" t="s">
        <v>243</v>
      </c>
      <c r="C1953" s="3" t="s">
        <v>13</v>
      </c>
      <c r="D1953" s="3" t="s">
        <v>10</v>
      </c>
      <c r="E1953" s="5" t="s">
        <v>18</v>
      </c>
      <c r="F1953" s="17">
        <v>15.59</v>
      </c>
      <c r="G1953" s="3">
        <v>3</v>
      </c>
      <c r="H1953" s="17">
        <f>Table1[[#This Row],[Unit price]]*Table1[[#This Row],[Quantity]]</f>
        <v>46.769999999999996</v>
      </c>
      <c r="I1953" s="29">
        <f>Table1[[#This Row],[Total Revenue]]/$H$5056*100</f>
        <v>4.9620980900802712E-3</v>
      </c>
      <c r="J1953" s="3" t="s">
        <v>15</v>
      </c>
      <c r="K1953" s="4">
        <v>5.2</v>
      </c>
      <c r="M1953"/>
    </row>
    <row r="1954" spans="1:13" x14ac:dyDescent="0.25">
      <c r="A1954" s="2">
        <v>45388</v>
      </c>
      <c r="B1954" s="3" t="s">
        <v>243</v>
      </c>
      <c r="C1954" s="3" t="s">
        <v>9</v>
      </c>
      <c r="D1954" s="3" t="s">
        <v>10</v>
      </c>
      <c r="E1954" s="5" t="s">
        <v>21</v>
      </c>
      <c r="F1954" s="17">
        <v>17.77</v>
      </c>
      <c r="G1954" s="3">
        <v>3</v>
      </c>
      <c r="H1954" s="17">
        <f>Table1[[#This Row],[Unit price]]*Table1[[#This Row],[Quantity]]</f>
        <v>53.31</v>
      </c>
      <c r="I1954" s="29">
        <f>Table1[[#This Row],[Total Revenue]]/$H$5056*100</f>
        <v>5.655964275864428E-3</v>
      </c>
      <c r="J1954" s="3" t="s">
        <v>12</v>
      </c>
      <c r="K1954" s="4">
        <v>7.5</v>
      </c>
      <c r="M1954"/>
    </row>
    <row r="1955" spans="1:13" x14ac:dyDescent="0.25">
      <c r="A1955" s="2">
        <v>45388</v>
      </c>
      <c r="B1955" s="3" t="s">
        <v>244</v>
      </c>
      <c r="C1955" s="3" t="s">
        <v>13</v>
      </c>
      <c r="D1955" s="3" t="s">
        <v>19</v>
      </c>
      <c r="E1955" s="5" t="s">
        <v>20</v>
      </c>
      <c r="F1955" s="17">
        <v>70.55</v>
      </c>
      <c r="G1955" s="3">
        <v>5</v>
      </c>
      <c r="H1955" s="17">
        <f>Table1[[#This Row],[Unit price]]*Table1[[#This Row],[Quantity]]</f>
        <v>352.75</v>
      </c>
      <c r="I1955" s="29">
        <f>Table1[[#This Row],[Total Revenue]]/$H$5056*100</f>
        <v>3.7425274776049088E-2</v>
      </c>
      <c r="J1955" s="3" t="s">
        <v>17</v>
      </c>
      <c r="K1955" s="4">
        <v>5.6</v>
      </c>
      <c r="M1955"/>
    </row>
    <row r="1956" spans="1:13" x14ac:dyDescent="0.25">
      <c r="A1956" s="2">
        <v>45388</v>
      </c>
      <c r="B1956" s="3" t="s">
        <v>243</v>
      </c>
      <c r="C1956" s="3" t="s">
        <v>13</v>
      </c>
      <c r="D1956" s="3" t="s">
        <v>10</v>
      </c>
      <c r="E1956" s="5" t="s">
        <v>11</v>
      </c>
      <c r="F1956" s="17">
        <v>7.8</v>
      </c>
      <c r="G1956" s="3">
        <v>1</v>
      </c>
      <c r="H1956" s="17">
        <f>Table1[[#This Row],[Unit price]]*Table1[[#This Row],[Quantity]]</f>
        <v>7.8</v>
      </c>
      <c r="I1956" s="29">
        <f>Table1[[#This Row],[Total Revenue]]/$H$5056*100</f>
        <v>8.2754682708202089E-4</v>
      </c>
      <c r="J1956" s="3" t="s">
        <v>15</v>
      </c>
      <c r="K1956" s="4">
        <v>8.6999999999999993</v>
      </c>
      <c r="M1956"/>
    </row>
    <row r="1957" spans="1:13" x14ac:dyDescent="0.25">
      <c r="A1957" s="2">
        <v>45388</v>
      </c>
      <c r="B1957" s="3" t="s">
        <v>245</v>
      </c>
      <c r="C1957" s="3" t="s">
        <v>9</v>
      </c>
      <c r="D1957" s="3" t="s">
        <v>19</v>
      </c>
      <c r="E1957" s="5" t="s">
        <v>11</v>
      </c>
      <c r="F1957" s="17">
        <v>5.2</v>
      </c>
      <c r="G1957" s="3">
        <v>4</v>
      </c>
      <c r="H1957" s="17">
        <f>Table1[[#This Row],[Unit price]]*Table1[[#This Row],[Quantity]]</f>
        <v>20.8</v>
      </c>
      <c r="I1957" s="29">
        <f>Table1[[#This Row],[Total Revenue]]/$H$5056*100</f>
        <v>2.2067915388853895E-3</v>
      </c>
      <c r="J1957" s="3" t="s">
        <v>17</v>
      </c>
      <c r="K1957" s="4">
        <v>8.5</v>
      </c>
      <c r="M1957"/>
    </row>
    <row r="1958" spans="1:13" x14ac:dyDescent="0.25">
      <c r="A1958" s="2">
        <v>45388</v>
      </c>
      <c r="B1958" s="3" t="s">
        <v>244</v>
      </c>
      <c r="C1958" s="3" t="s">
        <v>9</v>
      </c>
      <c r="D1958" s="3" t="s">
        <v>19</v>
      </c>
      <c r="E1958" s="5" t="s">
        <v>11</v>
      </c>
      <c r="F1958" s="17">
        <v>5.9</v>
      </c>
      <c r="G1958" s="3">
        <v>4</v>
      </c>
      <c r="H1958" s="17">
        <f>Table1[[#This Row],[Unit price]]*Table1[[#This Row],[Quantity]]</f>
        <v>23.6</v>
      </c>
      <c r="I1958" s="29">
        <f>Table1[[#This Row],[Total Revenue]]/$H$5056*100</f>
        <v>2.5038596306584224E-3</v>
      </c>
      <c r="J1958" s="3" t="s">
        <v>17</v>
      </c>
      <c r="K1958" s="4">
        <v>9.1999999999999993</v>
      </c>
      <c r="M1958"/>
    </row>
    <row r="1959" spans="1:13" x14ac:dyDescent="0.25">
      <c r="A1959" s="2">
        <v>45388</v>
      </c>
      <c r="B1959" s="3" t="s">
        <v>245</v>
      </c>
      <c r="C1959" s="3" t="s">
        <v>9</v>
      </c>
      <c r="D1959" s="3" t="s">
        <v>19</v>
      </c>
      <c r="E1959" s="5" t="s">
        <v>18</v>
      </c>
      <c r="F1959" s="17">
        <v>9.9499999999999993</v>
      </c>
      <c r="G1959" s="3">
        <v>1</v>
      </c>
      <c r="H1959" s="17">
        <f>Table1[[#This Row],[Unit price]]*Table1[[#This Row],[Quantity]]</f>
        <v>9.9499999999999993</v>
      </c>
      <c r="I1959" s="29">
        <f>Table1[[#This Row],[Total Revenue]]/$H$5056*100</f>
        <v>1.0556526832648857E-3</v>
      </c>
      <c r="J1959" s="3" t="s">
        <v>15</v>
      </c>
      <c r="K1959" s="4">
        <v>8.8000000000000007</v>
      </c>
      <c r="M1959"/>
    </row>
    <row r="1960" spans="1:13" x14ac:dyDescent="0.25">
      <c r="A1960" s="2">
        <v>45388</v>
      </c>
      <c r="B1960" s="3" t="s">
        <v>244</v>
      </c>
      <c r="C1960" s="3" t="s">
        <v>13</v>
      </c>
      <c r="D1960" s="3" t="s">
        <v>19</v>
      </c>
      <c r="E1960" s="5" t="s">
        <v>11</v>
      </c>
      <c r="F1960" s="17">
        <v>6.87</v>
      </c>
      <c r="G1960" s="3">
        <v>5</v>
      </c>
      <c r="H1960" s="17">
        <f>Table1[[#This Row],[Unit price]]*Table1[[#This Row],[Quantity]]</f>
        <v>34.35</v>
      </c>
      <c r="I1960" s="29">
        <f>Table1[[#This Row],[Total Revenue]]/$H$5056*100</f>
        <v>3.6443889115727462E-3</v>
      </c>
      <c r="J1960" s="3" t="s">
        <v>12</v>
      </c>
      <c r="K1960" s="4">
        <v>7.7</v>
      </c>
      <c r="M1960"/>
    </row>
    <row r="1961" spans="1:13" x14ac:dyDescent="0.25">
      <c r="A1961" s="2">
        <v>45388</v>
      </c>
      <c r="B1961" s="3" t="s">
        <v>243</v>
      </c>
      <c r="C1961" s="3" t="s">
        <v>13</v>
      </c>
      <c r="D1961" s="3" t="s">
        <v>10</v>
      </c>
      <c r="E1961" s="5" t="s">
        <v>11</v>
      </c>
      <c r="F1961" s="17">
        <v>3.05</v>
      </c>
      <c r="G1961" s="3">
        <v>4</v>
      </c>
      <c r="H1961" s="17">
        <f>Table1[[#This Row],[Unit price]]*Table1[[#This Row],[Quantity]]</f>
        <v>12.2</v>
      </c>
      <c r="I1961" s="29">
        <f>Table1[[#This Row],[Total Revenue]]/$H$5056*100</f>
        <v>1.2943681141539302E-3</v>
      </c>
      <c r="J1961" s="3" t="s">
        <v>17</v>
      </c>
      <c r="K1961" s="4">
        <v>7.4</v>
      </c>
      <c r="M1961"/>
    </row>
    <row r="1962" spans="1:13" x14ac:dyDescent="0.25">
      <c r="A1962" s="2">
        <v>45388</v>
      </c>
      <c r="B1962" s="3" t="s">
        <v>244</v>
      </c>
      <c r="C1962" s="3" t="s">
        <v>13</v>
      </c>
      <c r="D1962" s="3" t="s">
        <v>19</v>
      </c>
      <c r="E1962" s="5" t="s">
        <v>16</v>
      </c>
      <c r="F1962" s="17">
        <v>66.989999999999995</v>
      </c>
      <c r="G1962" s="3">
        <v>3</v>
      </c>
      <c r="H1962" s="17">
        <f>Table1[[#This Row],[Unit price]]*Table1[[#This Row],[Quantity]]</f>
        <v>200.96999999999997</v>
      </c>
      <c r="I1962" s="29">
        <f>Table1[[#This Row],[Total Revenue]]/$H$5056*100</f>
        <v>2.132206228700945E-2</v>
      </c>
      <c r="J1962" s="3" t="s">
        <v>15</v>
      </c>
      <c r="K1962" s="4">
        <v>8.9</v>
      </c>
      <c r="M1962"/>
    </row>
    <row r="1963" spans="1:13" x14ac:dyDescent="0.25">
      <c r="A1963" s="2">
        <v>45388</v>
      </c>
      <c r="B1963" s="3" t="s">
        <v>244</v>
      </c>
      <c r="C1963" s="3" t="s">
        <v>13</v>
      </c>
      <c r="D1963" s="3" t="s">
        <v>19</v>
      </c>
      <c r="E1963" s="5" t="s">
        <v>11</v>
      </c>
      <c r="F1963" s="17">
        <v>7.34</v>
      </c>
      <c r="G1963" s="3">
        <v>1</v>
      </c>
      <c r="H1963" s="17">
        <f>Table1[[#This Row],[Unit price]]*Table1[[#This Row],[Quantity]]</f>
        <v>7.34</v>
      </c>
      <c r="I1963" s="29">
        <f>Table1[[#This Row],[Total Revenue]]/$H$5056*100</f>
        <v>7.7874278343359406E-4</v>
      </c>
      <c r="J1963" s="3" t="s">
        <v>12</v>
      </c>
      <c r="K1963" s="4">
        <v>8.8000000000000007</v>
      </c>
      <c r="M1963"/>
    </row>
    <row r="1964" spans="1:13" x14ac:dyDescent="0.25">
      <c r="A1964" s="2">
        <v>45388</v>
      </c>
      <c r="B1964" s="3" t="s">
        <v>244</v>
      </c>
      <c r="C1964" s="3" t="s">
        <v>13</v>
      </c>
      <c r="D1964" s="3" t="s">
        <v>19</v>
      </c>
      <c r="E1964" s="5" t="s">
        <v>21</v>
      </c>
      <c r="F1964" s="17">
        <v>23.87</v>
      </c>
      <c r="G1964" s="3">
        <v>2</v>
      </c>
      <c r="H1964" s="17">
        <f>Table1[[#This Row],[Unit price]]*Table1[[#This Row],[Quantity]]</f>
        <v>47.74</v>
      </c>
      <c r="I1964" s="29">
        <f>Table1[[#This Row],[Total Revenue]]/$H$5056*100</f>
        <v>5.0650109647302159E-3</v>
      </c>
      <c r="J1964" s="3" t="s">
        <v>15</v>
      </c>
      <c r="K1964" s="4">
        <v>5.3</v>
      </c>
      <c r="M1964"/>
    </row>
    <row r="1965" spans="1:13" x14ac:dyDescent="0.25">
      <c r="A1965" s="2">
        <v>45418</v>
      </c>
      <c r="B1965" s="3" t="s">
        <v>245</v>
      </c>
      <c r="C1965" s="3" t="s">
        <v>9</v>
      </c>
      <c r="D1965" s="3" t="s">
        <v>10</v>
      </c>
      <c r="E1965" s="5" t="s">
        <v>11</v>
      </c>
      <c r="F1965" s="17">
        <v>6.39</v>
      </c>
      <c r="G1965" s="3">
        <v>2</v>
      </c>
      <c r="H1965" s="17">
        <f>Table1[[#This Row],[Unit price]]*Table1[[#This Row],[Quantity]]</f>
        <v>12.78</v>
      </c>
      <c r="I1965" s="29">
        <f>Table1[[#This Row],[Total Revenue]]/$H$5056*100</f>
        <v>1.3559036474497727E-3</v>
      </c>
      <c r="J1965" s="3" t="s">
        <v>15</v>
      </c>
      <c r="K1965" s="4">
        <v>8.1999999999999993</v>
      </c>
      <c r="M1965"/>
    </row>
    <row r="1966" spans="1:13" x14ac:dyDescent="0.25">
      <c r="A1966" s="2">
        <v>45418</v>
      </c>
      <c r="B1966" s="3" t="s">
        <v>244</v>
      </c>
      <c r="C1966" s="3" t="s">
        <v>13</v>
      </c>
      <c r="D1966" s="3" t="s">
        <v>10</v>
      </c>
      <c r="E1966" s="5" t="s">
        <v>21</v>
      </c>
      <c r="F1966" s="17">
        <v>34.479999999999997</v>
      </c>
      <c r="G1966" s="3">
        <v>2</v>
      </c>
      <c r="H1966" s="17">
        <f>Table1[[#This Row],[Unit price]]*Table1[[#This Row],[Quantity]]</f>
        <v>68.959999999999994</v>
      </c>
      <c r="I1966" s="29">
        <f>Table1[[#This Row],[Total Revenue]]/$H$5056*100</f>
        <v>7.3163627173815585E-3</v>
      </c>
      <c r="J1966" s="3" t="s">
        <v>17</v>
      </c>
      <c r="K1966" s="4">
        <v>4.5</v>
      </c>
      <c r="M1966"/>
    </row>
    <row r="1967" spans="1:13" x14ac:dyDescent="0.25">
      <c r="A1967" s="2">
        <v>45418</v>
      </c>
      <c r="B1967" s="3" t="s">
        <v>243</v>
      </c>
      <c r="C1967" s="3" t="s">
        <v>13</v>
      </c>
      <c r="D1967" s="3" t="s">
        <v>10</v>
      </c>
      <c r="E1967" s="5" t="s">
        <v>14</v>
      </c>
      <c r="F1967" s="17">
        <v>88.12</v>
      </c>
      <c r="G1967" s="3">
        <v>1</v>
      </c>
      <c r="H1967" s="17">
        <f>Table1[[#This Row],[Unit price]]*Table1[[#This Row],[Quantity]]</f>
        <v>88.12</v>
      </c>
      <c r="I1967" s="29">
        <f>Table1[[#This Row],[Total Revenue]]/$H$5056*100</f>
        <v>9.3491572310856006E-3</v>
      </c>
      <c r="J1967" s="3" t="s">
        <v>17</v>
      </c>
      <c r="K1967" s="4">
        <v>6.8</v>
      </c>
      <c r="M1967"/>
    </row>
    <row r="1968" spans="1:13" x14ac:dyDescent="0.25">
      <c r="A1968" s="2">
        <v>45418</v>
      </c>
      <c r="B1968" s="3" t="s">
        <v>243</v>
      </c>
      <c r="C1968" s="3" t="s">
        <v>9</v>
      </c>
      <c r="D1968" s="3" t="s">
        <v>19</v>
      </c>
      <c r="E1968" s="5" t="s">
        <v>20</v>
      </c>
      <c r="F1968" s="17">
        <v>62.53</v>
      </c>
      <c r="G1968" s="3">
        <v>1</v>
      </c>
      <c r="H1968" s="17">
        <f>Table1[[#This Row],[Unit price]]*Table1[[#This Row],[Quantity]]</f>
        <v>62.53</v>
      </c>
      <c r="I1968" s="29">
        <f>Table1[[#This Row],[Total Revenue]]/$H$5056*100</f>
        <v>6.6341670637742019E-3</v>
      </c>
      <c r="J1968" s="3" t="s">
        <v>15</v>
      </c>
      <c r="K1968" s="4">
        <v>6.7</v>
      </c>
      <c r="M1968"/>
    </row>
    <row r="1969" spans="1:13" x14ac:dyDescent="0.25">
      <c r="A1969" s="2">
        <v>45418</v>
      </c>
      <c r="B1969" s="3" t="s">
        <v>244</v>
      </c>
      <c r="C1969" s="3" t="s">
        <v>13</v>
      </c>
      <c r="D1969" s="3" t="s">
        <v>19</v>
      </c>
      <c r="E1969" s="5" t="s">
        <v>20</v>
      </c>
      <c r="F1969" s="17">
        <v>62.89</v>
      </c>
      <c r="G1969" s="3">
        <v>5</v>
      </c>
      <c r="H1969" s="17">
        <f>Table1[[#This Row],[Unit price]]*Table1[[#This Row],[Quantity]]</f>
        <v>314.45</v>
      </c>
      <c r="I1969" s="29">
        <f>Table1[[#This Row],[Total Revenue]]/$H$5056*100</f>
        <v>3.3361807663582238E-2</v>
      </c>
      <c r="J1969" s="3" t="s">
        <v>17</v>
      </c>
      <c r="K1969" s="4">
        <v>4.9000000000000004</v>
      </c>
      <c r="M1969"/>
    </row>
    <row r="1970" spans="1:13" x14ac:dyDescent="0.25">
      <c r="A1970" s="2">
        <v>45418</v>
      </c>
      <c r="B1970" s="3" t="s">
        <v>243</v>
      </c>
      <c r="C1970" s="3" t="s">
        <v>9</v>
      </c>
      <c r="D1970" s="3" t="s">
        <v>19</v>
      </c>
      <c r="E1970" s="5" t="s">
        <v>18</v>
      </c>
      <c r="F1970" s="17">
        <v>19</v>
      </c>
      <c r="G1970" s="3">
        <v>1</v>
      </c>
      <c r="H1970" s="17">
        <f>Table1[[#This Row],[Unit price]]*Table1[[#This Row],[Quantity]]</f>
        <v>19</v>
      </c>
      <c r="I1970" s="29">
        <f>Table1[[#This Row],[Total Revenue]]/$H$5056*100</f>
        <v>2.0158191941741536E-3</v>
      </c>
      <c r="J1970" s="3" t="s">
        <v>15</v>
      </c>
      <c r="K1970" s="4">
        <v>9.1</v>
      </c>
      <c r="M1970"/>
    </row>
    <row r="1971" spans="1:13" x14ac:dyDescent="0.25">
      <c r="A1971" s="2">
        <v>45418</v>
      </c>
      <c r="B1971" s="3" t="s">
        <v>243</v>
      </c>
      <c r="C1971" s="3" t="s">
        <v>9</v>
      </c>
      <c r="D1971" s="3" t="s">
        <v>10</v>
      </c>
      <c r="E1971" s="5" t="s">
        <v>11</v>
      </c>
      <c r="F1971" s="17">
        <v>7.46</v>
      </c>
      <c r="G1971" s="3">
        <v>1</v>
      </c>
      <c r="H1971" s="17">
        <f>Table1[[#This Row],[Unit price]]*Table1[[#This Row],[Quantity]]</f>
        <v>7.46</v>
      </c>
      <c r="I1971" s="29">
        <f>Table1[[#This Row],[Total Revenue]]/$H$5056*100</f>
        <v>7.9147427308100965E-4</v>
      </c>
      <c r="J1971" s="3" t="s">
        <v>15</v>
      </c>
      <c r="K1971" s="4">
        <v>8.9</v>
      </c>
      <c r="M1971"/>
    </row>
    <row r="1972" spans="1:13" x14ac:dyDescent="0.25">
      <c r="A1972" s="2">
        <v>45418</v>
      </c>
      <c r="B1972" s="3" t="s">
        <v>244</v>
      </c>
      <c r="C1972" s="3" t="s">
        <v>13</v>
      </c>
      <c r="D1972" s="3" t="s">
        <v>10</v>
      </c>
      <c r="E1972" s="5" t="s">
        <v>16</v>
      </c>
      <c r="F1972" s="17">
        <v>47.83</v>
      </c>
      <c r="G1972" s="3">
        <v>2</v>
      </c>
      <c r="H1972" s="17">
        <f>Table1[[#This Row],[Unit price]]*Table1[[#This Row],[Quantity]]</f>
        <v>95.66</v>
      </c>
      <c r="I1972" s="29">
        <f>Table1[[#This Row],[Total Revenue]]/$H$5056*100</f>
        <v>1.0149119163931554E-2</v>
      </c>
      <c r="J1972" s="3" t="s">
        <v>17</v>
      </c>
      <c r="K1972" s="4">
        <v>8</v>
      </c>
      <c r="M1972"/>
    </row>
    <row r="1973" spans="1:13" x14ac:dyDescent="0.25">
      <c r="A1973" s="2">
        <v>45418</v>
      </c>
      <c r="B1973" s="3" t="s">
        <v>245</v>
      </c>
      <c r="C1973" s="3" t="s">
        <v>9</v>
      </c>
      <c r="D1973" s="3" t="s">
        <v>10</v>
      </c>
      <c r="E1973" s="5" t="s">
        <v>21</v>
      </c>
      <c r="F1973" s="17">
        <v>18.149999999999999</v>
      </c>
      <c r="G1973" s="3">
        <v>2</v>
      </c>
      <c r="H1973" s="17">
        <f>Table1[[#This Row],[Unit price]]*Table1[[#This Row],[Quantity]]</f>
        <v>36.299999999999997</v>
      </c>
      <c r="I1973" s="29">
        <f>Table1[[#This Row],[Total Revenue]]/$H$5056*100</f>
        <v>3.8512756183432507E-3</v>
      </c>
      <c r="J1973" s="3" t="s">
        <v>17</v>
      </c>
      <c r="K1973" s="4">
        <v>6</v>
      </c>
      <c r="M1973"/>
    </row>
    <row r="1974" spans="1:13" x14ac:dyDescent="0.25">
      <c r="A1974" s="2">
        <v>45418</v>
      </c>
      <c r="B1974" s="3" t="s">
        <v>243</v>
      </c>
      <c r="C1974" s="3" t="s">
        <v>13</v>
      </c>
      <c r="D1974" s="3" t="s">
        <v>19</v>
      </c>
      <c r="E1974" s="5" t="s">
        <v>11</v>
      </c>
      <c r="F1974" s="17">
        <v>4.4800000000000004</v>
      </c>
      <c r="G1974" s="3">
        <v>3</v>
      </c>
      <c r="H1974" s="17">
        <f>Table1[[#This Row],[Unit price]]*Table1[[#This Row],[Quantity]]</f>
        <v>13.440000000000001</v>
      </c>
      <c r="I1974" s="29">
        <f>Table1[[#This Row],[Total Revenue]]/$H$5056*100</f>
        <v>1.4259268405105593E-3</v>
      </c>
      <c r="J1974" s="3" t="s">
        <v>15</v>
      </c>
      <c r="K1974" s="4">
        <v>8.1</v>
      </c>
      <c r="M1974"/>
    </row>
    <row r="1975" spans="1:13" x14ac:dyDescent="0.25">
      <c r="A1975" s="2">
        <v>45418</v>
      </c>
      <c r="B1975" s="3" t="s">
        <v>244</v>
      </c>
      <c r="C1975" s="3" t="s">
        <v>9</v>
      </c>
      <c r="D1975" s="3" t="s">
        <v>19</v>
      </c>
      <c r="E1975" s="5" t="s">
        <v>20</v>
      </c>
      <c r="F1975" s="17">
        <v>64.48</v>
      </c>
      <c r="G1975" s="3">
        <v>3</v>
      </c>
      <c r="H1975" s="17">
        <f>Table1[[#This Row],[Unit price]]*Table1[[#This Row],[Quantity]]</f>
        <v>193.44</v>
      </c>
      <c r="I1975" s="29">
        <f>Table1[[#This Row],[Total Revenue]]/$H$5056*100</f>
        <v>2.0523161311634116E-2</v>
      </c>
      <c r="J1975" s="3" t="s">
        <v>12</v>
      </c>
      <c r="K1975" s="4">
        <v>6.4</v>
      </c>
      <c r="M1975"/>
    </row>
    <row r="1976" spans="1:13" x14ac:dyDescent="0.25">
      <c r="A1976" s="2">
        <v>45418</v>
      </c>
      <c r="B1976" s="3" t="s">
        <v>245</v>
      </c>
      <c r="C1976" s="3" t="s">
        <v>13</v>
      </c>
      <c r="D1976" s="3" t="s">
        <v>10</v>
      </c>
      <c r="E1976" s="5" t="s">
        <v>11</v>
      </c>
      <c r="F1976" s="17">
        <v>5.51</v>
      </c>
      <c r="G1976" s="3">
        <v>1</v>
      </c>
      <c r="H1976" s="17">
        <f>Table1[[#This Row],[Unit price]]*Table1[[#This Row],[Quantity]]</f>
        <v>5.51</v>
      </c>
      <c r="I1976" s="29">
        <f>Table1[[#This Row],[Total Revenue]]/$H$5056*100</f>
        <v>5.8458756631050459E-4</v>
      </c>
      <c r="J1976" s="3" t="s">
        <v>17</v>
      </c>
      <c r="K1976" s="4">
        <v>8.1999999999999993</v>
      </c>
      <c r="M1976"/>
    </row>
    <row r="1977" spans="1:13" x14ac:dyDescent="0.25">
      <c r="A1977" s="2">
        <v>45418</v>
      </c>
      <c r="B1977" s="3" t="s">
        <v>243</v>
      </c>
      <c r="C1977" s="3" t="s">
        <v>9</v>
      </c>
      <c r="D1977" s="3" t="s">
        <v>10</v>
      </c>
      <c r="E1977" s="5" t="s">
        <v>11</v>
      </c>
      <c r="F1977" s="17">
        <v>5.27</v>
      </c>
      <c r="G1977" s="3">
        <v>3</v>
      </c>
      <c r="H1977" s="17">
        <f>Table1[[#This Row],[Unit price]]*Table1[[#This Row],[Quantity]]</f>
        <v>15.809999999999999</v>
      </c>
      <c r="I1977" s="29">
        <f>Table1[[#This Row],[Total Revenue]]/$H$5056*100</f>
        <v>1.677373761047019E-3</v>
      </c>
      <c r="J1977" s="3" t="s">
        <v>15</v>
      </c>
      <c r="K1977" s="4">
        <v>7.8</v>
      </c>
      <c r="M1977"/>
    </row>
    <row r="1978" spans="1:13" x14ac:dyDescent="0.25">
      <c r="A1978" s="2">
        <v>45418</v>
      </c>
      <c r="B1978" s="3" t="s">
        <v>243</v>
      </c>
      <c r="C1978" s="3" t="s">
        <v>13</v>
      </c>
      <c r="D1978" s="3" t="s">
        <v>19</v>
      </c>
      <c r="E1978" s="5" t="s">
        <v>21</v>
      </c>
      <c r="F1978" s="17">
        <v>20.53</v>
      </c>
      <c r="G1978" s="3">
        <v>3</v>
      </c>
      <c r="H1978" s="17">
        <f>Table1[[#This Row],[Unit price]]*Table1[[#This Row],[Quantity]]</f>
        <v>61.59</v>
      </c>
      <c r="I1978" s="29">
        <f>Table1[[#This Row],[Total Revenue]]/$H$5056*100</f>
        <v>6.5344370615361119E-3</v>
      </c>
      <c r="J1978" s="3" t="s">
        <v>15</v>
      </c>
      <c r="K1978" s="4">
        <v>7.9</v>
      </c>
      <c r="M1978"/>
    </row>
    <row r="1979" spans="1:13" x14ac:dyDescent="0.25">
      <c r="A1979" s="2">
        <v>45418</v>
      </c>
      <c r="B1979" s="3" t="s">
        <v>245</v>
      </c>
      <c r="C1979" s="3" t="s">
        <v>13</v>
      </c>
      <c r="D1979" s="3" t="s">
        <v>19</v>
      </c>
      <c r="E1979" s="5" t="s">
        <v>21</v>
      </c>
      <c r="F1979" s="17">
        <v>33.880000000000003</v>
      </c>
      <c r="G1979" s="3">
        <v>1</v>
      </c>
      <c r="H1979" s="17">
        <f>Table1[[#This Row],[Unit price]]*Table1[[#This Row],[Quantity]]</f>
        <v>33.880000000000003</v>
      </c>
      <c r="I1979" s="29">
        <f>Table1[[#This Row],[Total Revenue]]/$H$5056*100</f>
        <v>3.5945239104537017E-3</v>
      </c>
      <c r="J1979" s="3" t="s">
        <v>15</v>
      </c>
      <c r="K1979" s="4">
        <v>7.8</v>
      </c>
      <c r="M1979"/>
    </row>
    <row r="1980" spans="1:13" x14ac:dyDescent="0.25">
      <c r="A1980" s="2">
        <v>45418</v>
      </c>
      <c r="B1980" s="3" t="s">
        <v>243</v>
      </c>
      <c r="C1980" s="3" t="s">
        <v>9</v>
      </c>
      <c r="D1980" s="3" t="s">
        <v>10</v>
      </c>
      <c r="E1980" s="5" t="s">
        <v>11</v>
      </c>
      <c r="F1980" s="17">
        <v>6.25</v>
      </c>
      <c r="G1980" s="3">
        <v>2</v>
      </c>
      <c r="H1980" s="17">
        <f>Table1[[#This Row],[Unit price]]*Table1[[#This Row],[Quantity]]</f>
        <v>12.5</v>
      </c>
      <c r="I1980" s="29">
        <f>Table1[[#This Row],[Total Revenue]]/$H$5056*100</f>
        <v>1.3261968382724694E-3</v>
      </c>
      <c r="J1980" s="3" t="s">
        <v>15</v>
      </c>
      <c r="K1980" s="4">
        <v>7.3</v>
      </c>
      <c r="M1980"/>
    </row>
    <row r="1981" spans="1:13" x14ac:dyDescent="0.25">
      <c r="A1981" s="2">
        <v>45418</v>
      </c>
      <c r="B1981" s="3" t="s">
        <v>245</v>
      </c>
      <c r="C1981" s="3" t="s">
        <v>13</v>
      </c>
      <c r="D1981" s="3" t="s">
        <v>10</v>
      </c>
      <c r="E1981" s="5" t="s">
        <v>20</v>
      </c>
      <c r="F1981" s="17">
        <v>70.36</v>
      </c>
      <c r="G1981" s="3">
        <v>3</v>
      </c>
      <c r="H1981" s="17">
        <f>Table1[[#This Row],[Unit price]]*Table1[[#This Row],[Quantity]]</f>
        <v>211.07999999999998</v>
      </c>
      <c r="I1981" s="29">
        <f>Table1[[#This Row],[Total Revenue]]/$H$5056*100</f>
        <v>2.2394690289804228E-2</v>
      </c>
      <c r="J1981" s="3" t="s">
        <v>17</v>
      </c>
      <c r="K1981" s="4">
        <v>7.8</v>
      </c>
      <c r="M1981"/>
    </row>
    <row r="1982" spans="1:13" x14ac:dyDescent="0.25">
      <c r="A1982" s="2">
        <v>45418</v>
      </c>
      <c r="B1982" s="3" t="s">
        <v>244</v>
      </c>
      <c r="C1982" s="3" t="s">
        <v>9</v>
      </c>
      <c r="D1982" s="3" t="s">
        <v>19</v>
      </c>
      <c r="E1982" s="5" t="s">
        <v>18</v>
      </c>
      <c r="F1982" s="17">
        <v>19.41</v>
      </c>
      <c r="G1982" s="3">
        <v>2</v>
      </c>
      <c r="H1982" s="17">
        <f>Table1[[#This Row],[Unit price]]*Table1[[#This Row],[Quantity]]</f>
        <v>38.82</v>
      </c>
      <c r="I1982" s="29">
        <f>Table1[[#This Row],[Total Revenue]]/$H$5056*100</f>
        <v>4.1186369009389816E-3</v>
      </c>
      <c r="J1982" s="3" t="s">
        <v>12</v>
      </c>
      <c r="K1982" s="4">
        <v>8.3000000000000007</v>
      </c>
      <c r="M1982"/>
    </row>
    <row r="1983" spans="1:13" x14ac:dyDescent="0.25">
      <c r="A1983" s="2">
        <v>45418</v>
      </c>
      <c r="B1983" s="3" t="s">
        <v>245</v>
      </c>
      <c r="C1983" s="3" t="s">
        <v>13</v>
      </c>
      <c r="D1983" s="3" t="s">
        <v>10</v>
      </c>
      <c r="E1983" s="5" t="s">
        <v>20</v>
      </c>
      <c r="F1983" s="17">
        <v>57.03</v>
      </c>
      <c r="G1983" s="3">
        <v>4</v>
      </c>
      <c r="H1983" s="17">
        <f>Table1[[#This Row],[Unit price]]*Table1[[#This Row],[Quantity]]</f>
        <v>228.12</v>
      </c>
      <c r="I1983" s="29">
        <f>Table1[[#This Row],[Total Revenue]]/$H$5056*100</f>
        <v>2.4202561819737258E-2</v>
      </c>
      <c r="J1983" s="3" t="s">
        <v>15</v>
      </c>
      <c r="K1983" s="4">
        <v>6.4</v>
      </c>
      <c r="M1983"/>
    </row>
    <row r="1984" spans="1:13" x14ac:dyDescent="0.25">
      <c r="A1984" s="2">
        <v>45449</v>
      </c>
      <c r="B1984" s="3" t="s">
        <v>243</v>
      </c>
      <c r="C1984" s="3" t="s">
        <v>13</v>
      </c>
      <c r="D1984" s="3" t="s">
        <v>19</v>
      </c>
      <c r="E1984" s="5" t="s">
        <v>18</v>
      </c>
      <c r="F1984" s="17">
        <v>11.44</v>
      </c>
      <c r="G1984" s="3">
        <v>1</v>
      </c>
      <c r="H1984" s="17">
        <f>Table1[[#This Row],[Unit price]]*Table1[[#This Row],[Quantity]]</f>
        <v>11.44</v>
      </c>
      <c r="I1984" s="29">
        <f>Table1[[#This Row],[Total Revenue]]/$H$5056*100</f>
        <v>1.2137353463869639E-3</v>
      </c>
      <c r="J1984" s="3" t="s">
        <v>17</v>
      </c>
      <c r="K1984" s="4">
        <v>8.4</v>
      </c>
      <c r="M1984"/>
    </row>
    <row r="1985" spans="1:13" x14ac:dyDescent="0.25">
      <c r="A1985" s="2">
        <v>45449</v>
      </c>
      <c r="B1985" s="3" t="s">
        <v>245</v>
      </c>
      <c r="C1985" s="3" t="s">
        <v>13</v>
      </c>
      <c r="D1985" s="3" t="s">
        <v>10</v>
      </c>
      <c r="E1985" s="5" t="s">
        <v>18</v>
      </c>
      <c r="F1985" s="17">
        <v>16.89</v>
      </c>
      <c r="G1985" s="3">
        <v>3</v>
      </c>
      <c r="H1985" s="17">
        <f>Table1[[#This Row],[Unit price]]*Table1[[#This Row],[Quantity]]</f>
        <v>50.67</v>
      </c>
      <c r="I1985" s="29">
        <f>Table1[[#This Row],[Total Revenue]]/$H$5056*100</f>
        <v>5.3758715036212826E-3</v>
      </c>
      <c r="J1985" s="3" t="s">
        <v>17</v>
      </c>
      <c r="K1985" s="4">
        <v>5.4</v>
      </c>
      <c r="M1985"/>
    </row>
    <row r="1986" spans="1:13" x14ac:dyDescent="0.25">
      <c r="A1986" s="2">
        <v>45449</v>
      </c>
      <c r="B1986" s="3" t="s">
        <v>244</v>
      </c>
      <c r="C1986" s="3" t="s">
        <v>13</v>
      </c>
      <c r="D1986" s="3" t="s">
        <v>10</v>
      </c>
      <c r="E1986" s="5" t="s">
        <v>11</v>
      </c>
      <c r="F1986" s="17">
        <v>6.91</v>
      </c>
      <c r="G1986" s="3">
        <v>3</v>
      </c>
      <c r="H1986" s="17">
        <f>Table1[[#This Row],[Unit price]]*Table1[[#This Row],[Quantity]]</f>
        <v>20.73</v>
      </c>
      <c r="I1986" s="29">
        <f>Table1[[#This Row],[Total Revenue]]/$H$5056*100</f>
        <v>2.1993648365910634E-3</v>
      </c>
      <c r="J1986" s="3" t="s">
        <v>15</v>
      </c>
      <c r="K1986" s="4">
        <v>6</v>
      </c>
      <c r="M1986"/>
    </row>
    <row r="1987" spans="1:13" x14ac:dyDescent="0.25">
      <c r="A1987" s="2">
        <v>45449</v>
      </c>
      <c r="B1987" s="3" t="s">
        <v>244</v>
      </c>
      <c r="C1987" s="3" t="s">
        <v>13</v>
      </c>
      <c r="D1987" s="3" t="s">
        <v>10</v>
      </c>
      <c r="E1987" s="5" t="s">
        <v>18</v>
      </c>
      <c r="F1987" s="17">
        <v>11.36</v>
      </c>
      <c r="G1987" s="3">
        <v>1</v>
      </c>
      <c r="H1987" s="17">
        <f>Table1[[#This Row],[Unit price]]*Table1[[#This Row],[Quantity]]</f>
        <v>11.36</v>
      </c>
      <c r="I1987" s="29">
        <f>Table1[[#This Row],[Total Revenue]]/$H$5056*100</f>
        <v>1.2052476866220201E-3</v>
      </c>
      <c r="J1987" s="3" t="s">
        <v>12</v>
      </c>
      <c r="K1987" s="4">
        <v>6.6</v>
      </c>
      <c r="M1987"/>
    </row>
    <row r="1988" spans="1:13" x14ac:dyDescent="0.25">
      <c r="A1988" s="2">
        <v>45449</v>
      </c>
      <c r="B1988" s="3" t="s">
        <v>243</v>
      </c>
      <c r="C1988" s="3" t="s">
        <v>13</v>
      </c>
      <c r="D1988" s="3" t="s">
        <v>19</v>
      </c>
      <c r="E1988" s="5" t="s">
        <v>20</v>
      </c>
      <c r="F1988" s="17">
        <v>66.12</v>
      </c>
      <c r="G1988" s="3">
        <v>2</v>
      </c>
      <c r="H1988" s="17">
        <f>Table1[[#This Row],[Unit price]]*Table1[[#This Row],[Quantity]]</f>
        <v>132.24</v>
      </c>
      <c r="I1988" s="29">
        <f>Table1[[#This Row],[Total Revenue]]/$H$5056*100</f>
        <v>1.4030101591452109E-2</v>
      </c>
      <c r="J1988" s="3" t="s">
        <v>17</v>
      </c>
      <c r="K1988" s="4">
        <v>8</v>
      </c>
      <c r="M1988"/>
    </row>
    <row r="1989" spans="1:13" x14ac:dyDescent="0.25">
      <c r="A1989" s="2">
        <v>45449</v>
      </c>
      <c r="B1989" s="3" t="s">
        <v>244</v>
      </c>
      <c r="C1989" s="3" t="s">
        <v>13</v>
      </c>
      <c r="D1989" s="3" t="s">
        <v>19</v>
      </c>
      <c r="E1989" s="5" t="s">
        <v>11</v>
      </c>
      <c r="F1989" s="17">
        <v>2.46</v>
      </c>
      <c r="G1989" s="3">
        <v>5</v>
      </c>
      <c r="H1989" s="17">
        <f>Table1[[#This Row],[Unit price]]*Table1[[#This Row],[Quantity]]</f>
        <v>12.3</v>
      </c>
      <c r="I1989" s="29">
        <f>Table1[[#This Row],[Total Revenue]]/$H$5056*100</f>
        <v>1.3049776888601099E-3</v>
      </c>
      <c r="J1989" s="3" t="s">
        <v>12</v>
      </c>
      <c r="K1989" s="4">
        <v>7.7</v>
      </c>
      <c r="M1989"/>
    </row>
    <row r="1990" spans="1:13" x14ac:dyDescent="0.25">
      <c r="A1990" s="2">
        <v>45449</v>
      </c>
      <c r="B1990" s="3" t="s">
        <v>244</v>
      </c>
      <c r="C1990" s="3" t="s">
        <v>13</v>
      </c>
      <c r="D1990" s="3" t="s">
        <v>19</v>
      </c>
      <c r="E1990" s="5" t="s">
        <v>11</v>
      </c>
      <c r="F1990" s="17">
        <v>3.77</v>
      </c>
      <c r="G1990" s="3">
        <v>2</v>
      </c>
      <c r="H1990" s="17">
        <f>Table1[[#This Row],[Unit price]]*Table1[[#This Row],[Quantity]]</f>
        <v>7.54</v>
      </c>
      <c r="I1990" s="29">
        <f>Table1[[#This Row],[Total Revenue]]/$H$5056*100</f>
        <v>7.9996193284595355E-4</v>
      </c>
      <c r="J1990" s="3" t="s">
        <v>12</v>
      </c>
      <c r="K1990" s="4">
        <v>7.7</v>
      </c>
      <c r="M1990"/>
    </row>
    <row r="1991" spans="1:13" x14ac:dyDescent="0.25">
      <c r="A1991" s="2">
        <v>45449</v>
      </c>
      <c r="B1991" s="3" t="s">
        <v>243</v>
      </c>
      <c r="C1991" s="3" t="s">
        <v>13</v>
      </c>
      <c r="D1991" s="3" t="s">
        <v>19</v>
      </c>
      <c r="E1991" s="5" t="s">
        <v>11</v>
      </c>
      <c r="F1991" s="17">
        <v>4.24</v>
      </c>
      <c r="G1991" s="3">
        <v>1</v>
      </c>
      <c r="H1991" s="17">
        <f>Table1[[#This Row],[Unit price]]*Table1[[#This Row],[Quantity]]</f>
        <v>4.24</v>
      </c>
      <c r="I1991" s="29">
        <f>Table1[[#This Row],[Total Revenue]]/$H$5056*100</f>
        <v>4.4984596754202164E-4</v>
      </c>
      <c r="J1991" s="3" t="s">
        <v>12</v>
      </c>
      <c r="K1991" s="4">
        <v>8.4</v>
      </c>
      <c r="M1991"/>
    </row>
    <row r="1992" spans="1:13" x14ac:dyDescent="0.25">
      <c r="A1992" s="2">
        <v>45449</v>
      </c>
      <c r="B1992" s="3" t="s">
        <v>244</v>
      </c>
      <c r="C1992" s="3" t="s">
        <v>13</v>
      </c>
      <c r="D1992" s="3" t="s">
        <v>19</v>
      </c>
      <c r="E1992" s="5" t="s">
        <v>20</v>
      </c>
      <c r="F1992" s="17">
        <v>74.290000000000006</v>
      </c>
      <c r="G1992" s="3">
        <v>4</v>
      </c>
      <c r="H1992" s="17">
        <f>Table1[[#This Row],[Unit price]]*Table1[[#This Row],[Quantity]]</f>
        <v>297.16000000000003</v>
      </c>
      <c r="I1992" s="29">
        <f>Table1[[#This Row],[Total Revenue]]/$H$5056*100</f>
        <v>3.1527412196883764E-2</v>
      </c>
      <c r="J1992" s="3" t="s">
        <v>12</v>
      </c>
      <c r="K1992" s="4">
        <v>5.5</v>
      </c>
      <c r="M1992"/>
    </row>
    <row r="1993" spans="1:13" x14ac:dyDescent="0.25">
      <c r="A1993" s="2">
        <v>45449</v>
      </c>
      <c r="B1993" s="3" t="s">
        <v>244</v>
      </c>
      <c r="C1993" s="3" t="s">
        <v>13</v>
      </c>
      <c r="D1993" s="3" t="s">
        <v>10</v>
      </c>
      <c r="E1993" s="5" t="s">
        <v>18</v>
      </c>
      <c r="F1993" s="17">
        <v>11.99</v>
      </c>
      <c r="G1993" s="3">
        <v>1</v>
      </c>
      <c r="H1993" s="17">
        <f>Table1[[#This Row],[Unit price]]*Table1[[#This Row],[Quantity]]</f>
        <v>11.99</v>
      </c>
      <c r="I1993" s="29">
        <f>Table1[[#This Row],[Total Revenue]]/$H$5056*100</f>
        <v>1.2720880072709527E-3</v>
      </c>
      <c r="J1993" s="3" t="s">
        <v>15</v>
      </c>
      <c r="K1993" s="4">
        <v>9.8000000000000007</v>
      </c>
      <c r="M1993"/>
    </row>
    <row r="1994" spans="1:13" x14ac:dyDescent="0.25">
      <c r="A1994" s="2">
        <v>45449</v>
      </c>
      <c r="B1994" s="3" t="s">
        <v>243</v>
      </c>
      <c r="C1994" s="3" t="s">
        <v>9</v>
      </c>
      <c r="D1994" s="3" t="s">
        <v>19</v>
      </c>
      <c r="E1994" s="5" t="s">
        <v>11</v>
      </c>
      <c r="F1994" s="17">
        <v>3.92</v>
      </c>
      <c r="G1994" s="3">
        <v>2</v>
      </c>
      <c r="H1994" s="17">
        <f>Table1[[#This Row],[Unit price]]*Table1[[#This Row],[Quantity]]</f>
        <v>7.84</v>
      </c>
      <c r="I1994" s="29">
        <f>Table1[[#This Row],[Total Revenue]]/$H$5056*100</f>
        <v>8.3179065696449279E-4</v>
      </c>
      <c r="J1994" s="3" t="s">
        <v>17</v>
      </c>
      <c r="K1994" s="4">
        <v>7.7</v>
      </c>
      <c r="M1994"/>
    </row>
    <row r="1995" spans="1:13" x14ac:dyDescent="0.25">
      <c r="A1995" s="2">
        <v>45449</v>
      </c>
      <c r="B1995" s="3" t="s">
        <v>243</v>
      </c>
      <c r="C1995" s="3" t="s">
        <v>13</v>
      </c>
      <c r="D1995" s="3" t="s">
        <v>10</v>
      </c>
      <c r="E1995" s="5" t="s">
        <v>18</v>
      </c>
      <c r="F1995" s="17">
        <v>8.56</v>
      </c>
      <c r="G1995" s="3">
        <v>2</v>
      </c>
      <c r="H1995" s="17">
        <f>Table1[[#This Row],[Unit price]]*Table1[[#This Row],[Quantity]]</f>
        <v>17.12</v>
      </c>
      <c r="I1995" s="29">
        <f>Table1[[#This Row],[Total Revenue]]/$H$5056*100</f>
        <v>1.8163591896979742E-3</v>
      </c>
      <c r="J1995" s="3" t="s">
        <v>17</v>
      </c>
      <c r="K1995" s="4">
        <v>6.7</v>
      </c>
      <c r="M1995"/>
    </row>
    <row r="1996" spans="1:13" x14ac:dyDescent="0.25">
      <c r="A1996" s="2">
        <v>45449</v>
      </c>
      <c r="B1996" s="3" t="s">
        <v>243</v>
      </c>
      <c r="C1996" s="3" t="s">
        <v>13</v>
      </c>
      <c r="D1996" s="3" t="s">
        <v>10</v>
      </c>
      <c r="E1996" s="5" t="s">
        <v>20</v>
      </c>
      <c r="F1996" s="17">
        <v>67.760000000000005</v>
      </c>
      <c r="G1996" s="3">
        <v>5</v>
      </c>
      <c r="H1996" s="17">
        <f>Table1[[#This Row],[Unit price]]*Table1[[#This Row],[Quantity]]</f>
        <v>338.8</v>
      </c>
      <c r="I1996" s="29">
        <f>Table1[[#This Row],[Total Revenue]]/$H$5056*100</f>
        <v>3.5945239104537015E-2</v>
      </c>
      <c r="J1996" s="3" t="s">
        <v>17</v>
      </c>
      <c r="K1996" s="4">
        <v>8</v>
      </c>
      <c r="M1996"/>
    </row>
    <row r="1997" spans="1:13" x14ac:dyDescent="0.25">
      <c r="A1997" s="2">
        <v>45449</v>
      </c>
      <c r="B1997" s="3" t="s">
        <v>243</v>
      </c>
      <c r="C1997" s="3" t="s">
        <v>9</v>
      </c>
      <c r="D1997" s="3" t="s">
        <v>10</v>
      </c>
      <c r="E1997" s="5" t="s">
        <v>11</v>
      </c>
      <c r="F1997" s="17">
        <v>4.28</v>
      </c>
      <c r="G1997" s="3">
        <v>1</v>
      </c>
      <c r="H1997" s="17">
        <f>Table1[[#This Row],[Unit price]]*Table1[[#This Row],[Quantity]]</f>
        <v>4.28</v>
      </c>
      <c r="I1997" s="29">
        <f>Table1[[#This Row],[Total Revenue]]/$H$5056*100</f>
        <v>4.5408979742449354E-4</v>
      </c>
      <c r="J1997" s="3" t="s">
        <v>17</v>
      </c>
      <c r="K1997" s="4">
        <v>6.8</v>
      </c>
      <c r="M1997"/>
    </row>
    <row r="1998" spans="1:13" x14ac:dyDescent="0.25">
      <c r="A1998" s="2">
        <v>45449</v>
      </c>
      <c r="B1998" s="3" t="s">
        <v>243</v>
      </c>
      <c r="C1998" s="3" t="s">
        <v>13</v>
      </c>
      <c r="D1998" s="3" t="s">
        <v>10</v>
      </c>
      <c r="E1998" s="5" t="s">
        <v>11</v>
      </c>
      <c r="F1998" s="17">
        <v>6.59</v>
      </c>
      <c r="G1998" s="3">
        <v>3</v>
      </c>
      <c r="H1998" s="17">
        <f>Table1[[#This Row],[Unit price]]*Table1[[#This Row],[Quantity]]</f>
        <v>19.77</v>
      </c>
      <c r="I1998" s="29">
        <f>Table1[[#This Row],[Total Revenue]]/$H$5056*100</f>
        <v>2.0975129194117379E-3</v>
      </c>
      <c r="J1998" s="3" t="s">
        <v>15</v>
      </c>
      <c r="K1998" s="4">
        <v>7.5</v>
      </c>
      <c r="M1998"/>
    </row>
    <row r="1999" spans="1:13" x14ac:dyDescent="0.25">
      <c r="A1999" s="2">
        <v>45479</v>
      </c>
      <c r="B1999" s="3" t="s">
        <v>243</v>
      </c>
      <c r="C1999" s="3" t="s">
        <v>13</v>
      </c>
      <c r="D1999" s="3" t="s">
        <v>19</v>
      </c>
      <c r="E1999" s="5" t="s">
        <v>11</v>
      </c>
      <c r="F1999" s="17">
        <v>4.07</v>
      </c>
      <c r="G1999" s="3">
        <v>3</v>
      </c>
      <c r="H1999" s="17">
        <f>Table1[[#This Row],[Unit price]]*Table1[[#This Row],[Quantity]]</f>
        <v>12.21</v>
      </c>
      <c r="I1999" s="29">
        <f>Table1[[#This Row],[Total Revenue]]/$H$5056*100</f>
        <v>1.2954290716245482E-3</v>
      </c>
      <c r="J1999" s="3" t="s">
        <v>15</v>
      </c>
      <c r="K1999" s="4">
        <v>5.6</v>
      </c>
      <c r="M1999"/>
    </row>
    <row r="2000" spans="1:13" x14ac:dyDescent="0.25">
      <c r="A2000" s="2">
        <v>45479</v>
      </c>
      <c r="B2000" s="3" t="s">
        <v>243</v>
      </c>
      <c r="C2000" s="3" t="s">
        <v>13</v>
      </c>
      <c r="D2000" s="3" t="s">
        <v>10</v>
      </c>
      <c r="E2000" s="5" t="s">
        <v>11</v>
      </c>
      <c r="F2000" s="17">
        <v>6.43</v>
      </c>
      <c r="G2000" s="3">
        <v>5</v>
      </c>
      <c r="H2000" s="17">
        <f>Table1[[#This Row],[Unit price]]*Table1[[#This Row],[Quantity]]</f>
        <v>32.15</v>
      </c>
      <c r="I2000" s="29">
        <f>Table1[[#This Row],[Total Revenue]]/$H$5056*100</f>
        <v>3.4109782680367914E-3</v>
      </c>
      <c r="J2000" s="3" t="s">
        <v>12</v>
      </c>
      <c r="K2000" s="4">
        <v>7.6</v>
      </c>
      <c r="M2000"/>
    </row>
    <row r="2001" spans="1:13" x14ac:dyDescent="0.25">
      <c r="A2001" s="2">
        <v>45479</v>
      </c>
      <c r="B2001" s="3" t="s">
        <v>244</v>
      </c>
      <c r="C2001" s="3" t="s">
        <v>13</v>
      </c>
      <c r="D2001" s="3" t="s">
        <v>19</v>
      </c>
      <c r="E2001" s="5" t="s">
        <v>11</v>
      </c>
      <c r="F2001" s="17">
        <v>4.4000000000000004</v>
      </c>
      <c r="G2001" s="3">
        <v>4</v>
      </c>
      <c r="H2001" s="17">
        <f>Table1[[#This Row],[Unit price]]*Table1[[#This Row],[Quantity]]</f>
        <v>17.600000000000001</v>
      </c>
      <c r="I2001" s="29">
        <f>Table1[[#This Row],[Total Revenue]]/$H$5056*100</f>
        <v>1.8672851482876372E-3</v>
      </c>
      <c r="J2001" s="3" t="s">
        <v>15</v>
      </c>
      <c r="K2001" s="4">
        <v>7.3</v>
      </c>
      <c r="M2001"/>
    </row>
    <row r="2002" spans="1:13" x14ac:dyDescent="0.25">
      <c r="A2002" s="2">
        <v>45479</v>
      </c>
      <c r="B2002" s="3" t="s">
        <v>244</v>
      </c>
      <c r="C2002" s="3" t="s">
        <v>13</v>
      </c>
      <c r="D2002" s="3" t="s">
        <v>10</v>
      </c>
      <c r="E2002" s="5" t="s">
        <v>20</v>
      </c>
      <c r="F2002" s="17">
        <v>61.34</v>
      </c>
      <c r="G2002" s="3">
        <v>1</v>
      </c>
      <c r="H2002" s="17">
        <f>Table1[[#This Row],[Unit price]]*Table1[[#This Row],[Quantity]]</f>
        <v>61.34</v>
      </c>
      <c r="I2002" s="29">
        <f>Table1[[#This Row],[Total Revenue]]/$H$5056*100</f>
        <v>6.5079131247706623E-3</v>
      </c>
      <c r="J2002" s="3" t="s">
        <v>15</v>
      </c>
      <c r="K2002" s="4">
        <v>8.3000000000000007</v>
      </c>
      <c r="M2002"/>
    </row>
    <row r="2003" spans="1:13" x14ac:dyDescent="0.25">
      <c r="A2003" s="2">
        <v>45479</v>
      </c>
      <c r="B2003" s="3" t="s">
        <v>243</v>
      </c>
      <c r="C2003" s="3" t="s">
        <v>13</v>
      </c>
      <c r="D2003" s="3" t="s">
        <v>19</v>
      </c>
      <c r="E2003" s="5" t="s">
        <v>18</v>
      </c>
      <c r="F2003" s="17">
        <v>13.33</v>
      </c>
      <c r="G2003" s="3">
        <v>3</v>
      </c>
      <c r="H2003" s="17">
        <f>Table1[[#This Row],[Unit price]]*Table1[[#This Row],[Quantity]]</f>
        <v>39.99</v>
      </c>
      <c r="I2003" s="29">
        <f>Table1[[#This Row],[Total Revenue]]/$H$5056*100</f>
        <v>4.242768925001284E-3</v>
      </c>
      <c r="J2003" s="3" t="s">
        <v>17</v>
      </c>
      <c r="K2003" s="4">
        <v>7</v>
      </c>
      <c r="M2003"/>
    </row>
    <row r="2004" spans="1:13" x14ac:dyDescent="0.25">
      <c r="A2004" s="2">
        <v>45479</v>
      </c>
      <c r="B2004" s="3" t="s">
        <v>245</v>
      </c>
      <c r="C2004" s="3" t="s">
        <v>13</v>
      </c>
      <c r="D2004" s="3" t="s">
        <v>19</v>
      </c>
      <c r="E2004" s="5" t="s">
        <v>11</v>
      </c>
      <c r="F2004" s="17">
        <v>6.2</v>
      </c>
      <c r="G2004" s="3">
        <v>2</v>
      </c>
      <c r="H2004" s="17">
        <f>Table1[[#This Row],[Unit price]]*Table1[[#This Row],[Quantity]]</f>
        <v>12.4</v>
      </c>
      <c r="I2004" s="29">
        <f>Table1[[#This Row],[Total Revenue]]/$H$5056*100</f>
        <v>1.3155872635662897E-3</v>
      </c>
      <c r="J2004" s="3" t="s">
        <v>17</v>
      </c>
      <c r="K2004" s="4">
        <v>7.5</v>
      </c>
      <c r="M2004"/>
    </row>
    <row r="2005" spans="1:13" x14ac:dyDescent="0.25">
      <c r="A2005" s="2">
        <v>45479</v>
      </c>
      <c r="B2005" s="3" t="s">
        <v>244</v>
      </c>
      <c r="C2005" s="3" t="s">
        <v>13</v>
      </c>
      <c r="D2005" s="3" t="s">
        <v>10</v>
      </c>
      <c r="E2005" s="5" t="s">
        <v>16</v>
      </c>
      <c r="F2005" s="17">
        <v>53.13</v>
      </c>
      <c r="G2005" s="3">
        <v>2</v>
      </c>
      <c r="H2005" s="17">
        <f>Table1[[#This Row],[Unit price]]*Table1[[#This Row],[Quantity]]</f>
        <v>106.26</v>
      </c>
      <c r="I2005" s="29">
        <f>Table1[[#This Row],[Total Revenue]]/$H$5056*100</f>
        <v>1.1273734082786608E-2</v>
      </c>
      <c r="J2005" s="3" t="s">
        <v>12</v>
      </c>
      <c r="K2005" s="4">
        <v>7</v>
      </c>
      <c r="M2005"/>
    </row>
    <row r="2006" spans="1:13" x14ac:dyDescent="0.25">
      <c r="A2006" s="2">
        <v>45479</v>
      </c>
      <c r="B2006" s="3" t="s">
        <v>243</v>
      </c>
      <c r="C2006" s="3" t="s">
        <v>13</v>
      </c>
      <c r="D2006" s="3" t="s">
        <v>10</v>
      </c>
      <c r="E2006" s="5" t="s">
        <v>11</v>
      </c>
      <c r="F2006" s="17">
        <v>7.28</v>
      </c>
      <c r="G2006" s="3">
        <v>5</v>
      </c>
      <c r="H2006" s="17">
        <f>Table1[[#This Row],[Unit price]]*Table1[[#This Row],[Quantity]]</f>
        <v>36.4</v>
      </c>
      <c r="I2006" s="29">
        <f>Table1[[#This Row],[Total Revenue]]/$H$5056*100</f>
        <v>3.8618851930494304E-3</v>
      </c>
      <c r="J2006" s="3" t="s">
        <v>12</v>
      </c>
      <c r="K2006" s="4">
        <v>7.4</v>
      </c>
      <c r="M2006"/>
    </row>
    <row r="2007" spans="1:13" x14ac:dyDescent="0.25">
      <c r="A2007" s="2">
        <v>45479</v>
      </c>
      <c r="B2007" s="3" t="s">
        <v>244</v>
      </c>
      <c r="C2007" s="3" t="s">
        <v>9</v>
      </c>
      <c r="D2007" s="3" t="s">
        <v>19</v>
      </c>
      <c r="E2007" s="5" t="s">
        <v>11</v>
      </c>
      <c r="F2007" s="17">
        <v>4.74</v>
      </c>
      <c r="G2007" s="3">
        <v>2</v>
      </c>
      <c r="H2007" s="17">
        <f>Table1[[#This Row],[Unit price]]*Table1[[#This Row],[Quantity]]</f>
        <v>9.48</v>
      </c>
      <c r="I2007" s="29">
        <f>Table1[[#This Row],[Total Revenue]]/$H$5056*100</f>
        <v>1.0057876821458409E-3</v>
      </c>
      <c r="J2007" s="3" t="s">
        <v>17</v>
      </c>
      <c r="K2007" s="4">
        <v>8</v>
      </c>
      <c r="M2007"/>
    </row>
    <row r="2008" spans="1:13" x14ac:dyDescent="0.25">
      <c r="A2008" s="2">
        <v>45479</v>
      </c>
      <c r="B2008" s="3" t="s">
        <v>243</v>
      </c>
      <c r="C2008" s="3" t="s">
        <v>9</v>
      </c>
      <c r="D2008" s="3" t="s">
        <v>19</v>
      </c>
      <c r="E2008" s="5" t="s">
        <v>11</v>
      </c>
      <c r="F2008" s="17">
        <v>6.57</v>
      </c>
      <c r="G2008" s="3">
        <v>3</v>
      </c>
      <c r="H2008" s="17">
        <f>Table1[[#This Row],[Unit price]]*Table1[[#This Row],[Quantity]]</f>
        <v>19.71</v>
      </c>
      <c r="I2008" s="29">
        <f>Table1[[#This Row],[Total Revenue]]/$H$5056*100</f>
        <v>2.09114717458803E-3</v>
      </c>
      <c r="J2008" s="3" t="s">
        <v>15</v>
      </c>
      <c r="K2008" s="4">
        <v>7.3</v>
      </c>
      <c r="M2008"/>
    </row>
    <row r="2009" spans="1:13" x14ac:dyDescent="0.25">
      <c r="A2009" s="2">
        <v>45479</v>
      </c>
      <c r="B2009" s="3" t="s">
        <v>245</v>
      </c>
      <c r="C2009" s="3" t="s">
        <v>13</v>
      </c>
      <c r="D2009" s="3" t="s">
        <v>19</v>
      </c>
      <c r="E2009" s="5" t="s">
        <v>11</v>
      </c>
      <c r="F2009" s="17">
        <v>4.54</v>
      </c>
      <c r="G2009" s="3">
        <v>2</v>
      </c>
      <c r="H2009" s="17">
        <f>Table1[[#This Row],[Unit price]]*Table1[[#This Row],[Quantity]]</f>
        <v>9.08</v>
      </c>
      <c r="I2009" s="29">
        <f>Table1[[#This Row],[Total Revenue]]/$H$5056*100</f>
        <v>9.6334938332112176E-4</v>
      </c>
      <c r="J2009" s="3" t="s">
        <v>17</v>
      </c>
      <c r="K2009" s="4">
        <v>5.4</v>
      </c>
      <c r="M2009"/>
    </row>
    <row r="2010" spans="1:13" x14ac:dyDescent="0.25">
      <c r="A2010" s="2">
        <v>45479</v>
      </c>
      <c r="B2010" s="3" t="s">
        <v>245</v>
      </c>
      <c r="C2010" s="3" t="s">
        <v>9</v>
      </c>
      <c r="D2010" s="3" t="s">
        <v>19</v>
      </c>
      <c r="E2010" s="5" t="s">
        <v>21</v>
      </c>
      <c r="F2010" s="17">
        <v>30.61</v>
      </c>
      <c r="G2010" s="3">
        <v>1</v>
      </c>
      <c r="H2010" s="17">
        <f>Table1[[#This Row],[Unit price]]*Table1[[#This Row],[Quantity]]</f>
        <v>30.61</v>
      </c>
      <c r="I2010" s="29">
        <f>Table1[[#This Row],[Total Revenue]]/$H$5056*100</f>
        <v>3.2475908175616229E-3</v>
      </c>
      <c r="J2010" s="3" t="s">
        <v>17</v>
      </c>
      <c r="K2010" s="4">
        <v>6.9</v>
      </c>
      <c r="M2010"/>
    </row>
    <row r="2011" spans="1:13" x14ac:dyDescent="0.25">
      <c r="A2011" s="2">
        <v>45479</v>
      </c>
      <c r="B2011" s="3" t="s">
        <v>243</v>
      </c>
      <c r="C2011" s="3" t="s">
        <v>9</v>
      </c>
      <c r="D2011" s="3" t="s">
        <v>10</v>
      </c>
      <c r="E2011" s="5" t="s">
        <v>11</v>
      </c>
      <c r="F2011" s="17">
        <v>6.35</v>
      </c>
      <c r="G2011" s="3">
        <v>2</v>
      </c>
      <c r="H2011" s="17">
        <f>Table1[[#This Row],[Unit price]]*Table1[[#This Row],[Quantity]]</f>
        <v>12.7</v>
      </c>
      <c r="I2011" s="29">
        <f>Table1[[#This Row],[Total Revenue]]/$H$5056*100</f>
        <v>1.3474159876848289E-3</v>
      </c>
      <c r="J2011" s="3" t="s">
        <v>15</v>
      </c>
      <c r="K2011" s="4">
        <v>6.2</v>
      </c>
      <c r="M2011"/>
    </row>
    <row r="2012" spans="1:13" x14ac:dyDescent="0.25">
      <c r="A2012" s="2">
        <v>45479</v>
      </c>
      <c r="B2012" s="3" t="s">
        <v>245</v>
      </c>
      <c r="C2012" s="3" t="s">
        <v>13</v>
      </c>
      <c r="D2012" s="3" t="s">
        <v>19</v>
      </c>
      <c r="E2012" s="5" t="s">
        <v>20</v>
      </c>
      <c r="F2012" s="17">
        <v>63</v>
      </c>
      <c r="G2012" s="3">
        <v>4</v>
      </c>
      <c r="H2012" s="17">
        <f>Table1[[#This Row],[Unit price]]*Table1[[#This Row],[Quantity]]</f>
        <v>252</v>
      </c>
      <c r="I2012" s="29">
        <f>Table1[[#This Row],[Total Revenue]]/$H$5056*100</f>
        <v>2.6736128259572983E-2</v>
      </c>
      <c r="J2012" s="3" t="s">
        <v>15</v>
      </c>
      <c r="K2012" s="4">
        <v>6.9</v>
      </c>
      <c r="M2012"/>
    </row>
    <row r="2013" spans="1:13" x14ac:dyDescent="0.25">
      <c r="A2013" s="2">
        <v>45510</v>
      </c>
      <c r="B2013" s="3" t="s">
        <v>243</v>
      </c>
      <c r="C2013" s="3" t="s">
        <v>9</v>
      </c>
      <c r="D2013" s="3" t="s">
        <v>10</v>
      </c>
      <c r="E2013" s="5" t="s">
        <v>20</v>
      </c>
      <c r="F2013" s="17">
        <v>56.67</v>
      </c>
      <c r="G2013" s="3">
        <v>2</v>
      </c>
      <c r="H2013" s="17">
        <f>Table1[[#This Row],[Unit price]]*Table1[[#This Row],[Quantity]]</f>
        <v>113.34</v>
      </c>
      <c r="I2013" s="29">
        <f>Table1[[#This Row],[Total Revenue]]/$H$5056*100</f>
        <v>1.2024891971984135E-2</v>
      </c>
      <c r="J2013" s="3" t="s">
        <v>17</v>
      </c>
      <c r="K2013" s="4">
        <v>7.3</v>
      </c>
      <c r="M2013"/>
    </row>
    <row r="2014" spans="1:13" x14ac:dyDescent="0.25">
      <c r="A2014" s="2">
        <v>45510</v>
      </c>
      <c r="B2014" s="3" t="s">
        <v>245</v>
      </c>
      <c r="C2014" s="3" t="s">
        <v>13</v>
      </c>
      <c r="D2014" s="3" t="s">
        <v>10</v>
      </c>
      <c r="E2014" s="5" t="s">
        <v>21</v>
      </c>
      <c r="F2014" s="17">
        <v>23.25</v>
      </c>
      <c r="G2014" s="3">
        <v>3</v>
      </c>
      <c r="H2014" s="17">
        <f>Table1[[#This Row],[Unit price]]*Table1[[#This Row],[Quantity]]</f>
        <v>69.75</v>
      </c>
      <c r="I2014" s="29">
        <f>Table1[[#This Row],[Total Revenue]]/$H$5056*100</f>
        <v>7.4001783575603792E-3</v>
      </c>
      <c r="J2014" s="3" t="s">
        <v>15</v>
      </c>
      <c r="K2014" s="4">
        <v>5.0999999999999996</v>
      </c>
      <c r="M2014"/>
    </row>
    <row r="2015" spans="1:13" x14ac:dyDescent="0.25">
      <c r="A2015" s="2">
        <v>45510</v>
      </c>
      <c r="B2015" s="3" t="s">
        <v>244</v>
      </c>
      <c r="C2015" s="3" t="s">
        <v>9</v>
      </c>
      <c r="D2015" s="3" t="s">
        <v>10</v>
      </c>
      <c r="E2015" s="5" t="s">
        <v>16</v>
      </c>
      <c r="F2015" s="17">
        <v>69.239999999999995</v>
      </c>
      <c r="G2015" s="3">
        <v>3</v>
      </c>
      <c r="H2015" s="17">
        <f>Table1[[#This Row],[Unit price]]*Table1[[#This Row],[Quantity]]</f>
        <v>207.71999999999997</v>
      </c>
      <c r="I2015" s="29">
        <f>Table1[[#This Row],[Total Revenue]]/$H$5056*100</f>
        <v>2.2038208579676585E-2</v>
      </c>
      <c r="J2015" s="3" t="s">
        <v>15</v>
      </c>
      <c r="K2015" s="4">
        <v>8.8000000000000007</v>
      </c>
      <c r="M2015"/>
    </row>
    <row r="2016" spans="1:13" x14ac:dyDescent="0.25">
      <c r="A2016" s="2">
        <v>45510</v>
      </c>
      <c r="B2016" s="3" t="s">
        <v>244</v>
      </c>
      <c r="C2016" s="3" t="s">
        <v>9</v>
      </c>
      <c r="D2016" s="3" t="s">
        <v>19</v>
      </c>
      <c r="E2016" s="5" t="s">
        <v>16</v>
      </c>
      <c r="F2016" s="17">
        <v>49.08</v>
      </c>
      <c r="G2016" s="3">
        <v>3</v>
      </c>
      <c r="H2016" s="17">
        <f>Table1[[#This Row],[Unit price]]*Table1[[#This Row],[Quantity]]</f>
        <v>147.24</v>
      </c>
      <c r="I2016" s="29">
        <f>Table1[[#This Row],[Total Revenue]]/$H$5056*100</f>
        <v>1.5621537797379072E-2</v>
      </c>
      <c r="J2016" s="3" t="s">
        <v>15</v>
      </c>
      <c r="K2016" s="4">
        <v>6.5</v>
      </c>
      <c r="M2016"/>
    </row>
    <row r="2017" spans="1:13" x14ac:dyDescent="0.25">
      <c r="A2017" s="2">
        <v>45510</v>
      </c>
      <c r="B2017" s="3" t="s">
        <v>245</v>
      </c>
      <c r="C2017" s="3" t="s">
        <v>13</v>
      </c>
      <c r="D2017" s="3" t="s">
        <v>19</v>
      </c>
      <c r="E2017" s="5" t="s">
        <v>11</v>
      </c>
      <c r="F2017" s="17">
        <v>7.4</v>
      </c>
      <c r="G2017" s="3">
        <v>3</v>
      </c>
      <c r="H2017" s="17">
        <f>Table1[[#This Row],[Unit price]]*Table1[[#This Row],[Quantity]]</f>
        <v>22.200000000000003</v>
      </c>
      <c r="I2017" s="29">
        <f>Table1[[#This Row],[Total Revenue]]/$H$5056*100</f>
        <v>2.3553255847719059E-3</v>
      </c>
      <c r="J2017" s="3" t="s">
        <v>17</v>
      </c>
      <c r="K2017" s="4">
        <v>7.8</v>
      </c>
      <c r="M2017"/>
    </row>
    <row r="2018" spans="1:13" x14ac:dyDescent="0.25">
      <c r="A2018" s="2">
        <v>45510</v>
      </c>
      <c r="B2018" s="3" t="s">
        <v>245</v>
      </c>
      <c r="C2018" s="3" t="s">
        <v>13</v>
      </c>
      <c r="D2018" s="3" t="s">
        <v>10</v>
      </c>
      <c r="E2018" s="5" t="s">
        <v>16</v>
      </c>
      <c r="F2018" s="17">
        <v>59.01</v>
      </c>
      <c r="G2018" s="3">
        <v>1</v>
      </c>
      <c r="H2018" s="17">
        <f>Table1[[#This Row],[Unit price]]*Table1[[#This Row],[Quantity]]</f>
        <v>59.01</v>
      </c>
      <c r="I2018" s="29">
        <f>Table1[[#This Row],[Total Revenue]]/$H$5056*100</f>
        <v>6.260710034116674E-3</v>
      </c>
      <c r="J2018" s="3" t="s">
        <v>17</v>
      </c>
      <c r="K2018" s="4">
        <v>5.6</v>
      </c>
      <c r="M2018"/>
    </row>
    <row r="2019" spans="1:13" x14ac:dyDescent="0.25">
      <c r="A2019" s="2">
        <v>45510</v>
      </c>
      <c r="B2019" s="3" t="s">
        <v>244</v>
      </c>
      <c r="C2019" s="3" t="s">
        <v>9</v>
      </c>
      <c r="D2019" s="3" t="s">
        <v>10</v>
      </c>
      <c r="E2019" s="5" t="s">
        <v>21</v>
      </c>
      <c r="F2019" s="17">
        <v>28.07</v>
      </c>
      <c r="G2019" s="3">
        <v>3</v>
      </c>
      <c r="H2019" s="17">
        <f>Table1[[#This Row],[Unit price]]*Table1[[#This Row],[Quantity]]</f>
        <v>84.210000000000008</v>
      </c>
      <c r="I2019" s="29">
        <f>Table1[[#This Row],[Total Revenue]]/$H$5056*100</f>
        <v>8.9343228600739719E-3</v>
      </c>
      <c r="J2019" s="3" t="s">
        <v>15</v>
      </c>
      <c r="K2019" s="4">
        <v>7.1</v>
      </c>
      <c r="M2019"/>
    </row>
    <row r="2020" spans="1:13" x14ac:dyDescent="0.25">
      <c r="A2020" s="2">
        <v>45510</v>
      </c>
      <c r="B2020" s="3" t="s">
        <v>244</v>
      </c>
      <c r="C2020" s="3" t="s">
        <v>13</v>
      </c>
      <c r="D2020" s="3" t="s">
        <v>19</v>
      </c>
      <c r="E2020" s="5" t="s">
        <v>11</v>
      </c>
      <c r="F2020" s="17">
        <v>5.39</v>
      </c>
      <c r="G2020" s="3">
        <v>4</v>
      </c>
      <c r="H2020" s="17">
        <f>Table1[[#This Row],[Unit price]]*Table1[[#This Row],[Quantity]]</f>
        <v>21.56</v>
      </c>
      <c r="I2020" s="29">
        <f>Table1[[#This Row],[Total Revenue]]/$H$5056*100</f>
        <v>2.2874243066523551E-3</v>
      </c>
      <c r="J2020" s="3" t="s">
        <v>15</v>
      </c>
      <c r="K2020" s="4">
        <v>7.8</v>
      </c>
      <c r="M2020"/>
    </row>
    <row r="2021" spans="1:13" x14ac:dyDescent="0.25">
      <c r="A2021" s="2">
        <v>45510</v>
      </c>
      <c r="B2021" s="3" t="s">
        <v>243</v>
      </c>
      <c r="C2021" s="3" t="s">
        <v>13</v>
      </c>
      <c r="D2021" s="3" t="s">
        <v>19</v>
      </c>
      <c r="E2021" s="5" t="s">
        <v>11</v>
      </c>
      <c r="F2021" s="17">
        <v>7.3</v>
      </c>
      <c r="G2021" s="3">
        <v>4</v>
      </c>
      <c r="H2021" s="17">
        <f>Table1[[#This Row],[Unit price]]*Table1[[#This Row],[Quantity]]</f>
        <v>29.2</v>
      </c>
      <c r="I2021" s="29">
        <f>Table1[[#This Row],[Total Revenue]]/$H$5056*100</f>
        <v>3.0979958142044886E-3</v>
      </c>
      <c r="J2021" s="3" t="s">
        <v>15</v>
      </c>
      <c r="K2021" s="4">
        <v>8.1999999999999993</v>
      </c>
      <c r="M2021"/>
    </row>
    <row r="2022" spans="1:13" x14ac:dyDescent="0.25">
      <c r="A2022" s="2">
        <v>45510</v>
      </c>
      <c r="B2022" s="3" t="s">
        <v>243</v>
      </c>
      <c r="C2022" s="3" t="s">
        <v>13</v>
      </c>
      <c r="D2022" s="3" t="s">
        <v>19</v>
      </c>
      <c r="E2022" s="5" t="s">
        <v>11</v>
      </c>
      <c r="F2022" s="17">
        <v>6.98</v>
      </c>
      <c r="G2022" s="3">
        <v>3</v>
      </c>
      <c r="H2022" s="17">
        <f>Table1[[#This Row],[Unit price]]*Table1[[#This Row],[Quantity]]</f>
        <v>20.94</v>
      </c>
      <c r="I2022" s="29">
        <f>Table1[[#This Row],[Total Revenue]]/$H$5056*100</f>
        <v>2.2216449434740411E-3</v>
      </c>
      <c r="J2022" s="3" t="s">
        <v>17</v>
      </c>
      <c r="K2022" s="4">
        <v>7.3</v>
      </c>
      <c r="M2022"/>
    </row>
    <row r="2023" spans="1:13" x14ac:dyDescent="0.25">
      <c r="A2023" s="2">
        <v>45510</v>
      </c>
      <c r="B2023" s="3" t="s">
        <v>245</v>
      </c>
      <c r="C2023" s="3" t="s">
        <v>13</v>
      </c>
      <c r="D2023" s="3" t="s">
        <v>19</v>
      </c>
      <c r="E2023" s="5" t="s">
        <v>16</v>
      </c>
      <c r="F2023" s="17">
        <v>71.83</v>
      </c>
      <c r="G2023" s="3">
        <v>1</v>
      </c>
      <c r="H2023" s="17">
        <f>Table1[[#This Row],[Unit price]]*Table1[[#This Row],[Quantity]]</f>
        <v>71.83</v>
      </c>
      <c r="I2023" s="29">
        <f>Table1[[#This Row],[Total Revenue]]/$H$5056*100</f>
        <v>7.6208575114489179E-3</v>
      </c>
      <c r="J2023" s="3" t="s">
        <v>17</v>
      </c>
      <c r="K2023" s="4">
        <v>6.3</v>
      </c>
      <c r="M2023"/>
    </row>
    <row r="2024" spans="1:13" x14ac:dyDescent="0.25">
      <c r="A2024" s="2">
        <v>45510</v>
      </c>
      <c r="B2024" s="3" t="s">
        <v>244</v>
      </c>
      <c r="C2024" s="3" t="s">
        <v>9</v>
      </c>
      <c r="D2024" s="3" t="s">
        <v>19</v>
      </c>
      <c r="E2024" s="5" t="s">
        <v>21</v>
      </c>
      <c r="F2024" s="17">
        <v>18.510000000000002</v>
      </c>
      <c r="G2024" s="3">
        <v>2</v>
      </c>
      <c r="H2024" s="17">
        <f>Table1[[#This Row],[Unit price]]*Table1[[#This Row],[Quantity]]</f>
        <v>37.020000000000003</v>
      </c>
      <c r="I2024" s="29">
        <f>Table1[[#This Row],[Total Revenue]]/$H$5056*100</f>
        <v>3.9276645562277461E-3</v>
      </c>
      <c r="J2024" s="3" t="s">
        <v>15</v>
      </c>
      <c r="K2024" s="4">
        <v>7.7</v>
      </c>
      <c r="M2024"/>
    </row>
    <row r="2025" spans="1:13" x14ac:dyDescent="0.25">
      <c r="A2025" s="2">
        <v>45510</v>
      </c>
      <c r="B2025" s="3" t="s">
        <v>243</v>
      </c>
      <c r="C2025" s="3" t="s">
        <v>13</v>
      </c>
      <c r="D2025" s="3" t="s">
        <v>10</v>
      </c>
      <c r="E2025" s="5" t="s">
        <v>18</v>
      </c>
      <c r="F2025" s="17">
        <v>17.91</v>
      </c>
      <c r="G2025" s="3">
        <v>3</v>
      </c>
      <c r="H2025" s="17">
        <f>Table1[[#This Row],[Unit price]]*Table1[[#This Row],[Quantity]]</f>
        <v>53.730000000000004</v>
      </c>
      <c r="I2025" s="29">
        <f>Table1[[#This Row],[Total Revenue]]/$H$5056*100</f>
        <v>5.7005244896303833E-3</v>
      </c>
      <c r="J2025" s="3" t="s">
        <v>12</v>
      </c>
      <c r="K2025" s="4">
        <v>8.9</v>
      </c>
      <c r="M2025"/>
    </row>
    <row r="2026" spans="1:13" x14ac:dyDescent="0.25">
      <c r="A2026" s="2">
        <v>45541</v>
      </c>
      <c r="B2026" s="3" t="s">
        <v>244</v>
      </c>
      <c r="C2026" s="3" t="s">
        <v>13</v>
      </c>
      <c r="D2026" s="3" t="s">
        <v>19</v>
      </c>
      <c r="E2026" s="5" t="s">
        <v>21</v>
      </c>
      <c r="F2026" s="17">
        <v>24.29</v>
      </c>
      <c r="G2026" s="3">
        <v>1</v>
      </c>
      <c r="H2026" s="17">
        <f>Table1[[#This Row],[Unit price]]*Table1[[#This Row],[Quantity]]</f>
        <v>24.29</v>
      </c>
      <c r="I2026" s="29">
        <f>Table1[[#This Row],[Total Revenue]]/$H$5056*100</f>
        <v>2.5770656961310624E-3</v>
      </c>
      <c r="J2026" s="3" t="s">
        <v>12</v>
      </c>
      <c r="K2026" s="4">
        <v>7.5</v>
      </c>
      <c r="M2026"/>
    </row>
    <row r="2027" spans="1:13" x14ac:dyDescent="0.25">
      <c r="A2027" s="2">
        <v>45541</v>
      </c>
      <c r="B2027" s="3" t="s">
        <v>243</v>
      </c>
      <c r="C2027" s="3" t="s">
        <v>13</v>
      </c>
      <c r="D2027" s="3" t="s">
        <v>19</v>
      </c>
      <c r="E2027" s="5" t="s">
        <v>21</v>
      </c>
      <c r="F2027" s="17">
        <v>33.520000000000003</v>
      </c>
      <c r="G2027" s="3">
        <v>4</v>
      </c>
      <c r="H2027" s="17">
        <f>Table1[[#This Row],[Unit price]]*Table1[[#This Row],[Quantity]]</f>
        <v>134.08000000000001</v>
      </c>
      <c r="I2027" s="29">
        <f>Table1[[#This Row],[Total Revenue]]/$H$5056*100</f>
        <v>1.4225317766045818E-2</v>
      </c>
      <c r="J2027" s="3" t="s">
        <v>17</v>
      </c>
      <c r="K2027" s="4">
        <v>7.4</v>
      </c>
      <c r="M2027"/>
    </row>
    <row r="2028" spans="1:13" x14ac:dyDescent="0.25">
      <c r="A2028" s="2">
        <v>45541</v>
      </c>
      <c r="B2028" s="3" t="s">
        <v>245</v>
      </c>
      <c r="C2028" s="3" t="s">
        <v>9</v>
      </c>
      <c r="D2028" s="3" t="s">
        <v>19</v>
      </c>
      <c r="E2028" s="5" t="s">
        <v>11</v>
      </c>
      <c r="F2028" s="17">
        <v>2.89</v>
      </c>
      <c r="G2028" s="3">
        <v>3</v>
      </c>
      <c r="H2028" s="17">
        <f>Table1[[#This Row],[Unit price]]*Table1[[#This Row],[Quantity]]</f>
        <v>8.67</v>
      </c>
      <c r="I2028" s="29">
        <f>Table1[[#This Row],[Total Revenue]]/$H$5056*100</f>
        <v>9.1985012702578491E-4</v>
      </c>
      <c r="J2028" s="3" t="s">
        <v>17</v>
      </c>
      <c r="K2028" s="4">
        <v>9.6</v>
      </c>
      <c r="M2028"/>
    </row>
    <row r="2029" spans="1:13" x14ac:dyDescent="0.25">
      <c r="A2029" s="2">
        <v>45541</v>
      </c>
      <c r="B2029" s="3" t="s">
        <v>243</v>
      </c>
      <c r="C2029" s="3" t="s">
        <v>13</v>
      </c>
      <c r="D2029" s="3" t="s">
        <v>10</v>
      </c>
      <c r="E2029" s="5" t="s">
        <v>11</v>
      </c>
      <c r="F2029" s="17">
        <v>7.62</v>
      </c>
      <c r="G2029" s="3">
        <v>2</v>
      </c>
      <c r="H2029" s="17">
        <f>Table1[[#This Row],[Unit price]]*Table1[[#This Row],[Quantity]]</f>
        <v>15.24</v>
      </c>
      <c r="I2029" s="29">
        <f>Table1[[#This Row],[Total Revenue]]/$H$5056*100</f>
        <v>1.6168991852217947E-3</v>
      </c>
      <c r="J2029" s="3" t="s">
        <v>17</v>
      </c>
      <c r="K2029" s="4">
        <v>7</v>
      </c>
      <c r="M2029"/>
    </row>
    <row r="2030" spans="1:13" x14ac:dyDescent="0.25">
      <c r="A2030" s="2">
        <v>45541</v>
      </c>
      <c r="B2030" s="3" t="s">
        <v>245</v>
      </c>
      <c r="C2030" s="3" t="s">
        <v>13</v>
      </c>
      <c r="D2030" s="3" t="s">
        <v>19</v>
      </c>
      <c r="E2030" s="5" t="s">
        <v>16</v>
      </c>
      <c r="F2030" s="17">
        <v>58.84</v>
      </c>
      <c r="G2030" s="3">
        <v>1</v>
      </c>
      <c r="H2030" s="17">
        <f>Table1[[#This Row],[Unit price]]*Table1[[#This Row],[Quantity]]</f>
        <v>58.84</v>
      </c>
      <c r="I2030" s="29">
        <f>Table1[[#This Row],[Total Revenue]]/$H$5056*100</f>
        <v>6.242673757116169E-3</v>
      </c>
      <c r="J2030" s="3" t="s">
        <v>12</v>
      </c>
      <c r="K2030" s="4">
        <v>6.9</v>
      </c>
      <c r="M2030"/>
    </row>
    <row r="2031" spans="1:13" x14ac:dyDescent="0.25">
      <c r="A2031" s="2">
        <v>45541</v>
      </c>
      <c r="B2031" s="3" t="s">
        <v>243</v>
      </c>
      <c r="C2031" s="3" t="s">
        <v>9</v>
      </c>
      <c r="D2031" s="3" t="s">
        <v>19</v>
      </c>
      <c r="E2031" s="5" t="s">
        <v>11</v>
      </c>
      <c r="F2031" s="17">
        <v>3.17</v>
      </c>
      <c r="G2031" s="3">
        <v>2</v>
      </c>
      <c r="H2031" s="17">
        <f>Table1[[#This Row],[Unit price]]*Table1[[#This Row],[Quantity]]</f>
        <v>6.34</v>
      </c>
      <c r="I2031" s="29">
        <f>Table1[[#This Row],[Total Revenue]]/$H$5056*100</f>
        <v>6.7264703637179648E-4</v>
      </c>
      <c r="J2031" s="3" t="s">
        <v>17</v>
      </c>
      <c r="K2031" s="4">
        <v>9.1999999999999993</v>
      </c>
      <c r="M2031"/>
    </row>
    <row r="2032" spans="1:13" x14ac:dyDescent="0.25">
      <c r="A2032" s="2">
        <v>45541</v>
      </c>
      <c r="B2032" s="3" t="s">
        <v>244</v>
      </c>
      <c r="C2032" s="3" t="s">
        <v>9</v>
      </c>
      <c r="D2032" s="3" t="s">
        <v>19</v>
      </c>
      <c r="E2032" s="5" t="s">
        <v>11</v>
      </c>
      <c r="F2032" s="17">
        <v>4.24</v>
      </c>
      <c r="G2032" s="3">
        <v>2</v>
      </c>
      <c r="H2032" s="17">
        <f>Table1[[#This Row],[Unit price]]*Table1[[#This Row],[Quantity]]</f>
        <v>8.48</v>
      </c>
      <c r="I2032" s="29">
        <f>Table1[[#This Row],[Total Revenue]]/$H$5056*100</f>
        <v>8.9969193508404328E-4</v>
      </c>
      <c r="J2032" s="3" t="s">
        <v>15</v>
      </c>
      <c r="K2032" s="4">
        <v>8.5</v>
      </c>
      <c r="M2032"/>
    </row>
    <row r="2033" spans="1:13" x14ac:dyDescent="0.25">
      <c r="A2033" s="2">
        <v>45541</v>
      </c>
      <c r="B2033" s="3" t="s">
        <v>243</v>
      </c>
      <c r="C2033" s="3" t="s">
        <v>13</v>
      </c>
      <c r="D2033" s="3" t="s">
        <v>19</v>
      </c>
      <c r="E2033" s="5" t="s">
        <v>20</v>
      </c>
      <c r="F2033" s="17">
        <v>52.56</v>
      </c>
      <c r="G2033" s="3">
        <v>5</v>
      </c>
      <c r="H2033" s="17">
        <f>Table1[[#This Row],[Unit price]]*Table1[[#This Row],[Quantity]]</f>
        <v>262.8</v>
      </c>
      <c r="I2033" s="29">
        <f>Table1[[#This Row],[Total Revenue]]/$H$5056*100</f>
        <v>2.7881962327840397E-2</v>
      </c>
      <c r="J2033" s="3" t="s">
        <v>15</v>
      </c>
      <c r="K2033" s="4">
        <v>6.9</v>
      </c>
      <c r="M2033"/>
    </row>
    <row r="2034" spans="1:13" x14ac:dyDescent="0.25">
      <c r="A2034" s="2">
        <v>45541</v>
      </c>
      <c r="B2034" s="3" t="s">
        <v>243</v>
      </c>
      <c r="C2034" s="3" t="s">
        <v>13</v>
      </c>
      <c r="D2034" s="3" t="s">
        <v>10</v>
      </c>
      <c r="E2034" s="5" t="s">
        <v>16</v>
      </c>
      <c r="F2034" s="17">
        <v>56.97</v>
      </c>
      <c r="G2034" s="3">
        <v>1</v>
      </c>
      <c r="H2034" s="17">
        <f>Table1[[#This Row],[Unit price]]*Table1[[#This Row],[Quantity]]</f>
        <v>56.97</v>
      </c>
      <c r="I2034" s="29">
        <f>Table1[[#This Row],[Total Revenue]]/$H$5056*100</f>
        <v>6.0442747101106063E-3</v>
      </c>
      <c r="J2034" s="3" t="s">
        <v>17</v>
      </c>
      <c r="K2034" s="4">
        <v>6.1</v>
      </c>
      <c r="M2034"/>
    </row>
    <row r="2035" spans="1:13" x14ac:dyDescent="0.25">
      <c r="A2035" s="2">
        <v>45541</v>
      </c>
      <c r="B2035" s="3" t="s">
        <v>244</v>
      </c>
      <c r="C2035" s="3" t="s">
        <v>13</v>
      </c>
      <c r="D2035" s="3" t="s">
        <v>19</v>
      </c>
      <c r="E2035" s="5" t="s">
        <v>21</v>
      </c>
      <c r="F2035" s="17">
        <v>34.56</v>
      </c>
      <c r="G2035" s="3">
        <v>2</v>
      </c>
      <c r="H2035" s="17">
        <f>Table1[[#This Row],[Unit price]]*Table1[[#This Row],[Quantity]]</f>
        <v>69.12</v>
      </c>
      <c r="I2035" s="29">
        <f>Table1[[#This Row],[Total Revenue]]/$H$5056*100</f>
        <v>7.333338036911447E-3</v>
      </c>
      <c r="J2035" s="3" t="s">
        <v>15</v>
      </c>
      <c r="K2035" s="4">
        <v>7.5</v>
      </c>
      <c r="M2035"/>
    </row>
    <row r="2036" spans="1:13" x14ac:dyDescent="0.25">
      <c r="A2036" s="2">
        <v>45541</v>
      </c>
      <c r="B2036" s="3" t="s">
        <v>245</v>
      </c>
      <c r="C2036" s="3" t="s">
        <v>13</v>
      </c>
      <c r="D2036" s="3" t="s">
        <v>10</v>
      </c>
      <c r="E2036" s="5" t="s">
        <v>14</v>
      </c>
      <c r="F2036" s="17">
        <v>96.62</v>
      </c>
      <c r="G2036" s="3">
        <v>1</v>
      </c>
      <c r="H2036" s="17">
        <f>Table1[[#This Row],[Unit price]]*Table1[[#This Row],[Quantity]]</f>
        <v>96.62</v>
      </c>
      <c r="I2036" s="29">
        <f>Table1[[#This Row],[Total Revenue]]/$H$5056*100</f>
        <v>1.025097108111088E-2</v>
      </c>
      <c r="J2036" s="3" t="s">
        <v>17</v>
      </c>
      <c r="K2036" s="4">
        <v>7.4</v>
      </c>
      <c r="M2036"/>
    </row>
    <row r="2037" spans="1:13" x14ac:dyDescent="0.25">
      <c r="A2037" s="2">
        <v>45541</v>
      </c>
      <c r="B2037" s="3" t="s">
        <v>243</v>
      </c>
      <c r="C2037" s="3" t="s">
        <v>13</v>
      </c>
      <c r="D2037" s="3" t="s">
        <v>19</v>
      </c>
      <c r="E2037" s="5" t="s">
        <v>18</v>
      </c>
      <c r="F2037" s="17">
        <v>11.68</v>
      </c>
      <c r="G2037" s="3">
        <v>2</v>
      </c>
      <c r="H2037" s="17">
        <f>Table1[[#This Row],[Unit price]]*Table1[[#This Row],[Quantity]]</f>
        <v>23.36</v>
      </c>
      <c r="I2037" s="29">
        <f>Table1[[#This Row],[Total Revenue]]/$H$5056*100</f>
        <v>2.478396651363591E-3</v>
      </c>
      <c r="J2037" s="3" t="s">
        <v>15</v>
      </c>
      <c r="K2037" s="4">
        <v>7.5</v>
      </c>
      <c r="M2037"/>
    </row>
    <row r="2038" spans="1:13" x14ac:dyDescent="0.25">
      <c r="A2038" s="2">
        <v>45571</v>
      </c>
      <c r="B2038" s="3" t="s">
        <v>244</v>
      </c>
      <c r="C2038" s="3" t="s">
        <v>9</v>
      </c>
      <c r="D2038" s="3" t="s">
        <v>19</v>
      </c>
      <c r="E2038" s="5" t="s">
        <v>11</v>
      </c>
      <c r="F2038" s="17">
        <v>4.8899999999999997</v>
      </c>
      <c r="G2038" s="3">
        <v>3</v>
      </c>
      <c r="H2038" s="17">
        <f>Table1[[#This Row],[Unit price]]*Table1[[#This Row],[Quantity]]</f>
        <v>14.669999999999998</v>
      </c>
      <c r="I2038" s="29">
        <f>Table1[[#This Row],[Total Revenue]]/$H$5056*100</f>
        <v>1.5564246093965699E-3</v>
      </c>
      <c r="J2038" s="3" t="s">
        <v>17</v>
      </c>
      <c r="K2038" s="4">
        <v>6.2</v>
      </c>
      <c r="M2038"/>
    </row>
    <row r="2039" spans="1:13" x14ac:dyDescent="0.25">
      <c r="A2039" s="2">
        <v>45571</v>
      </c>
      <c r="B2039" s="3" t="s">
        <v>243</v>
      </c>
      <c r="C2039" s="3" t="s">
        <v>9</v>
      </c>
      <c r="D2039" s="3" t="s">
        <v>10</v>
      </c>
      <c r="E2039" s="5" t="s">
        <v>16</v>
      </c>
      <c r="F2039" s="17">
        <v>65.41</v>
      </c>
      <c r="G2039" s="3">
        <v>3</v>
      </c>
      <c r="H2039" s="17">
        <f>Table1[[#This Row],[Unit price]]*Table1[[#This Row],[Quantity]]</f>
        <v>196.23</v>
      </c>
      <c r="I2039" s="29">
        <f>Table1[[#This Row],[Total Revenue]]/$H$5056*100</f>
        <v>2.0819168445936533E-2</v>
      </c>
      <c r="J2039" s="3" t="s">
        <v>15</v>
      </c>
      <c r="K2039" s="4">
        <v>7.4</v>
      </c>
      <c r="M2039"/>
    </row>
    <row r="2040" spans="1:13" x14ac:dyDescent="0.25">
      <c r="A2040" s="2">
        <v>45571</v>
      </c>
      <c r="B2040" s="3" t="s">
        <v>244</v>
      </c>
      <c r="C2040" s="3" t="s">
        <v>13</v>
      </c>
      <c r="D2040" s="3" t="s">
        <v>19</v>
      </c>
      <c r="E2040" s="5" t="s">
        <v>11</v>
      </c>
      <c r="F2040" s="17">
        <v>6</v>
      </c>
      <c r="G2040" s="3">
        <v>3</v>
      </c>
      <c r="H2040" s="17">
        <f>Table1[[#This Row],[Unit price]]*Table1[[#This Row],[Quantity]]</f>
        <v>18</v>
      </c>
      <c r="I2040" s="29">
        <f>Table1[[#This Row],[Total Revenue]]/$H$5056*100</f>
        <v>1.9097234471123561E-3</v>
      </c>
      <c r="J2040" s="3" t="s">
        <v>15</v>
      </c>
      <c r="K2040" s="4">
        <v>8.3000000000000007</v>
      </c>
      <c r="M2040"/>
    </row>
    <row r="2041" spans="1:13" x14ac:dyDescent="0.25">
      <c r="A2041" s="2">
        <v>45571</v>
      </c>
      <c r="B2041" s="3" t="s">
        <v>244</v>
      </c>
      <c r="C2041" s="3" t="s">
        <v>13</v>
      </c>
      <c r="D2041" s="3" t="s">
        <v>19</v>
      </c>
      <c r="E2041" s="5" t="s">
        <v>11</v>
      </c>
      <c r="F2041" s="17">
        <v>6.53</v>
      </c>
      <c r="G2041" s="3">
        <v>4</v>
      </c>
      <c r="H2041" s="17">
        <f>Table1[[#This Row],[Unit price]]*Table1[[#This Row],[Quantity]]</f>
        <v>26.12</v>
      </c>
      <c r="I2041" s="29">
        <f>Table1[[#This Row],[Total Revenue]]/$H$5056*100</f>
        <v>2.7712209132541524E-3</v>
      </c>
      <c r="J2041" s="3" t="s">
        <v>15</v>
      </c>
      <c r="K2041" s="4">
        <v>8.8000000000000007</v>
      </c>
      <c r="M2041"/>
    </row>
    <row r="2042" spans="1:13" x14ac:dyDescent="0.25">
      <c r="A2042" s="2">
        <v>45571</v>
      </c>
      <c r="B2042" s="3" t="s">
        <v>245</v>
      </c>
      <c r="C2042" s="3" t="s">
        <v>9</v>
      </c>
      <c r="D2042" s="3" t="s">
        <v>10</v>
      </c>
      <c r="E2042" s="5" t="s">
        <v>21</v>
      </c>
      <c r="F2042" s="17">
        <v>27.05</v>
      </c>
      <c r="G2042" s="3">
        <v>4</v>
      </c>
      <c r="H2042" s="17">
        <f>Table1[[#This Row],[Unit price]]*Table1[[#This Row],[Quantity]]</f>
        <v>108.2</v>
      </c>
      <c r="I2042" s="29">
        <f>Table1[[#This Row],[Total Revenue]]/$H$5056*100</f>
        <v>1.1479559832086495E-2</v>
      </c>
      <c r="J2042" s="3" t="s">
        <v>15</v>
      </c>
      <c r="K2042" s="4">
        <v>6.3</v>
      </c>
      <c r="M2042"/>
    </row>
    <row r="2043" spans="1:13" x14ac:dyDescent="0.25">
      <c r="A2043" s="2">
        <v>45571</v>
      </c>
      <c r="B2043" s="3" t="s">
        <v>245</v>
      </c>
      <c r="C2043" s="3" t="s">
        <v>9</v>
      </c>
      <c r="D2043" s="3" t="s">
        <v>10</v>
      </c>
      <c r="E2043" s="5" t="s">
        <v>20</v>
      </c>
      <c r="F2043" s="17">
        <v>56.14</v>
      </c>
      <c r="G2043" s="3">
        <v>4</v>
      </c>
      <c r="H2043" s="17">
        <f>Table1[[#This Row],[Unit price]]*Table1[[#This Row],[Quantity]]</f>
        <v>224.56</v>
      </c>
      <c r="I2043" s="29">
        <f>Table1[[#This Row],[Total Revenue]]/$H$5056*100</f>
        <v>2.3824860960197258E-2</v>
      </c>
      <c r="J2043" s="3" t="s">
        <v>17</v>
      </c>
      <c r="K2043" s="4">
        <v>7.2</v>
      </c>
      <c r="M2043"/>
    </row>
    <row r="2044" spans="1:13" x14ac:dyDescent="0.25">
      <c r="A2044" s="2">
        <v>45571</v>
      </c>
      <c r="B2044" s="3" t="s">
        <v>243</v>
      </c>
      <c r="C2044" s="3" t="s">
        <v>13</v>
      </c>
      <c r="D2044" s="3" t="s">
        <v>10</v>
      </c>
      <c r="E2044" s="5" t="s">
        <v>11</v>
      </c>
      <c r="F2044" s="17">
        <v>4.3</v>
      </c>
      <c r="G2044" s="3">
        <v>2</v>
      </c>
      <c r="H2044" s="17">
        <f>Table1[[#This Row],[Unit price]]*Table1[[#This Row],[Quantity]]</f>
        <v>8.6</v>
      </c>
      <c r="I2044" s="29">
        <f>Table1[[#This Row],[Total Revenue]]/$H$5056*100</f>
        <v>9.1242342473145887E-4</v>
      </c>
      <c r="J2044" s="3" t="s">
        <v>17</v>
      </c>
      <c r="K2044" s="4">
        <v>7.3</v>
      </c>
      <c r="M2044"/>
    </row>
    <row r="2045" spans="1:13" x14ac:dyDescent="0.25">
      <c r="A2045" s="2">
        <v>45571</v>
      </c>
      <c r="B2045" s="3" t="s">
        <v>243</v>
      </c>
      <c r="C2045" s="3" t="s">
        <v>9</v>
      </c>
      <c r="D2045" s="3" t="s">
        <v>10</v>
      </c>
      <c r="E2045" s="5" t="s">
        <v>21</v>
      </c>
      <c r="F2045" s="17">
        <v>30.9</v>
      </c>
      <c r="G2045" s="3">
        <v>1</v>
      </c>
      <c r="H2045" s="17">
        <f>Table1[[#This Row],[Unit price]]*Table1[[#This Row],[Quantity]]</f>
        <v>30.9</v>
      </c>
      <c r="I2045" s="29">
        <f>Table1[[#This Row],[Total Revenue]]/$H$5056*100</f>
        <v>3.2783585842095443E-3</v>
      </c>
      <c r="J2045" s="3" t="s">
        <v>12</v>
      </c>
      <c r="K2045" s="4">
        <v>7.1</v>
      </c>
      <c r="M2045"/>
    </row>
    <row r="2046" spans="1:13" x14ac:dyDescent="0.25">
      <c r="A2046" s="2">
        <v>45571</v>
      </c>
      <c r="B2046" s="3" t="s">
        <v>243</v>
      </c>
      <c r="C2046" s="3" t="s">
        <v>9</v>
      </c>
      <c r="D2046" s="3" t="s">
        <v>10</v>
      </c>
      <c r="E2046" s="5" t="s">
        <v>20</v>
      </c>
      <c r="F2046" s="17">
        <v>67.67</v>
      </c>
      <c r="G2046" s="3">
        <v>1</v>
      </c>
      <c r="H2046" s="17">
        <f>Table1[[#This Row],[Unit price]]*Table1[[#This Row],[Quantity]]</f>
        <v>67.67</v>
      </c>
      <c r="I2046" s="29">
        <f>Table1[[#This Row],[Total Revenue]]/$H$5056*100</f>
        <v>7.1794992036718405E-3</v>
      </c>
      <c r="J2046" s="3" t="s">
        <v>15</v>
      </c>
      <c r="K2046" s="4">
        <v>7.4</v>
      </c>
      <c r="M2046"/>
    </row>
    <row r="2047" spans="1:13" x14ac:dyDescent="0.25">
      <c r="A2047" s="2">
        <v>45571</v>
      </c>
      <c r="B2047" s="3" t="s">
        <v>243</v>
      </c>
      <c r="C2047" s="3" t="s">
        <v>13</v>
      </c>
      <c r="D2047" s="3" t="s">
        <v>10</v>
      </c>
      <c r="E2047" s="5" t="s">
        <v>20</v>
      </c>
      <c r="F2047" s="17">
        <v>70.94</v>
      </c>
      <c r="G2047" s="3">
        <v>3</v>
      </c>
      <c r="H2047" s="17">
        <f>Table1[[#This Row],[Unit price]]*Table1[[#This Row],[Quantity]]</f>
        <v>212.82</v>
      </c>
      <c r="I2047" s="29">
        <f>Table1[[#This Row],[Total Revenue]]/$H$5056*100</f>
        <v>2.2579296889691756E-2</v>
      </c>
      <c r="J2047" s="3" t="s">
        <v>15</v>
      </c>
      <c r="K2047" s="4">
        <v>5.5</v>
      </c>
      <c r="M2047"/>
    </row>
    <row r="2048" spans="1:13" x14ac:dyDescent="0.25">
      <c r="A2048" s="2">
        <v>45602</v>
      </c>
      <c r="B2048" s="3" t="s">
        <v>244</v>
      </c>
      <c r="C2048" s="3" t="s">
        <v>9</v>
      </c>
      <c r="D2048" s="3" t="s">
        <v>19</v>
      </c>
      <c r="E2048" s="5" t="s">
        <v>11</v>
      </c>
      <c r="F2048" s="17">
        <v>4.07</v>
      </c>
      <c r="G2048" s="3">
        <v>4</v>
      </c>
      <c r="H2048" s="17">
        <f>Table1[[#This Row],[Unit price]]*Table1[[#This Row],[Quantity]]</f>
        <v>16.28</v>
      </c>
      <c r="I2048" s="29">
        <f>Table1[[#This Row],[Total Revenue]]/$H$5056*100</f>
        <v>1.7272387621660643E-3</v>
      </c>
      <c r="J2048" s="3" t="s">
        <v>17</v>
      </c>
      <c r="K2048" s="4">
        <v>6.6</v>
      </c>
      <c r="M2048"/>
    </row>
    <row r="2049" spans="1:13" x14ac:dyDescent="0.25">
      <c r="A2049" s="2">
        <v>45602</v>
      </c>
      <c r="B2049" s="3" t="s">
        <v>243</v>
      </c>
      <c r="C2049" s="3" t="s">
        <v>13</v>
      </c>
      <c r="D2049" s="3" t="s">
        <v>10</v>
      </c>
      <c r="E2049" s="5" t="s">
        <v>21</v>
      </c>
      <c r="F2049" s="17">
        <v>25.25</v>
      </c>
      <c r="G2049" s="3">
        <v>3</v>
      </c>
      <c r="H2049" s="17">
        <f>Table1[[#This Row],[Unit price]]*Table1[[#This Row],[Quantity]]</f>
        <v>75.75</v>
      </c>
      <c r="I2049" s="29">
        <f>Table1[[#This Row],[Total Revenue]]/$H$5056*100</f>
        <v>8.0367528399311657E-3</v>
      </c>
      <c r="J2049" s="3" t="s">
        <v>15</v>
      </c>
      <c r="K2049" s="4">
        <v>9.1999999999999993</v>
      </c>
      <c r="M2049"/>
    </row>
    <row r="2050" spans="1:13" x14ac:dyDescent="0.25">
      <c r="A2050" s="2">
        <v>45602</v>
      </c>
      <c r="B2050" s="3" t="s">
        <v>243</v>
      </c>
      <c r="C2050" s="3" t="s">
        <v>13</v>
      </c>
      <c r="D2050" s="3" t="s">
        <v>10</v>
      </c>
      <c r="E2050" s="5" t="s">
        <v>11</v>
      </c>
      <c r="F2050" s="17">
        <v>5.57</v>
      </c>
      <c r="G2050" s="3">
        <v>4</v>
      </c>
      <c r="H2050" s="17">
        <f>Table1[[#This Row],[Unit price]]*Table1[[#This Row],[Quantity]]</f>
        <v>22.28</v>
      </c>
      <c r="I2050" s="29">
        <f>Table1[[#This Row],[Total Revenue]]/$H$5056*100</f>
        <v>2.3638132445368493E-3</v>
      </c>
      <c r="J2050" s="3" t="s">
        <v>17</v>
      </c>
      <c r="K2050" s="4">
        <v>7.2</v>
      </c>
      <c r="M2050"/>
    </row>
    <row r="2051" spans="1:13" x14ac:dyDescent="0.25">
      <c r="A2051" s="2">
        <v>45602</v>
      </c>
      <c r="B2051" s="3" t="s">
        <v>245</v>
      </c>
      <c r="C2051" s="3" t="s">
        <v>13</v>
      </c>
      <c r="D2051" s="3" t="s">
        <v>19</v>
      </c>
      <c r="E2051" s="5" t="s">
        <v>21</v>
      </c>
      <c r="F2051" s="17">
        <v>25.6</v>
      </c>
      <c r="G2051" s="3">
        <v>1</v>
      </c>
      <c r="H2051" s="17">
        <f>Table1[[#This Row],[Unit price]]*Table1[[#This Row],[Quantity]]</f>
        <v>25.6</v>
      </c>
      <c r="I2051" s="29">
        <f>Table1[[#This Row],[Total Revenue]]/$H$5056*100</f>
        <v>2.7160511247820173E-3</v>
      </c>
      <c r="J2051" s="3" t="s">
        <v>17</v>
      </c>
      <c r="K2051" s="4">
        <v>6.5</v>
      </c>
      <c r="M2051"/>
    </row>
    <row r="2052" spans="1:13" x14ac:dyDescent="0.25">
      <c r="A2052" s="2">
        <v>45602</v>
      </c>
      <c r="B2052" s="3" t="s">
        <v>243</v>
      </c>
      <c r="C2052" s="3" t="s">
        <v>9</v>
      </c>
      <c r="D2052" s="3" t="s">
        <v>19</v>
      </c>
      <c r="E2052" s="5" t="s">
        <v>11</v>
      </c>
      <c r="F2052" s="17">
        <v>3.35</v>
      </c>
      <c r="G2052" s="3">
        <v>3</v>
      </c>
      <c r="H2052" s="17">
        <f>Table1[[#This Row],[Unit price]]*Table1[[#This Row],[Quantity]]</f>
        <v>10.050000000000001</v>
      </c>
      <c r="I2052" s="29">
        <f>Table1[[#This Row],[Total Revenue]]/$H$5056*100</f>
        <v>1.0662622579710656E-3</v>
      </c>
      <c r="J2052" s="3" t="s">
        <v>15</v>
      </c>
      <c r="K2052" s="4">
        <v>7.4</v>
      </c>
      <c r="M2052"/>
    </row>
    <row r="2053" spans="1:13" x14ac:dyDescent="0.25">
      <c r="A2053" s="2">
        <v>45602</v>
      </c>
      <c r="B2053" s="3" t="s">
        <v>244</v>
      </c>
      <c r="C2053" s="3" t="s">
        <v>13</v>
      </c>
      <c r="D2053" s="3" t="s">
        <v>19</v>
      </c>
      <c r="E2053" s="5" t="s">
        <v>18</v>
      </c>
      <c r="F2053" s="17">
        <v>15.68</v>
      </c>
      <c r="G2053" s="3">
        <v>2</v>
      </c>
      <c r="H2053" s="17">
        <f>Table1[[#This Row],[Unit price]]*Table1[[#This Row],[Quantity]]</f>
        <v>31.36</v>
      </c>
      <c r="I2053" s="29">
        <f>Table1[[#This Row],[Total Revenue]]/$H$5056*100</f>
        <v>3.3271626278579712E-3</v>
      </c>
      <c r="J2053" s="3" t="s">
        <v>12</v>
      </c>
      <c r="K2053" s="4">
        <v>6.7</v>
      </c>
      <c r="M2053"/>
    </row>
    <row r="2054" spans="1:13" x14ac:dyDescent="0.25">
      <c r="A2054" s="2">
        <v>45602</v>
      </c>
      <c r="B2054" s="3" t="s">
        <v>245</v>
      </c>
      <c r="C2054" s="3" t="s">
        <v>13</v>
      </c>
      <c r="D2054" s="3" t="s">
        <v>10</v>
      </c>
      <c r="E2054" s="5" t="s">
        <v>11</v>
      </c>
      <c r="F2054" s="17">
        <v>3.6</v>
      </c>
      <c r="G2054" s="3">
        <v>5</v>
      </c>
      <c r="H2054" s="17">
        <f>Table1[[#This Row],[Unit price]]*Table1[[#This Row],[Quantity]]</f>
        <v>18</v>
      </c>
      <c r="I2054" s="29">
        <f>Table1[[#This Row],[Total Revenue]]/$H$5056*100</f>
        <v>1.9097234471123561E-3</v>
      </c>
      <c r="J2054" s="3" t="s">
        <v>15</v>
      </c>
      <c r="K2054" s="4">
        <v>6.8</v>
      </c>
      <c r="M2054"/>
    </row>
    <row r="2055" spans="1:13" x14ac:dyDescent="0.25">
      <c r="A2055" s="2">
        <v>45602</v>
      </c>
      <c r="B2055" s="3" t="s">
        <v>244</v>
      </c>
      <c r="C2055" s="3" t="s">
        <v>13</v>
      </c>
      <c r="D2055" s="3" t="s">
        <v>10</v>
      </c>
      <c r="E2055" s="5" t="s">
        <v>18</v>
      </c>
      <c r="F2055" s="17">
        <v>10.199999999999999</v>
      </c>
      <c r="G2055" s="3">
        <v>2</v>
      </c>
      <c r="H2055" s="17">
        <f>Table1[[#This Row],[Unit price]]*Table1[[#This Row],[Quantity]]</f>
        <v>20.399999999999999</v>
      </c>
      <c r="I2055" s="29">
        <f>Table1[[#This Row],[Total Revenue]]/$H$5056*100</f>
        <v>2.1643532400606701E-3</v>
      </c>
      <c r="J2055" s="3" t="s">
        <v>17</v>
      </c>
      <c r="K2055" s="4">
        <v>5.6</v>
      </c>
      <c r="M2055"/>
    </row>
    <row r="2056" spans="1:13" x14ac:dyDescent="0.25">
      <c r="A2056" s="2">
        <v>45602</v>
      </c>
      <c r="B2056" s="3" t="s">
        <v>243</v>
      </c>
      <c r="C2056" s="3" t="s">
        <v>13</v>
      </c>
      <c r="D2056" s="3" t="s">
        <v>19</v>
      </c>
      <c r="E2056" s="5" t="s">
        <v>21</v>
      </c>
      <c r="F2056" s="17">
        <v>23.09</v>
      </c>
      <c r="G2056" s="3">
        <v>1</v>
      </c>
      <c r="H2056" s="17">
        <f>Table1[[#This Row],[Unit price]]*Table1[[#This Row],[Quantity]]</f>
        <v>23.09</v>
      </c>
      <c r="I2056" s="29">
        <f>Table1[[#This Row],[Total Revenue]]/$H$5056*100</f>
        <v>2.4497507996569055E-3</v>
      </c>
      <c r="J2056" s="3" t="s">
        <v>15</v>
      </c>
      <c r="K2056" s="4">
        <v>8.4</v>
      </c>
      <c r="M2056"/>
    </row>
    <row r="2057" spans="1:13" x14ac:dyDescent="0.25">
      <c r="A2057" s="2">
        <v>45632</v>
      </c>
      <c r="B2057" s="3" t="s">
        <v>245</v>
      </c>
      <c r="C2057" s="3" t="s">
        <v>9</v>
      </c>
      <c r="D2057" s="3" t="s">
        <v>19</v>
      </c>
      <c r="E2057" s="5" t="s">
        <v>21</v>
      </c>
      <c r="F2057" s="17">
        <v>23.06</v>
      </c>
      <c r="G2057" s="3">
        <v>3</v>
      </c>
      <c r="H2057" s="17">
        <f>Table1[[#This Row],[Unit price]]*Table1[[#This Row],[Quantity]]</f>
        <v>69.179999999999993</v>
      </c>
      <c r="I2057" s="29">
        <f>Table1[[#This Row],[Total Revenue]]/$H$5056*100</f>
        <v>7.3397037817351535E-3</v>
      </c>
      <c r="J2057" s="3" t="s">
        <v>17</v>
      </c>
      <c r="K2057" s="4">
        <v>8.1</v>
      </c>
      <c r="M2057"/>
    </row>
    <row r="2058" spans="1:13" x14ac:dyDescent="0.25">
      <c r="A2058" s="2">
        <v>45632</v>
      </c>
      <c r="B2058" s="3" t="s">
        <v>244</v>
      </c>
      <c r="C2058" s="3" t="s">
        <v>9</v>
      </c>
      <c r="D2058" s="3" t="s">
        <v>10</v>
      </c>
      <c r="E2058" s="5" t="s">
        <v>18</v>
      </c>
      <c r="F2058" s="17">
        <v>17.57</v>
      </c>
      <c r="G2058" s="3">
        <v>2</v>
      </c>
      <c r="H2058" s="17">
        <f>Table1[[#This Row],[Unit price]]*Table1[[#This Row],[Quantity]]</f>
        <v>35.14</v>
      </c>
      <c r="I2058" s="29">
        <f>Table1[[#This Row],[Total Revenue]]/$H$5056*100</f>
        <v>3.728204551751566E-3</v>
      </c>
      <c r="J2058" s="3" t="s">
        <v>12</v>
      </c>
      <c r="K2058" s="4">
        <v>6.4</v>
      </c>
      <c r="M2058"/>
    </row>
    <row r="2059" spans="1:13" x14ac:dyDescent="0.25">
      <c r="A2059" s="2">
        <v>45632</v>
      </c>
      <c r="B2059" s="3" t="s">
        <v>245</v>
      </c>
      <c r="C2059" s="3" t="s">
        <v>9</v>
      </c>
      <c r="D2059" s="3" t="s">
        <v>10</v>
      </c>
      <c r="E2059" s="5" t="s">
        <v>11</v>
      </c>
      <c r="F2059" s="17">
        <v>4.6900000000000004</v>
      </c>
      <c r="G2059" s="3">
        <v>3</v>
      </c>
      <c r="H2059" s="17">
        <f>Table1[[#This Row],[Unit price]]*Table1[[#This Row],[Quantity]]</f>
        <v>14.07</v>
      </c>
      <c r="I2059" s="29">
        <f>Table1[[#This Row],[Total Revenue]]/$H$5056*100</f>
        <v>1.4927671611594917E-3</v>
      </c>
      <c r="J2059" s="3" t="s">
        <v>15</v>
      </c>
      <c r="K2059" s="4">
        <v>8.9</v>
      </c>
      <c r="M2059"/>
    </row>
    <row r="2060" spans="1:13" x14ac:dyDescent="0.25">
      <c r="A2060" s="2">
        <v>45632</v>
      </c>
      <c r="B2060" s="3" t="s">
        <v>244</v>
      </c>
      <c r="C2060" s="3" t="s">
        <v>13</v>
      </c>
      <c r="D2060" s="3" t="s">
        <v>19</v>
      </c>
      <c r="E2060" s="5" t="s">
        <v>18</v>
      </c>
      <c r="F2060" s="17">
        <v>9.9700000000000006</v>
      </c>
      <c r="G2060" s="3">
        <v>3</v>
      </c>
      <c r="H2060" s="17">
        <f>Table1[[#This Row],[Unit price]]*Table1[[#This Row],[Quantity]]</f>
        <v>29.910000000000004</v>
      </c>
      <c r="I2060" s="29">
        <f>Table1[[#This Row],[Total Revenue]]/$H$5056*100</f>
        <v>3.1733237946183655E-3</v>
      </c>
      <c r="J2060" s="3" t="s">
        <v>17</v>
      </c>
      <c r="K2060" s="4">
        <v>7.2</v>
      </c>
      <c r="M2060"/>
    </row>
    <row r="2061" spans="1:13" x14ac:dyDescent="0.25">
      <c r="A2061" s="2">
        <v>45632</v>
      </c>
      <c r="B2061" s="3" t="s">
        <v>243</v>
      </c>
      <c r="C2061" s="3" t="s">
        <v>13</v>
      </c>
      <c r="D2061" s="3" t="s">
        <v>19</v>
      </c>
      <c r="E2061" s="5" t="s">
        <v>11</v>
      </c>
      <c r="F2061" s="17">
        <v>4.75</v>
      </c>
      <c r="G2061" s="3">
        <v>2</v>
      </c>
      <c r="H2061" s="17">
        <f>Table1[[#This Row],[Unit price]]*Table1[[#This Row],[Quantity]]</f>
        <v>9.5</v>
      </c>
      <c r="I2061" s="29">
        <f>Table1[[#This Row],[Total Revenue]]/$H$5056*100</f>
        <v>1.0079095970870768E-3</v>
      </c>
      <c r="J2061" s="3" t="s">
        <v>15</v>
      </c>
      <c r="K2061" s="4">
        <v>7.7</v>
      </c>
      <c r="M2061"/>
    </row>
    <row r="2062" spans="1:13" x14ac:dyDescent="0.25">
      <c r="A2062" s="2">
        <v>45632</v>
      </c>
      <c r="B2062" s="3" t="s">
        <v>244</v>
      </c>
      <c r="C2062" s="3" t="s">
        <v>9</v>
      </c>
      <c r="D2062" s="3" t="s">
        <v>19</v>
      </c>
      <c r="E2062" s="5" t="s">
        <v>16</v>
      </c>
      <c r="F2062" s="17">
        <v>74.12</v>
      </c>
      <c r="G2062" s="3">
        <v>2</v>
      </c>
      <c r="H2062" s="17">
        <f>Table1[[#This Row],[Unit price]]*Table1[[#This Row],[Quantity]]</f>
        <v>148.24</v>
      </c>
      <c r="I2062" s="29">
        <f>Table1[[#This Row],[Total Revenue]]/$H$5056*100</f>
        <v>1.5727633544440869E-2</v>
      </c>
      <c r="J2062" s="3" t="s">
        <v>17</v>
      </c>
      <c r="K2062" s="4">
        <v>8.9</v>
      </c>
      <c r="M2062"/>
    </row>
    <row r="2063" spans="1:13" x14ac:dyDescent="0.25">
      <c r="A2063" s="2">
        <v>45632</v>
      </c>
      <c r="B2063" s="3" t="s">
        <v>244</v>
      </c>
      <c r="C2063" s="3" t="s">
        <v>9</v>
      </c>
      <c r="D2063" s="3" t="s">
        <v>10</v>
      </c>
      <c r="E2063" s="5" t="s">
        <v>11</v>
      </c>
      <c r="F2063" s="17">
        <v>3.81</v>
      </c>
      <c r="G2063" s="3">
        <v>3</v>
      </c>
      <c r="H2063" s="17">
        <f>Table1[[#This Row],[Unit price]]*Table1[[#This Row],[Quantity]]</f>
        <v>11.43</v>
      </c>
      <c r="I2063" s="29">
        <f>Table1[[#This Row],[Total Revenue]]/$H$5056*100</f>
        <v>1.2126743889163459E-3</v>
      </c>
      <c r="J2063" s="3" t="s">
        <v>17</v>
      </c>
      <c r="K2063" s="4">
        <v>5.4</v>
      </c>
      <c r="M2063"/>
    </row>
    <row r="2064" spans="1:13" x14ac:dyDescent="0.25">
      <c r="A2064" s="2">
        <v>45632</v>
      </c>
      <c r="B2064" s="3" t="s">
        <v>243</v>
      </c>
      <c r="C2064" s="3" t="s">
        <v>13</v>
      </c>
      <c r="D2064" s="3" t="s">
        <v>10</v>
      </c>
      <c r="E2064" s="5" t="s">
        <v>20</v>
      </c>
      <c r="F2064" s="17">
        <v>70.37</v>
      </c>
      <c r="G2064" s="3">
        <v>2</v>
      </c>
      <c r="H2064" s="17">
        <f>Table1[[#This Row],[Unit price]]*Table1[[#This Row],[Quantity]]</f>
        <v>140.74</v>
      </c>
      <c r="I2064" s="29">
        <f>Table1[[#This Row],[Total Revenue]]/$H$5056*100</f>
        <v>1.4931915441477388E-2</v>
      </c>
      <c r="J2064" s="3" t="s">
        <v>15</v>
      </c>
      <c r="K2064" s="4">
        <v>8</v>
      </c>
      <c r="M2064"/>
    </row>
    <row r="2065" spans="1:13" x14ac:dyDescent="0.25">
      <c r="A2065" s="3" t="s">
        <v>113</v>
      </c>
      <c r="B2065" s="3" t="s">
        <v>244</v>
      </c>
      <c r="C2065" s="3" t="s">
        <v>13</v>
      </c>
      <c r="D2065" s="3" t="s">
        <v>19</v>
      </c>
      <c r="E2065" s="5" t="s">
        <v>14</v>
      </c>
      <c r="F2065" s="17">
        <v>75.959999999999994</v>
      </c>
      <c r="G2065" s="3">
        <v>1</v>
      </c>
      <c r="H2065" s="17">
        <f>Table1[[#This Row],[Unit price]]*Table1[[#This Row],[Quantity]]</f>
        <v>75.959999999999994</v>
      </c>
      <c r="I2065" s="29">
        <f>Table1[[#This Row],[Total Revenue]]/$H$5056*100</f>
        <v>8.0590329468141417E-3</v>
      </c>
      <c r="J2065" s="3" t="s">
        <v>17</v>
      </c>
      <c r="K2065" s="4">
        <v>6.7</v>
      </c>
      <c r="M2065"/>
    </row>
    <row r="2066" spans="1:13" x14ac:dyDescent="0.25">
      <c r="A2066" s="3" t="s">
        <v>113</v>
      </c>
      <c r="B2066" s="3" t="s">
        <v>245</v>
      </c>
      <c r="C2066" s="3" t="s">
        <v>13</v>
      </c>
      <c r="D2066" s="3" t="s">
        <v>10</v>
      </c>
      <c r="E2066" s="5" t="s">
        <v>11</v>
      </c>
      <c r="F2066" s="17">
        <v>5.37</v>
      </c>
      <c r="G2066" s="3">
        <v>3</v>
      </c>
      <c r="H2066" s="17">
        <f>Table1[[#This Row],[Unit price]]*Table1[[#This Row],[Quantity]]</f>
        <v>16.11</v>
      </c>
      <c r="I2066" s="29">
        <f>Table1[[#This Row],[Total Revenue]]/$H$5056*100</f>
        <v>1.7092024851655587E-3</v>
      </c>
      <c r="J2066" s="3" t="s">
        <v>15</v>
      </c>
      <c r="K2066" s="4">
        <v>6.1</v>
      </c>
      <c r="M2066"/>
    </row>
    <row r="2067" spans="1:13" x14ac:dyDescent="0.25">
      <c r="A2067" s="3" t="s">
        <v>113</v>
      </c>
      <c r="B2067" s="3" t="s">
        <v>243</v>
      </c>
      <c r="C2067" s="3" t="s">
        <v>9</v>
      </c>
      <c r="D2067" s="3" t="s">
        <v>10</v>
      </c>
      <c r="E2067" s="5" t="s">
        <v>18</v>
      </c>
      <c r="F2067" s="17">
        <v>13.26</v>
      </c>
      <c r="G2067" s="3">
        <v>1</v>
      </c>
      <c r="H2067" s="17">
        <f>Table1[[#This Row],[Unit price]]*Table1[[#This Row],[Quantity]]</f>
        <v>13.26</v>
      </c>
      <c r="I2067" s="29">
        <f>Table1[[#This Row],[Total Revenue]]/$H$5056*100</f>
        <v>1.4068296060394355E-3</v>
      </c>
      <c r="J2067" s="3" t="s">
        <v>17</v>
      </c>
      <c r="K2067" s="4">
        <v>5.7</v>
      </c>
      <c r="M2067"/>
    </row>
    <row r="2068" spans="1:13" x14ac:dyDescent="0.25">
      <c r="A2068" s="3" t="s">
        <v>113</v>
      </c>
      <c r="B2068" s="3" t="s">
        <v>244</v>
      </c>
      <c r="C2068" s="3" t="s">
        <v>13</v>
      </c>
      <c r="D2068" s="3" t="s">
        <v>10</v>
      </c>
      <c r="E2068" s="5" t="s">
        <v>11</v>
      </c>
      <c r="F2068" s="17">
        <v>4.72</v>
      </c>
      <c r="G2068" s="3">
        <v>3</v>
      </c>
      <c r="H2068" s="17">
        <f>Table1[[#This Row],[Unit price]]*Table1[[#This Row],[Quantity]]</f>
        <v>14.16</v>
      </c>
      <c r="I2068" s="29">
        <f>Table1[[#This Row],[Total Revenue]]/$H$5056*100</f>
        <v>1.5023157783950534E-3</v>
      </c>
      <c r="J2068" s="3" t="s">
        <v>15</v>
      </c>
      <c r="K2068" s="4">
        <v>8.6999999999999993</v>
      </c>
      <c r="M2068"/>
    </row>
    <row r="2069" spans="1:13" x14ac:dyDescent="0.25">
      <c r="A2069" s="3" t="s">
        <v>113</v>
      </c>
      <c r="B2069" s="3" t="s">
        <v>245</v>
      </c>
      <c r="C2069" s="3" t="s">
        <v>9</v>
      </c>
      <c r="D2069" s="3" t="s">
        <v>10</v>
      </c>
      <c r="E2069" s="5" t="s">
        <v>18</v>
      </c>
      <c r="F2069" s="17">
        <v>7.75</v>
      </c>
      <c r="G2069" s="3">
        <v>1</v>
      </c>
      <c r="H2069" s="17">
        <f>Table1[[#This Row],[Unit price]]*Table1[[#This Row],[Quantity]]</f>
        <v>7.75</v>
      </c>
      <c r="I2069" s="29">
        <f>Table1[[#This Row],[Total Revenue]]/$H$5056*100</f>
        <v>8.2224203972893102E-4</v>
      </c>
      <c r="J2069" s="3" t="s">
        <v>17</v>
      </c>
      <c r="K2069" s="4">
        <v>7.2</v>
      </c>
      <c r="M2069"/>
    </row>
    <row r="2070" spans="1:13" x14ac:dyDescent="0.25">
      <c r="A2070" s="3" t="s">
        <v>113</v>
      </c>
      <c r="B2070" s="3" t="s">
        <v>244</v>
      </c>
      <c r="C2070" s="3" t="s">
        <v>13</v>
      </c>
      <c r="D2070" s="3" t="s">
        <v>10</v>
      </c>
      <c r="E2070" s="5" t="s">
        <v>16</v>
      </c>
      <c r="F2070" s="17">
        <v>59.6</v>
      </c>
      <c r="G2070" s="3">
        <v>1</v>
      </c>
      <c r="H2070" s="17">
        <f>Table1[[#This Row],[Unit price]]*Table1[[#This Row],[Quantity]]</f>
        <v>59.6</v>
      </c>
      <c r="I2070" s="29">
        <f>Table1[[#This Row],[Total Revenue]]/$H$5056*100</f>
        <v>6.3233065248831342E-3</v>
      </c>
      <c r="J2070" s="3" t="s">
        <v>12</v>
      </c>
      <c r="K2070" s="4">
        <v>8.4</v>
      </c>
      <c r="M2070"/>
    </row>
    <row r="2071" spans="1:13" x14ac:dyDescent="0.25">
      <c r="A2071" s="3" t="s">
        <v>113</v>
      </c>
      <c r="B2071" s="3" t="s">
        <v>244</v>
      </c>
      <c r="C2071" s="3" t="s">
        <v>9</v>
      </c>
      <c r="D2071" s="3" t="s">
        <v>10</v>
      </c>
      <c r="E2071" s="5" t="s">
        <v>18</v>
      </c>
      <c r="F2071" s="17">
        <v>10.28</v>
      </c>
      <c r="G2071" s="3">
        <v>1</v>
      </c>
      <c r="H2071" s="17">
        <f>Table1[[#This Row],[Unit price]]*Table1[[#This Row],[Quantity]]</f>
        <v>10.28</v>
      </c>
      <c r="I2071" s="29">
        <f>Table1[[#This Row],[Total Revenue]]/$H$5056*100</f>
        <v>1.0906642797952788E-3</v>
      </c>
      <c r="J2071" s="3" t="s">
        <v>15</v>
      </c>
      <c r="K2071" s="4">
        <v>8.3000000000000007</v>
      </c>
      <c r="M2071"/>
    </row>
    <row r="2072" spans="1:13" x14ac:dyDescent="0.25">
      <c r="A2072" s="3" t="s">
        <v>113</v>
      </c>
      <c r="B2072" s="3" t="s">
        <v>244</v>
      </c>
      <c r="C2072" s="3" t="s">
        <v>9</v>
      </c>
      <c r="D2072" s="3" t="s">
        <v>19</v>
      </c>
      <c r="E2072" s="5" t="s">
        <v>18</v>
      </c>
      <c r="F2072" s="17">
        <v>16.61</v>
      </c>
      <c r="G2072" s="3">
        <v>1</v>
      </c>
      <c r="H2072" s="17">
        <f>Table1[[#This Row],[Unit price]]*Table1[[#This Row],[Quantity]]</f>
        <v>16.61</v>
      </c>
      <c r="I2072" s="29">
        <f>Table1[[#This Row],[Total Revenue]]/$H$5056*100</f>
        <v>1.7622503586964574E-3</v>
      </c>
      <c r="J2072" s="3" t="s">
        <v>15</v>
      </c>
      <c r="K2072" s="4">
        <v>8.6999999999999993</v>
      </c>
      <c r="M2072"/>
    </row>
    <row r="2073" spans="1:13" x14ac:dyDescent="0.25">
      <c r="A2073" s="3" t="s">
        <v>113</v>
      </c>
      <c r="B2073" s="3" t="s">
        <v>243</v>
      </c>
      <c r="C2073" s="3" t="s">
        <v>9</v>
      </c>
      <c r="D2073" s="3" t="s">
        <v>10</v>
      </c>
      <c r="E2073" s="5" t="s">
        <v>16</v>
      </c>
      <c r="F2073" s="17">
        <v>44.24</v>
      </c>
      <c r="G2073" s="3">
        <v>2</v>
      </c>
      <c r="H2073" s="17">
        <f>Table1[[#This Row],[Unit price]]*Table1[[#This Row],[Quantity]]</f>
        <v>88.48</v>
      </c>
      <c r="I2073" s="29">
        <f>Table1[[#This Row],[Total Revenue]]/$H$5056*100</f>
        <v>9.3873517000278486E-3</v>
      </c>
      <c r="J2073" s="3" t="s">
        <v>15</v>
      </c>
      <c r="K2073" s="4">
        <v>7.8</v>
      </c>
      <c r="M2073"/>
    </row>
    <row r="2074" spans="1:13" x14ac:dyDescent="0.25">
      <c r="A2074" s="3" t="s">
        <v>113</v>
      </c>
      <c r="B2074" s="3" t="s">
        <v>245</v>
      </c>
      <c r="C2074" s="3" t="s">
        <v>9</v>
      </c>
      <c r="D2074" s="3" t="s">
        <v>10</v>
      </c>
      <c r="E2074" s="5" t="s">
        <v>18</v>
      </c>
      <c r="F2074" s="17">
        <v>13.96</v>
      </c>
      <c r="G2074" s="3">
        <v>2</v>
      </c>
      <c r="H2074" s="17">
        <f>Table1[[#This Row],[Unit price]]*Table1[[#This Row],[Quantity]]</f>
        <v>27.92</v>
      </c>
      <c r="I2074" s="29">
        <f>Table1[[#This Row],[Total Revenue]]/$H$5056*100</f>
        <v>2.9621932579653879E-3</v>
      </c>
      <c r="J2074" s="3" t="s">
        <v>15</v>
      </c>
      <c r="K2074" s="4">
        <v>6</v>
      </c>
      <c r="M2074"/>
    </row>
    <row r="2075" spans="1:13" x14ac:dyDescent="0.25">
      <c r="A2075" s="3" t="s">
        <v>114</v>
      </c>
      <c r="B2075" s="3" t="s">
        <v>245</v>
      </c>
      <c r="C2075" s="3" t="s">
        <v>9</v>
      </c>
      <c r="D2075" s="3" t="s">
        <v>10</v>
      </c>
      <c r="E2075" s="5" t="s">
        <v>18</v>
      </c>
      <c r="F2075" s="17">
        <v>6.58</v>
      </c>
      <c r="G2075" s="3">
        <v>1</v>
      </c>
      <c r="H2075" s="17">
        <f>Table1[[#This Row],[Unit price]]*Table1[[#This Row],[Quantity]]</f>
        <v>6.58</v>
      </c>
      <c r="I2075" s="29">
        <f>Table1[[#This Row],[Total Revenue]]/$H$5056*100</f>
        <v>6.9811001566662788E-4</v>
      </c>
      <c r="J2075" s="3" t="s">
        <v>17</v>
      </c>
      <c r="K2075" s="4">
        <v>7.1</v>
      </c>
      <c r="M2075"/>
    </row>
    <row r="2076" spans="1:13" x14ac:dyDescent="0.25">
      <c r="A2076" s="3" t="s">
        <v>114</v>
      </c>
      <c r="B2076" s="3" t="s">
        <v>244</v>
      </c>
      <c r="C2076" s="3" t="s">
        <v>9</v>
      </c>
      <c r="D2076" s="3" t="s">
        <v>19</v>
      </c>
      <c r="E2076" s="5" t="s">
        <v>21</v>
      </c>
      <c r="F2076" s="17">
        <v>33.450000000000003</v>
      </c>
      <c r="G2076" s="3">
        <v>3</v>
      </c>
      <c r="H2076" s="17">
        <f>Table1[[#This Row],[Unit price]]*Table1[[#This Row],[Quantity]]</f>
        <v>100.35000000000001</v>
      </c>
      <c r="I2076" s="29">
        <f>Table1[[#This Row],[Total Revenue]]/$H$5056*100</f>
        <v>1.0646708217651386E-2</v>
      </c>
      <c r="J2076" s="3" t="s">
        <v>15</v>
      </c>
      <c r="K2076" s="4">
        <v>8.6999999999999993</v>
      </c>
      <c r="M2076"/>
    </row>
    <row r="2077" spans="1:13" x14ac:dyDescent="0.25">
      <c r="A2077" s="3" t="s">
        <v>114</v>
      </c>
      <c r="B2077" s="3" t="s">
        <v>244</v>
      </c>
      <c r="C2077" s="3" t="s">
        <v>13</v>
      </c>
      <c r="D2077" s="3" t="s">
        <v>10</v>
      </c>
      <c r="E2077" s="5" t="s">
        <v>16</v>
      </c>
      <c r="F2077" s="17">
        <v>49.6</v>
      </c>
      <c r="G2077" s="3">
        <v>1</v>
      </c>
      <c r="H2077" s="17">
        <f>Table1[[#This Row],[Unit price]]*Table1[[#This Row],[Quantity]]</f>
        <v>49.6</v>
      </c>
      <c r="I2077" s="29">
        <f>Table1[[#This Row],[Total Revenue]]/$H$5056*100</f>
        <v>5.2623490542651587E-3</v>
      </c>
      <c r="J2077" s="3" t="s">
        <v>15</v>
      </c>
      <c r="K2077" s="4">
        <v>6.1</v>
      </c>
      <c r="M2077"/>
    </row>
    <row r="2078" spans="1:13" x14ac:dyDescent="0.25">
      <c r="A2078" s="3" t="s">
        <v>114</v>
      </c>
      <c r="B2078" s="3" t="s">
        <v>244</v>
      </c>
      <c r="C2078" s="3" t="s">
        <v>13</v>
      </c>
      <c r="D2078" s="3" t="s">
        <v>10</v>
      </c>
      <c r="E2078" s="5" t="s">
        <v>20</v>
      </c>
      <c r="F2078" s="17">
        <v>66.63</v>
      </c>
      <c r="G2078" s="3">
        <v>1</v>
      </c>
      <c r="H2078" s="17">
        <f>Table1[[#This Row],[Unit price]]*Table1[[#This Row],[Quantity]]</f>
        <v>66.63</v>
      </c>
      <c r="I2078" s="29">
        <f>Table1[[#This Row],[Total Revenue]]/$H$5056*100</f>
        <v>7.0691596267275711E-3</v>
      </c>
      <c r="J2078" s="3" t="s">
        <v>15</v>
      </c>
      <c r="K2078" s="4">
        <v>7</v>
      </c>
      <c r="M2078"/>
    </row>
    <row r="2079" spans="1:13" x14ac:dyDescent="0.25">
      <c r="A2079" s="3" t="s">
        <v>114</v>
      </c>
      <c r="B2079" s="3" t="s">
        <v>243</v>
      </c>
      <c r="C2079" s="3" t="s">
        <v>13</v>
      </c>
      <c r="D2079" s="3" t="s">
        <v>19</v>
      </c>
      <c r="E2079" s="5" t="s">
        <v>11</v>
      </c>
      <c r="F2079" s="17">
        <v>4.37</v>
      </c>
      <c r="G2079" s="3">
        <v>4</v>
      </c>
      <c r="H2079" s="17">
        <f>Table1[[#This Row],[Unit price]]*Table1[[#This Row],[Quantity]]</f>
        <v>17.48</v>
      </c>
      <c r="I2079" s="29">
        <f>Table1[[#This Row],[Total Revenue]]/$H$5056*100</f>
        <v>1.8545536586402212E-3</v>
      </c>
      <c r="J2079" s="3" t="s">
        <v>15</v>
      </c>
      <c r="K2079" s="4">
        <v>9.3000000000000007</v>
      </c>
      <c r="M2079"/>
    </row>
    <row r="2080" spans="1:13" x14ac:dyDescent="0.25">
      <c r="A2080" s="3" t="s">
        <v>114</v>
      </c>
      <c r="B2080" s="3" t="s">
        <v>244</v>
      </c>
      <c r="C2080" s="3" t="s">
        <v>9</v>
      </c>
      <c r="D2080" s="3" t="s">
        <v>10</v>
      </c>
      <c r="E2080" s="5" t="s">
        <v>11</v>
      </c>
      <c r="F2080" s="17">
        <v>4.3899999999999997</v>
      </c>
      <c r="G2080" s="3">
        <v>1</v>
      </c>
      <c r="H2080" s="17">
        <f>Table1[[#This Row],[Unit price]]*Table1[[#This Row],[Quantity]]</f>
        <v>4.3899999999999997</v>
      </c>
      <c r="I2080" s="29">
        <f>Table1[[#This Row],[Total Revenue]]/$H$5056*100</f>
        <v>4.6576032960129126E-4</v>
      </c>
      <c r="J2080" s="3" t="s">
        <v>15</v>
      </c>
      <c r="K2080" s="4">
        <v>8.9</v>
      </c>
      <c r="M2080"/>
    </row>
    <row r="2081" spans="1:13" x14ac:dyDescent="0.25">
      <c r="A2081" s="3" t="s">
        <v>114</v>
      </c>
      <c r="B2081" s="3" t="s">
        <v>244</v>
      </c>
      <c r="C2081" s="3" t="s">
        <v>9</v>
      </c>
      <c r="D2081" s="3" t="s">
        <v>10</v>
      </c>
      <c r="E2081" s="5" t="s">
        <v>20</v>
      </c>
      <c r="F2081" s="17">
        <v>56.22</v>
      </c>
      <c r="G2081" s="3">
        <v>4</v>
      </c>
      <c r="H2081" s="17">
        <f>Table1[[#This Row],[Unit price]]*Table1[[#This Row],[Quantity]]</f>
        <v>224.88</v>
      </c>
      <c r="I2081" s="29">
        <f>Table1[[#This Row],[Total Revenue]]/$H$5056*100</f>
        <v>2.3858811599257033E-2</v>
      </c>
      <c r="J2081" s="3" t="s">
        <v>15</v>
      </c>
      <c r="K2081" s="4">
        <v>8.6</v>
      </c>
      <c r="M2081"/>
    </row>
    <row r="2082" spans="1:13" x14ac:dyDescent="0.25">
      <c r="A2082" s="3" t="s">
        <v>114</v>
      </c>
      <c r="B2082" s="3" t="s">
        <v>244</v>
      </c>
      <c r="C2082" s="3" t="s">
        <v>9</v>
      </c>
      <c r="D2082" s="3" t="s">
        <v>10</v>
      </c>
      <c r="E2082" s="5" t="s">
        <v>21</v>
      </c>
      <c r="F2082" s="17">
        <v>20.49</v>
      </c>
      <c r="G2082" s="3">
        <v>2</v>
      </c>
      <c r="H2082" s="17">
        <f>Table1[[#This Row],[Unit price]]*Table1[[#This Row],[Quantity]]</f>
        <v>40.98</v>
      </c>
      <c r="I2082" s="29">
        <f>Table1[[#This Row],[Total Revenue]]/$H$5056*100</f>
        <v>4.3478037145924632E-3</v>
      </c>
      <c r="J2082" s="3" t="s">
        <v>15</v>
      </c>
      <c r="K2082" s="4">
        <v>8.9</v>
      </c>
      <c r="M2082"/>
    </row>
    <row r="2083" spans="1:13" x14ac:dyDescent="0.25">
      <c r="A2083" s="3" t="s">
        <v>114</v>
      </c>
      <c r="B2083" s="3" t="s">
        <v>243</v>
      </c>
      <c r="C2083" s="3" t="s">
        <v>13</v>
      </c>
      <c r="D2083" s="3" t="s">
        <v>10</v>
      </c>
      <c r="E2083" s="5" t="s">
        <v>11</v>
      </c>
      <c r="F2083" s="17">
        <v>5.41</v>
      </c>
      <c r="G2083" s="3">
        <v>4</v>
      </c>
      <c r="H2083" s="17">
        <f>Table1[[#This Row],[Unit price]]*Table1[[#This Row],[Quantity]]</f>
        <v>21.64</v>
      </c>
      <c r="I2083" s="29">
        <f>Table1[[#This Row],[Total Revenue]]/$H$5056*100</f>
        <v>2.2959119664172994E-3</v>
      </c>
      <c r="J2083" s="3" t="s">
        <v>17</v>
      </c>
      <c r="K2083" s="4">
        <v>8.4</v>
      </c>
      <c r="M2083"/>
    </row>
    <row r="2084" spans="1:13" x14ac:dyDescent="0.25">
      <c r="A2084" s="3" t="s">
        <v>114</v>
      </c>
      <c r="B2084" s="3" t="s">
        <v>244</v>
      </c>
      <c r="C2084" s="3" t="s">
        <v>13</v>
      </c>
      <c r="D2084" s="3" t="s">
        <v>10</v>
      </c>
      <c r="E2084" s="5" t="s">
        <v>11</v>
      </c>
      <c r="F2084" s="17">
        <v>4.7300000000000004</v>
      </c>
      <c r="G2084" s="3">
        <v>6</v>
      </c>
      <c r="H2084" s="17">
        <f>Table1[[#This Row],[Unit price]]*Table1[[#This Row],[Quantity]]</f>
        <v>28.380000000000003</v>
      </c>
      <c r="I2084" s="29">
        <f>Table1[[#This Row],[Total Revenue]]/$H$5056*100</f>
        <v>3.0109973016138147E-3</v>
      </c>
      <c r="J2084" s="3" t="s">
        <v>17</v>
      </c>
      <c r="K2084" s="4">
        <v>8.4</v>
      </c>
      <c r="M2084"/>
    </row>
    <row r="2085" spans="1:13" x14ac:dyDescent="0.25">
      <c r="A2085" s="3" t="s">
        <v>114</v>
      </c>
      <c r="B2085" s="3" t="s">
        <v>244</v>
      </c>
      <c r="C2085" s="3" t="s">
        <v>13</v>
      </c>
      <c r="D2085" s="3" t="s">
        <v>19</v>
      </c>
      <c r="E2085" s="5" t="s">
        <v>18</v>
      </c>
      <c r="F2085" s="17">
        <v>13.56</v>
      </c>
      <c r="G2085" s="3">
        <v>1</v>
      </c>
      <c r="H2085" s="17">
        <f>Table1[[#This Row],[Unit price]]*Table1[[#This Row],[Quantity]]</f>
        <v>13.56</v>
      </c>
      <c r="I2085" s="29">
        <f>Table1[[#This Row],[Total Revenue]]/$H$5056*100</f>
        <v>1.438658330157975E-3</v>
      </c>
      <c r="J2085" s="3" t="s">
        <v>17</v>
      </c>
      <c r="K2085" s="4">
        <v>7.2</v>
      </c>
      <c r="M2085"/>
    </row>
    <row r="2086" spans="1:13" x14ac:dyDescent="0.25">
      <c r="A2086" s="3" t="s">
        <v>115</v>
      </c>
      <c r="B2086" s="3" t="s">
        <v>245</v>
      </c>
      <c r="C2086" s="3" t="s">
        <v>13</v>
      </c>
      <c r="D2086" s="3" t="s">
        <v>19</v>
      </c>
      <c r="E2086" s="5" t="s">
        <v>11</v>
      </c>
      <c r="F2086" s="17">
        <v>7.55</v>
      </c>
      <c r="G2086" s="3">
        <v>6</v>
      </c>
      <c r="H2086" s="17">
        <f>Table1[[#This Row],[Unit price]]*Table1[[#This Row],[Quantity]]</f>
        <v>45.3</v>
      </c>
      <c r="I2086" s="29">
        <f>Table1[[#This Row],[Total Revenue]]/$H$5056*100</f>
        <v>4.8061373418994283E-3</v>
      </c>
      <c r="J2086" s="3" t="s">
        <v>17</v>
      </c>
      <c r="K2086" s="4">
        <v>9.3000000000000007</v>
      </c>
      <c r="M2086"/>
    </row>
    <row r="2087" spans="1:13" x14ac:dyDescent="0.25">
      <c r="A2087" s="3" t="s">
        <v>115</v>
      </c>
      <c r="B2087" s="3" t="s">
        <v>243</v>
      </c>
      <c r="C2087" s="3" t="s">
        <v>13</v>
      </c>
      <c r="D2087" s="3" t="s">
        <v>19</v>
      </c>
      <c r="E2087" s="5" t="s">
        <v>11</v>
      </c>
      <c r="F2087" s="17">
        <v>6.85</v>
      </c>
      <c r="G2087" s="3">
        <v>2</v>
      </c>
      <c r="H2087" s="17">
        <f>Table1[[#This Row],[Unit price]]*Table1[[#This Row],[Quantity]]</f>
        <v>13.7</v>
      </c>
      <c r="I2087" s="29">
        <f>Table1[[#This Row],[Total Revenue]]/$H$5056*100</f>
        <v>1.4535117347466264E-3</v>
      </c>
      <c r="J2087" s="3" t="s">
        <v>15</v>
      </c>
      <c r="K2087" s="4">
        <v>6.9</v>
      </c>
      <c r="M2087"/>
    </row>
    <row r="2088" spans="1:13" x14ac:dyDescent="0.25">
      <c r="A2088" s="3" t="s">
        <v>115</v>
      </c>
      <c r="B2088" s="3" t="s">
        <v>245</v>
      </c>
      <c r="C2088" s="3" t="s">
        <v>13</v>
      </c>
      <c r="D2088" s="3" t="s">
        <v>19</v>
      </c>
      <c r="E2088" s="5" t="s">
        <v>21</v>
      </c>
      <c r="F2088" s="17">
        <v>26.68</v>
      </c>
      <c r="G2088" s="3">
        <v>2</v>
      </c>
      <c r="H2088" s="17">
        <f>Table1[[#This Row],[Unit price]]*Table1[[#This Row],[Quantity]]</f>
        <v>53.36</v>
      </c>
      <c r="I2088" s="29">
        <f>Table1[[#This Row],[Total Revenue]]/$H$5056*100</f>
        <v>5.6612690632175172E-3</v>
      </c>
      <c r="J2088" s="3" t="s">
        <v>15</v>
      </c>
      <c r="K2088" s="4">
        <v>6.4</v>
      </c>
      <c r="M2088"/>
    </row>
    <row r="2089" spans="1:13" x14ac:dyDescent="0.25">
      <c r="A2089" s="3" t="s">
        <v>115</v>
      </c>
      <c r="B2089" s="3" t="s">
        <v>245</v>
      </c>
      <c r="C2089" s="3" t="s">
        <v>9</v>
      </c>
      <c r="D2089" s="3" t="s">
        <v>10</v>
      </c>
      <c r="E2089" s="5" t="s">
        <v>11</v>
      </c>
      <c r="F2089" s="17">
        <v>6.08</v>
      </c>
      <c r="G2089" s="3">
        <v>3</v>
      </c>
      <c r="H2089" s="17">
        <f>Table1[[#This Row],[Unit price]]*Table1[[#This Row],[Quantity]]</f>
        <v>18.240000000000002</v>
      </c>
      <c r="I2089" s="29">
        <f>Table1[[#This Row],[Total Revenue]]/$H$5056*100</f>
        <v>1.9351864264071875E-3</v>
      </c>
      <c r="J2089" s="3" t="s">
        <v>15</v>
      </c>
      <c r="K2089" s="4">
        <v>9.8000000000000007</v>
      </c>
      <c r="M2089"/>
    </row>
    <row r="2090" spans="1:13" x14ac:dyDescent="0.25">
      <c r="A2090" s="3" t="s">
        <v>115</v>
      </c>
      <c r="B2090" s="3" t="s">
        <v>244</v>
      </c>
      <c r="C2090" s="3" t="s">
        <v>13</v>
      </c>
      <c r="D2090" s="3" t="s">
        <v>10</v>
      </c>
      <c r="E2090" s="5" t="s">
        <v>11</v>
      </c>
      <c r="F2090" s="17">
        <v>7.68</v>
      </c>
      <c r="G2090" s="3">
        <v>5</v>
      </c>
      <c r="H2090" s="17">
        <f>Table1[[#This Row],[Unit price]]*Table1[[#This Row],[Quantity]]</f>
        <v>38.4</v>
      </c>
      <c r="I2090" s="29">
        <f>Table1[[#This Row],[Total Revenue]]/$H$5056*100</f>
        <v>4.0740766871730262E-3</v>
      </c>
      <c r="J2090" s="3" t="s">
        <v>15</v>
      </c>
      <c r="K2090" s="4">
        <v>9.5</v>
      </c>
      <c r="M2090"/>
    </row>
    <row r="2091" spans="1:13" x14ac:dyDescent="0.25">
      <c r="A2091" s="3" t="s">
        <v>115</v>
      </c>
      <c r="B2091" s="3" t="s">
        <v>243</v>
      </c>
      <c r="C2091" s="3" t="s">
        <v>13</v>
      </c>
      <c r="D2091" s="3" t="s">
        <v>10</v>
      </c>
      <c r="E2091" s="5" t="s">
        <v>14</v>
      </c>
      <c r="F2091" s="17">
        <v>80.739999999999995</v>
      </c>
      <c r="G2091" s="3">
        <v>2</v>
      </c>
      <c r="H2091" s="17">
        <f>Table1[[#This Row],[Unit price]]*Table1[[#This Row],[Quantity]]</f>
        <v>161.47999999999999</v>
      </c>
      <c r="I2091" s="29">
        <f>Table1[[#This Row],[Total Revenue]]/$H$5056*100</f>
        <v>1.713234123553907E-2</v>
      </c>
      <c r="J2091" s="3" t="s">
        <v>12</v>
      </c>
      <c r="K2091" s="4">
        <v>6.8</v>
      </c>
      <c r="M2091"/>
    </row>
    <row r="2092" spans="1:13" x14ac:dyDescent="0.25">
      <c r="A2092" s="3" t="s">
        <v>115</v>
      </c>
      <c r="B2092" s="3" t="s">
        <v>245</v>
      </c>
      <c r="C2092" s="3" t="s">
        <v>13</v>
      </c>
      <c r="D2092" s="3" t="s">
        <v>19</v>
      </c>
      <c r="E2092" s="5" t="s">
        <v>16</v>
      </c>
      <c r="F2092" s="17">
        <v>54.37</v>
      </c>
      <c r="G2092" s="3">
        <v>2</v>
      </c>
      <c r="H2092" s="17">
        <f>Table1[[#This Row],[Unit price]]*Table1[[#This Row],[Quantity]]</f>
        <v>108.74</v>
      </c>
      <c r="I2092" s="29">
        <f>Table1[[#This Row],[Total Revenue]]/$H$5056*100</f>
        <v>1.1536851535499866E-2</v>
      </c>
      <c r="J2092" s="3" t="s">
        <v>17</v>
      </c>
      <c r="K2092" s="4">
        <v>6.8</v>
      </c>
      <c r="M2092"/>
    </row>
    <row r="2093" spans="1:13" x14ac:dyDescent="0.25">
      <c r="A2093" s="3" t="s">
        <v>115</v>
      </c>
      <c r="B2093" s="3" t="s">
        <v>245</v>
      </c>
      <c r="C2093" s="3" t="s">
        <v>13</v>
      </c>
      <c r="D2093" s="3" t="s">
        <v>10</v>
      </c>
      <c r="E2093" s="5" t="s">
        <v>20</v>
      </c>
      <c r="F2093" s="17">
        <v>47.71</v>
      </c>
      <c r="G2093" s="3">
        <v>1</v>
      </c>
      <c r="H2093" s="17">
        <f>Table1[[#This Row],[Unit price]]*Table1[[#This Row],[Quantity]]</f>
        <v>47.71</v>
      </c>
      <c r="I2093" s="29">
        <f>Table1[[#This Row],[Total Revenue]]/$H$5056*100</f>
        <v>5.0618280923183613E-3</v>
      </c>
      <c r="J2093" s="3" t="s">
        <v>15</v>
      </c>
      <c r="K2093" s="4">
        <v>8.1</v>
      </c>
      <c r="M2093"/>
    </row>
    <row r="2094" spans="1:13" x14ac:dyDescent="0.25">
      <c r="A2094" s="3" t="s">
        <v>115</v>
      </c>
      <c r="B2094" s="3" t="s">
        <v>244</v>
      </c>
      <c r="C2094" s="3" t="s">
        <v>13</v>
      </c>
      <c r="D2094" s="3" t="s">
        <v>19</v>
      </c>
      <c r="E2094" s="5" t="s">
        <v>11</v>
      </c>
      <c r="F2094" s="17">
        <v>7.32</v>
      </c>
      <c r="G2094" s="3">
        <v>5</v>
      </c>
      <c r="H2094" s="17">
        <f>Table1[[#This Row],[Unit price]]*Table1[[#This Row],[Quantity]]</f>
        <v>36.6</v>
      </c>
      <c r="I2094" s="29">
        <f>Table1[[#This Row],[Total Revenue]]/$H$5056*100</f>
        <v>3.8831043424617908E-3</v>
      </c>
      <c r="J2094" s="3" t="s">
        <v>15</v>
      </c>
      <c r="K2094" s="4">
        <v>9</v>
      </c>
      <c r="M2094"/>
    </row>
    <row r="2095" spans="1:13" x14ac:dyDescent="0.25">
      <c r="A2095" s="3" t="s">
        <v>115</v>
      </c>
      <c r="B2095" s="3" t="s">
        <v>244</v>
      </c>
      <c r="C2095" s="3" t="s">
        <v>13</v>
      </c>
      <c r="D2095" s="3" t="s">
        <v>19</v>
      </c>
      <c r="E2095" s="5" t="s">
        <v>21</v>
      </c>
      <c r="F2095" s="17">
        <v>31.6</v>
      </c>
      <c r="G2095" s="3">
        <v>4</v>
      </c>
      <c r="H2095" s="17">
        <f>Table1[[#This Row],[Unit price]]*Table1[[#This Row],[Quantity]]</f>
        <v>126.4</v>
      </c>
      <c r="I2095" s="29">
        <f>Table1[[#This Row],[Total Revenue]]/$H$5056*100</f>
        <v>1.341050242861121E-2</v>
      </c>
      <c r="J2095" s="3" t="s">
        <v>17</v>
      </c>
      <c r="K2095" s="4">
        <v>6</v>
      </c>
      <c r="M2095"/>
    </row>
    <row r="2096" spans="1:13" x14ac:dyDescent="0.25">
      <c r="A2096" s="3" t="s">
        <v>115</v>
      </c>
      <c r="B2096" s="3" t="s">
        <v>245</v>
      </c>
      <c r="C2096" s="3" t="s">
        <v>13</v>
      </c>
      <c r="D2096" s="3" t="s">
        <v>10</v>
      </c>
      <c r="E2096" s="5" t="s">
        <v>20</v>
      </c>
      <c r="F2096" s="17">
        <v>73.459999999999994</v>
      </c>
      <c r="G2096" s="3">
        <v>2</v>
      </c>
      <c r="H2096" s="17">
        <f>Table1[[#This Row],[Unit price]]*Table1[[#This Row],[Quantity]]</f>
        <v>146.91999999999999</v>
      </c>
      <c r="I2096" s="29">
        <f>Table1[[#This Row],[Total Revenue]]/$H$5056*100</f>
        <v>1.5587587158319293E-2</v>
      </c>
      <c r="J2096" s="3" t="s">
        <v>17</v>
      </c>
      <c r="K2096" s="4">
        <v>8.8000000000000007</v>
      </c>
      <c r="M2096"/>
    </row>
    <row r="2097" spans="1:13" x14ac:dyDescent="0.25">
      <c r="A2097" s="3" t="s">
        <v>115</v>
      </c>
      <c r="B2097" s="3" t="s">
        <v>244</v>
      </c>
      <c r="C2097" s="3" t="s">
        <v>9</v>
      </c>
      <c r="D2097" s="3" t="s">
        <v>10</v>
      </c>
      <c r="E2097" s="5" t="s">
        <v>11</v>
      </c>
      <c r="F2097" s="17">
        <v>7.54</v>
      </c>
      <c r="G2097" s="3">
        <v>1</v>
      </c>
      <c r="H2097" s="17">
        <f>Table1[[#This Row],[Unit price]]*Table1[[#This Row],[Quantity]]</f>
        <v>7.54</v>
      </c>
      <c r="I2097" s="29">
        <f>Table1[[#This Row],[Total Revenue]]/$H$5056*100</f>
        <v>7.9996193284595355E-4</v>
      </c>
      <c r="J2097" s="3" t="s">
        <v>17</v>
      </c>
      <c r="K2097" s="4">
        <v>8.6</v>
      </c>
      <c r="M2097"/>
    </row>
    <row r="2098" spans="1:13" x14ac:dyDescent="0.25">
      <c r="A2098" s="3" t="s">
        <v>115</v>
      </c>
      <c r="B2098" s="3" t="s">
        <v>243</v>
      </c>
      <c r="C2098" s="3" t="s">
        <v>13</v>
      </c>
      <c r="D2098" s="3" t="s">
        <v>10</v>
      </c>
      <c r="E2098" s="5" t="s">
        <v>21</v>
      </c>
      <c r="F2098" s="17">
        <v>38.29</v>
      </c>
      <c r="G2098" s="3">
        <v>1</v>
      </c>
      <c r="H2098" s="17">
        <f>Table1[[#This Row],[Unit price]]*Table1[[#This Row],[Quantity]]</f>
        <v>38.29</v>
      </c>
      <c r="I2098" s="29">
        <f>Table1[[#This Row],[Total Revenue]]/$H$5056*100</f>
        <v>4.0624061549962278E-3</v>
      </c>
      <c r="J2098" s="3" t="s">
        <v>17</v>
      </c>
      <c r="K2098" s="4">
        <v>7.3</v>
      </c>
      <c r="M2098"/>
    </row>
    <row r="2099" spans="1:13" x14ac:dyDescent="0.25">
      <c r="A2099" s="3" t="s">
        <v>115</v>
      </c>
      <c r="B2099" s="3" t="s">
        <v>243</v>
      </c>
      <c r="C2099" s="3" t="s">
        <v>13</v>
      </c>
      <c r="D2099" s="3" t="s">
        <v>10</v>
      </c>
      <c r="E2099" s="5" t="s">
        <v>20</v>
      </c>
      <c r="F2099" s="17">
        <v>67.45</v>
      </c>
      <c r="G2099" s="3">
        <v>2</v>
      </c>
      <c r="H2099" s="17">
        <f>Table1[[#This Row],[Unit price]]*Table1[[#This Row],[Quantity]]</f>
        <v>134.9</v>
      </c>
      <c r="I2099" s="29">
        <f>Table1[[#This Row],[Total Revenue]]/$H$5056*100</f>
        <v>1.4312316278636493E-2</v>
      </c>
      <c r="J2099" s="3" t="s">
        <v>12</v>
      </c>
      <c r="K2099" s="4">
        <v>6.7</v>
      </c>
      <c r="M2099"/>
    </row>
    <row r="2100" spans="1:13" x14ac:dyDescent="0.25">
      <c r="A2100" s="3" t="s">
        <v>115</v>
      </c>
      <c r="B2100" s="3" t="s">
        <v>244</v>
      </c>
      <c r="C2100" s="3" t="s">
        <v>9</v>
      </c>
      <c r="D2100" s="3" t="s">
        <v>19</v>
      </c>
      <c r="E2100" s="5" t="s">
        <v>11</v>
      </c>
      <c r="F2100" s="17">
        <v>5.81</v>
      </c>
      <c r="G2100" s="3">
        <v>3</v>
      </c>
      <c r="H2100" s="17">
        <f>Table1[[#This Row],[Unit price]]*Table1[[#This Row],[Quantity]]</f>
        <v>17.43</v>
      </c>
      <c r="I2100" s="29">
        <f>Table1[[#This Row],[Total Revenue]]/$H$5056*100</f>
        <v>1.8492488712871314E-3</v>
      </c>
      <c r="J2100" s="3" t="s">
        <v>15</v>
      </c>
      <c r="K2100" s="4">
        <v>9.1</v>
      </c>
      <c r="M2100"/>
    </row>
    <row r="2101" spans="1:13" x14ac:dyDescent="0.25">
      <c r="A2101" s="3" t="s">
        <v>115</v>
      </c>
      <c r="B2101" s="3" t="s">
        <v>245</v>
      </c>
      <c r="C2101" s="3" t="s">
        <v>9</v>
      </c>
      <c r="D2101" s="3" t="s">
        <v>10</v>
      </c>
      <c r="E2101" s="5" t="s">
        <v>20</v>
      </c>
      <c r="F2101" s="17">
        <v>56.69</v>
      </c>
      <c r="G2101" s="3">
        <v>1</v>
      </c>
      <c r="H2101" s="17">
        <f>Table1[[#This Row],[Unit price]]*Table1[[#This Row],[Quantity]]</f>
        <v>56.69</v>
      </c>
      <c r="I2101" s="29">
        <f>Table1[[#This Row],[Total Revenue]]/$H$5056*100</f>
        <v>6.014567900933303E-3</v>
      </c>
      <c r="J2101" s="3" t="s">
        <v>17</v>
      </c>
      <c r="K2101" s="4">
        <v>7.6</v>
      </c>
      <c r="M2101"/>
    </row>
    <row r="2102" spans="1:13" x14ac:dyDescent="0.25">
      <c r="A2102" s="3" t="s">
        <v>115</v>
      </c>
      <c r="B2102" s="3" t="s">
        <v>245</v>
      </c>
      <c r="C2102" s="3" t="s">
        <v>9</v>
      </c>
      <c r="D2102" s="3" t="s">
        <v>10</v>
      </c>
      <c r="E2102" s="5" t="s">
        <v>11</v>
      </c>
      <c r="F2102" s="17">
        <v>5.03</v>
      </c>
      <c r="G2102" s="3">
        <v>2</v>
      </c>
      <c r="H2102" s="17">
        <f>Table1[[#This Row],[Unit price]]*Table1[[#This Row],[Quantity]]</f>
        <v>10.06</v>
      </c>
      <c r="I2102" s="29">
        <f>Table1[[#This Row],[Total Revenue]]/$H$5056*100</f>
        <v>1.0673232154416834E-3</v>
      </c>
      <c r="J2102" s="3" t="s">
        <v>17</v>
      </c>
      <c r="K2102" s="4">
        <v>7.5</v>
      </c>
      <c r="M2102"/>
    </row>
    <row r="2103" spans="1:13" x14ac:dyDescent="0.25">
      <c r="A2103" s="3" t="s">
        <v>115</v>
      </c>
      <c r="B2103" s="3" t="s">
        <v>244</v>
      </c>
      <c r="C2103" s="3" t="s">
        <v>13</v>
      </c>
      <c r="D2103" s="3" t="s">
        <v>10</v>
      </c>
      <c r="E2103" s="5" t="s">
        <v>11</v>
      </c>
      <c r="F2103" s="17">
        <v>6.93</v>
      </c>
      <c r="G2103" s="3">
        <v>2</v>
      </c>
      <c r="H2103" s="17">
        <f>Table1[[#This Row],[Unit price]]*Table1[[#This Row],[Quantity]]</f>
        <v>13.86</v>
      </c>
      <c r="I2103" s="29">
        <f>Table1[[#This Row],[Total Revenue]]/$H$5056*100</f>
        <v>1.470487054276514E-3</v>
      </c>
      <c r="J2103" s="3" t="s">
        <v>17</v>
      </c>
      <c r="K2103" s="4">
        <v>7.8</v>
      </c>
      <c r="M2103"/>
    </row>
    <row r="2104" spans="1:13" x14ac:dyDescent="0.25">
      <c r="A2104" s="3" t="s">
        <v>116</v>
      </c>
      <c r="B2104" s="3" t="s">
        <v>244</v>
      </c>
      <c r="C2104" s="3" t="s">
        <v>13</v>
      </c>
      <c r="D2104" s="3" t="s">
        <v>10</v>
      </c>
      <c r="E2104" s="5" t="s">
        <v>16</v>
      </c>
      <c r="F2104" s="17">
        <v>67.2</v>
      </c>
      <c r="G2104" s="3">
        <v>1</v>
      </c>
      <c r="H2104" s="17">
        <f>Table1[[#This Row],[Unit price]]*Table1[[#This Row],[Quantity]]</f>
        <v>67.2</v>
      </c>
      <c r="I2104" s="29">
        <f>Table1[[#This Row],[Total Revenue]]/$H$5056*100</f>
        <v>7.1296342025527967E-3</v>
      </c>
      <c r="J2104" s="3" t="s">
        <v>17</v>
      </c>
      <c r="K2104" s="4">
        <v>7.2</v>
      </c>
      <c r="M2104"/>
    </row>
    <row r="2105" spans="1:13" x14ac:dyDescent="0.25">
      <c r="A2105" s="3" t="s">
        <v>116</v>
      </c>
      <c r="B2105" s="3" t="s">
        <v>245</v>
      </c>
      <c r="C2105" s="3" t="s">
        <v>13</v>
      </c>
      <c r="D2105" s="3" t="s">
        <v>10</v>
      </c>
      <c r="E2105" s="5" t="s">
        <v>11</v>
      </c>
      <c r="F2105" s="17">
        <v>6.99</v>
      </c>
      <c r="G2105" s="3">
        <v>1</v>
      </c>
      <c r="H2105" s="17">
        <f>Table1[[#This Row],[Unit price]]*Table1[[#This Row],[Quantity]]</f>
        <v>6.99</v>
      </c>
      <c r="I2105" s="29">
        <f>Table1[[#This Row],[Total Revenue]]/$H$5056*100</f>
        <v>7.4160927196196495E-4</v>
      </c>
      <c r="J2105" s="3" t="s">
        <v>15</v>
      </c>
      <c r="K2105" s="4">
        <v>8</v>
      </c>
      <c r="M2105"/>
    </row>
    <row r="2106" spans="1:13" x14ac:dyDescent="0.25">
      <c r="A2106" s="3" t="s">
        <v>116</v>
      </c>
      <c r="B2106" s="3" t="s">
        <v>245</v>
      </c>
      <c r="C2106" s="3" t="s">
        <v>13</v>
      </c>
      <c r="D2106" s="3" t="s">
        <v>19</v>
      </c>
      <c r="E2106" s="5" t="s">
        <v>16</v>
      </c>
      <c r="F2106" s="17">
        <v>45.1</v>
      </c>
      <c r="G2106" s="3">
        <v>3</v>
      </c>
      <c r="H2106" s="17">
        <f>Table1[[#This Row],[Unit price]]*Table1[[#This Row],[Quantity]]</f>
        <v>135.30000000000001</v>
      </c>
      <c r="I2106" s="29">
        <f>Table1[[#This Row],[Total Revenue]]/$H$5056*100</f>
        <v>1.4354754577461212E-2</v>
      </c>
      <c r="J2106" s="3" t="s">
        <v>17</v>
      </c>
      <c r="K2106" s="4">
        <v>6.2</v>
      </c>
      <c r="M2106"/>
    </row>
    <row r="2107" spans="1:13" x14ac:dyDescent="0.25">
      <c r="A2107" s="3" t="s">
        <v>116</v>
      </c>
      <c r="B2107" s="3" t="s">
        <v>244</v>
      </c>
      <c r="C2107" s="3" t="s">
        <v>9</v>
      </c>
      <c r="D2107" s="3" t="s">
        <v>19</v>
      </c>
      <c r="E2107" s="5" t="s">
        <v>16</v>
      </c>
      <c r="F2107" s="17">
        <v>46.14</v>
      </c>
      <c r="G2107" s="3">
        <v>1</v>
      </c>
      <c r="H2107" s="17">
        <f>Table1[[#This Row],[Unit price]]*Table1[[#This Row],[Quantity]]</f>
        <v>46.14</v>
      </c>
      <c r="I2107" s="29">
        <f>Table1[[#This Row],[Total Revenue]]/$H$5056*100</f>
        <v>4.8952577694313399E-3</v>
      </c>
      <c r="J2107" s="3" t="s">
        <v>17</v>
      </c>
      <c r="K2107" s="4">
        <v>7.9</v>
      </c>
      <c r="M2107"/>
    </row>
    <row r="2108" spans="1:13" x14ac:dyDescent="0.25">
      <c r="A2108" s="3" t="s">
        <v>116</v>
      </c>
      <c r="B2108" s="3" t="s">
        <v>243</v>
      </c>
      <c r="C2108" s="3" t="s">
        <v>13</v>
      </c>
      <c r="D2108" s="3" t="s">
        <v>19</v>
      </c>
      <c r="E2108" s="5" t="s">
        <v>14</v>
      </c>
      <c r="F2108" s="17">
        <v>88.25</v>
      </c>
      <c r="G2108" s="3">
        <v>1</v>
      </c>
      <c r="H2108" s="17">
        <f>Table1[[#This Row],[Unit price]]*Table1[[#This Row],[Quantity]]</f>
        <v>88.25</v>
      </c>
      <c r="I2108" s="29">
        <f>Table1[[#This Row],[Total Revenue]]/$H$5056*100</f>
        <v>9.3629496782036345E-3</v>
      </c>
      <c r="J2108" s="3" t="s">
        <v>12</v>
      </c>
      <c r="K2108" s="4">
        <v>8.5</v>
      </c>
      <c r="M2108"/>
    </row>
    <row r="2109" spans="1:13" x14ac:dyDescent="0.25">
      <c r="A2109" s="3" t="s">
        <v>116</v>
      </c>
      <c r="B2109" s="3" t="s">
        <v>244</v>
      </c>
      <c r="C2109" s="3" t="s">
        <v>9</v>
      </c>
      <c r="D2109" s="3" t="s">
        <v>19</v>
      </c>
      <c r="E2109" s="5" t="s">
        <v>11</v>
      </c>
      <c r="F2109" s="17">
        <v>5.0999999999999996</v>
      </c>
      <c r="G2109" s="3">
        <v>4</v>
      </c>
      <c r="H2109" s="17">
        <f>Table1[[#This Row],[Unit price]]*Table1[[#This Row],[Quantity]]</f>
        <v>20.399999999999999</v>
      </c>
      <c r="I2109" s="29">
        <f>Table1[[#This Row],[Total Revenue]]/$H$5056*100</f>
        <v>2.1643532400606701E-3</v>
      </c>
      <c r="J2109" s="3" t="s">
        <v>17</v>
      </c>
      <c r="K2109" s="4">
        <v>8.1</v>
      </c>
      <c r="M2109"/>
    </row>
    <row r="2110" spans="1:13" x14ac:dyDescent="0.25">
      <c r="A2110" s="3" t="s">
        <v>116</v>
      </c>
      <c r="B2110" s="3" t="s">
        <v>244</v>
      </c>
      <c r="C2110" s="3" t="s">
        <v>13</v>
      </c>
      <c r="D2110" s="3" t="s">
        <v>10</v>
      </c>
      <c r="E2110" s="5" t="s">
        <v>20</v>
      </c>
      <c r="F2110" s="17">
        <v>56.23</v>
      </c>
      <c r="G2110" s="3">
        <v>2</v>
      </c>
      <c r="H2110" s="17">
        <f>Table1[[#This Row],[Unit price]]*Table1[[#This Row],[Quantity]]</f>
        <v>112.46</v>
      </c>
      <c r="I2110" s="29">
        <f>Table1[[#This Row],[Total Revenue]]/$H$5056*100</f>
        <v>1.1931527714569753E-2</v>
      </c>
      <c r="J2110" s="3" t="s">
        <v>12</v>
      </c>
      <c r="K2110" s="4">
        <v>4.9000000000000004</v>
      </c>
      <c r="M2110"/>
    </row>
    <row r="2111" spans="1:13" x14ac:dyDescent="0.25">
      <c r="A2111" s="3" t="s">
        <v>116</v>
      </c>
      <c r="B2111" s="3" t="s">
        <v>245</v>
      </c>
      <c r="C2111" s="3" t="s">
        <v>9</v>
      </c>
      <c r="D2111" s="3" t="s">
        <v>10</v>
      </c>
      <c r="E2111" s="5" t="s">
        <v>21</v>
      </c>
      <c r="F2111" s="17">
        <v>30.11</v>
      </c>
      <c r="G2111" s="3">
        <v>3</v>
      </c>
      <c r="H2111" s="17">
        <f>Table1[[#This Row],[Unit price]]*Table1[[#This Row],[Quantity]]</f>
        <v>90.33</v>
      </c>
      <c r="I2111" s="29">
        <f>Table1[[#This Row],[Total Revenue]]/$H$5056*100</f>
        <v>9.5836288320921732E-3</v>
      </c>
      <c r="J2111" s="3" t="s">
        <v>15</v>
      </c>
      <c r="K2111" s="4">
        <v>7.2</v>
      </c>
      <c r="M2111"/>
    </row>
    <row r="2112" spans="1:13" x14ac:dyDescent="0.25">
      <c r="A2112" s="3" t="s">
        <v>116</v>
      </c>
      <c r="B2112" s="3" t="s">
        <v>244</v>
      </c>
      <c r="C2112" s="3" t="s">
        <v>13</v>
      </c>
      <c r="D2112" s="3" t="s">
        <v>19</v>
      </c>
      <c r="E2112" s="5" t="s">
        <v>14</v>
      </c>
      <c r="F2112" s="17">
        <v>87.54</v>
      </c>
      <c r="G2112" s="3">
        <v>1</v>
      </c>
      <c r="H2112" s="17">
        <f>Table1[[#This Row],[Unit price]]*Table1[[#This Row],[Quantity]]</f>
        <v>87.54</v>
      </c>
      <c r="I2112" s="29">
        <f>Table1[[#This Row],[Total Revenue]]/$H$5056*100</f>
        <v>9.2876216977897594E-3</v>
      </c>
      <c r="J2112" s="3" t="s">
        <v>17</v>
      </c>
      <c r="K2112" s="4">
        <v>9.4</v>
      </c>
      <c r="M2112"/>
    </row>
    <row r="2113" spans="1:13" x14ac:dyDescent="0.25">
      <c r="A2113" s="3" t="s">
        <v>116</v>
      </c>
      <c r="B2113" s="3" t="s">
        <v>245</v>
      </c>
      <c r="C2113" s="3" t="s">
        <v>13</v>
      </c>
      <c r="D2113" s="3" t="s">
        <v>19</v>
      </c>
      <c r="E2113" s="5" t="s">
        <v>18</v>
      </c>
      <c r="F2113" s="17">
        <v>10.23</v>
      </c>
      <c r="G2113" s="3">
        <v>3</v>
      </c>
      <c r="H2113" s="17">
        <f>Table1[[#This Row],[Unit price]]*Table1[[#This Row],[Quantity]]</f>
        <v>30.69</v>
      </c>
      <c r="I2113" s="29">
        <f>Table1[[#This Row],[Total Revenue]]/$H$5056*100</f>
        <v>3.2560784773265671E-3</v>
      </c>
      <c r="J2113" s="3" t="s">
        <v>12</v>
      </c>
      <c r="K2113" s="4">
        <v>7.9</v>
      </c>
      <c r="M2113"/>
    </row>
    <row r="2114" spans="1:13" x14ac:dyDescent="0.25">
      <c r="A2114" s="3" t="s">
        <v>116</v>
      </c>
      <c r="B2114" s="3" t="s">
        <v>243</v>
      </c>
      <c r="C2114" s="3" t="s">
        <v>13</v>
      </c>
      <c r="D2114" s="3" t="s">
        <v>19</v>
      </c>
      <c r="E2114" s="5" t="s">
        <v>14</v>
      </c>
      <c r="F2114" s="17">
        <v>80.78</v>
      </c>
      <c r="G2114" s="3">
        <v>2</v>
      </c>
      <c r="H2114" s="17">
        <f>Table1[[#This Row],[Unit price]]*Table1[[#This Row],[Quantity]]</f>
        <v>161.56</v>
      </c>
      <c r="I2114" s="29">
        <f>Table1[[#This Row],[Total Revenue]]/$H$5056*100</f>
        <v>1.7140828895304012E-2</v>
      </c>
      <c r="J2114" s="3" t="s">
        <v>15</v>
      </c>
      <c r="K2114" s="4">
        <v>6.8</v>
      </c>
      <c r="M2114"/>
    </row>
    <row r="2115" spans="1:13" x14ac:dyDescent="0.25">
      <c r="A2115" s="3" t="s">
        <v>116</v>
      </c>
      <c r="B2115" s="3" t="s">
        <v>244</v>
      </c>
      <c r="C2115" s="3" t="s">
        <v>13</v>
      </c>
      <c r="D2115" s="3" t="s">
        <v>19</v>
      </c>
      <c r="E2115" s="5" t="s">
        <v>20</v>
      </c>
      <c r="F2115" s="17">
        <v>74.86</v>
      </c>
      <c r="G2115" s="3">
        <v>1</v>
      </c>
      <c r="H2115" s="17">
        <f>Table1[[#This Row],[Unit price]]*Table1[[#This Row],[Quantity]]</f>
        <v>74.86</v>
      </c>
      <c r="I2115" s="29">
        <f>Table1[[#This Row],[Total Revenue]]/$H$5056*100</f>
        <v>7.9423276250461649E-3</v>
      </c>
      <c r="J2115" s="3" t="s">
        <v>17</v>
      </c>
      <c r="K2115" s="4">
        <v>8</v>
      </c>
      <c r="M2115"/>
    </row>
    <row r="2116" spans="1:13" x14ac:dyDescent="0.25">
      <c r="A2116" s="3" t="s">
        <v>117</v>
      </c>
      <c r="B2116" s="3" t="s">
        <v>244</v>
      </c>
      <c r="C2116" s="3" t="s">
        <v>13</v>
      </c>
      <c r="D2116" s="3" t="s">
        <v>10</v>
      </c>
      <c r="E2116" s="5" t="s">
        <v>11</v>
      </c>
      <c r="F2116" s="17">
        <v>7</v>
      </c>
      <c r="G2116" s="3">
        <v>1</v>
      </c>
      <c r="H2116" s="17">
        <f>Table1[[#This Row],[Unit price]]*Table1[[#This Row],[Quantity]]</f>
        <v>7</v>
      </c>
      <c r="I2116" s="29">
        <f>Table1[[#This Row],[Total Revenue]]/$H$5056*100</f>
        <v>7.4267022943258281E-4</v>
      </c>
      <c r="J2116" s="3" t="s">
        <v>15</v>
      </c>
      <c r="K2116" s="4">
        <v>6.2</v>
      </c>
      <c r="M2116"/>
    </row>
    <row r="2117" spans="1:13" x14ac:dyDescent="0.25">
      <c r="A2117" s="3" t="s">
        <v>117</v>
      </c>
      <c r="B2117" s="3" t="s">
        <v>244</v>
      </c>
      <c r="C2117" s="3" t="s">
        <v>13</v>
      </c>
      <c r="D2117" s="3" t="s">
        <v>19</v>
      </c>
      <c r="E2117" s="5" t="s">
        <v>14</v>
      </c>
      <c r="F2117" s="17">
        <v>90.57</v>
      </c>
      <c r="G2117" s="3">
        <v>2</v>
      </c>
      <c r="H2117" s="17">
        <f>Table1[[#This Row],[Unit price]]*Table1[[#This Row],[Quantity]]</f>
        <v>181.14</v>
      </c>
      <c r="I2117" s="29">
        <f>Table1[[#This Row],[Total Revenue]]/$H$5056*100</f>
        <v>1.9218183622774009E-2</v>
      </c>
      <c r="J2117" s="3" t="s">
        <v>12</v>
      </c>
      <c r="K2117" s="4">
        <v>8.1999999999999993</v>
      </c>
      <c r="M2117"/>
    </row>
    <row r="2118" spans="1:13" x14ac:dyDescent="0.25">
      <c r="A2118" s="3" t="s">
        <v>117</v>
      </c>
      <c r="B2118" s="3" t="s">
        <v>244</v>
      </c>
      <c r="C2118" s="3" t="s">
        <v>13</v>
      </c>
      <c r="D2118" s="3" t="s">
        <v>19</v>
      </c>
      <c r="E2118" s="5" t="s">
        <v>18</v>
      </c>
      <c r="F2118" s="17">
        <v>10</v>
      </c>
      <c r="G2118" s="3">
        <v>3</v>
      </c>
      <c r="H2118" s="17">
        <f>Table1[[#This Row],[Unit price]]*Table1[[#This Row],[Quantity]]</f>
        <v>30</v>
      </c>
      <c r="I2118" s="29">
        <f>Table1[[#This Row],[Total Revenue]]/$H$5056*100</f>
        <v>3.1828724118539266E-3</v>
      </c>
      <c r="J2118" s="3" t="s">
        <v>12</v>
      </c>
      <c r="K2118" s="4">
        <v>8.5</v>
      </c>
      <c r="M2118"/>
    </row>
    <row r="2119" spans="1:13" x14ac:dyDescent="0.25">
      <c r="A2119" s="3" t="s">
        <v>117</v>
      </c>
      <c r="B2119" s="3" t="s">
        <v>243</v>
      </c>
      <c r="C2119" s="3" t="s">
        <v>9</v>
      </c>
      <c r="D2119" s="3" t="s">
        <v>19</v>
      </c>
      <c r="E2119" s="5" t="s">
        <v>20</v>
      </c>
      <c r="F2119" s="17">
        <v>61.15</v>
      </c>
      <c r="G2119" s="3">
        <v>4</v>
      </c>
      <c r="H2119" s="17">
        <f>Table1[[#This Row],[Unit price]]*Table1[[#This Row],[Quantity]]</f>
        <v>244.6</v>
      </c>
      <c r="I2119" s="29">
        <f>Table1[[#This Row],[Total Revenue]]/$H$5056*100</f>
        <v>2.595101973131568E-2</v>
      </c>
      <c r="J2119" s="3" t="s">
        <v>17</v>
      </c>
      <c r="K2119" s="4">
        <v>8.5</v>
      </c>
      <c r="M2119"/>
    </row>
    <row r="2120" spans="1:13" x14ac:dyDescent="0.25">
      <c r="A2120" s="3" t="s">
        <v>117</v>
      </c>
      <c r="B2120" s="3" t="s">
        <v>243</v>
      </c>
      <c r="C2120" s="3" t="s">
        <v>9</v>
      </c>
      <c r="D2120" s="3" t="s">
        <v>19</v>
      </c>
      <c r="E2120" s="5" t="s">
        <v>11</v>
      </c>
      <c r="F2120" s="17">
        <v>4.5599999999999996</v>
      </c>
      <c r="G2120" s="3">
        <v>3</v>
      </c>
      <c r="H2120" s="17">
        <f>Table1[[#This Row],[Unit price]]*Table1[[#This Row],[Quantity]]</f>
        <v>13.68</v>
      </c>
      <c r="I2120" s="29">
        <f>Table1[[#This Row],[Total Revenue]]/$H$5056*100</f>
        <v>1.4513898198053907E-3</v>
      </c>
      <c r="J2120" s="3" t="s">
        <v>12</v>
      </c>
      <c r="K2120" s="4">
        <v>9.8000000000000007</v>
      </c>
      <c r="M2120"/>
    </row>
    <row r="2121" spans="1:13" x14ac:dyDescent="0.25">
      <c r="A2121" s="3" t="s">
        <v>117</v>
      </c>
      <c r="B2121" s="3" t="s">
        <v>243</v>
      </c>
      <c r="C2121" s="3" t="s">
        <v>13</v>
      </c>
      <c r="D2121" s="3" t="s">
        <v>10</v>
      </c>
      <c r="E2121" s="5" t="s">
        <v>20</v>
      </c>
      <c r="F2121" s="17">
        <v>67.290000000000006</v>
      </c>
      <c r="G2121" s="3">
        <v>4</v>
      </c>
      <c r="H2121" s="17">
        <f>Table1[[#This Row],[Unit price]]*Table1[[#This Row],[Quantity]]</f>
        <v>269.16000000000003</v>
      </c>
      <c r="I2121" s="29">
        <f>Table1[[#This Row],[Total Revenue]]/$H$5056*100</f>
        <v>2.8556731279153435E-2</v>
      </c>
      <c r="J2121" s="3" t="s">
        <v>12</v>
      </c>
      <c r="K2121" s="4">
        <v>8</v>
      </c>
      <c r="M2121"/>
    </row>
    <row r="2122" spans="1:13" x14ac:dyDescent="0.25">
      <c r="A2122" s="3" t="s">
        <v>117</v>
      </c>
      <c r="B2122" s="3" t="s">
        <v>245</v>
      </c>
      <c r="C2122" s="3" t="s">
        <v>13</v>
      </c>
      <c r="D2122" s="3" t="s">
        <v>10</v>
      </c>
      <c r="E2122" s="5" t="s">
        <v>16</v>
      </c>
      <c r="F2122" s="17">
        <v>61.98</v>
      </c>
      <c r="G2122" s="3">
        <v>3</v>
      </c>
      <c r="H2122" s="17">
        <f>Table1[[#This Row],[Unit price]]*Table1[[#This Row],[Quantity]]</f>
        <v>185.94</v>
      </c>
      <c r="I2122" s="29">
        <f>Table1[[#This Row],[Total Revenue]]/$H$5056*100</f>
        <v>1.9727443208670637E-2</v>
      </c>
      <c r="J2122" s="3" t="s">
        <v>17</v>
      </c>
      <c r="K2122" s="4">
        <v>7.5</v>
      </c>
      <c r="M2122"/>
    </row>
    <row r="2123" spans="1:13" x14ac:dyDescent="0.25">
      <c r="A2123" s="3" t="s">
        <v>117</v>
      </c>
      <c r="B2123" s="3" t="s">
        <v>245</v>
      </c>
      <c r="C2123" s="3" t="s">
        <v>13</v>
      </c>
      <c r="D2123" s="3" t="s">
        <v>10</v>
      </c>
      <c r="E2123" s="5" t="s">
        <v>20</v>
      </c>
      <c r="F2123" s="17">
        <v>67.48</v>
      </c>
      <c r="G2123" s="3">
        <v>5</v>
      </c>
      <c r="H2123" s="17">
        <f>Table1[[#This Row],[Unit price]]*Table1[[#This Row],[Quantity]]</f>
        <v>337.40000000000003</v>
      </c>
      <c r="I2123" s="29">
        <f>Table1[[#This Row],[Total Revenue]]/$H$5056*100</f>
        <v>3.5796705058650499E-2</v>
      </c>
      <c r="J2123" s="3" t="s">
        <v>15</v>
      </c>
      <c r="K2123" s="4">
        <v>8.6999999999999993</v>
      </c>
      <c r="M2123"/>
    </row>
    <row r="2124" spans="1:13" x14ac:dyDescent="0.25">
      <c r="A2124" s="3" t="s">
        <v>117</v>
      </c>
      <c r="B2124" s="3" t="s">
        <v>245</v>
      </c>
      <c r="C2124" s="3" t="s">
        <v>9</v>
      </c>
      <c r="D2124" s="3" t="s">
        <v>10</v>
      </c>
      <c r="E2124" s="5" t="s">
        <v>11</v>
      </c>
      <c r="F2124" s="17">
        <v>4</v>
      </c>
      <c r="G2124" s="3">
        <v>1</v>
      </c>
      <c r="H2124" s="17">
        <f>Table1[[#This Row],[Unit price]]*Table1[[#This Row],[Quantity]]</f>
        <v>4</v>
      </c>
      <c r="I2124" s="29">
        <f>Table1[[#This Row],[Total Revenue]]/$H$5056*100</f>
        <v>4.2438298824719019E-4</v>
      </c>
      <c r="J2124" s="3" t="s">
        <v>12</v>
      </c>
      <c r="K2124" s="4">
        <v>7.6</v>
      </c>
      <c r="M2124"/>
    </row>
    <row r="2125" spans="1:13" x14ac:dyDescent="0.25">
      <c r="A2125" s="3" t="s">
        <v>117</v>
      </c>
      <c r="B2125" s="3" t="s">
        <v>244</v>
      </c>
      <c r="C2125" s="3" t="s">
        <v>9</v>
      </c>
      <c r="D2125" s="3" t="s">
        <v>19</v>
      </c>
      <c r="E2125" s="5" t="s">
        <v>11</v>
      </c>
      <c r="F2125" s="17">
        <v>6.05</v>
      </c>
      <c r="G2125" s="3">
        <v>1</v>
      </c>
      <c r="H2125" s="17">
        <f>Table1[[#This Row],[Unit price]]*Table1[[#This Row],[Quantity]]</f>
        <v>6.05</v>
      </c>
      <c r="I2125" s="29">
        <f>Table1[[#This Row],[Total Revenue]]/$H$5056*100</f>
        <v>6.4187926972387522E-4</v>
      </c>
      <c r="J2125" s="3" t="s">
        <v>12</v>
      </c>
      <c r="K2125" s="4">
        <v>8.5</v>
      </c>
      <c r="M2125"/>
    </row>
    <row r="2126" spans="1:13" x14ac:dyDescent="0.25">
      <c r="A2126" s="3" t="s">
        <v>117</v>
      </c>
      <c r="B2126" s="3" t="s">
        <v>244</v>
      </c>
      <c r="C2126" s="3" t="s">
        <v>13</v>
      </c>
      <c r="D2126" s="3" t="s">
        <v>19</v>
      </c>
      <c r="E2126" s="5" t="s">
        <v>11</v>
      </c>
      <c r="F2126" s="17">
        <v>7.1</v>
      </c>
      <c r="G2126" s="3">
        <v>3</v>
      </c>
      <c r="H2126" s="17">
        <f>Table1[[#This Row],[Unit price]]*Table1[[#This Row],[Quantity]]</f>
        <v>21.299999999999997</v>
      </c>
      <c r="I2126" s="29">
        <f>Table1[[#This Row],[Total Revenue]]/$H$5056*100</f>
        <v>2.2598394124162878E-3</v>
      </c>
      <c r="J2126" s="3" t="s">
        <v>17</v>
      </c>
      <c r="K2126" s="4">
        <v>7.1</v>
      </c>
      <c r="M2126"/>
    </row>
    <row r="2127" spans="1:13" x14ac:dyDescent="0.25">
      <c r="A2127" s="3" t="s">
        <v>118</v>
      </c>
      <c r="B2127" s="3" t="s">
        <v>245</v>
      </c>
      <c r="C2127" s="3" t="s">
        <v>13</v>
      </c>
      <c r="D2127" s="3" t="s">
        <v>19</v>
      </c>
      <c r="E2127" s="5" t="s">
        <v>11</v>
      </c>
      <c r="F2127" s="17">
        <v>5.23</v>
      </c>
      <c r="G2127" s="3">
        <v>3</v>
      </c>
      <c r="H2127" s="17">
        <f>Table1[[#This Row],[Unit price]]*Table1[[#This Row],[Quantity]]</f>
        <v>15.690000000000001</v>
      </c>
      <c r="I2127" s="29">
        <f>Table1[[#This Row],[Total Revenue]]/$H$5056*100</f>
        <v>1.6646422713996038E-3</v>
      </c>
      <c r="J2127" s="3" t="s">
        <v>12</v>
      </c>
      <c r="K2127" s="4">
        <v>8.1</v>
      </c>
      <c r="M2127"/>
    </row>
    <row r="2128" spans="1:13" x14ac:dyDescent="0.25">
      <c r="A2128" s="3" t="s">
        <v>118</v>
      </c>
      <c r="B2128" s="3" t="s">
        <v>244</v>
      </c>
      <c r="C2128" s="3" t="s">
        <v>13</v>
      </c>
      <c r="D2128" s="3" t="s">
        <v>19</v>
      </c>
      <c r="E2128" s="5" t="s">
        <v>20</v>
      </c>
      <c r="F2128" s="17">
        <v>69.2</v>
      </c>
      <c r="G2128" s="3">
        <v>4</v>
      </c>
      <c r="H2128" s="17">
        <f>Table1[[#This Row],[Unit price]]*Table1[[#This Row],[Quantity]]</f>
        <v>276.8</v>
      </c>
      <c r="I2128" s="29">
        <f>Table1[[#This Row],[Total Revenue]]/$H$5056*100</f>
        <v>2.9367302786705567E-2</v>
      </c>
      <c r="J2128" s="3" t="s">
        <v>17</v>
      </c>
      <c r="K2128" s="4">
        <v>7.5</v>
      </c>
      <c r="M2128"/>
    </row>
    <row r="2129" spans="1:13" x14ac:dyDescent="0.25">
      <c r="A2129" s="3" t="s">
        <v>118</v>
      </c>
      <c r="B2129" s="3" t="s">
        <v>244</v>
      </c>
      <c r="C2129" s="3" t="s">
        <v>13</v>
      </c>
      <c r="D2129" s="3" t="s">
        <v>10</v>
      </c>
      <c r="E2129" s="5" t="s">
        <v>20</v>
      </c>
      <c r="F2129" s="17">
        <v>50.9</v>
      </c>
      <c r="G2129" s="3">
        <v>2</v>
      </c>
      <c r="H2129" s="17">
        <f>Table1[[#This Row],[Unit price]]*Table1[[#This Row],[Quantity]]</f>
        <v>101.8</v>
      </c>
      <c r="I2129" s="29">
        <f>Table1[[#This Row],[Total Revenue]]/$H$5056*100</f>
        <v>1.080054705089099E-2</v>
      </c>
      <c r="J2129" s="3" t="s">
        <v>15</v>
      </c>
      <c r="K2129" s="4">
        <v>6</v>
      </c>
      <c r="M2129"/>
    </row>
    <row r="2130" spans="1:13" x14ac:dyDescent="0.25">
      <c r="A2130" s="3" t="s">
        <v>118</v>
      </c>
      <c r="B2130" s="3" t="s">
        <v>245</v>
      </c>
      <c r="C2130" s="3" t="s">
        <v>13</v>
      </c>
      <c r="D2130" s="3" t="s">
        <v>10</v>
      </c>
      <c r="E2130" s="5" t="s">
        <v>14</v>
      </c>
      <c r="F2130" s="17">
        <v>93.8</v>
      </c>
      <c r="G2130" s="3">
        <v>1</v>
      </c>
      <c r="H2130" s="17">
        <f>Table1[[#This Row],[Unit price]]*Table1[[#This Row],[Quantity]]</f>
        <v>93.8</v>
      </c>
      <c r="I2130" s="29">
        <f>Table1[[#This Row],[Total Revenue]]/$H$5056*100</f>
        <v>9.9517810743966102E-3</v>
      </c>
      <c r="J2130" s="3" t="s">
        <v>17</v>
      </c>
      <c r="K2130" s="4">
        <v>7.8</v>
      </c>
      <c r="M2130"/>
    </row>
    <row r="2131" spans="1:13" x14ac:dyDescent="0.25">
      <c r="A2131" s="3" t="s">
        <v>118</v>
      </c>
      <c r="B2131" s="3" t="s">
        <v>243</v>
      </c>
      <c r="C2131" s="3" t="s">
        <v>13</v>
      </c>
      <c r="D2131" s="3" t="s">
        <v>19</v>
      </c>
      <c r="E2131" s="5" t="s">
        <v>11</v>
      </c>
      <c r="F2131" s="17">
        <v>7.23</v>
      </c>
      <c r="G2131" s="3">
        <v>2</v>
      </c>
      <c r="H2131" s="17">
        <f>Table1[[#This Row],[Unit price]]*Table1[[#This Row],[Quantity]]</f>
        <v>14.46</v>
      </c>
      <c r="I2131" s="29">
        <f>Table1[[#This Row],[Total Revenue]]/$H$5056*100</f>
        <v>1.5341445025135929E-3</v>
      </c>
      <c r="J2131" s="3" t="s">
        <v>12</v>
      </c>
      <c r="K2131" s="4">
        <v>8.8000000000000007</v>
      </c>
      <c r="M2131"/>
    </row>
    <row r="2132" spans="1:13" x14ac:dyDescent="0.25">
      <c r="A2132" s="3" t="s">
        <v>118</v>
      </c>
      <c r="B2132" s="3" t="s">
        <v>243</v>
      </c>
      <c r="C2132" s="3" t="s">
        <v>13</v>
      </c>
      <c r="D2132" s="3" t="s">
        <v>10</v>
      </c>
      <c r="E2132" s="5" t="s">
        <v>21</v>
      </c>
      <c r="F2132" s="17">
        <v>34.92</v>
      </c>
      <c r="G2132" s="3">
        <v>4</v>
      </c>
      <c r="H2132" s="17">
        <f>Table1[[#This Row],[Unit price]]*Table1[[#This Row],[Quantity]]</f>
        <v>139.68</v>
      </c>
      <c r="I2132" s="29">
        <f>Table1[[#This Row],[Total Revenue]]/$H$5056*100</f>
        <v>1.4819453949591884E-2</v>
      </c>
      <c r="J2132" s="3" t="s">
        <v>17</v>
      </c>
      <c r="K2132" s="4">
        <v>8.3000000000000007</v>
      </c>
      <c r="M2132"/>
    </row>
    <row r="2133" spans="1:13" x14ac:dyDescent="0.25">
      <c r="A2133" s="3" t="s">
        <v>118</v>
      </c>
      <c r="B2133" s="3" t="s">
        <v>243</v>
      </c>
      <c r="C2133" s="3" t="s">
        <v>13</v>
      </c>
      <c r="D2133" s="3" t="s">
        <v>19</v>
      </c>
      <c r="E2133" s="5" t="s">
        <v>11</v>
      </c>
      <c r="F2133" s="17">
        <v>3.98</v>
      </c>
      <c r="G2133" s="3">
        <v>2</v>
      </c>
      <c r="H2133" s="17">
        <f>Table1[[#This Row],[Unit price]]*Table1[[#This Row],[Quantity]]</f>
        <v>7.96</v>
      </c>
      <c r="I2133" s="29">
        <f>Table1[[#This Row],[Total Revenue]]/$H$5056*100</f>
        <v>8.445221466119086E-4</v>
      </c>
      <c r="J2133" s="3" t="s">
        <v>15</v>
      </c>
      <c r="K2133" s="4">
        <v>6.9</v>
      </c>
      <c r="M2133"/>
    </row>
    <row r="2134" spans="1:13" x14ac:dyDescent="0.25">
      <c r="A2134" s="3" t="s">
        <v>118</v>
      </c>
      <c r="B2134" s="3" t="s">
        <v>243</v>
      </c>
      <c r="C2134" s="3" t="s">
        <v>9</v>
      </c>
      <c r="D2134" s="3" t="s">
        <v>10</v>
      </c>
      <c r="E2134" s="5" t="s">
        <v>14</v>
      </c>
      <c r="F2134" s="17">
        <v>96.4</v>
      </c>
      <c r="G2134" s="3">
        <v>2</v>
      </c>
      <c r="H2134" s="17">
        <f>Table1[[#This Row],[Unit price]]*Table1[[#This Row],[Quantity]]</f>
        <v>192.8</v>
      </c>
      <c r="I2134" s="29">
        <f>Table1[[#This Row],[Total Revenue]]/$H$5056*100</f>
        <v>2.0455260033514569E-2</v>
      </c>
      <c r="J2134" s="3" t="s">
        <v>17</v>
      </c>
      <c r="K2134" s="4">
        <v>8</v>
      </c>
      <c r="M2134"/>
    </row>
    <row r="2135" spans="1:13" x14ac:dyDescent="0.25">
      <c r="A2135" s="3" t="s">
        <v>118</v>
      </c>
      <c r="B2135" s="3" t="s">
        <v>244</v>
      </c>
      <c r="C2135" s="3" t="s">
        <v>9</v>
      </c>
      <c r="D2135" s="3" t="s">
        <v>10</v>
      </c>
      <c r="E2135" s="5" t="s">
        <v>16</v>
      </c>
      <c r="F2135" s="17">
        <v>69.239999999999995</v>
      </c>
      <c r="G2135" s="3">
        <v>2</v>
      </c>
      <c r="H2135" s="17">
        <f>Table1[[#This Row],[Unit price]]*Table1[[#This Row],[Quantity]]</f>
        <v>138.47999999999999</v>
      </c>
      <c r="I2135" s="29">
        <f>Table1[[#This Row],[Total Revenue]]/$H$5056*100</f>
        <v>1.4692139053117725E-2</v>
      </c>
      <c r="J2135" s="3" t="s">
        <v>12</v>
      </c>
      <c r="K2135" s="4">
        <v>4.9000000000000004</v>
      </c>
      <c r="M2135"/>
    </row>
    <row r="2136" spans="1:13" x14ac:dyDescent="0.25">
      <c r="A2136" s="3" t="s">
        <v>118</v>
      </c>
      <c r="B2136" s="3" t="s">
        <v>244</v>
      </c>
      <c r="C2136" s="3" t="s">
        <v>13</v>
      </c>
      <c r="D2136" s="3" t="s">
        <v>19</v>
      </c>
      <c r="E2136" s="5" t="s">
        <v>11</v>
      </c>
      <c r="F2136" s="17">
        <v>2.3199999999999998</v>
      </c>
      <c r="G2136" s="3">
        <v>3</v>
      </c>
      <c r="H2136" s="17">
        <f>Table1[[#This Row],[Unit price]]*Table1[[#This Row],[Quantity]]</f>
        <v>6.9599999999999991</v>
      </c>
      <c r="I2136" s="29">
        <f>Table1[[#This Row],[Total Revenue]]/$H$5056*100</f>
        <v>7.3842639955011091E-4</v>
      </c>
      <c r="J2136" s="3" t="s">
        <v>17</v>
      </c>
      <c r="K2136" s="4">
        <v>5.9</v>
      </c>
      <c r="M2136"/>
    </row>
    <row r="2137" spans="1:13" x14ac:dyDescent="0.25">
      <c r="A2137" s="3" t="s">
        <v>119</v>
      </c>
      <c r="B2137" s="3" t="s">
        <v>245</v>
      </c>
      <c r="C2137" s="3" t="s">
        <v>9</v>
      </c>
      <c r="D2137" s="3" t="s">
        <v>10</v>
      </c>
      <c r="E2137" s="5" t="s">
        <v>11</v>
      </c>
      <c r="F2137" s="17">
        <v>6.71</v>
      </c>
      <c r="G2137" s="3">
        <v>3</v>
      </c>
      <c r="H2137" s="17">
        <f>Table1[[#This Row],[Unit price]]*Table1[[#This Row],[Quantity]]</f>
        <v>20.13</v>
      </c>
      <c r="I2137" s="29">
        <f>Table1[[#This Row],[Total Revenue]]/$H$5056*100</f>
        <v>2.1357073883539845E-3</v>
      </c>
      <c r="J2137" s="3" t="s">
        <v>15</v>
      </c>
      <c r="K2137" s="4">
        <v>7</v>
      </c>
      <c r="M2137"/>
    </row>
    <row r="2138" spans="1:13" x14ac:dyDescent="0.25">
      <c r="A2138" s="3" t="s">
        <v>119</v>
      </c>
      <c r="B2138" s="3" t="s">
        <v>243</v>
      </c>
      <c r="C2138" s="3" t="s">
        <v>13</v>
      </c>
      <c r="D2138" s="3" t="s">
        <v>10</v>
      </c>
      <c r="E2138" s="5" t="s">
        <v>11</v>
      </c>
      <c r="F2138" s="17">
        <v>4.16</v>
      </c>
      <c r="G2138" s="3">
        <v>3</v>
      </c>
      <c r="H2138" s="17">
        <f>Table1[[#This Row],[Unit price]]*Table1[[#This Row],[Quantity]]</f>
        <v>12.48</v>
      </c>
      <c r="I2138" s="29">
        <f>Table1[[#This Row],[Total Revenue]]/$H$5056*100</f>
        <v>1.3240749233312335E-3</v>
      </c>
      <c r="J2138" s="3" t="s">
        <v>17</v>
      </c>
      <c r="K2138" s="4">
        <v>8.1999999999999993</v>
      </c>
      <c r="M2138"/>
    </row>
    <row r="2139" spans="1:13" x14ac:dyDescent="0.25">
      <c r="A2139" s="3" t="s">
        <v>119</v>
      </c>
      <c r="B2139" s="3" t="s">
        <v>243</v>
      </c>
      <c r="C2139" s="3" t="s">
        <v>13</v>
      </c>
      <c r="D2139" s="3" t="s">
        <v>19</v>
      </c>
      <c r="E2139" s="5" t="s">
        <v>11</v>
      </c>
      <c r="F2139" s="17">
        <v>5.28</v>
      </c>
      <c r="G2139" s="3">
        <v>3</v>
      </c>
      <c r="H2139" s="17">
        <f>Table1[[#This Row],[Unit price]]*Table1[[#This Row],[Quantity]]</f>
        <v>15.84</v>
      </c>
      <c r="I2139" s="29">
        <f>Table1[[#This Row],[Total Revenue]]/$H$5056*100</f>
        <v>1.6805566334588732E-3</v>
      </c>
      <c r="J2139" s="3" t="s">
        <v>12</v>
      </c>
      <c r="K2139" s="4">
        <v>8.1999999999999993</v>
      </c>
      <c r="M2139"/>
    </row>
    <row r="2140" spans="1:13" x14ac:dyDescent="0.25">
      <c r="A2140" s="3" t="s">
        <v>119</v>
      </c>
      <c r="B2140" s="3" t="s">
        <v>244</v>
      </c>
      <c r="C2140" s="3" t="s">
        <v>13</v>
      </c>
      <c r="D2140" s="3" t="s">
        <v>10</v>
      </c>
      <c r="E2140" s="5" t="s">
        <v>21</v>
      </c>
      <c r="F2140" s="17">
        <v>38.159999999999997</v>
      </c>
      <c r="G2140" s="3">
        <v>1</v>
      </c>
      <c r="H2140" s="17">
        <f>Table1[[#This Row],[Unit price]]*Table1[[#This Row],[Quantity]]</f>
        <v>38.159999999999997</v>
      </c>
      <c r="I2140" s="29">
        <f>Table1[[#This Row],[Total Revenue]]/$H$5056*100</f>
        <v>4.0486137078781948E-3</v>
      </c>
      <c r="J2140" s="3" t="s">
        <v>17</v>
      </c>
      <c r="K2140" s="4">
        <v>6.9</v>
      </c>
      <c r="M2140"/>
    </row>
    <row r="2141" spans="1:13" x14ac:dyDescent="0.25">
      <c r="A2141" s="3" t="s">
        <v>119</v>
      </c>
      <c r="B2141" s="3" t="s">
        <v>244</v>
      </c>
      <c r="C2141" s="3" t="s">
        <v>13</v>
      </c>
      <c r="D2141" s="3" t="s">
        <v>10</v>
      </c>
      <c r="E2141" s="5" t="s">
        <v>20</v>
      </c>
      <c r="F2141" s="17">
        <v>70.069999999999993</v>
      </c>
      <c r="G2141" s="3">
        <v>5</v>
      </c>
      <c r="H2141" s="17">
        <f>Table1[[#This Row],[Unit price]]*Table1[[#This Row],[Quantity]]</f>
        <v>350.34999999999997</v>
      </c>
      <c r="I2141" s="29">
        <f>Table1[[#This Row],[Total Revenue]]/$H$5056*100</f>
        <v>3.717064498310077E-2</v>
      </c>
      <c r="J2141" s="3" t="s">
        <v>17</v>
      </c>
      <c r="K2141" s="4">
        <v>7.4</v>
      </c>
      <c r="M2141"/>
    </row>
    <row r="2142" spans="1:13" x14ac:dyDescent="0.25">
      <c r="A2142" s="3" t="s">
        <v>119</v>
      </c>
      <c r="B2142" s="3" t="s">
        <v>245</v>
      </c>
      <c r="C2142" s="3" t="s">
        <v>13</v>
      </c>
      <c r="D2142" s="3" t="s">
        <v>19</v>
      </c>
      <c r="E2142" s="5" t="s">
        <v>21</v>
      </c>
      <c r="F2142" s="17">
        <v>17.489999999999998</v>
      </c>
      <c r="G2142" s="3">
        <v>2</v>
      </c>
      <c r="H2142" s="17">
        <f>Table1[[#This Row],[Unit price]]*Table1[[#This Row],[Quantity]]</f>
        <v>34.979999999999997</v>
      </c>
      <c r="I2142" s="29">
        <f>Table1[[#This Row],[Total Revenue]]/$H$5056*100</f>
        <v>3.711229232221678E-3</v>
      </c>
      <c r="J2142" s="3" t="s">
        <v>12</v>
      </c>
      <c r="K2142" s="4">
        <v>6.8</v>
      </c>
      <c r="M2142"/>
    </row>
    <row r="2143" spans="1:13" x14ac:dyDescent="0.25">
      <c r="A2143" s="3" t="s">
        <v>119</v>
      </c>
      <c r="B2143" s="3" t="s">
        <v>245</v>
      </c>
      <c r="C2143" s="3" t="s">
        <v>9</v>
      </c>
      <c r="D2143" s="3" t="s">
        <v>10</v>
      </c>
      <c r="E2143" s="5" t="s">
        <v>21</v>
      </c>
      <c r="F2143" s="17">
        <v>33.35</v>
      </c>
      <c r="G2143" s="3">
        <v>2</v>
      </c>
      <c r="H2143" s="17">
        <f>Table1[[#This Row],[Unit price]]*Table1[[#This Row],[Quantity]]</f>
        <v>66.7</v>
      </c>
      <c r="I2143" s="29">
        <f>Table1[[#This Row],[Total Revenue]]/$H$5056*100</f>
        <v>7.0765863290218967E-3</v>
      </c>
      <c r="J2143" s="3" t="s">
        <v>17</v>
      </c>
      <c r="K2143" s="4">
        <v>7.7</v>
      </c>
      <c r="M2143"/>
    </row>
    <row r="2144" spans="1:13" x14ac:dyDescent="0.25">
      <c r="A2144" s="3" t="s">
        <v>119</v>
      </c>
      <c r="B2144" s="3" t="s">
        <v>244</v>
      </c>
      <c r="C2144" s="3" t="s">
        <v>9</v>
      </c>
      <c r="D2144" s="3" t="s">
        <v>10</v>
      </c>
      <c r="E2144" s="5" t="s">
        <v>11</v>
      </c>
      <c r="F2144" s="17">
        <v>4.95</v>
      </c>
      <c r="G2144" s="3">
        <v>3</v>
      </c>
      <c r="H2144" s="17">
        <f>Table1[[#This Row],[Unit price]]*Table1[[#This Row],[Quantity]]</f>
        <v>14.850000000000001</v>
      </c>
      <c r="I2144" s="29">
        <f>Table1[[#This Row],[Total Revenue]]/$H$5056*100</f>
        <v>1.5755218438676937E-3</v>
      </c>
      <c r="J2144" s="3" t="s">
        <v>12</v>
      </c>
      <c r="K2144" s="4">
        <v>7</v>
      </c>
      <c r="M2144"/>
    </row>
    <row r="2145" spans="1:13" x14ac:dyDescent="0.25">
      <c r="A2145" s="3" t="s">
        <v>120</v>
      </c>
      <c r="B2145" s="3" t="s">
        <v>244</v>
      </c>
      <c r="C2145" s="3" t="s">
        <v>13</v>
      </c>
      <c r="D2145" s="3" t="s">
        <v>19</v>
      </c>
      <c r="E2145" s="5" t="s">
        <v>21</v>
      </c>
      <c r="F2145" s="17">
        <v>32.590000000000003</v>
      </c>
      <c r="G2145" s="3">
        <v>3</v>
      </c>
      <c r="H2145" s="17">
        <f>Table1[[#This Row],[Unit price]]*Table1[[#This Row],[Quantity]]</f>
        <v>97.77000000000001</v>
      </c>
      <c r="I2145" s="29">
        <f>Table1[[#This Row],[Total Revenue]]/$H$5056*100</f>
        <v>1.0372981190231948E-2</v>
      </c>
      <c r="J2145" s="3" t="s">
        <v>17</v>
      </c>
      <c r="K2145" s="4">
        <v>7.2</v>
      </c>
      <c r="M2145"/>
    </row>
    <row r="2146" spans="1:13" x14ac:dyDescent="0.25">
      <c r="A2146" s="3" t="s">
        <v>120</v>
      </c>
      <c r="B2146" s="3" t="s">
        <v>244</v>
      </c>
      <c r="C2146" s="3" t="s">
        <v>13</v>
      </c>
      <c r="D2146" s="3" t="s">
        <v>10</v>
      </c>
      <c r="E2146" s="5" t="s">
        <v>20</v>
      </c>
      <c r="F2146" s="17">
        <v>55.89</v>
      </c>
      <c r="G2146" s="3">
        <v>2</v>
      </c>
      <c r="H2146" s="17">
        <f>Table1[[#This Row],[Unit price]]*Table1[[#This Row],[Quantity]]</f>
        <v>111.78</v>
      </c>
      <c r="I2146" s="29">
        <f>Table1[[#This Row],[Total Revenue]]/$H$5056*100</f>
        <v>1.1859382606567732E-2</v>
      </c>
      <c r="J2146" s="3" t="s">
        <v>12</v>
      </c>
      <c r="K2146" s="4">
        <v>7.3</v>
      </c>
      <c r="M2146"/>
    </row>
    <row r="2147" spans="1:13" x14ac:dyDescent="0.25">
      <c r="A2147" s="3" t="s">
        <v>120</v>
      </c>
      <c r="B2147" s="3" t="s">
        <v>244</v>
      </c>
      <c r="C2147" s="3" t="s">
        <v>13</v>
      </c>
      <c r="D2147" s="3" t="s">
        <v>10</v>
      </c>
      <c r="E2147" s="5" t="s">
        <v>20</v>
      </c>
      <c r="F2147" s="17">
        <v>71.64</v>
      </c>
      <c r="G2147" s="3">
        <v>3</v>
      </c>
      <c r="H2147" s="17">
        <f>Table1[[#This Row],[Unit price]]*Table1[[#This Row],[Quantity]]</f>
        <v>214.92000000000002</v>
      </c>
      <c r="I2147" s="29">
        <f>Table1[[#This Row],[Total Revenue]]/$H$5056*100</f>
        <v>2.2802097958521533E-2</v>
      </c>
      <c r="J2147" s="3" t="s">
        <v>12</v>
      </c>
      <c r="K2147" s="4">
        <v>6.5</v>
      </c>
      <c r="M2147"/>
    </row>
    <row r="2148" spans="1:13" x14ac:dyDescent="0.25">
      <c r="A2148" s="3" t="s">
        <v>120</v>
      </c>
      <c r="B2148" s="3" t="s">
        <v>243</v>
      </c>
      <c r="C2148" s="3" t="s">
        <v>9</v>
      </c>
      <c r="D2148" s="3" t="s">
        <v>19</v>
      </c>
      <c r="E2148" s="5" t="s">
        <v>21</v>
      </c>
      <c r="F2148" s="17">
        <v>33.53</v>
      </c>
      <c r="G2148" s="3">
        <v>3</v>
      </c>
      <c r="H2148" s="17">
        <f>Table1[[#This Row],[Unit price]]*Table1[[#This Row],[Quantity]]</f>
        <v>100.59</v>
      </c>
      <c r="I2148" s="29">
        <f>Table1[[#This Row],[Total Revenue]]/$H$5056*100</f>
        <v>1.0672171196946216E-2</v>
      </c>
      <c r="J2148" s="3" t="s">
        <v>17</v>
      </c>
      <c r="K2148" s="4">
        <v>7.5</v>
      </c>
      <c r="M2148"/>
    </row>
    <row r="2149" spans="1:13" x14ac:dyDescent="0.25">
      <c r="A2149" s="3" t="s">
        <v>120</v>
      </c>
      <c r="B2149" s="3" t="s">
        <v>243</v>
      </c>
      <c r="C2149" s="3" t="s">
        <v>9</v>
      </c>
      <c r="D2149" s="3" t="s">
        <v>10</v>
      </c>
      <c r="E2149" s="5" t="s">
        <v>21</v>
      </c>
      <c r="F2149" s="17">
        <v>23.41</v>
      </c>
      <c r="G2149" s="3">
        <v>1</v>
      </c>
      <c r="H2149" s="17">
        <f>Table1[[#This Row],[Unit price]]*Table1[[#This Row],[Quantity]]</f>
        <v>23.41</v>
      </c>
      <c r="I2149" s="29">
        <f>Table1[[#This Row],[Total Revenue]]/$H$5056*100</f>
        <v>2.4837014387166807E-3</v>
      </c>
      <c r="J2149" s="3" t="s">
        <v>12</v>
      </c>
      <c r="K2149" s="4">
        <v>5.7</v>
      </c>
      <c r="M2149"/>
    </row>
    <row r="2150" spans="1:13" x14ac:dyDescent="0.25">
      <c r="A2150" s="3" t="s">
        <v>120</v>
      </c>
      <c r="B2150" s="3" t="s">
        <v>245</v>
      </c>
      <c r="C2150" s="3" t="s">
        <v>13</v>
      </c>
      <c r="D2150" s="3" t="s">
        <v>10</v>
      </c>
      <c r="E2150" s="5" t="s">
        <v>11</v>
      </c>
      <c r="F2150" s="17">
        <v>7.5</v>
      </c>
      <c r="G2150" s="3">
        <v>2</v>
      </c>
      <c r="H2150" s="17">
        <f>Table1[[#This Row],[Unit price]]*Table1[[#This Row],[Quantity]]</f>
        <v>15</v>
      </c>
      <c r="I2150" s="29">
        <f>Table1[[#This Row],[Total Revenue]]/$H$5056*100</f>
        <v>1.5914362059269633E-3</v>
      </c>
      <c r="J2150" s="3" t="s">
        <v>15</v>
      </c>
      <c r="K2150" s="4">
        <v>7.3</v>
      </c>
      <c r="M2150"/>
    </row>
    <row r="2151" spans="1:13" x14ac:dyDescent="0.25">
      <c r="A2151" s="3" t="s">
        <v>120</v>
      </c>
      <c r="B2151" s="3" t="s">
        <v>244</v>
      </c>
      <c r="C2151" s="3" t="s">
        <v>13</v>
      </c>
      <c r="D2151" s="3" t="s">
        <v>10</v>
      </c>
      <c r="E2151" s="5" t="s">
        <v>20</v>
      </c>
      <c r="F2151" s="17">
        <v>72.37</v>
      </c>
      <c r="G2151" s="3">
        <v>2</v>
      </c>
      <c r="H2151" s="17">
        <f>Table1[[#This Row],[Unit price]]*Table1[[#This Row],[Quantity]]</f>
        <v>144.74</v>
      </c>
      <c r="I2151" s="29">
        <f>Table1[[#This Row],[Total Revenue]]/$H$5056*100</f>
        <v>1.5356298429724578E-2</v>
      </c>
      <c r="J2151" s="3" t="s">
        <v>17</v>
      </c>
      <c r="K2151" s="4">
        <v>8.1999999999999993</v>
      </c>
      <c r="M2151"/>
    </row>
    <row r="2152" spans="1:13" x14ac:dyDescent="0.25">
      <c r="A2152" s="3" t="s">
        <v>121</v>
      </c>
      <c r="B2152" s="3" t="s">
        <v>244</v>
      </c>
      <c r="C2152" s="3" t="s">
        <v>13</v>
      </c>
      <c r="D2152" s="3" t="s">
        <v>10</v>
      </c>
      <c r="E2152" s="5" t="s">
        <v>11</v>
      </c>
      <c r="F2152" s="17">
        <v>5.26</v>
      </c>
      <c r="G2152" s="3">
        <v>5</v>
      </c>
      <c r="H2152" s="17">
        <f>Table1[[#This Row],[Unit price]]*Table1[[#This Row],[Quantity]]</f>
        <v>26.299999999999997</v>
      </c>
      <c r="I2152" s="29">
        <f>Table1[[#This Row],[Total Revenue]]/$H$5056*100</f>
        <v>2.7903181477252756E-3</v>
      </c>
      <c r="J2152" s="3" t="s">
        <v>15</v>
      </c>
      <c r="K2152" s="4">
        <v>8.4</v>
      </c>
      <c r="M2152"/>
    </row>
    <row r="2153" spans="1:13" x14ac:dyDescent="0.25">
      <c r="A2153" s="3" t="s">
        <v>121</v>
      </c>
      <c r="B2153" s="3" t="s">
        <v>243</v>
      </c>
      <c r="C2153" s="3" t="s">
        <v>13</v>
      </c>
      <c r="D2153" s="3" t="s">
        <v>19</v>
      </c>
      <c r="E2153" s="5" t="s">
        <v>18</v>
      </c>
      <c r="F2153" s="17">
        <v>14.25</v>
      </c>
      <c r="G2153" s="3">
        <v>3</v>
      </c>
      <c r="H2153" s="17">
        <f>Table1[[#This Row],[Unit price]]*Table1[[#This Row],[Quantity]]</f>
        <v>42.75</v>
      </c>
      <c r="I2153" s="29">
        <f>Table1[[#This Row],[Total Revenue]]/$H$5056*100</f>
        <v>4.535593186891845E-3</v>
      </c>
      <c r="J2153" s="3" t="s">
        <v>12</v>
      </c>
      <c r="K2153" s="4">
        <v>8.1</v>
      </c>
      <c r="M2153"/>
    </row>
    <row r="2154" spans="1:13" x14ac:dyDescent="0.25">
      <c r="A2154" s="3" t="s">
        <v>121</v>
      </c>
      <c r="B2154" s="3" t="s">
        <v>244</v>
      </c>
      <c r="C2154" s="3" t="s">
        <v>13</v>
      </c>
      <c r="D2154" s="3" t="s">
        <v>19</v>
      </c>
      <c r="E2154" s="5" t="s">
        <v>20</v>
      </c>
      <c r="F2154" s="17">
        <v>67.09</v>
      </c>
      <c r="G2154" s="3">
        <v>3</v>
      </c>
      <c r="H2154" s="17">
        <f>Table1[[#This Row],[Unit price]]*Table1[[#This Row],[Quantity]]</f>
        <v>201.27</v>
      </c>
      <c r="I2154" s="29">
        <f>Table1[[#This Row],[Total Revenue]]/$H$5056*100</f>
        <v>2.1353891011127994E-2</v>
      </c>
      <c r="J2154" s="3" t="s">
        <v>17</v>
      </c>
      <c r="K2154" s="4">
        <v>6.3</v>
      </c>
      <c r="M2154"/>
    </row>
    <row r="2155" spans="1:13" x14ac:dyDescent="0.25">
      <c r="A2155" s="3" t="s">
        <v>121</v>
      </c>
      <c r="B2155" s="3" t="s">
        <v>244</v>
      </c>
      <c r="C2155" s="3" t="s">
        <v>13</v>
      </c>
      <c r="D2155" s="3" t="s">
        <v>19</v>
      </c>
      <c r="E2155" s="5" t="s">
        <v>21</v>
      </c>
      <c r="F2155" s="17">
        <v>27.7</v>
      </c>
      <c r="G2155" s="3">
        <v>3</v>
      </c>
      <c r="H2155" s="17">
        <f>Table1[[#This Row],[Unit price]]*Table1[[#This Row],[Quantity]]</f>
        <v>83.1</v>
      </c>
      <c r="I2155" s="29">
        <f>Table1[[#This Row],[Total Revenue]]/$H$5056*100</f>
        <v>8.816556580835376E-3</v>
      </c>
      <c r="J2155" s="3" t="s">
        <v>12</v>
      </c>
      <c r="K2155" s="4">
        <v>6.2</v>
      </c>
      <c r="M2155"/>
    </row>
    <row r="2156" spans="1:13" x14ac:dyDescent="0.25">
      <c r="A2156" s="3" t="s">
        <v>121</v>
      </c>
      <c r="B2156" s="3" t="s">
        <v>244</v>
      </c>
      <c r="C2156" s="3" t="s">
        <v>13</v>
      </c>
      <c r="D2156" s="3" t="s">
        <v>10</v>
      </c>
      <c r="E2156" s="5" t="s">
        <v>11</v>
      </c>
      <c r="F2156" s="17">
        <v>6.02</v>
      </c>
      <c r="G2156" s="3">
        <v>2</v>
      </c>
      <c r="H2156" s="17">
        <f>Table1[[#This Row],[Unit price]]*Table1[[#This Row],[Quantity]]</f>
        <v>12.04</v>
      </c>
      <c r="I2156" s="29">
        <f>Table1[[#This Row],[Total Revenue]]/$H$5056*100</f>
        <v>1.2773927946240424E-3</v>
      </c>
      <c r="J2156" s="3" t="s">
        <v>17</v>
      </c>
      <c r="K2156" s="4">
        <v>7.5</v>
      </c>
      <c r="M2156"/>
    </row>
    <row r="2157" spans="1:13" x14ac:dyDescent="0.25">
      <c r="A2157" s="3" t="s">
        <v>121</v>
      </c>
      <c r="B2157" s="3" t="s">
        <v>243</v>
      </c>
      <c r="C2157" s="3" t="s">
        <v>13</v>
      </c>
      <c r="D2157" s="3" t="s">
        <v>19</v>
      </c>
      <c r="E2157" s="5" t="s">
        <v>20</v>
      </c>
      <c r="F2157" s="17">
        <v>70.86</v>
      </c>
      <c r="G2157" s="3">
        <v>4</v>
      </c>
      <c r="H2157" s="17">
        <f>Table1[[#This Row],[Unit price]]*Table1[[#This Row],[Quantity]]</f>
        <v>283.44</v>
      </c>
      <c r="I2157" s="29">
        <f>Table1[[#This Row],[Total Revenue]]/$H$5056*100</f>
        <v>3.00717785471959E-2</v>
      </c>
      <c r="J2157" s="3" t="s">
        <v>15</v>
      </c>
      <c r="K2157" s="4">
        <v>6.4</v>
      </c>
      <c r="M2157"/>
    </row>
    <row r="2158" spans="1:13" x14ac:dyDescent="0.25">
      <c r="A2158" s="3" t="s">
        <v>121</v>
      </c>
      <c r="B2158" s="3" t="s">
        <v>244</v>
      </c>
      <c r="C2158" s="3" t="s">
        <v>13</v>
      </c>
      <c r="D2158" s="3" t="s">
        <v>10</v>
      </c>
      <c r="E2158" s="5" t="s">
        <v>14</v>
      </c>
      <c r="F2158" s="17">
        <v>79.12</v>
      </c>
      <c r="G2158" s="3">
        <v>1</v>
      </c>
      <c r="H2158" s="17">
        <f>Table1[[#This Row],[Unit price]]*Table1[[#This Row],[Quantity]]</f>
        <v>79.12</v>
      </c>
      <c r="I2158" s="29">
        <f>Table1[[#This Row],[Total Revenue]]/$H$5056*100</f>
        <v>8.3942955075294225E-3</v>
      </c>
      <c r="J2158" s="3" t="s">
        <v>17</v>
      </c>
      <c r="K2158" s="4">
        <v>7.7</v>
      </c>
      <c r="M2158"/>
    </row>
    <row r="2159" spans="1:13" x14ac:dyDescent="0.25">
      <c r="A2159" s="3" t="s">
        <v>121</v>
      </c>
      <c r="B2159" s="3" t="s">
        <v>243</v>
      </c>
      <c r="C2159" s="3" t="s">
        <v>13</v>
      </c>
      <c r="D2159" s="3" t="s">
        <v>19</v>
      </c>
      <c r="E2159" s="5" t="s">
        <v>11</v>
      </c>
      <c r="F2159" s="17">
        <v>4.54</v>
      </c>
      <c r="G2159" s="3">
        <v>3</v>
      </c>
      <c r="H2159" s="17">
        <f>Table1[[#This Row],[Unit price]]*Table1[[#This Row],[Quantity]]</f>
        <v>13.620000000000001</v>
      </c>
      <c r="I2159" s="29">
        <f>Table1[[#This Row],[Total Revenue]]/$H$5056*100</f>
        <v>1.4450240749816828E-3</v>
      </c>
      <c r="J2159" s="3" t="s">
        <v>12</v>
      </c>
      <c r="K2159" s="4">
        <v>7.4</v>
      </c>
      <c r="M2159"/>
    </row>
    <row r="2160" spans="1:13" x14ac:dyDescent="0.25">
      <c r="A2160" s="3" t="s">
        <v>121</v>
      </c>
      <c r="B2160" s="3" t="s">
        <v>244</v>
      </c>
      <c r="C2160" s="3" t="s">
        <v>9</v>
      </c>
      <c r="D2160" s="3" t="s">
        <v>10</v>
      </c>
      <c r="E2160" s="5" t="s">
        <v>18</v>
      </c>
      <c r="F2160" s="17">
        <v>6.52</v>
      </c>
      <c r="G2160" s="3">
        <v>3</v>
      </c>
      <c r="H2160" s="17">
        <f>Table1[[#This Row],[Unit price]]*Table1[[#This Row],[Quantity]]</f>
        <v>19.559999999999999</v>
      </c>
      <c r="I2160" s="29">
        <f>Table1[[#This Row],[Total Revenue]]/$H$5056*100</f>
        <v>2.0752328125287598E-3</v>
      </c>
      <c r="J2160" s="3" t="s">
        <v>12</v>
      </c>
      <c r="K2160" s="4">
        <v>5.3</v>
      </c>
      <c r="M2160"/>
    </row>
    <row r="2161" spans="1:13" x14ac:dyDescent="0.25">
      <c r="A2161" s="3" t="s">
        <v>121</v>
      </c>
      <c r="B2161" s="3" t="s">
        <v>244</v>
      </c>
      <c r="C2161" s="3" t="s">
        <v>13</v>
      </c>
      <c r="D2161" s="3" t="s">
        <v>10</v>
      </c>
      <c r="E2161" s="5" t="s">
        <v>20</v>
      </c>
      <c r="F2161" s="17">
        <v>48.6</v>
      </c>
      <c r="G2161" s="3">
        <v>5</v>
      </c>
      <c r="H2161" s="17">
        <f>Table1[[#This Row],[Unit price]]*Table1[[#This Row],[Quantity]]</f>
        <v>243</v>
      </c>
      <c r="I2161" s="29">
        <f>Table1[[#This Row],[Total Revenue]]/$H$5056*100</f>
        <v>2.5781266536016804E-2</v>
      </c>
      <c r="J2161" s="3" t="s">
        <v>15</v>
      </c>
      <c r="K2161" s="4">
        <v>6.3</v>
      </c>
      <c r="M2161"/>
    </row>
    <row r="2162" spans="1:13" x14ac:dyDescent="0.25">
      <c r="A2162" s="3" t="s">
        <v>121</v>
      </c>
      <c r="B2162" s="3" t="s">
        <v>243</v>
      </c>
      <c r="C2162" s="3" t="s">
        <v>13</v>
      </c>
      <c r="D2162" s="3" t="s">
        <v>10</v>
      </c>
      <c r="E2162" s="5" t="s">
        <v>11</v>
      </c>
      <c r="F2162" s="17">
        <v>4.13</v>
      </c>
      <c r="G2162" s="3">
        <v>1</v>
      </c>
      <c r="H2162" s="17">
        <f>Table1[[#This Row],[Unit price]]*Table1[[#This Row],[Quantity]]</f>
        <v>4.13</v>
      </c>
      <c r="I2162" s="29">
        <f>Table1[[#This Row],[Total Revenue]]/$H$5056*100</f>
        <v>4.3817543536522392E-4</v>
      </c>
      <c r="J2162" s="3" t="s">
        <v>17</v>
      </c>
      <c r="K2162" s="4">
        <v>8.6999999999999993</v>
      </c>
      <c r="M2162"/>
    </row>
    <row r="2163" spans="1:13" x14ac:dyDescent="0.25">
      <c r="A2163" s="3" t="s">
        <v>121</v>
      </c>
      <c r="B2163" s="3" t="s">
        <v>245</v>
      </c>
      <c r="C2163" s="3" t="s">
        <v>13</v>
      </c>
      <c r="D2163" s="3" t="s">
        <v>19</v>
      </c>
      <c r="E2163" s="5" t="s">
        <v>21</v>
      </c>
      <c r="F2163" s="17">
        <v>20.56</v>
      </c>
      <c r="G2163" s="3">
        <v>3</v>
      </c>
      <c r="H2163" s="17">
        <f>Table1[[#This Row],[Unit price]]*Table1[[#This Row],[Quantity]]</f>
        <v>61.679999999999993</v>
      </c>
      <c r="I2163" s="29">
        <f>Table1[[#This Row],[Total Revenue]]/$H$5056*100</f>
        <v>6.5439856787716721E-3</v>
      </c>
      <c r="J2163" s="3" t="s">
        <v>17</v>
      </c>
      <c r="K2163" s="4">
        <v>6.7</v>
      </c>
      <c r="M2163"/>
    </row>
    <row r="2164" spans="1:13" x14ac:dyDescent="0.25">
      <c r="A2164" s="3" t="s">
        <v>121</v>
      </c>
      <c r="B2164" s="3" t="s">
        <v>245</v>
      </c>
      <c r="C2164" s="3" t="s">
        <v>9</v>
      </c>
      <c r="D2164" s="3" t="s">
        <v>10</v>
      </c>
      <c r="E2164" s="5" t="s">
        <v>11</v>
      </c>
      <c r="F2164" s="17">
        <v>5.18</v>
      </c>
      <c r="G2164" s="3">
        <v>3</v>
      </c>
      <c r="H2164" s="17">
        <f>Table1[[#This Row],[Unit price]]*Table1[[#This Row],[Quantity]]</f>
        <v>15.54</v>
      </c>
      <c r="I2164" s="29">
        <f>Table1[[#This Row],[Total Revenue]]/$H$5056*100</f>
        <v>1.6487279093403339E-3</v>
      </c>
      <c r="J2164" s="3" t="s">
        <v>12</v>
      </c>
      <c r="K2164" s="4">
        <v>6.9</v>
      </c>
      <c r="M2164"/>
    </row>
    <row r="2165" spans="1:13" x14ac:dyDescent="0.25">
      <c r="A2165" s="3" t="s">
        <v>122</v>
      </c>
      <c r="B2165" s="3" t="s">
        <v>245</v>
      </c>
      <c r="C2165" s="3" t="s">
        <v>13</v>
      </c>
      <c r="D2165" s="3" t="s">
        <v>10</v>
      </c>
      <c r="E2165" s="5" t="s">
        <v>11</v>
      </c>
      <c r="F2165" s="17">
        <v>5.99</v>
      </c>
      <c r="G2165" s="3">
        <v>1</v>
      </c>
      <c r="H2165" s="17">
        <f>Table1[[#This Row],[Unit price]]*Table1[[#This Row],[Quantity]]</f>
        <v>5.99</v>
      </c>
      <c r="I2165" s="29">
        <f>Table1[[#This Row],[Total Revenue]]/$H$5056*100</f>
        <v>6.3551352490016737E-4</v>
      </c>
      <c r="J2165" s="3" t="s">
        <v>15</v>
      </c>
      <c r="K2165" s="4">
        <v>9.3000000000000007</v>
      </c>
      <c r="M2165"/>
    </row>
    <row r="2166" spans="1:13" x14ac:dyDescent="0.25">
      <c r="A2166" s="3" t="s">
        <v>122</v>
      </c>
      <c r="B2166" s="3" t="s">
        <v>245</v>
      </c>
      <c r="C2166" s="3" t="s">
        <v>13</v>
      </c>
      <c r="D2166" s="3" t="s">
        <v>19</v>
      </c>
      <c r="E2166" s="5" t="s">
        <v>11</v>
      </c>
      <c r="F2166" s="17">
        <v>2.2400000000000002</v>
      </c>
      <c r="G2166" s="3">
        <v>4</v>
      </c>
      <c r="H2166" s="17">
        <f>Table1[[#This Row],[Unit price]]*Table1[[#This Row],[Quantity]]</f>
        <v>8.9600000000000009</v>
      </c>
      <c r="I2166" s="29">
        <f>Table1[[#This Row],[Total Revenue]]/$H$5056*100</f>
        <v>9.5061789367370617E-4</v>
      </c>
      <c r="J2166" s="3" t="s">
        <v>15</v>
      </c>
      <c r="K2166" s="4">
        <v>8.8000000000000007</v>
      </c>
      <c r="M2166"/>
    </row>
    <row r="2167" spans="1:13" x14ac:dyDescent="0.25">
      <c r="A2167" s="3" t="s">
        <v>122</v>
      </c>
      <c r="B2167" s="3" t="s">
        <v>245</v>
      </c>
      <c r="C2167" s="3" t="s">
        <v>9</v>
      </c>
      <c r="D2167" s="3" t="s">
        <v>19</v>
      </c>
      <c r="E2167" s="5" t="s">
        <v>20</v>
      </c>
      <c r="F2167" s="17">
        <v>64.48</v>
      </c>
      <c r="G2167" s="3">
        <v>5</v>
      </c>
      <c r="H2167" s="17">
        <f>Table1[[#This Row],[Unit price]]*Table1[[#This Row],[Quantity]]</f>
        <v>322.40000000000003</v>
      </c>
      <c r="I2167" s="29">
        <f>Table1[[#This Row],[Total Revenue]]/$H$5056*100</f>
        <v>3.4205268852723535E-2</v>
      </c>
      <c r="J2167" s="3" t="s">
        <v>15</v>
      </c>
      <c r="K2167" s="4">
        <v>7.3</v>
      </c>
      <c r="M2167"/>
    </row>
    <row r="2168" spans="1:13" x14ac:dyDescent="0.25">
      <c r="A2168" s="3" t="s">
        <v>122</v>
      </c>
      <c r="B2168" s="3" t="s">
        <v>244</v>
      </c>
      <c r="C2168" s="3" t="s">
        <v>9</v>
      </c>
      <c r="D2168" s="3" t="s">
        <v>19</v>
      </c>
      <c r="E2168" s="5" t="s">
        <v>11</v>
      </c>
      <c r="F2168" s="17">
        <v>4.42</v>
      </c>
      <c r="G2168" s="3">
        <v>3</v>
      </c>
      <c r="H2168" s="17">
        <f>Table1[[#This Row],[Unit price]]*Table1[[#This Row],[Quantity]]</f>
        <v>13.26</v>
      </c>
      <c r="I2168" s="29">
        <f>Table1[[#This Row],[Total Revenue]]/$H$5056*100</f>
        <v>1.4068296060394355E-3</v>
      </c>
      <c r="J2168" s="3" t="s">
        <v>15</v>
      </c>
      <c r="K2168" s="4">
        <v>8</v>
      </c>
      <c r="M2168"/>
    </row>
    <row r="2169" spans="1:13" x14ac:dyDescent="0.25">
      <c r="A2169" s="3" t="s">
        <v>122</v>
      </c>
      <c r="B2169" s="3" t="s">
        <v>244</v>
      </c>
      <c r="C2169" s="3" t="s">
        <v>13</v>
      </c>
      <c r="D2169" s="3" t="s">
        <v>19</v>
      </c>
      <c r="E2169" s="5" t="s">
        <v>11</v>
      </c>
      <c r="F2169" s="17">
        <v>7.3</v>
      </c>
      <c r="G2169" s="3">
        <v>5</v>
      </c>
      <c r="H2169" s="17">
        <f>Table1[[#This Row],[Unit price]]*Table1[[#This Row],[Quantity]]</f>
        <v>36.5</v>
      </c>
      <c r="I2169" s="29">
        <f>Table1[[#This Row],[Total Revenue]]/$H$5056*100</f>
        <v>3.872494767755611E-3</v>
      </c>
      <c r="J2169" s="3" t="s">
        <v>15</v>
      </c>
      <c r="K2169" s="4">
        <v>5.6</v>
      </c>
      <c r="M2169"/>
    </row>
    <row r="2170" spans="1:13" x14ac:dyDescent="0.25">
      <c r="A2170" s="3" t="s">
        <v>122</v>
      </c>
      <c r="B2170" s="3" t="s">
        <v>244</v>
      </c>
      <c r="C2170" s="3" t="s">
        <v>9</v>
      </c>
      <c r="D2170" s="3" t="s">
        <v>10</v>
      </c>
      <c r="E2170" s="5" t="s">
        <v>21</v>
      </c>
      <c r="F2170" s="17">
        <v>18.149999999999999</v>
      </c>
      <c r="G2170" s="3">
        <v>3</v>
      </c>
      <c r="H2170" s="17">
        <f>Table1[[#This Row],[Unit price]]*Table1[[#This Row],[Quantity]]</f>
        <v>54.449999999999996</v>
      </c>
      <c r="I2170" s="29">
        <f>Table1[[#This Row],[Total Revenue]]/$H$5056*100</f>
        <v>5.7769134275148758E-3</v>
      </c>
      <c r="J2170" s="3" t="s">
        <v>15</v>
      </c>
      <c r="K2170" s="4">
        <v>8.5</v>
      </c>
      <c r="M2170"/>
    </row>
    <row r="2171" spans="1:13" x14ac:dyDescent="0.25">
      <c r="A2171" s="3" t="s">
        <v>122</v>
      </c>
      <c r="B2171" s="3" t="s">
        <v>243</v>
      </c>
      <c r="C2171" s="3" t="s">
        <v>13</v>
      </c>
      <c r="D2171" s="3" t="s">
        <v>10</v>
      </c>
      <c r="E2171" s="5" t="s">
        <v>21</v>
      </c>
      <c r="F2171" s="17">
        <v>38.76</v>
      </c>
      <c r="G2171" s="3">
        <v>2</v>
      </c>
      <c r="H2171" s="17">
        <f>Table1[[#This Row],[Unit price]]*Table1[[#This Row],[Quantity]]</f>
        <v>77.52</v>
      </c>
      <c r="I2171" s="29">
        <f>Table1[[#This Row],[Total Revenue]]/$H$5056*100</f>
        <v>8.2245423122305466E-3</v>
      </c>
      <c r="J2171" s="3" t="s">
        <v>17</v>
      </c>
      <c r="K2171" s="4">
        <v>6.9</v>
      </c>
      <c r="M2171"/>
    </row>
    <row r="2172" spans="1:13" x14ac:dyDescent="0.25">
      <c r="A2172" s="3" t="s">
        <v>122</v>
      </c>
      <c r="B2172" s="3" t="s">
        <v>245</v>
      </c>
      <c r="C2172" s="3" t="s">
        <v>13</v>
      </c>
      <c r="D2172" s="3" t="s">
        <v>19</v>
      </c>
      <c r="E2172" s="5" t="s">
        <v>11</v>
      </c>
      <c r="F2172" s="17">
        <v>7.49</v>
      </c>
      <c r="G2172" s="3">
        <v>1</v>
      </c>
      <c r="H2172" s="17">
        <f>Table1[[#This Row],[Unit price]]*Table1[[#This Row],[Quantity]]</f>
        <v>7.49</v>
      </c>
      <c r="I2172" s="29">
        <f>Table1[[#This Row],[Total Revenue]]/$H$5056*100</f>
        <v>7.9465714549286368E-4</v>
      </c>
      <c r="J2172" s="3" t="s">
        <v>15</v>
      </c>
      <c r="K2172" s="4">
        <v>7.1</v>
      </c>
      <c r="M2172"/>
    </row>
    <row r="2173" spans="1:13" x14ac:dyDescent="0.25">
      <c r="A2173" s="3" t="s">
        <v>122</v>
      </c>
      <c r="B2173" s="3" t="s">
        <v>243</v>
      </c>
      <c r="C2173" s="3" t="s">
        <v>9</v>
      </c>
      <c r="D2173" s="3" t="s">
        <v>10</v>
      </c>
      <c r="E2173" s="5" t="s">
        <v>20</v>
      </c>
      <c r="F2173" s="17">
        <v>69.489999999999995</v>
      </c>
      <c r="G2173" s="3">
        <v>1</v>
      </c>
      <c r="H2173" s="17">
        <f>Table1[[#This Row],[Unit price]]*Table1[[#This Row],[Quantity]]</f>
        <v>69.489999999999995</v>
      </c>
      <c r="I2173" s="29">
        <f>Table1[[#This Row],[Total Revenue]]/$H$5056*100</f>
        <v>7.3725934633243114E-3</v>
      </c>
      <c r="J2173" s="3" t="s">
        <v>17</v>
      </c>
      <c r="K2173" s="4">
        <v>7.5</v>
      </c>
      <c r="M2173"/>
    </row>
    <row r="2174" spans="1:13" x14ac:dyDescent="0.25">
      <c r="A2174" s="3" t="s">
        <v>122</v>
      </c>
      <c r="B2174" s="3" t="s">
        <v>244</v>
      </c>
      <c r="C2174" s="3" t="s">
        <v>13</v>
      </c>
      <c r="D2174" s="3" t="s">
        <v>19</v>
      </c>
      <c r="E2174" s="5" t="s">
        <v>11</v>
      </c>
      <c r="F2174" s="17">
        <v>5.41</v>
      </c>
      <c r="G2174" s="3">
        <v>3</v>
      </c>
      <c r="H2174" s="17">
        <f>Table1[[#This Row],[Unit price]]*Table1[[#This Row],[Quantity]]</f>
        <v>16.23</v>
      </c>
      <c r="I2174" s="29">
        <f>Table1[[#This Row],[Total Revenue]]/$H$5056*100</f>
        <v>1.7219339748129744E-3</v>
      </c>
      <c r="J2174" s="3" t="s">
        <v>17</v>
      </c>
      <c r="K2174" s="4">
        <v>9.1999999999999993</v>
      </c>
      <c r="M2174"/>
    </row>
    <row r="2175" spans="1:13" x14ac:dyDescent="0.25">
      <c r="A2175" s="3" t="s">
        <v>122</v>
      </c>
      <c r="B2175" s="3" t="s">
        <v>243</v>
      </c>
      <c r="C2175" s="3" t="s">
        <v>13</v>
      </c>
      <c r="D2175" s="3" t="s">
        <v>10</v>
      </c>
      <c r="E2175" s="5" t="s">
        <v>14</v>
      </c>
      <c r="F2175" s="17">
        <v>87.31</v>
      </c>
      <c r="G2175" s="3">
        <v>2</v>
      </c>
      <c r="H2175" s="17">
        <f>Table1[[#This Row],[Unit price]]*Table1[[#This Row],[Quantity]]</f>
        <v>174.62</v>
      </c>
      <c r="I2175" s="29">
        <f>Table1[[#This Row],[Total Revenue]]/$H$5056*100</f>
        <v>1.8526439351931091E-2</v>
      </c>
      <c r="J2175" s="3" t="s">
        <v>17</v>
      </c>
      <c r="K2175" s="4">
        <v>6.1</v>
      </c>
      <c r="M2175"/>
    </row>
    <row r="2176" spans="1:13" x14ac:dyDescent="0.25">
      <c r="A2176" s="3" t="s">
        <v>122</v>
      </c>
      <c r="B2176" s="3" t="s">
        <v>243</v>
      </c>
      <c r="C2176" s="3" t="s">
        <v>9</v>
      </c>
      <c r="D2176" s="3" t="s">
        <v>10</v>
      </c>
      <c r="E2176" s="5" t="s">
        <v>21</v>
      </c>
      <c r="F2176" s="17">
        <v>31.18</v>
      </c>
      <c r="G2176" s="3">
        <v>1</v>
      </c>
      <c r="H2176" s="17">
        <f>Table1[[#This Row],[Unit price]]*Table1[[#This Row],[Quantity]]</f>
        <v>31.18</v>
      </c>
      <c r="I2176" s="29">
        <f>Table1[[#This Row],[Total Revenue]]/$H$5056*100</f>
        <v>3.3080653933868476E-3</v>
      </c>
      <c r="J2176" s="3" t="s">
        <v>17</v>
      </c>
      <c r="K2176" s="4">
        <v>8.6999999999999993</v>
      </c>
      <c r="M2176"/>
    </row>
    <row r="2177" spans="1:13" x14ac:dyDescent="0.25">
      <c r="A2177" s="3" t="s">
        <v>122</v>
      </c>
      <c r="B2177" s="3" t="s">
        <v>244</v>
      </c>
      <c r="C2177" s="3" t="s">
        <v>13</v>
      </c>
      <c r="D2177" s="3" t="s">
        <v>19</v>
      </c>
      <c r="E2177" s="5" t="s">
        <v>21</v>
      </c>
      <c r="F2177" s="17">
        <v>35.28</v>
      </c>
      <c r="G2177" s="3">
        <v>4</v>
      </c>
      <c r="H2177" s="17">
        <f>Table1[[#This Row],[Unit price]]*Table1[[#This Row],[Quantity]]</f>
        <v>141.12</v>
      </c>
      <c r="I2177" s="29">
        <f>Table1[[#This Row],[Total Revenue]]/$H$5056*100</f>
        <v>1.4972231825360872E-2</v>
      </c>
      <c r="J2177" s="3" t="s">
        <v>17</v>
      </c>
      <c r="K2177" s="4">
        <v>8.1</v>
      </c>
      <c r="M2177"/>
    </row>
    <row r="2178" spans="1:13" x14ac:dyDescent="0.25">
      <c r="A2178" s="3" t="s">
        <v>122</v>
      </c>
      <c r="B2178" s="3" t="s">
        <v>243</v>
      </c>
      <c r="C2178" s="3" t="s">
        <v>13</v>
      </c>
      <c r="D2178" s="3" t="s">
        <v>19</v>
      </c>
      <c r="E2178" s="5" t="s">
        <v>11</v>
      </c>
      <c r="F2178" s="17">
        <v>4.34</v>
      </c>
      <c r="G2178" s="3">
        <v>4</v>
      </c>
      <c r="H2178" s="17">
        <f>Table1[[#This Row],[Unit price]]*Table1[[#This Row],[Quantity]]</f>
        <v>17.36</v>
      </c>
      <c r="I2178" s="29">
        <f>Table1[[#This Row],[Total Revenue]]/$H$5056*100</f>
        <v>1.8418221689928055E-3</v>
      </c>
      <c r="J2178" s="3" t="s">
        <v>17</v>
      </c>
      <c r="K2178" s="4">
        <v>7.7</v>
      </c>
      <c r="M2178"/>
    </row>
    <row r="2179" spans="1:13" x14ac:dyDescent="0.25">
      <c r="A2179" s="3" t="s">
        <v>122</v>
      </c>
      <c r="B2179" s="3" t="s">
        <v>245</v>
      </c>
      <c r="C2179" s="3" t="s">
        <v>13</v>
      </c>
      <c r="D2179" s="3" t="s">
        <v>10</v>
      </c>
      <c r="E2179" s="5" t="s">
        <v>11</v>
      </c>
      <c r="F2179" s="17">
        <v>6.67</v>
      </c>
      <c r="G2179" s="3">
        <v>2</v>
      </c>
      <c r="H2179" s="17">
        <f>Table1[[#This Row],[Unit price]]*Table1[[#This Row],[Quantity]]</f>
        <v>13.34</v>
      </c>
      <c r="I2179" s="29">
        <f>Table1[[#This Row],[Total Revenue]]/$H$5056*100</f>
        <v>1.4153172658043793E-3</v>
      </c>
      <c r="J2179" s="3" t="s">
        <v>15</v>
      </c>
      <c r="K2179" s="4">
        <v>9.1</v>
      </c>
      <c r="M2179"/>
    </row>
    <row r="2180" spans="1:13" x14ac:dyDescent="0.25">
      <c r="A2180" s="3" t="s">
        <v>123</v>
      </c>
      <c r="B2180" s="3" t="s">
        <v>243</v>
      </c>
      <c r="C2180" s="3" t="s">
        <v>13</v>
      </c>
      <c r="D2180" s="3" t="s">
        <v>10</v>
      </c>
      <c r="E2180" s="5" t="s">
        <v>11</v>
      </c>
      <c r="F2180" s="17">
        <v>3.63</v>
      </c>
      <c r="G2180" s="3">
        <v>1</v>
      </c>
      <c r="H2180" s="17">
        <f>Table1[[#This Row],[Unit price]]*Table1[[#This Row],[Quantity]]</f>
        <v>3.63</v>
      </c>
      <c r="I2180" s="29">
        <f>Table1[[#This Row],[Total Revenue]]/$H$5056*100</f>
        <v>3.8512756183432508E-4</v>
      </c>
      <c r="J2180" s="3" t="s">
        <v>17</v>
      </c>
      <c r="K2180" s="4">
        <v>7.4</v>
      </c>
      <c r="M2180"/>
    </row>
    <row r="2181" spans="1:13" x14ac:dyDescent="0.25">
      <c r="A2181" s="3" t="s">
        <v>123</v>
      </c>
      <c r="B2181" s="3" t="s">
        <v>244</v>
      </c>
      <c r="C2181" s="3" t="s">
        <v>13</v>
      </c>
      <c r="D2181" s="3" t="s">
        <v>10</v>
      </c>
      <c r="E2181" s="5" t="s">
        <v>16</v>
      </c>
      <c r="F2181" s="17">
        <v>65.989999999999995</v>
      </c>
      <c r="G2181" s="3">
        <v>1</v>
      </c>
      <c r="H2181" s="17">
        <f>Table1[[#This Row],[Unit price]]*Table1[[#This Row],[Quantity]]</f>
        <v>65.989999999999995</v>
      </c>
      <c r="I2181" s="29">
        <f>Table1[[#This Row],[Total Revenue]]/$H$5056*100</f>
        <v>7.0012583486080207E-3</v>
      </c>
      <c r="J2181" s="3" t="s">
        <v>12</v>
      </c>
      <c r="K2181" s="4">
        <v>4.2</v>
      </c>
      <c r="M2181"/>
    </row>
    <row r="2182" spans="1:13" x14ac:dyDescent="0.25">
      <c r="A2182" s="3" t="s">
        <v>123</v>
      </c>
      <c r="B2182" s="3" t="s">
        <v>245</v>
      </c>
      <c r="C2182" s="3" t="s">
        <v>13</v>
      </c>
      <c r="D2182" s="3" t="s">
        <v>10</v>
      </c>
      <c r="E2182" s="5" t="s">
        <v>20</v>
      </c>
      <c r="F2182" s="17">
        <v>66.27</v>
      </c>
      <c r="G2182" s="3">
        <v>5</v>
      </c>
      <c r="H2182" s="17">
        <f>Table1[[#This Row],[Unit price]]*Table1[[#This Row],[Quantity]]</f>
        <v>331.34999999999997</v>
      </c>
      <c r="I2182" s="29">
        <f>Table1[[#This Row],[Total Revenue]]/$H$5056*100</f>
        <v>3.5154825788926619E-2</v>
      </c>
      <c r="J2182" s="3" t="s">
        <v>17</v>
      </c>
      <c r="K2182" s="4">
        <v>6.8</v>
      </c>
      <c r="M2182"/>
    </row>
    <row r="2183" spans="1:13" x14ac:dyDescent="0.25">
      <c r="A2183" s="3" t="s">
        <v>123</v>
      </c>
      <c r="B2183" s="3" t="s">
        <v>244</v>
      </c>
      <c r="C2183" s="3" t="s">
        <v>13</v>
      </c>
      <c r="D2183" s="3" t="s">
        <v>19</v>
      </c>
      <c r="E2183" s="5" t="s">
        <v>20</v>
      </c>
      <c r="F2183" s="17">
        <v>65.319999999999993</v>
      </c>
      <c r="G2183" s="3">
        <v>2</v>
      </c>
      <c r="H2183" s="17">
        <f>Table1[[#This Row],[Unit price]]*Table1[[#This Row],[Quantity]]</f>
        <v>130.63999999999999</v>
      </c>
      <c r="I2183" s="29">
        <f>Table1[[#This Row],[Total Revenue]]/$H$5056*100</f>
        <v>1.3860348396153232E-2</v>
      </c>
      <c r="J2183" s="3" t="s">
        <v>17</v>
      </c>
      <c r="K2183" s="4">
        <v>6.9</v>
      </c>
      <c r="M2183"/>
    </row>
    <row r="2184" spans="1:13" x14ac:dyDescent="0.25">
      <c r="A2184" s="3" t="s">
        <v>123</v>
      </c>
      <c r="B2184" s="3" t="s">
        <v>244</v>
      </c>
      <c r="C2184" s="3" t="s">
        <v>13</v>
      </c>
      <c r="D2184" s="3" t="s">
        <v>19</v>
      </c>
      <c r="E2184" s="5" t="s">
        <v>21</v>
      </c>
      <c r="F2184" s="17">
        <v>35.49</v>
      </c>
      <c r="G2184" s="3">
        <v>4</v>
      </c>
      <c r="H2184" s="17">
        <f>Table1[[#This Row],[Unit price]]*Table1[[#This Row],[Quantity]]</f>
        <v>141.96</v>
      </c>
      <c r="I2184" s="29">
        <f>Table1[[#This Row],[Total Revenue]]/$H$5056*100</f>
        <v>1.506135225289278E-2</v>
      </c>
      <c r="J2184" s="3" t="s">
        <v>12</v>
      </c>
      <c r="K2184" s="4">
        <v>9.1</v>
      </c>
      <c r="M2184"/>
    </row>
    <row r="2185" spans="1:13" x14ac:dyDescent="0.25">
      <c r="A2185" s="3" t="s">
        <v>123</v>
      </c>
      <c r="B2185" s="3" t="s">
        <v>245</v>
      </c>
      <c r="C2185" s="3" t="s">
        <v>9</v>
      </c>
      <c r="D2185" s="3" t="s">
        <v>19</v>
      </c>
      <c r="E2185" s="5" t="s">
        <v>11</v>
      </c>
      <c r="F2185" s="17">
        <v>5.88</v>
      </c>
      <c r="G2185" s="3">
        <v>3</v>
      </c>
      <c r="H2185" s="17">
        <f>Table1[[#This Row],[Unit price]]*Table1[[#This Row],[Quantity]]</f>
        <v>17.64</v>
      </c>
      <c r="I2185" s="29">
        <f>Table1[[#This Row],[Total Revenue]]/$H$5056*100</f>
        <v>1.8715289781701091E-3</v>
      </c>
      <c r="J2185" s="3" t="s">
        <v>17</v>
      </c>
      <c r="K2185" s="4">
        <v>6.6</v>
      </c>
      <c r="M2185"/>
    </row>
    <row r="2186" spans="1:13" x14ac:dyDescent="0.25">
      <c r="A2186" s="3" t="s">
        <v>123</v>
      </c>
      <c r="B2186" s="3" t="s">
        <v>244</v>
      </c>
      <c r="C2186" s="3" t="s">
        <v>13</v>
      </c>
      <c r="D2186" s="3" t="s">
        <v>19</v>
      </c>
      <c r="E2186" s="5" t="s">
        <v>11</v>
      </c>
      <c r="F2186" s="17">
        <v>6.88</v>
      </c>
      <c r="G2186" s="3">
        <v>4</v>
      </c>
      <c r="H2186" s="17">
        <f>Table1[[#This Row],[Unit price]]*Table1[[#This Row],[Quantity]]</f>
        <v>27.52</v>
      </c>
      <c r="I2186" s="29">
        <f>Table1[[#This Row],[Total Revenue]]/$H$5056*100</f>
        <v>2.9197549591406689E-3</v>
      </c>
      <c r="J2186" s="3" t="s">
        <v>12</v>
      </c>
      <c r="K2186" s="4">
        <v>7.6</v>
      </c>
      <c r="M2186"/>
    </row>
    <row r="2187" spans="1:13" x14ac:dyDescent="0.25">
      <c r="A2187" s="3" t="s">
        <v>123</v>
      </c>
      <c r="B2187" s="3" t="s">
        <v>243</v>
      </c>
      <c r="C2187" s="3" t="s">
        <v>9</v>
      </c>
      <c r="D2187" s="3" t="s">
        <v>10</v>
      </c>
      <c r="E2187" s="5" t="s">
        <v>18</v>
      </c>
      <c r="F2187" s="17">
        <v>12.13</v>
      </c>
      <c r="G2187" s="3">
        <v>2</v>
      </c>
      <c r="H2187" s="17">
        <f>Table1[[#This Row],[Unit price]]*Table1[[#This Row],[Quantity]]</f>
        <v>24.26</v>
      </c>
      <c r="I2187" s="29">
        <f>Table1[[#This Row],[Total Revenue]]/$H$5056*100</f>
        <v>2.5738828237192087E-3</v>
      </c>
      <c r="J2187" s="3" t="s">
        <v>15</v>
      </c>
      <c r="K2187" s="4">
        <v>7.7</v>
      </c>
      <c r="M2187"/>
    </row>
    <row r="2188" spans="1:13" x14ac:dyDescent="0.25">
      <c r="A2188" s="3" t="s">
        <v>123</v>
      </c>
      <c r="B2188" s="3" t="s">
        <v>245</v>
      </c>
      <c r="C2188" s="3" t="s">
        <v>9</v>
      </c>
      <c r="D2188" s="3" t="s">
        <v>19</v>
      </c>
      <c r="E2188" s="5" t="s">
        <v>21</v>
      </c>
      <c r="F2188" s="17">
        <v>37.36</v>
      </c>
      <c r="G2188" s="3">
        <v>4</v>
      </c>
      <c r="H2188" s="17">
        <f>Table1[[#This Row],[Unit price]]*Table1[[#This Row],[Quantity]]</f>
        <v>149.44</v>
      </c>
      <c r="I2188" s="29">
        <f>Table1[[#This Row],[Total Revenue]]/$H$5056*100</f>
        <v>1.5854948440915027E-2</v>
      </c>
      <c r="J2188" s="3" t="s">
        <v>15</v>
      </c>
      <c r="K2188" s="4">
        <v>7.6</v>
      </c>
      <c r="M2188"/>
    </row>
    <row r="2189" spans="1:13" x14ac:dyDescent="0.25">
      <c r="A2189" s="3" t="s">
        <v>123</v>
      </c>
      <c r="B2189" s="3" t="s">
        <v>243</v>
      </c>
      <c r="C2189" s="3" t="s">
        <v>9</v>
      </c>
      <c r="D2189" s="3" t="s">
        <v>19</v>
      </c>
      <c r="E2189" s="5" t="s">
        <v>11</v>
      </c>
      <c r="F2189" s="17">
        <v>6.88</v>
      </c>
      <c r="G2189" s="3">
        <v>1</v>
      </c>
      <c r="H2189" s="17">
        <f>Table1[[#This Row],[Unit price]]*Table1[[#This Row],[Quantity]]</f>
        <v>6.88</v>
      </c>
      <c r="I2189" s="29">
        <f>Table1[[#This Row],[Total Revenue]]/$H$5056*100</f>
        <v>7.2993873978516722E-4</v>
      </c>
      <c r="J2189" s="3" t="s">
        <v>15</v>
      </c>
      <c r="K2189" s="4">
        <v>8.5</v>
      </c>
      <c r="M2189"/>
    </row>
    <row r="2190" spans="1:13" x14ac:dyDescent="0.25">
      <c r="A2190" s="3" t="s">
        <v>123</v>
      </c>
      <c r="B2190" s="3" t="s">
        <v>243</v>
      </c>
      <c r="C2190" s="3" t="s">
        <v>9</v>
      </c>
      <c r="D2190" s="3" t="s">
        <v>19</v>
      </c>
      <c r="E2190" s="5" t="s">
        <v>11</v>
      </c>
      <c r="F2190" s="17">
        <v>4.97</v>
      </c>
      <c r="G2190" s="3">
        <v>5</v>
      </c>
      <c r="H2190" s="17">
        <f>Table1[[#This Row],[Unit price]]*Table1[[#This Row],[Quantity]]</f>
        <v>24.849999999999998</v>
      </c>
      <c r="I2190" s="29">
        <f>Table1[[#This Row],[Total Revenue]]/$H$5056*100</f>
        <v>2.636479314485669E-3</v>
      </c>
      <c r="J2190" s="3" t="s">
        <v>15</v>
      </c>
      <c r="K2190" s="4">
        <v>9.8000000000000007</v>
      </c>
      <c r="M2190"/>
    </row>
    <row r="2191" spans="1:13" x14ac:dyDescent="0.25">
      <c r="A2191" s="3" t="s">
        <v>123</v>
      </c>
      <c r="B2191" s="3" t="s">
        <v>244</v>
      </c>
      <c r="C2191" s="3" t="s">
        <v>9</v>
      </c>
      <c r="D2191" s="3" t="s">
        <v>19</v>
      </c>
      <c r="E2191" s="5" t="s">
        <v>14</v>
      </c>
      <c r="F2191" s="17">
        <v>76.14</v>
      </c>
      <c r="G2191" s="3">
        <v>2</v>
      </c>
      <c r="H2191" s="17">
        <f>Table1[[#This Row],[Unit price]]*Table1[[#This Row],[Quantity]]</f>
        <v>152.28</v>
      </c>
      <c r="I2191" s="29">
        <f>Table1[[#This Row],[Total Revenue]]/$H$5056*100</f>
        <v>1.6156260362570531E-2</v>
      </c>
      <c r="J2191" s="3" t="s">
        <v>17</v>
      </c>
      <c r="K2191" s="4">
        <v>7</v>
      </c>
      <c r="M2191"/>
    </row>
    <row r="2192" spans="1:13" x14ac:dyDescent="0.25">
      <c r="A2192" s="3" t="s">
        <v>123</v>
      </c>
      <c r="B2192" s="3" t="s">
        <v>243</v>
      </c>
      <c r="C2192" s="3" t="s">
        <v>13</v>
      </c>
      <c r="D2192" s="3" t="s">
        <v>10</v>
      </c>
      <c r="E2192" s="5" t="s">
        <v>11</v>
      </c>
      <c r="F2192" s="17">
        <v>3.56</v>
      </c>
      <c r="G2192" s="3">
        <v>1</v>
      </c>
      <c r="H2192" s="17">
        <f>Table1[[#This Row],[Unit price]]*Table1[[#This Row],[Quantity]]</f>
        <v>3.56</v>
      </c>
      <c r="I2192" s="29">
        <f>Table1[[#This Row],[Total Revenue]]/$H$5056*100</f>
        <v>3.7770085953999931E-4</v>
      </c>
      <c r="J2192" s="3" t="s">
        <v>17</v>
      </c>
      <c r="K2192" s="4">
        <v>8.4</v>
      </c>
      <c r="M2192"/>
    </row>
    <row r="2193" spans="1:13" x14ac:dyDescent="0.25">
      <c r="A2193" s="3" t="s">
        <v>123</v>
      </c>
      <c r="B2193" s="3" t="s">
        <v>243</v>
      </c>
      <c r="C2193" s="3" t="s">
        <v>13</v>
      </c>
      <c r="D2193" s="3" t="s">
        <v>19</v>
      </c>
      <c r="E2193" s="5" t="s">
        <v>14</v>
      </c>
      <c r="F2193" s="17">
        <v>94.81</v>
      </c>
      <c r="G2193" s="3">
        <v>2</v>
      </c>
      <c r="H2193" s="17">
        <f>Table1[[#This Row],[Unit price]]*Table1[[#This Row],[Quantity]]</f>
        <v>189.62</v>
      </c>
      <c r="I2193" s="29">
        <f>Table1[[#This Row],[Total Revenue]]/$H$5056*100</f>
        <v>2.0117875557858052E-2</v>
      </c>
      <c r="J2193" s="3" t="s">
        <v>12</v>
      </c>
      <c r="K2193" s="4">
        <v>9</v>
      </c>
      <c r="M2193"/>
    </row>
    <row r="2194" spans="1:13" x14ac:dyDescent="0.25">
      <c r="A2194" s="3" t="s">
        <v>124</v>
      </c>
      <c r="B2194" s="3" t="s">
        <v>243</v>
      </c>
      <c r="C2194" s="3" t="s">
        <v>13</v>
      </c>
      <c r="D2194" s="3" t="s">
        <v>19</v>
      </c>
      <c r="E2194" s="5" t="s">
        <v>18</v>
      </c>
      <c r="F2194" s="17">
        <v>12.85</v>
      </c>
      <c r="G2194" s="3">
        <v>3</v>
      </c>
      <c r="H2194" s="17">
        <f>Table1[[#This Row],[Unit price]]*Table1[[#This Row],[Quantity]]</f>
        <v>38.549999999999997</v>
      </c>
      <c r="I2194" s="29">
        <f>Table1[[#This Row],[Total Revenue]]/$H$5056*100</f>
        <v>4.0899910492322947E-3</v>
      </c>
      <c r="J2194" s="3" t="s">
        <v>12</v>
      </c>
      <c r="K2194" s="4">
        <v>7.6</v>
      </c>
      <c r="M2194"/>
    </row>
    <row r="2195" spans="1:13" x14ac:dyDescent="0.25">
      <c r="A2195" s="3" t="s">
        <v>124</v>
      </c>
      <c r="B2195" s="3" t="s">
        <v>245</v>
      </c>
      <c r="C2195" s="3" t="s">
        <v>9</v>
      </c>
      <c r="D2195" s="3" t="s">
        <v>10</v>
      </c>
      <c r="E2195" s="5" t="s">
        <v>11</v>
      </c>
      <c r="F2195" s="17">
        <v>4.78</v>
      </c>
      <c r="G2195" s="3">
        <v>2</v>
      </c>
      <c r="H2195" s="17">
        <f>Table1[[#This Row],[Unit price]]*Table1[[#This Row],[Quantity]]</f>
        <v>9.56</v>
      </c>
      <c r="I2195" s="29">
        <f>Table1[[#This Row],[Total Revenue]]/$H$5056*100</f>
        <v>1.0142753419107847E-3</v>
      </c>
      <c r="J2195" s="3" t="s">
        <v>17</v>
      </c>
      <c r="K2195" s="4">
        <v>8.4</v>
      </c>
      <c r="M2195"/>
    </row>
    <row r="2196" spans="1:13" x14ac:dyDescent="0.25">
      <c r="A2196" s="3" t="s">
        <v>124</v>
      </c>
      <c r="B2196" s="3" t="s">
        <v>243</v>
      </c>
      <c r="C2196" s="3" t="s">
        <v>13</v>
      </c>
      <c r="D2196" s="3" t="s">
        <v>10</v>
      </c>
      <c r="E2196" s="5" t="s">
        <v>20</v>
      </c>
      <c r="F2196" s="17">
        <v>53.81</v>
      </c>
      <c r="G2196" s="3">
        <v>4</v>
      </c>
      <c r="H2196" s="17">
        <f>Table1[[#This Row],[Unit price]]*Table1[[#This Row],[Quantity]]</f>
        <v>215.24</v>
      </c>
      <c r="I2196" s="29">
        <f>Table1[[#This Row],[Total Revenue]]/$H$5056*100</f>
        <v>2.2836048597581309E-2</v>
      </c>
      <c r="J2196" s="3" t="s">
        <v>17</v>
      </c>
      <c r="K2196" s="4">
        <v>6.5</v>
      </c>
      <c r="M2196"/>
    </row>
    <row r="2197" spans="1:13" x14ac:dyDescent="0.25">
      <c r="A2197" s="3" t="s">
        <v>124</v>
      </c>
      <c r="B2197" s="3" t="s">
        <v>245</v>
      </c>
      <c r="C2197" s="3" t="s">
        <v>13</v>
      </c>
      <c r="D2197" s="3" t="s">
        <v>19</v>
      </c>
      <c r="E2197" s="5" t="s">
        <v>11</v>
      </c>
      <c r="F2197" s="17">
        <v>7.27</v>
      </c>
      <c r="G2197" s="3">
        <v>3</v>
      </c>
      <c r="H2197" s="17">
        <f>Table1[[#This Row],[Unit price]]*Table1[[#This Row],[Quantity]]</f>
        <v>21.81</v>
      </c>
      <c r="I2197" s="29">
        <f>Table1[[#This Row],[Total Revenue]]/$H$5056*100</f>
        <v>2.3139482434178047E-3</v>
      </c>
      <c r="J2197" s="3" t="s">
        <v>15</v>
      </c>
      <c r="K2197" s="4">
        <v>8.1</v>
      </c>
      <c r="M2197"/>
    </row>
    <row r="2198" spans="1:13" x14ac:dyDescent="0.25">
      <c r="A2198" s="3" t="s">
        <v>124</v>
      </c>
      <c r="B2198" s="3" t="s">
        <v>244</v>
      </c>
      <c r="C2198" s="3" t="s">
        <v>13</v>
      </c>
      <c r="D2198" s="3" t="s">
        <v>19</v>
      </c>
      <c r="E2198" s="5" t="s">
        <v>20</v>
      </c>
      <c r="F2198" s="17">
        <v>55.14</v>
      </c>
      <c r="G2198" s="3">
        <v>1</v>
      </c>
      <c r="H2198" s="17">
        <f>Table1[[#This Row],[Unit price]]*Table1[[#This Row],[Quantity]]</f>
        <v>55.14</v>
      </c>
      <c r="I2198" s="29">
        <f>Table1[[#This Row],[Total Revenue]]/$H$5056*100</f>
        <v>5.8501194929875171E-3</v>
      </c>
      <c r="J2198" s="3" t="s">
        <v>15</v>
      </c>
      <c r="K2198" s="4">
        <v>6.6</v>
      </c>
      <c r="M2198"/>
    </row>
    <row r="2199" spans="1:13" x14ac:dyDescent="0.25">
      <c r="A2199" s="3" t="s">
        <v>124</v>
      </c>
      <c r="B2199" s="3" t="s">
        <v>245</v>
      </c>
      <c r="C2199" s="3" t="s">
        <v>9</v>
      </c>
      <c r="D2199" s="3" t="s">
        <v>10</v>
      </c>
      <c r="E2199" s="5" t="s">
        <v>20</v>
      </c>
      <c r="F2199" s="17">
        <v>65.14</v>
      </c>
      <c r="G2199" s="3">
        <v>1</v>
      </c>
      <c r="H2199" s="17">
        <f>Table1[[#This Row],[Unit price]]*Table1[[#This Row],[Quantity]]</f>
        <v>65.14</v>
      </c>
      <c r="I2199" s="29">
        <f>Table1[[#This Row],[Total Revenue]]/$H$5056*100</f>
        <v>6.9110769636054926E-3</v>
      </c>
      <c r="J2199" s="3" t="s">
        <v>12</v>
      </c>
      <c r="K2199" s="4">
        <v>9.8000000000000007</v>
      </c>
      <c r="M2199"/>
    </row>
    <row r="2200" spans="1:13" x14ac:dyDescent="0.25">
      <c r="A2200" s="3" t="s">
        <v>124</v>
      </c>
      <c r="B2200" s="3" t="s">
        <v>244</v>
      </c>
      <c r="C2200" s="3" t="s">
        <v>13</v>
      </c>
      <c r="D2200" s="3" t="s">
        <v>19</v>
      </c>
      <c r="E2200" s="5" t="s">
        <v>16</v>
      </c>
      <c r="F2200" s="17">
        <v>57.8</v>
      </c>
      <c r="G2200" s="3">
        <v>1</v>
      </c>
      <c r="H2200" s="17">
        <f>Table1[[#This Row],[Unit price]]*Table1[[#This Row],[Quantity]]</f>
        <v>57.8</v>
      </c>
      <c r="I2200" s="29">
        <f>Table1[[#This Row],[Total Revenue]]/$H$5056*100</f>
        <v>6.1323341801718979E-3</v>
      </c>
      <c r="J2200" s="3" t="s">
        <v>17</v>
      </c>
      <c r="K2200" s="4">
        <v>5.4</v>
      </c>
      <c r="M2200"/>
    </row>
    <row r="2201" spans="1:13" x14ac:dyDescent="0.25">
      <c r="A2201" s="3" t="s">
        <v>124</v>
      </c>
      <c r="B2201" s="3" t="s">
        <v>244</v>
      </c>
      <c r="C2201" s="3" t="s">
        <v>9</v>
      </c>
      <c r="D2201" s="3" t="s">
        <v>19</v>
      </c>
      <c r="E2201" s="5" t="s">
        <v>21</v>
      </c>
      <c r="F2201" s="17">
        <v>33.520000000000003</v>
      </c>
      <c r="G2201" s="3">
        <v>3</v>
      </c>
      <c r="H2201" s="17">
        <f>Table1[[#This Row],[Unit price]]*Table1[[#This Row],[Quantity]]</f>
        <v>100.56</v>
      </c>
      <c r="I2201" s="29">
        <f>Table1[[#This Row],[Total Revenue]]/$H$5056*100</f>
        <v>1.0668988324534362E-2</v>
      </c>
      <c r="J2201" s="3" t="s">
        <v>17</v>
      </c>
      <c r="K2201" s="4">
        <v>8</v>
      </c>
      <c r="M2201"/>
    </row>
    <row r="2202" spans="1:13" x14ac:dyDescent="0.25">
      <c r="A2202" s="3" t="s">
        <v>124</v>
      </c>
      <c r="B2202" s="3" t="s">
        <v>245</v>
      </c>
      <c r="C2202" s="3" t="s">
        <v>13</v>
      </c>
      <c r="D2202" s="3" t="s">
        <v>10</v>
      </c>
      <c r="E2202" s="5" t="s">
        <v>20</v>
      </c>
      <c r="F2202" s="17">
        <v>53.69</v>
      </c>
      <c r="G2202" s="3">
        <v>5</v>
      </c>
      <c r="H2202" s="17">
        <f>Table1[[#This Row],[Unit price]]*Table1[[#This Row],[Quantity]]</f>
        <v>268.45</v>
      </c>
      <c r="I2202" s="29">
        <f>Table1[[#This Row],[Total Revenue]]/$H$5056*100</f>
        <v>2.8481403298739553E-2</v>
      </c>
      <c r="J2202" s="3" t="s">
        <v>12</v>
      </c>
      <c r="K2202" s="4">
        <v>8.3000000000000007</v>
      </c>
      <c r="M2202"/>
    </row>
    <row r="2203" spans="1:13" x14ac:dyDescent="0.25">
      <c r="A2203" s="3" t="s">
        <v>124</v>
      </c>
      <c r="B2203" s="3" t="s">
        <v>245</v>
      </c>
      <c r="C2203" s="3" t="s">
        <v>13</v>
      </c>
      <c r="D2203" s="3" t="s">
        <v>10</v>
      </c>
      <c r="E2203" s="5" t="s">
        <v>21</v>
      </c>
      <c r="F2203" s="17">
        <v>36.65</v>
      </c>
      <c r="G2203" s="3">
        <v>1</v>
      </c>
      <c r="H2203" s="17">
        <f>Table1[[#This Row],[Unit price]]*Table1[[#This Row],[Quantity]]</f>
        <v>36.65</v>
      </c>
      <c r="I2203" s="29">
        <f>Table1[[#This Row],[Total Revenue]]/$H$5056*100</f>
        <v>3.88840912981488E-3</v>
      </c>
      <c r="J2203" s="3" t="s">
        <v>17</v>
      </c>
      <c r="K2203" s="4">
        <v>8.4</v>
      </c>
      <c r="M2203"/>
    </row>
    <row r="2204" spans="1:13" x14ac:dyDescent="0.25">
      <c r="A2204" s="3" t="s">
        <v>124</v>
      </c>
      <c r="B2204" s="3" t="s">
        <v>245</v>
      </c>
      <c r="C2204" s="3" t="s">
        <v>13</v>
      </c>
      <c r="D2204" s="3" t="s">
        <v>10</v>
      </c>
      <c r="E2204" s="5" t="s">
        <v>11</v>
      </c>
      <c r="F2204" s="17">
        <v>7.12</v>
      </c>
      <c r="G2204" s="3">
        <v>6</v>
      </c>
      <c r="H2204" s="17">
        <f>Table1[[#This Row],[Unit price]]*Table1[[#This Row],[Quantity]]</f>
        <v>42.72</v>
      </c>
      <c r="I2204" s="29">
        <f>Table1[[#This Row],[Total Revenue]]/$H$5056*100</f>
        <v>4.5324103144799913E-3</v>
      </c>
      <c r="J2204" s="3" t="s">
        <v>15</v>
      </c>
      <c r="K2204" s="4">
        <v>7.8</v>
      </c>
      <c r="M2204"/>
    </row>
    <row r="2205" spans="1:13" x14ac:dyDescent="0.25">
      <c r="A2205" s="3" t="s">
        <v>124</v>
      </c>
      <c r="B2205" s="3" t="s">
        <v>245</v>
      </c>
      <c r="C2205" s="3" t="s">
        <v>13</v>
      </c>
      <c r="D2205" s="3" t="s">
        <v>10</v>
      </c>
      <c r="E2205" s="5" t="s">
        <v>11</v>
      </c>
      <c r="F2205" s="17">
        <v>7.12</v>
      </c>
      <c r="G2205" s="3">
        <v>6</v>
      </c>
      <c r="H2205" s="17">
        <f>Table1[[#This Row],[Unit price]]*Table1[[#This Row],[Quantity]]</f>
        <v>42.72</v>
      </c>
      <c r="I2205" s="29">
        <f>Table1[[#This Row],[Total Revenue]]/$H$5056*100</f>
        <v>4.5324103144799913E-3</v>
      </c>
      <c r="J2205" s="3" t="s">
        <v>17</v>
      </c>
      <c r="K2205" s="4">
        <v>8.5</v>
      </c>
      <c r="M2205"/>
    </row>
    <row r="2206" spans="1:13" x14ac:dyDescent="0.25">
      <c r="A2206" s="3" t="s">
        <v>125</v>
      </c>
      <c r="B2206" s="3" t="s">
        <v>244</v>
      </c>
      <c r="C2206" s="3" t="s">
        <v>9</v>
      </c>
      <c r="D2206" s="3" t="s">
        <v>19</v>
      </c>
      <c r="E2206" s="5" t="s">
        <v>18</v>
      </c>
      <c r="F2206" s="17">
        <v>13.82</v>
      </c>
      <c r="G2206" s="3">
        <v>2</v>
      </c>
      <c r="H2206" s="17">
        <f>Table1[[#This Row],[Unit price]]*Table1[[#This Row],[Quantity]]</f>
        <v>27.64</v>
      </c>
      <c r="I2206" s="29">
        <f>Table1[[#This Row],[Total Revenue]]/$H$5056*100</f>
        <v>2.9324864487880842E-3</v>
      </c>
      <c r="J2206" s="3" t="s">
        <v>12</v>
      </c>
      <c r="K2206" s="4">
        <v>6.8</v>
      </c>
      <c r="M2206"/>
    </row>
    <row r="2207" spans="1:13" x14ac:dyDescent="0.25">
      <c r="A2207" s="3" t="s">
        <v>125</v>
      </c>
      <c r="B2207" s="3" t="s">
        <v>244</v>
      </c>
      <c r="C2207" s="3" t="s">
        <v>13</v>
      </c>
      <c r="D2207" s="3" t="s">
        <v>10</v>
      </c>
      <c r="E2207" s="5" t="s">
        <v>11</v>
      </c>
      <c r="F2207" s="17">
        <v>5.14</v>
      </c>
      <c r="G2207" s="3">
        <v>5</v>
      </c>
      <c r="H2207" s="17">
        <f>Table1[[#This Row],[Unit price]]*Table1[[#This Row],[Quantity]]</f>
        <v>25.7</v>
      </c>
      <c r="I2207" s="29">
        <f>Table1[[#This Row],[Total Revenue]]/$H$5056*100</f>
        <v>2.7266606994881971E-3</v>
      </c>
      <c r="J2207" s="3" t="s">
        <v>15</v>
      </c>
      <c r="K2207" s="4">
        <v>8.6999999999999993</v>
      </c>
      <c r="M2207"/>
    </row>
    <row r="2208" spans="1:13" x14ac:dyDescent="0.25">
      <c r="A2208" s="3" t="s">
        <v>125</v>
      </c>
      <c r="B2208" s="3" t="s">
        <v>243</v>
      </c>
      <c r="C2208" s="3" t="s">
        <v>13</v>
      </c>
      <c r="D2208" s="3" t="s">
        <v>19</v>
      </c>
      <c r="E2208" s="5" t="s">
        <v>11</v>
      </c>
      <c r="F2208" s="17">
        <v>2.73</v>
      </c>
      <c r="G2208" s="3">
        <v>1</v>
      </c>
      <c r="H2208" s="17">
        <f>Table1[[#This Row],[Unit price]]*Table1[[#This Row],[Quantity]]</f>
        <v>2.73</v>
      </c>
      <c r="I2208" s="29">
        <f>Table1[[#This Row],[Total Revenue]]/$H$5056*100</f>
        <v>2.8964138947870736E-4</v>
      </c>
      <c r="J2208" s="3" t="s">
        <v>17</v>
      </c>
      <c r="K2208" s="4">
        <v>5.9</v>
      </c>
      <c r="M2208"/>
    </row>
    <row r="2209" spans="1:13" x14ac:dyDescent="0.25">
      <c r="A2209" s="3" t="s">
        <v>125</v>
      </c>
      <c r="B2209" s="3" t="s">
        <v>244</v>
      </c>
      <c r="C2209" s="3" t="s">
        <v>13</v>
      </c>
      <c r="D2209" s="3" t="s">
        <v>10</v>
      </c>
      <c r="E2209" s="5" t="s">
        <v>21</v>
      </c>
      <c r="F2209" s="17">
        <v>33.54</v>
      </c>
      <c r="G2209" s="3">
        <v>4</v>
      </c>
      <c r="H2209" s="17">
        <f>Table1[[#This Row],[Unit price]]*Table1[[#This Row],[Quantity]]</f>
        <v>134.16</v>
      </c>
      <c r="I2209" s="29">
        <f>Table1[[#This Row],[Total Revenue]]/$H$5056*100</f>
        <v>1.423380542581076E-2</v>
      </c>
      <c r="J2209" s="3" t="s">
        <v>17</v>
      </c>
      <c r="K2209" s="4">
        <v>6</v>
      </c>
      <c r="M2209"/>
    </row>
    <row r="2210" spans="1:13" x14ac:dyDescent="0.25">
      <c r="A2210" s="3" t="s">
        <v>125</v>
      </c>
      <c r="B2210" s="3" t="s">
        <v>244</v>
      </c>
      <c r="C2210" s="3" t="s">
        <v>13</v>
      </c>
      <c r="D2210" s="3" t="s">
        <v>10</v>
      </c>
      <c r="E2210" s="5" t="s">
        <v>20</v>
      </c>
      <c r="F2210" s="17">
        <v>71.77</v>
      </c>
      <c r="G2210" s="3">
        <v>1</v>
      </c>
      <c r="H2210" s="17">
        <f>Table1[[#This Row],[Unit price]]*Table1[[#This Row],[Quantity]]</f>
        <v>71.77</v>
      </c>
      <c r="I2210" s="29">
        <f>Table1[[#This Row],[Total Revenue]]/$H$5056*100</f>
        <v>7.6144917666252105E-3</v>
      </c>
      <c r="J2210" s="3" t="s">
        <v>17</v>
      </c>
      <c r="K2210" s="4">
        <v>7.9</v>
      </c>
      <c r="M2210"/>
    </row>
    <row r="2211" spans="1:13" x14ac:dyDescent="0.25">
      <c r="A2211" s="3" t="s">
        <v>125</v>
      </c>
      <c r="B2211" s="3" t="s">
        <v>244</v>
      </c>
      <c r="C2211" s="3" t="s">
        <v>13</v>
      </c>
      <c r="D2211" s="3" t="s">
        <v>19</v>
      </c>
      <c r="E2211" s="5" t="s">
        <v>21</v>
      </c>
      <c r="F2211" s="17">
        <v>31.06</v>
      </c>
      <c r="G2211" s="3">
        <v>1</v>
      </c>
      <c r="H2211" s="17">
        <f>Table1[[#This Row],[Unit price]]*Table1[[#This Row],[Quantity]]</f>
        <v>31.06</v>
      </c>
      <c r="I2211" s="29">
        <f>Table1[[#This Row],[Total Revenue]]/$H$5056*100</f>
        <v>3.2953339037394319E-3</v>
      </c>
      <c r="J2211" s="3" t="s">
        <v>12</v>
      </c>
      <c r="K2211" s="4">
        <v>8.1999999999999993</v>
      </c>
      <c r="M2211"/>
    </row>
    <row r="2212" spans="1:13" x14ac:dyDescent="0.25">
      <c r="A2212" s="3" t="s">
        <v>125</v>
      </c>
      <c r="B2212" s="3" t="s">
        <v>243</v>
      </c>
      <c r="C2212" s="3" t="s">
        <v>9</v>
      </c>
      <c r="D2212" s="3" t="s">
        <v>10</v>
      </c>
      <c r="E2212" s="5" t="s">
        <v>11</v>
      </c>
      <c r="F2212" s="17">
        <v>6.37</v>
      </c>
      <c r="G2212" s="3">
        <v>1</v>
      </c>
      <c r="H2212" s="17">
        <f>Table1[[#This Row],[Unit price]]*Table1[[#This Row],[Quantity]]</f>
        <v>6.37</v>
      </c>
      <c r="I2212" s="29">
        <f>Table1[[#This Row],[Total Revenue]]/$H$5056*100</f>
        <v>6.7582990878365041E-4</v>
      </c>
      <c r="J2212" s="3" t="s">
        <v>15</v>
      </c>
      <c r="K2212" s="4">
        <v>9.8000000000000007</v>
      </c>
      <c r="M2212"/>
    </row>
    <row r="2213" spans="1:13" x14ac:dyDescent="0.25">
      <c r="A2213" s="3" t="s">
        <v>125</v>
      </c>
      <c r="B2213" s="3" t="s">
        <v>243</v>
      </c>
      <c r="C2213" s="3" t="s">
        <v>13</v>
      </c>
      <c r="D2213" s="3" t="s">
        <v>19</v>
      </c>
      <c r="E2213" s="5" t="s">
        <v>21</v>
      </c>
      <c r="F2213" s="17">
        <v>26.05</v>
      </c>
      <c r="G2213" s="3">
        <v>1</v>
      </c>
      <c r="H2213" s="17">
        <f>Table1[[#This Row],[Unit price]]*Table1[[#This Row],[Quantity]]</f>
        <v>26.05</v>
      </c>
      <c r="I2213" s="29">
        <f>Table1[[#This Row],[Total Revenue]]/$H$5056*100</f>
        <v>2.7637942109598264E-3</v>
      </c>
      <c r="J2213" s="3" t="s">
        <v>15</v>
      </c>
      <c r="K2213" s="4">
        <v>7.8</v>
      </c>
      <c r="M2213"/>
    </row>
    <row r="2214" spans="1:13" x14ac:dyDescent="0.25">
      <c r="A2214" s="3" t="s">
        <v>125</v>
      </c>
      <c r="B2214" s="3" t="s">
        <v>244</v>
      </c>
      <c r="C2214" s="3" t="s">
        <v>13</v>
      </c>
      <c r="D2214" s="3" t="s">
        <v>19</v>
      </c>
      <c r="E2214" s="5" t="s">
        <v>20</v>
      </c>
      <c r="F2214" s="17">
        <v>68.13</v>
      </c>
      <c r="G2214" s="3">
        <v>1</v>
      </c>
      <c r="H2214" s="17">
        <f>Table1[[#This Row],[Unit price]]*Table1[[#This Row],[Quantity]]</f>
        <v>68.13</v>
      </c>
      <c r="I2214" s="29">
        <f>Table1[[#This Row],[Total Revenue]]/$H$5056*100</f>
        <v>7.2283032473202677E-3</v>
      </c>
      <c r="J2214" s="3" t="s">
        <v>15</v>
      </c>
      <c r="K2214" s="4">
        <v>8.4</v>
      </c>
      <c r="M2214"/>
    </row>
    <row r="2215" spans="1:13" x14ac:dyDescent="0.25">
      <c r="A2215" s="3" t="s">
        <v>125</v>
      </c>
      <c r="B2215" s="3" t="s">
        <v>245</v>
      </c>
      <c r="C2215" s="3" t="s">
        <v>13</v>
      </c>
      <c r="D2215" s="3" t="s">
        <v>19</v>
      </c>
      <c r="E2215" s="5" t="s">
        <v>11</v>
      </c>
      <c r="F2215" s="17">
        <v>5.99</v>
      </c>
      <c r="G2215" s="3">
        <v>3</v>
      </c>
      <c r="H2215" s="17">
        <f>Table1[[#This Row],[Unit price]]*Table1[[#This Row],[Quantity]]</f>
        <v>17.97</v>
      </c>
      <c r="I2215" s="29">
        <f>Table1[[#This Row],[Total Revenue]]/$H$5056*100</f>
        <v>1.906540574700502E-3</v>
      </c>
      <c r="J2215" s="3" t="s">
        <v>15</v>
      </c>
      <c r="K2215" s="4">
        <v>7</v>
      </c>
      <c r="M2215"/>
    </row>
    <row r="2216" spans="1:13" x14ac:dyDescent="0.25">
      <c r="A2216" s="3" t="s">
        <v>126</v>
      </c>
      <c r="B2216" s="3" t="s">
        <v>245</v>
      </c>
      <c r="C2216" s="3" t="s">
        <v>13</v>
      </c>
      <c r="D2216" s="3" t="s">
        <v>19</v>
      </c>
      <c r="E2216" s="5" t="s">
        <v>21</v>
      </c>
      <c r="F2216" s="17">
        <v>39.299999999999997</v>
      </c>
      <c r="G2216" s="3">
        <v>3</v>
      </c>
      <c r="H2216" s="17">
        <f>Table1[[#This Row],[Unit price]]*Table1[[#This Row],[Quantity]]</f>
        <v>117.89999999999999</v>
      </c>
      <c r="I2216" s="29">
        <f>Table1[[#This Row],[Total Revenue]]/$H$5056*100</f>
        <v>1.250868857858593E-2</v>
      </c>
      <c r="J2216" s="3" t="s">
        <v>12</v>
      </c>
      <c r="K2216" s="4">
        <v>7.4</v>
      </c>
      <c r="M2216"/>
    </row>
    <row r="2217" spans="1:13" x14ac:dyDescent="0.25">
      <c r="A2217" s="3" t="s">
        <v>126</v>
      </c>
      <c r="B2217" s="3" t="s">
        <v>244</v>
      </c>
      <c r="C2217" s="3" t="s">
        <v>13</v>
      </c>
      <c r="D2217" s="3" t="s">
        <v>10</v>
      </c>
      <c r="E2217" s="5" t="s">
        <v>11</v>
      </c>
      <c r="F2217" s="17">
        <v>6.4</v>
      </c>
      <c r="G2217" s="3">
        <v>3</v>
      </c>
      <c r="H2217" s="17">
        <f>Table1[[#This Row],[Unit price]]*Table1[[#This Row],[Quantity]]</f>
        <v>19.200000000000003</v>
      </c>
      <c r="I2217" s="29">
        <f>Table1[[#This Row],[Total Revenue]]/$H$5056*100</f>
        <v>2.0370383435865135E-3</v>
      </c>
      <c r="J2217" s="3" t="s">
        <v>17</v>
      </c>
      <c r="K2217" s="4">
        <v>9.3000000000000007</v>
      </c>
      <c r="M2217"/>
    </row>
    <row r="2218" spans="1:13" x14ac:dyDescent="0.25">
      <c r="A2218" s="3" t="s">
        <v>126</v>
      </c>
      <c r="B2218" s="3" t="s">
        <v>244</v>
      </c>
      <c r="C2218" s="3" t="s">
        <v>13</v>
      </c>
      <c r="D2218" s="3" t="s">
        <v>10</v>
      </c>
      <c r="E2218" s="5" t="s">
        <v>11</v>
      </c>
      <c r="F2218" s="17">
        <v>5.09</v>
      </c>
      <c r="G2218" s="3">
        <v>4</v>
      </c>
      <c r="H2218" s="17">
        <f>Table1[[#This Row],[Unit price]]*Table1[[#This Row],[Quantity]]</f>
        <v>20.36</v>
      </c>
      <c r="I2218" s="29">
        <f>Table1[[#This Row],[Total Revenue]]/$H$5056*100</f>
        <v>2.1601094101781982E-3</v>
      </c>
      <c r="J2218" s="3" t="s">
        <v>12</v>
      </c>
      <c r="K2218" s="4">
        <v>6.8</v>
      </c>
      <c r="M2218"/>
    </row>
    <row r="2219" spans="1:13" x14ac:dyDescent="0.25">
      <c r="A2219" s="3" t="s">
        <v>126</v>
      </c>
      <c r="B2219" s="3" t="s">
        <v>243</v>
      </c>
      <c r="C2219" s="3" t="s">
        <v>13</v>
      </c>
      <c r="D2219" s="3" t="s">
        <v>19</v>
      </c>
      <c r="E2219" s="5" t="s">
        <v>20</v>
      </c>
      <c r="F2219" s="17">
        <v>53.94</v>
      </c>
      <c r="G2219" s="3">
        <v>1</v>
      </c>
      <c r="H2219" s="17">
        <f>Table1[[#This Row],[Unit price]]*Table1[[#This Row],[Quantity]]</f>
        <v>53.94</v>
      </c>
      <c r="I2219" s="29">
        <f>Table1[[#This Row],[Total Revenue]]/$H$5056*100</f>
        <v>5.7228045965133593E-3</v>
      </c>
      <c r="J2219" s="3" t="s">
        <v>17</v>
      </c>
      <c r="K2219" s="4">
        <v>7.7</v>
      </c>
      <c r="M2219"/>
    </row>
    <row r="2220" spans="1:13" x14ac:dyDescent="0.25">
      <c r="A2220" s="3" t="s">
        <v>126</v>
      </c>
      <c r="B2220" s="3" t="s">
        <v>245</v>
      </c>
      <c r="C2220" s="3" t="s">
        <v>9</v>
      </c>
      <c r="D2220" s="3" t="s">
        <v>19</v>
      </c>
      <c r="E2220" s="5" t="s">
        <v>18</v>
      </c>
      <c r="F2220" s="17">
        <v>10.91</v>
      </c>
      <c r="G2220" s="3">
        <v>2</v>
      </c>
      <c r="H2220" s="17">
        <f>Table1[[#This Row],[Unit price]]*Table1[[#This Row],[Quantity]]</f>
        <v>21.82</v>
      </c>
      <c r="I2220" s="29">
        <f>Table1[[#This Row],[Total Revenue]]/$H$5056*100</f>
        <v>2.3150092008884225E-3</v>
      </c>
      <c r="J2220" s="3" t="s">
        <v>17</v>
      </c>
      <c r="K2220" s="4">
        <v>8.1999999999999993</v>
      </c>
      <c r="M2220"/>
    </row>
    <row r="2221" spans="1:13" x14ac:dyDescent="0.25">
      <c r="A2221" s="3" t="s">
        <v>126</v>
      </c>
      <c r="B2221" s="3" t="s">
        <v>243</v>
      </c>
      <c r="C2221" s="3" t="s">
        <v>9</v>
      </c>
      <c r="D2221" s="3" t="s">
        <v>10</v>
      </c>
      <c r="E2221" s="5" t="s">
        <v>20</v>
      </c>
      <c r="F2221" s="17">
        <v>59.13</v>
      </c>
      <c r="G2221" s="3">
        <v>2</v>
      </c>
      <c r="H2221" s="17">
        <f>Table1[[#This Row],[Unit price]]*Table1[[#This Row],[Quantity]]</f>
        <v>118.26</v>
      </c>
      <c r="I2221" s="29">
        <f>Table1[[#This Row],[Total Revenue]]/$H$5056*100</f>
        <v>1.2546883047528181E-2</v>
      </c>
      <c r="J2221" s="3" t="s">
        <v>15</v>
      </c>
      <c r="K2221" s="4">
        <v>8.9</v>
      </c>
      <c r="M2221"/>
    </row>
    <row r="2222" spans="1:13" x14ac:dyDescent="0.25">
      <c r="A2222" s="3" t="s">
        <v>126</v>
      </c>
      <c r="B2222" s="3" t="s">
        <v>243</v>
      </c>
      <c r="C2222" s="3" t="s">
        <v>13</v>
      </c>
      <c r="D2222" s="3" t="s">
        <v>19</v>
      </c>
      <c r="E2222" s="5" t="s">
        <v>11</v>
      </c>
      <c r="F2222" s="17">
        <v>3.76</v>
      </c>
      <c r="G2222" s="3">
        <v>2</v>
      </c>
      <c r="H2222" s="17">
        <f>Table1[[#This Row],[Unit price]]*Table1[[#This Row],[Quantity]]</f>
        <v>7.52</v>
      </c>
      <c r="I2222" s="29">
        <f>Table1[[#This Row],[Total Revenue]]/$H$5056*100</f>
        <v>7.978400179047176E-4</v>
      </c>
      <c r="J2222" s="3" t="s">
        <v>17</v>
      </c>
      <c r="K2222" s="4">
        <v>6.1</v>
      </c>
      <c r="M2222"/>
    </row>
    <row r="2223" spans="1:13" x14ac:dyDescent="0.25">
      <c r="A2223" s="3" t="s">
        <v>126</v>
      </c>
      <c r="B2223" s="3" t="s">
        <v>243</v>
      </c>
      <c r="C2223" s="3" t="s">
        <v>9</v>
      </c>
      <c r="D2223" s="3" t="s">
        <v>19</v>
      </c>
      <c r="E2223" s="5" t="s">
        <v>11</v>
      </c>
      <c r="F2223" s="17">
        <v>7.4</v>
      </c>
      <c r="G2223" s="3">
        <v>7</v>
      </c>
      <c r="H2223" s="17">
        <f>Table1[[#This Row],[Unit price]]*Table1[[#This Row],[Quantity]]</f>
        <v>51.800000000000004</v>
      </c>
      <c r="I2223" s="29">
        <f>Table1[[#This Row],[Total Revenue]]/$H$5056*100</f>
        <v>5.4957596978011131E-3</v>
      </c>
      <c r="J2223" s="3" t="s">
        <v>15</v>
      </c>
      <c r="K2223" s="4">
        <v>6.3</v>
      </c>
      <c r="M2223"/>
    </row>
    <row r="2224" spans="1:13" x14ac:dyDescent="0.25">
      <c r="A2224" s="3" t="s">
        <v>126</v>
      </c>
      <c r="B2224" s="3" t="s">
        <v>244</v>
      </c>
      <c r="C2224" s="3" t="s">
        <v>13</v>
      </c>
      <c r="D2224" s="3" t="s">
        <v>19</v>
      </c>
      <c r="E2224" s="5" t="s">
        <v>11</v>
      </c>
      <c r="F2224" s="17">
        <v>6.38</v>
      </c>
      <c r="G2224" s="3">
        <v>4</v>
      </c>
      <c r="H2224" s="17">
        <f>Table1[[#This Row],[Unit price]]*Table1[[#This Row],[Quantity]]</f>
        <v>25.52</v>
      </c>
      <c r="I2224" s="29">
        <f>Table1[[#This Row],[Total Revenue]]/$H$5056*100</f>
        <v>2.7075634650170735E-3</v>
      </c>
      <c r="J2224" s="3" t="s">
        <v>17</v>
      </c>
      <c r="K2224" s="4">
        <v>7.6</v>
      </c>
      <c r="M2224"/>
    </row>
    <row r="2225" spans="1:13" x14ac:dyDescent="0.25">
      <c r="A2225" s="3" t="s">
        <v>126</v>
      </c>
      <c r="B2225" s="3" t="s">
        <v>245</v>
      </c>
      <c r="C2225" s="3" t="s">
        <v>9</v>
      </c>
      <c r="D2225" s="3" t="s">
        <v>10</v>
      </c>
      <c r="E2225" s="5" t="s">
        <v>11</v>
      </c>
      <c r="F2225" s="17">
        <v>6.4</v>
      </c>
      <c r="G2225" s="3">
        <v>2</v>
      </c>
      <c r="H2225" s="17">
        <f>Table1[[#This Row],[Unit price]]*Table1[[#This Row],[Quantity]]</f>
        <v>12.8</v>
      </c>
      <c r="I2225" s="29">
        <f>Table1[[#This Row],[Total Revenue]]/$H$5056*100</f>
        <v>1.3580255623910087E-3</v>
      </c>
      <c r="J2225" s="3" t="s">
        <v>17</v>
      </c>
      <c r="K2225" s="4">
        <v>6.2</v>
      </c>
      <c r="M2225"/>
    </row>
    <row r="2226" spans="1:13" x14ac:dyDescent="0.25">
      <c r="A2226" s="3" t="s">
        <v>126</v>
      </c>
      <c r="B2226" s="3" t="s">
        <v>244</v>
      </c>
      <c r="C2226" s="3" t="s">
        <v>13</v>
      </c>
      <c r="D2226" s="3" t="s">
        <v>19</v>
      </c>
      <c r="E2226" s="5" t="s">
        <v>11</v>
      </c>
      <c r="F2226" s="17">
        <v>7.26</v>
      </c>
      <c r="G2226" s="3">
        <v>1</v>
      </c>
      <c r="H2226" s="17">
        <f>Table1[[#This Row],[Unit price]]*Table1[[#This Row],[Quantity]]</f>
        <v>7.26</v>
      </c>
      <c r="I2226" s="29">
        <f>Table1[[#This Row],[Total Revenue]]/$H$5056*100</f>
        <v>7.7025512366865015E-4</v>
      </c>
      <c r="J2226" s="3" t="s">
        <v>15</v>
      </c>
      <c r="K2226" s="4">
        <v>9.1999999999999993</v>
      </c>
      <c r="M2226"/>
    </row>
    <row r="2227" spans="1:13" x14ac:dyDescent="0.25">
      <c r="A2227" s="3" t="s">
        <v>126</v>
      </c>
      <c r="B2227" s="3" t="s">
        <v>243</v>
      </c>
      <c r="C2227" s="3" t="s">
        <v>9</v>
      </c>
      <c r="D2227" s="3" t="s">
        <v>19</v>
      </c>
      <c r="E2227" s="5" t="s">
        <v>21</v>
      </c>
      <c r="F2227" s="17">
        <v>25.46</v>
      </c>
      <c r="G2227" s="3">
        <v>3</v>
      </c>
      <c r="H2227" s="17">
        <f>Table1[[#This Row],[Unit price]]*Table1[[#This Row],[Quantity]]</f>
        <v>76.38</v>
      </c>
      <c r="I2227" s="29">
        <f>Table1[[#This Row],[Total Revenue]]/$H$5056*100</f>
        <v>8.103593160580097E-3</v>
      </c>
      <c r="J2227" s="3" t="s">
        <v>12</v>
      </c>
      <c r="K2227" s="4">
        <v>9.1</v>
      </c>
      <c r="M2227"/>
    </row>
    <row r="2228" spans="1:13" x14ac:dyDescent="0.25">
      <c r="A2228" s="3" t="s">
        <v>126</v>
      </c>
      <c r="B2228" s="3" t="s">
        <v>245</v>
      </c>
      <c r="C2228" s="3" t="s">
        <v>13</v>
      </c>
      <c r="D2228" s="3" t="s">
        <v>19</v>
      </c>
      <c r="E2228" s="5" t="s">
        <v>21</v>
      </c>
      <c r="F2228" s="17">
        <v>28.91</v>
      </c>
      <c r="G2228" s="3">
        <v>4</v>
      </c>
      <c r="H2228" s="17">
        <f>Table1[[#This Row],[Unit price]]*Table1[[#This Row],[Quantity]]</f>
        <v>115.64</v>
      </c>
      <c r="I2228" s="29">
        <f>Table1[[#This Row],[Total Revenue]]/$H$5056*100</f>
        <v>1.2268912190226269E-2</v>
      </c>
      <c r="J2228" s="3" t="s">
        <v>15</v>
      </c>
      <c r="K2228" s="4">
        <v>6.2</v>
      </c>
      <c r="M2228"/>
    </row>
    <row r="2229" spans="1:13" x14ac:dyDescent="0.25">
      <c r="A2229" s="3" t="s">
        <v>126</v>
      </c>
      <c r="B2229" s="3" t="s">
        <v>245</v>
      </c>
      <c r="C2229" s="3" t="s">
        <v>13</v>
      </c>
      <c r="D2229" s="3" t="s">
        <v>10</v>
      </c>
      <c r="E2229" s="5" t="s">
        <v>16</v>
      </c>
      <c r="F2229" s="17">
        <v>62.69</v>
      </c>
      <c r="G2229" s="3">
        <v>2</v>
      </c>
      <c r="H2229" s="17">
        <f>Table1[[#This Row],[Unit price]]*Table1[[#This Row],[Quantity]]</f>
        <v>125.38</v>
      </c>
      <c r="I2229" s="29">
        <f>Table1[[#This Row],[Total Revenue]]/$H$5056*100</f>
        <v>1.3302284766608177E-2</v>
      </c>
      <c r="J2229" s="3" t="s">
        <v>17</v>
      </c>
      <c r="K2229" s="4">
        <v>5.3</v>
      </c>
      <c r="M2229"/>
    </row>
    <row r="2230" spans="1:13" x14ac:dyDescent="0.25">
      <c r="A2230" s="3" t="s">
        <v>126</v>
      </c>
      <c r="B2230" s="3" t="s">
        <v>244</v>
      </c>
      <c r="C2230" s="3" t="s">
        <v>13</v>
      </c>
      <c r="D2230" s="3" t="s">
        <v>19</v>
      </c>
      <c r="E2230" s="5" t="s">
        <v>16</v>
      </c>
      <c r="F2230" s="17">
        <v>68.459999999999994</v>
      </c>
      <c r="G2230" s="3">
        <v>2</v>
      </c>
      <c r="H2230" s="17">
        <f>Table1[[#This Row],[Unit price]]*Table1[[#This Row],[Quantity]]</f>
        <v>136.91999999999999</v>
      </c>
      <c r="I2230" s="29">
        <f>Table1[[#This Row],[Total Revenue]]/$H$5056*100</f>
        <v>1.4526629687701319E-2</v>
      </c>
      <c r="J2230" s="3" t="s">
        <v>15</v>
      </c>
      <c r="K2230" s="4">
        <v>8.8000000000000007</v>
      </c>
      <c r="M2230"/>
    </row>
    <row r="2231" spans="1:13" x14ac:dyDescent="0.25">
      <c r="A2231" s="3" t="s">
        <v>126</v>
      </c>
      <c r="B2231" s="3" t="s">
        <v>245</v>
      </c>
      <c r="C2231" s="3" t="s">
        <v>13</v>
      </c>
      <c r="D2231" s="3" t="s">
        <v>10</v>
      </c>
      <c r="E2231" s="5" t="s">
        <v>18</v>
      </c>
      <c r="F2231" s="17">
        <v>14.45</v>
      </c>
      <c r="G2231" s="3">
        <v>1</v>
      </c>
      <c r="H2231" s="17">
        <f>Table1[[#This Row],[Unit price]]*Table1[[#This Row],[Quantity]]</f>
        <v>14.45</v>
      </c>
      <c r="I2231" s="29">
        <f>Table1[[#This Row],[Total Revenue]]/$H$5056*100</f>
        <v>1.5330835450429745E-3</v>
      </c>
      <c r="J2231" s="3" t="s">
        <v>17</v>
      </c>
      <c r="K2231" s="4">
        <v>8.1999999999999993</v>
      </c>
      <c r="M2231"/>
    </row>
    <row r="2232" spans="1:13" x14ac:dyDescent="0.25">
      <c r="A2232" s="3" t="s">
        <v>127</v>
      </c>
      <c r="B2232" s="3" t="s">
        <v>244</v>
      </c>
      <c r="C2232" s="3" t="s">
        <v>13</v>
      </c>
      <c r="D2232" s="3" t="s">
        <v>10</v>
      </c>
      <c r="E2232" s="5" t="s">
        <v>11</v>
      </c>
      <c r="F2232" s="17">
        <v>6.47</v>
      </c>
      <c r="G2232" s="3">
        <v>3</v>
      </c>
      <c r="H2232" s="17">
        <f>Table1[[#This Row],[Unit price]]*Table1[[#This Row],[Quantity]]</f>
        <v>19.41</v>
      </c>
      <c r="I2232" s="29">
        <f>Table1[[#This Row],[Total Revenue]]/$H$5056*100</f>
        <v>2.0593184504694908E-3</v>
      </c>
      <c r="J2232" s="3" t="s">
        <v>15</v>
      </c>
      <c r="K2232" s="4">
        <v>6.7</v>
      </c>
      <c r="M2232"/>
    </row>
    <row r="2233" spans="1:13" x14ac:dyDescent="0.25">
      <c r="A2233" s="3" t="s">
        <v>127</v>
      </c>
      <c r="B2233" s="3" t="s">
        <v>244</v>
      </c>
      <c r="C2233" s="3" t="s">
        <v>13</v>
      </c>
      <c r="D2233" s="3" t="s">
        <v>19</v>
      </c>
      <c r="E2233" s="5" t="s">
        <v>11</v>
      </c>
      <c r="F2233" s="17">
        <v>3.71</v>
      </c>
      <c r="G2233" s="3">
        <v>3</v>
      </c>
      <c r="H2233" s="17">
        <f>Table1[[#This Row],[Unit price]]*Table1[[#This Row],[Quantity]]</f>
        <v>11.129999999999999</v>
      </c>
      <c r="I2233" s="29">
        <f>Table1[[#This Row],[Total Revenue]]/$H$5056*100</f>
        <v>1.1808456647978067E-3</v>
      </c>
      <c r="J2233" s="3" t="s">
        <v>17</v>
      </c>
      <c r="K2233" s="4">
        <v>8.3000000000000007</v>
      </c>
      <c r="M2233"/>
    </row>
    <row r="2234" spans="1:13" x14ac:dyDescent="0.25">
      <c r="A2234" s="3" t="s">
        <v>127</v>
      </c>
      <c r="B2234" s="3" t="s">
        <v>244</v>
      </c>
      <c r="C2234" s="3" t="s">
        <v>9</v>
      </c>
      <c r="D2234" s="3" t="s">
        <v>19</v>
      </c>
      <c r="E2234" s="5" t="s">
        <v>11</v>
      </c>
      <c r="F2234" s="17">
        <v>2.48</v>
      </c>
      <c r="G2234" s="3">
        <v>1</v>
      </c>
      <c r="H2234" s="17">
        <f>Table1[[#This Row],[Unit price]]*Table1[[#This Row],[Quantity]]</f>
        <v>2.48</v>
      </c>
      <c r="I2234" s="29">
        <f>Table1[[#This Row],[Total Revenue]]/$H$5056*100</f>
        <v>2.6311745271325794E-4</v>
      </c>
      <c r="J2234" s="3" t="s">
        <v>17</v>
      </c>
      <c r="K2234" s="4">
        <v>9.1999999999999993</v>
      </c>
      <c r="M2234"/>
    </row>
    <row r="2235" spans="1:13" x14ac:dyDescent="0.25">
      <c r="A2235" s="3" t="s">
        <v>127</v>
      </c>
      <c r="B2235" s="3" t="s">
        <v>244</v>
      </c>
      <c r="C2235" s="3" t="s">
        <v>9</v>
      </c>
      <c r="D2235" s="3" t="s">
        <v>10</v>
      </c>
      <c r="E2235" s="5" t="s">
        <v>21</v>
      </c>
      <c r="F2235" s="17">
        <v>31.2</v>
      </c>
      <c r="G2235" s="3">
        <v>1</v>
      </c>
      <c r="H2235" s="17">
        <f>Table1[[#This Row],[Unit price]]*Table1[[#This Row],[Quantity]]</f>
        <v>31.2</v>
      </c>
      <c r="I2235" s="29">
        <f>Table1[[#This Row],[Total Revenue]]/$H$5056*100</f>
        <v>3.3101873083280836E-3</v>
      </c>
      <c r="J2235" s="3" t="s">
        <v>12</v>
      </c>
      <c r="K2235" s="4">
        <v>6.6</v>
      </c>
      <c r="M2235"/>
    </row>
    <row r="2236" spans="1:13" x14ac:dyDescent="0.25">
      <c r="A2236" s="3" t="s">
        <v>127</v>
      </c>
      <c r="B2236" s="3" t="s">
        <v>244</v>
      </c>
      <c r="C2236" s="3" t="s">
        <v>13</v>
      </c>
      <c r="D2236" s="3" t="s">
        <v>10</v>
      </c>
      <c r="E2236" s="5" t="s">
        <v>16</v>
      </c>
      <c r="F2236" s="17">
        <v>49.85</v>
      </c>
      <c r="G2236" s="3">
        <v>1</v>
      </c>
      <c r="H2236" s="17">
        <f>Table1[[#This Row],[Unit price]]*Table1[[#This Row],[Quantity]]</f>
        <v>49.85</v>
      </c>
      <c r="I2236" s="29">
        <f>Table1[[#This Row],[Total Revenue]]/$H$5056*100</f>
        <v>5.2888729910306083E-3</v>
      </c>
      <c r="J2236" s="3" t="s">
        <v>15</v>
      </c>
      <c r="K2236" s="4">
        <v>7.6</v>
      </c>
      <c r="M2236"/>
    </row>
    <row r="2237" spans="1:13" x14ac:dyDescent="0.25">
      <c r="A2237" s="3" t="s">
        <v>127</v>
      </c>
      <c r="B2237" s="3" t="s">
        <v>243</v>
      </c>
      <c r="C2237" s="3" t="s">
        <v>13</v>
      </c>
      <c r="D2237" s="3" t="s">
        <v>10</v>
      </c>
      <c r="E2237" s="5" t="s">
        <v>11</v>
      </c>
      <c r="F2237" s="17">
        <v>7.62</v>
      </c>
      <c r="G2237" s="3">
        <v>3</v>
      </c>
      <c r="H2237" s="17">
        <f>Table1[[#This Row],[Unit price]]*Table1[[#This Row],[Quantity]]</f>
        <v>22.86</v>
      </c>
      <c r="I2237" s="29">
        <f>Table1[[#This Row],[Total Revenue]]/$H$5056*100</f>
        <v>2.4253487778326918E-3</v>
      </c>
      <c r="J2237" s="3" t="s">
        <v>15</v>
      </c>
      <c r="K2237" s="4">
        <v>6.7</v>
      </c>
      <c r="M2237"/>
    </row>
    <row r="2238" spans="1:13" x14ac:dyDescent="0.25">
      <c r="A2238" s="3" t="s">
        <v>127</v>
      </c>
      <c r="B2238" s="3" t="s">
        <v>245</v>
      </c>
      <c r="C2238" s="3" t="s">
        <v>13</v>
      </c>
      <c r="D2238" s="3" t="s">
        <v>10</v>
      </c>
      <c r="E2238" s="5" t="s">
        <v>16</v>
      </c>
      <c r="F2238" s="17">
        <v>67.760000000000005</v>
      </c>
      <c r="G2238" s="3">
        <v>1</v>
      </c>
      <c r="H2238" s="17">
        <f>Table1[[#This Row],[Unit price]]*Table1[[#This Row],[Quantity]]</f>
        <v>67.760000000000005</v>
      </c>
      <c r="I2238" s="29">
        <f>Table1[[#This Row],[Total Revenue]]/$H$5056*100</f>
        <v>7.1890478209074033E-3</v>
      </c>
      <c r="J2238" s="3" t="s">
        <v>17</v>
      </c>
      <c r="K2238" s="4">
        <v>7.3</v>
      </c>
      <c r="M2238"/>
    </row>
    <row r="2239" spans="1:13" x14ac:dyDescent="0.25">
      <c r="A2239" s="3" t="s">
        <v>127</v>
      </c>
      <c r="B2239" s="3" t="s">
        <v>244</v>
      </c>
      <c r="C2239" s="3" t="s">
        <v>13</v>
      </c>
      <c r="D2239" s="3" t="s">
        <v>19</v>
      </c>
      <c r="E2239" s="5" t="s">
        <v>11</v>
      </c>
      <c r="F2239" s="17">
        <v>3.97</v>
      </c>
      <c r="G2239" s="3">
        <v>4</v>
      </c>
      <c r="H2239" s="17">
        <f>Table1[[#This Row],[Unit price]]*Table1[[#This Row],[Quantity]]</f>
        <v>15.88</v>
      </c>
      <c r="I2239" s="29">
        <f>Table1[[#This Row],[Total Revenue]]/$H$5056*100</f>
        <v>1.6848004633413453E-3</v>
      </c>
      <c r="J2239" s="3" t="s">
        <v>12</v>
      </c>
      <c r="K2239" s="4">
        <v>7.3</v>
      </c>
      <c r="M2239"/>
    </row>
    <row r="2240" spans="1:13" x14ac:dyDescent="0.25">
      <c r="A2240" s="3" t="s">
        <v>127</v>
      </c>
      <c r="B2240" s="3" t="s">
        <v>243</v>
      </c>
      <c r="C2240" s="3" t="s">
        <v>13</v>
      </c>
      <c r="D2240" s="3" t="s">
        <v>10</v>
      </c>
      <c r="E2240" s="5" t="s">
        <v>11</v>
      </c>
      <c r="F2240" s="17">
        <v>3.17</v>
      </c>
      <c r="G2240" s="3">
        <v>3</v>
      </c>
      <c r="H2240" s="17">
        <f>Table1[[#This Row],[Unit price]]*Table1[[#This Row],[Quantity]]</f>
        <v>9.51</v>
      </c>
      <c r="I2240" s="29">
        <f>Table1[[#This Row],[Total Revenue]]/$H$5056*100</f>
        <v>1.0089705545576946E-3</v>
      </c>
      <c r="J2240" s="3" t="s">
        <v>17</v>
      </c>
      <c r="K2240" s="4">
        <v>7.2</v>
      </c>
      <c r="M2240"/>
    </row>
    <row r="2241" spans="1:13" x14ac:dyDescent="0.25">
      <c r="A2241" s="3" t="s">
        <v>127</v>
      </c>
      <c r="B2241" s="3" t="s">
        <v>245</v>
      </c>
      <c r="C2241" s="3" t="s">
        <v>13</v>
      </c>
      <c r="D2241" s="3" t="s">
        <v>19</v>
      </c>
      <c r="E2241" s="5" t="s">
        <v>18</v>
      </c>
      <c r="F2241" s="17">
        <v>11.26</v>
      </c>
      <c r="G2241" s="3">
        <v>3</v>
      </c>
      <c r="H2241" s="17">
        <f>Table1[[#This Row],[Unit price]]*Table1[[#This Row],[Quantity]]</f>
        <v>33.78</v>
      </c>
      <c r="I2241" s="29">
        <f>Table1[[#This Row],[Total Revenue]]/$H$5056*100</f>
        <v>3.5839143357475215E-3</v>
      </c>
      <c r="J2241" s="3" t="s">
        <v>15</v>
      </c>
      <c r="K2241" s="4">
        <v>4.4000000000000004</v>
      </c>
      <c r="M2241"/>
    </row>
    <row r="2242" spans="1:13" x14ac:dyDescent="0.25">
      <c r="A2242" s="3" t="s">
        <v>127</v>
      </c>
      <c r="B2242" s="3" t="s">
        <v>244</v>
      </c>
      <c r="C2242" s="3" t="s">
        <v>13</v>
      </c>
      <c r="D2242" s="3" t="s">
        <v>19</v>
      </c>
      <c r="E2242" s="5" t="s">
        <v>11</v>
      </c>
      <c r="F2242" s="17">
        <v>5.07</v>
      </c>
      <c r="G2242" s="3">
        <v>5</v>
      </c>
      <c r="H2242" s="17">
        <f>Table1[[#This Row],[Unit price]]*Table1[[#This Row],[Quantity]]</f>
        <v>25.35</v>
      </c>
      <c r="I2242" s="29">
        <f>Table1[[#This Row],[Total Revenue]]/$H$5056*100</f>
        <v>2.6895271880165682E-3</v>
      </c>
      <c r="J2242" s="3" t="s">
        <v>12</v>
      </c>
      <c r="K2242" s="4">
        <v>9.1</v>
      </c>
      <c r="M2242"/>
    </row>
    <row r="2243" spans="1:13" x14ac:dyDescent="0.25">
      <c r="A2243" s="3" t="s">
        <v>127</v>
      </c>
      <c r="B2243" s="3" t="s">
        <v>244</v>
      </c>
      <c r="C2243" s="3" t="s">
        <v>13</v>
      </c>
      <c r="D2243" s="3" t="s">
        <v>19</v>
      </c>
      <c r="E2243" s="5" t="s">
        <v>21</v>
      </c>
      <c r="F2243" s="17">
        <v>24.74</v>
      </c>
      <c r="G2243" s="3">
        <v>2</v>
      </c>
      <c r="H2243" s="17">
        <f>Table1[[#This Row],[Unit price]]*Table1[[#This Row],[Quantity]]</f>
        <v>49.48</v>
      </c>
      <c r="I2243" s="29">
        <f>Table1[[#This Row],[Total Revenue]]/$H$5056*100</f>
        <v>5.249617564617743E-3</v>
      </c>
      <c r="J2243" s="3" t="s">
        <v>15</v>
      </c>
      <c r="K2243" s="4">
        <v>8.3000000000000007</v>
      </c>
      <c r="M2243"/>
    </row>
    <row r="2244" spans="1:13" x14ac:dyDescent="0.25">
      <c r="A2244" s="3" t="s">
        <v>127</v>
      </c>
      <c r="B2244" s="3" t="s">
        <v>245</v>
      </c>
      <c r="C2244" s="3" t="s">
        <v>9</v>
      </c>
      <c r="D2244" s="3" t="s">
        <v>10</v>
      </c>
      <c r="E2244" s="5" t="s">
        <v>16</v>
      </c>
      <c r="F2244" s="17">
        <v>68.47</v>
      </c>
      <c r="G2244" s="3">
        <v>2</v>
      </c>
      <c r="H2244" s="17">
        <f>Table1[[#This Row],[Unit price]]*Table1[[#This Row],[Quantity]]</f>
        <v>136.94</v>
      </c>
      <c r="I2244" s="29">
        <f>Table1[[#This Row],[Total Revenue]]/$H$5056*100</f>
        <v>1.4528751602642557E-2</v>
      </c>
      <c r="J2244" s="3" t="s">
        <v>15</v>
      </c>
      <c r="K2244" s="4">
        <v>9.1999999999999993</v>
      </c>
      <c r="M2244"/>
    </row>
    <row r="2245" spans="1:13" x14ac:dyDescent="0.25">
      <c r="A2245" s="3" t="s">
        <v>127</v>
      </c>
      <c r="B2245" s="3" t="s">
        <v>244</v>
      </c>
      <c r="C2245" s="3" t="s">
        <v>9</v>
      </c>
      <c r="D2245" s="3" t="s">
        <v>19</v>
      </c>
      <c r="E2245" s="5" t="s">
        <v>20</v>
      </c>
      <c r="F2245" s="17">
        <v>66.2</v>
      </c>
      <c r="G2245" s="3">
        <v>4</v>
      </c>
      <c r="H2245" s="17">
        <f>Table1[[#This Row],[Unit price]]*Table1[[#This Row],[Quantity]]</f>
        <v>264.8</v>
      </c>
      <c r="I2245" s="29">
        <f>Table1[[#This Row],[Total Revenue]]/$H$5056*100</f>
        <v>2.809415382196399E-2</v>
      </c>
      <c r="J2245" s="3" t="s">
        <v>15</v>
      </c>
      <c r="K2245" s="4">
        <v>8.5</v>
      </c>
      <c r="M2245"/>
    </row>
    <row r="2246" spans="1:13" x14ac:dyDescent="0.25">
      <c r="A2246" s="3" t="s">
        <v>127</v>
      </c>
      <c r="B2246" s="3" t="s">
        <v>243</v>
      </c>
      <c r="C2246" s="3" t="s">
        <v>13</v>
      </c>
      <c r="D2246" s="3" t="s">
        <v>10</v>
      </c>
      <c r="E2246" s="5" t="s">
        <v>11</v>
      </c>
      <c r="F2246" s="17">
        <v>4.57</v>
      </c>
      <c r="G2246" s="3">
        <v>5</v>
      </c>
      <c r="H2246" s="17">
        <f>Table1[[#This Row],[Unit price]]*Table1[[#This Row],[Quantity]]</f>
        <v>22.85</v>
      </c>
      <c r="I2246" s="29">
        <f>Table1[[#This Row],[Total Revenue]]/$H$5056*100</f>
        <v>2.4242878203620741E-3</v>
      </c>
      <c r="J2246" s="3" t="s">
        <v>15</v>
      </c>
      <c r="K2246" s="4">
        <v>7.9</v>
      </c>
      <c r="M2246"/>
    </row>
    <row r="2247" spans="1:13" x14ac:dyDescent="0.25">
      <c r="A2247" s="3" t="s">
        <v>127</v>
      </c>
      <c r="B2247" s="3" t="s">
        <v>243</v>
      </c>
      <c r="C2247" s="3" t="s">
        <v>13</v>
      </c>
      <c r="D2247" s="3" t="s">
        <v>19</v>
      </c>
      <c r="E2247" s="5" t="s">
        <v>21</v>
      </c>
      <c r="F2247" s="17">
        <v>25.27</v>
      </c>
      <c r="G2247" s="3">
        <v>2</v>
      </c>
      <c r="H2247" s="17">
        <f>Table1[[#This Row],[Unit price]]*Table1[[#This Row],[Quantity]]</f>
        <v>50.54</v>
      </c>
      <c r="I2247" s="29">
        <f>Table1[[#This Row],[Total Revenue]]/$H$5056*100</f>
        <v>5.3620790565032488E-3</v>
      </c>
      <c r="J2247" s="3" t="s">
        <v>17</v>
      </c>
      <c r="K2247" s="4">
        <v>9.8000000000000007</v>
      </c>
      <c r="M2247"/>
    </row>
    <row r="2248" spans="1:13" x14ac:dyDescent="0.25">
      <c r="A2248" s="3" t="s">
        <v>127</v>
      </c>
      <c r="B2248" s="3" t="s">
        <v>244</v>
      </c>
      <c r="C2248" s="3" t="s">
        <v>13</v>
      </c>
      <c r="D2248" s="3" t="s">
        <v>10</v>
      </c>
      <c r="E2248" s="5" t="s">
        <v>11</v>
      </c>
      <c r="F2248" s="17">
        <v>7.47</v>
      </c>
      <c r="G2248" s="3">
        <v>1</v>
      </c>
      <c r="H2248" s="17">
        <f>Table1[[#This Row],[Unit price]]*Table1[[#This Row],[Quantity]]</f>
        <v>7.47</v>
      </c>
      <c r="I2248" s="29">
        <f>Table1[[#This Row],[Total Revenue]]/$H$5056*100</f>
        <v>7.9253523055162773E-4</v>
      </c>
      <c r="J2248" s="3" t="s">
        <v>15</v>
      </c>
      <c r="K2248" s="4">
        <v>6.6</v>
      </c>
      <c r="M2248"/>
    </row>
    <row r="2249" spans="1:13" x14ac:dyDescent="0.25">
      <c r="A2249" s="3" t="s">
        <v>128</v>
      </c>
      <c r="B2249" s="3" t="s">
        <v>244</v>
      </c>
      <c r="C2249" s="3" t="s">
        <v>13</v>
      </c>
      <c r="D2249" s="3" t="s">
        <v>19</v>
      </c>
      <c r="E2249" s="5" t="s">
        <v>21</v>
      </c>
      <c r="F2249" s="17">
        <v>36.47</v>
      </c>
      <c r="G2249" s="3">
        <v>1</v>
      </c>
      <c r="H2249" s="17">
        <f>Table1[[#This Row],[Unit price]]*Table1[[#This Row],[Quantity]]</f>
        <v>36.47</v>
      </c>
      <c r="I2249" s="29">
        <f>Table1[[#This Row],[Total Revenue]]/$H$5056*100</f>
        <v>3.8693118953437564E-3</v>
      </c>
      <c r="J2249" s="3" t="s">
        <v>12</v>
      </c>
      <c r="K2249" s="4">
        <v>8.1999999999999993</v>
      </c>
      <c r="M2249"/>
    </row>
    <row r="2250" spans="1:13" x14ac:dyDescent="0.25">
      <c r="A2250" s="3" t="s">
        <v>128</v>
      </c>
      <c r="B2250" s="3" t="s">
        <v>245</v>
      </c>
      <c r="C2250" s="3" t="s">
        <v>13</v>
      </c>
      <c r="D2250" s="3" t="s">
        <v>10</v>
      </c>
      <c r="E2250" s="5" t="s">
        <v>21</v>
      </c>
      <c r="F2250" s="17">
        <v>32.700000000000003</v>
      </c>
      <c r="G2250" s="3">
        <v>3</v>
      </c>
      <c r="H2250" s="17">
        <f>Table1[[#This Row],[Unit price]]*Table1[[#This Row],[Quantity]]</f>
        <v>98.100000000000009</v>
      </c>
      <c r="I2250" s="29">
        <f>Table1[[#This Row],[Total Revenue]]/$H$5056*100</f>
        <v>1.0407992786762341E-2</v>
      </c>
      <c r="J2250" s="3" t="s">
        <v>12</v>
      </c>
      <c r="K2250" s="4">
        <v>8.6</v>
      </c>
      <c r="M2250"/>
    </row>
    <row r="2251" spans="1:13" x14ac:dyDescent="0.25">
      <c r="A2251" s="3" t="s">
        <v>128</v>
      </c>
      <c r="B2251" s="3" t="s">
        <v>243</v>
      </c>
      <c r="C2251" s="3" t="s">
        <v>9</v>
      </c>
      <c r="D2251" s="3" t="s">
        <v>19</v>
      </c>
      <c r="E2251" s="5" t="s">
        <v>11</v>
      </c>
      <c r="F2251" s="17">
        <v>5.3</v>
      </c>
      <c r="G2251" s="3">
        <v>4</v>
      </c>
      <c r="H2251" s="17">
        <f>Table1[[#This Row],[Unit price]]*Table1[[#This Row],[Quantity]]</f>
        <v>21.2</v>
      </c>
      <c r="I2251" s="29">
        <f>Table1[[#This Row],[Total Revenue]]/$H$5056*100</f>
        <v>2.249229837710108E-3</v>
      </c>
      <c r="J2251" s="3" t="s">
        <v>12</v>
      </c>
      <c r="K2251" s="4">
        <v>6.9</v>
      </c>
      <c r="M2251"/>
    </row>
    <row r="2252" spans="1:13" x14ac:dyDescent="0.25">
      <c r="A2252" s="3" t="s">
        <v>128</v>
      </c>
      <c r="B2252" s="3" t="s">
        <v>245</v>
      </c>
      <c r="C2252" s="3" t="s">
        <v>13</v>
      </c>
      <c r="D2252" s="3" t="s">
        <v>19</v>
      </c>
      <c r="E2252" s="5" t="s">
        <v>21</v>
      </c>
      <c r="F2252" s="17">
        <v>22.77</v>
      </c>
      <c r="G2252" s="3">
        <v>3</v>
      </c>
      <c r="H2252" s="17">
        <f>Table1[[#This Row],[Unit price]]*Table1[[#This Row],[Quantity]]</f>
        <v>68.31</v>
      </c>
      <c r="I2252" s="29">
        <f>Table1[[#This Row],[Total Revenue]]/$H$5056*100</f>
        <v>7.2474004817913917E-3</v>
      </c>
      <c r="J2252" s="3" t="s">
        <v>15</v>
      </c>
      <c r="K2252" s="4">
        <v>6.2</v>
      </c>
      <c r="M2252"/>
    </row>
    <row r="2253" spans="1:13" x14ac:dyDescent="0.25">
      <c r="A2253" s="3" t="s">
        <v>128</v>
      </c>
      <c r="B2253" s="3" t="s">
        <v>243</v>
      </c>
      <c r="C2253" s="3" t="s">
        <v>13</v>
      </c>
      <c r="D2253" s="3" t="s">
        <v>19</v>
      </c>
      <c r="E2253" s="5" t="s">
        <v>20</v>
      </c>
      <c r="F2253" s="17">
        <v>68.83</v>
      </c>
      <c r="G2253" s="3">
        <v>4</v>
      </c>
      <c r="H2253" s="17">
        <f>Table1[[#This Row],[Unit price]]*Table1[[#This Row],[Quantity]]</f>
        <v>275.32</v>
      </c>
      <c r="I2253" s="29">
        <f>Table1[[#This Row],[Total Revenue]]/$H$5056*100</f>
        <v>2.9210281081054102E-2</v>
      </c>
      <c r="J2253" s="3" t="s">
        <v>12</v>
      </c>
      <c r="K2253" s="4">
        <v>8.3000000000000007</v>
      </c>
      <c r="M2253"/>
    </row>
    <row r="2254" spans="1:13" x14ac:dyDescent="0.25">
      <c r="A2254" s="3" t="s">
        <v>128</v>
      </c>
      <c r="B2254" s="3" t="s">
        <v>244</v>
      </c>
      <c r="C2254" s="3" t="s">
        <v>13</v>
      </c>
      <c r="D2254" s="3" t="s">
        <v>19</v>
      </c>
      <c r="E2254" s="5" t="s">
        <v>21</v>
      </c>
      <c r="F2254" s="17">
        <v>30.23</v>
      </c>
      <c r="G2254" s="3">
        <v>4</v>
      </c>
      <c r="H2254" s="17">
        <f>Table1[[#This Row],[Unit price]]*Table1[[#This Row],[Quantity]]</f>
        <v>120.92</v>
      </c>
      <c r="I2254" s="29">
        <f>Table1[[#This Row],[Total Revenue]]/$H$5056*100</f>
        <v>1.2829097734712559E-2</v>
      </c>
      <c r="J2254" s="3" t="s">
        <v>17</v>
      </c>
      <c r="K2254" s="4">
        <v>7.5</v>
      </c>
      <c r="M2254"/>
    </row>
    <row r="2255" spans="1:13" x14ac:dyDescent="0.25">
      <c r="A2255" s="3" t="s">
        <v>128</v>
      </c>
      <c r="B2255" s="3" t="s">
        <v>244</v>
      </c>
      <c r="C2255" s="3" t="s">
        <v>13</v>
      </c>
      <c r="D2255" s="3" t="s">
        <v>10</v>
      </c>
      <c r="E2255" s="5" t="s">
        <v>18</v>
      </c>
      <c r="F2255" s="17">
        <v>5.0599999999999996</v>
      </c>
      <c r="G2255" s="3">
        <v>2</v>
      </c>
      <c r="H2255" s="17">
        <f>Table1[[#This Row],[Unit price]]*Table1[[#This Row],[Quantity]]</f>
        <v>10.119999999999999</v>
      </c>
      <c r="I2255" s="29">
        <f>Table1[[#This Row],[Total Revenue]]/$H$5056*100</f>
        <v>1.0736889602653912E-3</v>
      </c>
      <c r="J2255" s="3" t="s">
        <v>15</v>
      </c>
      <c r="K2255" s="4">
        <v>7.4</v>
      </c>
      <c r="M2255"/>
    </row>
    <row r="2256" spans="1:13" x14ac:dyDescent="0.25">
      <c r="A2256" s="3" t="s">
        <v>128</v>
      </c>
      <c r="B2256" s="3" t="s">
        <v>244</v>
      </c>
      <c r="C2256" s="3" t="s">
        <v>9</v>
      </c>
      <c r="D2256" s="3" t="s">
        <v>10</v>
      </c>
      <c r="E2256" s="5" t="s">
        <v>21</v>
      </c>
      <c r="F2256" s="17">
        <v>30.28</v>
      </c>
      <c r="G2256" s="3">
        <v>1</v>
      </c>
      <c r="H2256" s="17">
        <f>Table1[[#This Row],[Unit price]]*Table1[[#This Row],[Quantity]]</f>
        <v>30.28</v>
      </c>
      <c r="I2256" s="29">
        <f>Table1[[#This Row],[Total Revenue]]/$H$5056*100</f>
        <v>3.2125792210312299E-3</v>
      </c>
      <c r="J2256" s="3" t="s">
        <v>15</v>
      </c>
      <c r="K2256" s="4">
        <v>8.1</v>
      </c>
      <c r="M2256"/>
    </row>
    <row r="2257" spans="1:13" x14ac:dyDescent="0.25">
      <c r="A2257" s="3" t="s">
        <v>128</v>
      </c>
      <c r="B2257" s="3" t="s">
        <v>244</v>
      </c>
      <c r="C2257" s="3" t="s">
        <v>13</v>
      </c>
      <c r="D2257" s="3" t="s">
        <v>10</v>
      </c>
      <c r="E2257" s="5" t="s">
        <v>16</v>
      </c>
      <c r="F2257" s="17">
        <v>74.92</v>
      </c>
      <c r="G2257" s="3">
        <v>2</v>
      </c>
      <c r="H2257" s="17">
        <f>Table1[[#This Row],[Unit price]]*Table1[[#This Row],[Quantity]]</f>
        <v>149.84</v>
      </c>
      <c r="I2257" s="29">
        <f>Table1[[#This Row],[Total Revenue]]/$H$5056*100</f>
        <v>1.5897386739739745E-2</v>
      </c>
      <c r="J2257" s="3" t="s">
        <v>15</v>
      </c>
      <c r="K2257" s="4">
        <v>6.6</v>
      </c>
      <c r="M2257"/>
    </row>
    <row r="2258" spans="1:13" x14ac:dyDescent="0.25">
      <c r="A2258" s="3" t="s">
        <v>128</v>
      </c>
      <c r="B2258" s="3" t="s">
        <v>243</v>
      </c>
      <c r="C2258" s="3" t="s">
        <v>13</v>
      </c>
      <c r="D2258" s="3" t="s">
        <v>10</v>
      </c>
      <c r="E2258" s="5" t="s">
        <v>21</v>
      </c>
      <c r="F2258" s="17">
        <v>30.51</v>
      </c>
      <c r="G2258" s="3">
        <v>4</v>
      </c>
      <c r="H2258" s="17">
        <f>Table1[[#This Row],[Unit price]]*Table1[[#This Row],[Quantity]]</f>
        <v>122.04</v>
      </c>
      <c r="I2258" s="29">
        <f>Table1[[#This Row],[Total Revenue]]/$H$5056*100</f>
        <v>1.2947924971421776E-2</v>
      </c>
      <c r="J2258" s="3" t="s">
        <v>15</v>
      </c>
      <c r="K2258" s="4">
        <v>7.9</v>
      </c>
      <c r="M2258"/>
    </row>
    <row r="2259" spans="1:13" x14ac:dyDescent="0.25">
      <c r="A2259" s="3" t="s">
        <v>128</v>
      </c>
      <c r="B2259" s="3" t="s">
        <v>245</v>
      </c>
      <c r="C2259" s="3" t="s">
        <v>9</v>
      </c>
      <c r="D2259" s="3" t="s">
        <v>10</v>
      </c>
      <c r="E2259" s="5" t="s">
        <v>11</v>
      </c>
      <c r="F2259" s="17">
        <v>6.35</v>
      </c>
      <c r="G2259" s="3">
        <v>1</v>
      </c>
      <c r="H2259" s="17">
        <f>Table1[[#This Row],[Unit price]]*Table1[[#This Row],[Quantity]]</f>
        <v>6.35</v>
      </c>
      <c r="I2259" s="29">
        <f>Table1[[#This Row],[Total Revenue]]/$H$5056*100</f>
        <v>6.7370799384241446E-4</v>
      </c>
      <c r="J2259" s="3" t="s">
        <v>12</v>
      </c>
      <c r="K2259" s="4">
        <v>7.4</v>
      </c>
      <c r="M2259"/>
    </row>
    <row r="2260" spans="1:13" x14ac:dyDescent="0.25">
      <c r="A2260" s="3" t="s">
        <v>128</v>
      </c>
      <c r="B2260" s="3" t="s">
        <v>245</v>
      </c>
      <c r="C2260" s="3" t="s">
        <v>13</v>
      </c>
      <c r="D2260" s="3" t="s">
        <v>19</v>
      </c>
      <c r="E2260" s="5" t="s">
        <v>11</v>
      </c>
      <c r="F2260" s="17">
        <v>5.82</v>
      </c>
      <c r="G2260" s="3">
        <v>2</v>
      </c>
      <c r="H2260" s="17">
        <f>Table1[[#This Row],[Unit price]]*Table1[[#This Row],[Quantity]]</f>
        <v>11.64</v>
      </c>
      <c r="I2260" s="29">
        <f>Table1[[#This Row],[Total Revenue]]/$H$5056*100</f>
        <v>1.2349544957993236E-3</v>
      </c>
      <c r="J2260" s="3" t="s">
        <v>12</v>
      </c>
      <c r="K2260" s="4">
        <v>7.6</v>
      </c>
      <c r="M2260"/>
    </row>
    <row r="2261" spans="1:13" x14ac:dyDescent="0.25">
      <c r="A2261" s="3" t="s">
        <v>128</v>
      </c>
      <c r="B2261" s="3" t="s">
        <v>244</v>
      </c>
      <c r="C2261" s="3" t="s">
        <v>13</v>
      </c>
      <c r="D2261" s="3" t="s">
        <v>19</v>
      </c>
      <c r="E2261" s="5" t="s">
        <v>16</v>
      </c>
      <c r="F2261" s="17">
        <v>45.6</v>
      </c>
      <c r="G2261" s="3">
        <v>3</v>
      </c>
      <c r="H2261" s="17">
        <f>Table1[[#This Row],[Unit price]]*Table1[[#This Row],[Quantity]]</f>
        <v>136.80000000000001</v>
      </c>
      <c r="I2261" s="29">
        <f>Table1[[#This Row],[Total Revenue]]/$H$5056*100</f>
        <v>1.4513898198053907E-2</v>
      </c>
      <c r="J2261" s="3" t="s">
        <v>12</v>
      </c>
      <c r="K2261" s="4">
        <v>6.7</v>
      </c>
      <c r="M2261"/>
    </row>
    <row r="2262" spans="1:13" x14ac:dyDescent="0.25">
      <c r="A2262" s="3" t="s">
        <v>128</v>
      </c>
      <c r="B2262" s="3" t="s">
        <v>244</v>
      </c>
      <c r="C2262" s="3" t="s">
        <v>9</v>
      </c>
      <c r="D2262" s="3" t="s">
        <v>19</v>
      </c>
      <c r="E2262" s="5" t="s">
        <v>18</v>
      </c>
      <c r="F2262" s="17">
        <v>14.67</v>
      </c>
      <c r="G2262" s="3">
        <v>2</v>
      </c>
      <c r="H2262" s="17">
        <f>Table1[[#This Row],[Unit price]]*Table1[[#This Row],[Quantity]]</f>
        <v>29.34</v>
      </c>
      <c r="I2262" s="29">
        <f>Table1[[#This Row],[Total Revenue]]/$H$5056*100</f>
        <v>3.1128492187931399E-3</v>
      </c>
      <c r="J2262" s="3" t="s">
        <v>17</v>
      </c>
      <c r="K2262" s="4">
        <v>7.2</v>
      </c>
      <c r="M2262"/>
    </row>
    <row r="2263" spans="1:13" x14ac:dyDescent="0.25">
      <c r="A2263" s="3" t="s">
        <v>128</v>
      </c>
      <c r="B2263" s="3" t="s">
        <v>243</v>
      </c>
      <c r="C2263" s="3" t="s">
        <v>13</v>
      </c>
      <c r="D2263" s="3" t="s">
        <v>19</v>
      </c>
      <c r="E2263" s="5" t="s">
        <v>18</v>
      </c>
      <c r="F2263" s="17">
        <v>13.46</v>
      </c>
      <c r="G2263" s="3">
        <v>1</v>
      </c>
      <c r="H2263" s="17">
        <f>Table1[[#This Row],[Unit price]]*Table1[[#This Row],[Quantity]]</f>
        <v>13.46</v>
      </c>
      <c r="I2263" s="29">
        <f>Table1[[#This Row],[Total Revenue]]/$H$5056*100</f>
        <v>1.4280487554517952E-3</v>
      </c>
      <c r="J2263" s="3" t="s">
        <v>12</v>
      </c>
      <c r="K2263" s="4">
        <v>9.1999999999999993</v>
      </c>
      <c r="M2263"/>
    </row>
    <row r="2264" spans="1:13" x14ac:dyDescent="0.25">
      <c r="A2264" s="3" t="s">
        <v>129</v>
      </c>
      <c r="B2264" s="3" t="s">
        <v>243</v>
      </c>
      <c r="C2264" s="3" t="s">
        <v>9</v>
      </c>
      <c r="D2264" s="3" t="s">
        <v>10</v>
      </c>
      <c r="E2264" s="5" t="s">
        <v>11</v>
      </c>
      <c r="F2264" s="17">
        <v>6.25</v>
      </c>
      <c r="G2264" s="3">
        <v>2</v>
      </c>
      <c r="H2264" s="17">
        <f>Table1[[#This Row],[Unit price]]*Table1[[#This Row],[Quantity]]</f>
        <v>12.5</v>
      </c>
      <c r="I2264" s="29">
        <f>Table1[[#This Row],[Total Revenue]]/$H$5056*100</f>
        <v>1.3261968382724694E-3</v>
      </c>
      <c r="J2264" s="3" t="s">
        <v>12</v>
      </c>
      <c r="K2264" s="4">
        <v>9.8000000000000007</v>
      </c>
      <c r="M2264"/>
    </row>
    <row r="2265" spans="1:13" x14ac:dyDescent="0.25">
      <c r="A2265" s="3" t="s">
        <v>129</v>
      </c>
      <c r="B2265" s="3" t="s">
        <v>244</v>
      </c>
      <c r="C2265" s="3" t="s">
        <v>9</v>
      </c>
      <c r="D2265" s="3" t="s">
        <v>10</v>
      </c>
      <c r="E2265" s="5" t="s">
        <v>11</v>
      </c>
      <c r="F2265" s="17">
        <v>5.0999999999999996</v>
      </c>
      <c r="G2265" s="3">
        <v>1</v>
      </c>
      <c r="H2265" s="17">
        <f>Table1[[#This Row],[Unit price]]*Table1[[#This Row],[Quantity]]</f>
        <v>5.0999999999999996</v>
      </c>
      <c r="I2265" s="29">
        <f>Table1[[#This Row],[Total Revenue]]/$H$5056*100</f>
        <v>5.4108831001516752E-4</v>
      </c>
      <c r="J2265" s="3" t="s">
        <v>17</v>
      </c>
      <c r="K2265" s="4">
        <v>8.9</v>
      </c>
      <c r="M2265"/>
    </row>
    <row r="2266" spans="1:13" x14ac:dyDescent="0.25">
      <c r="A2266" s="3" t="s">
        <v>129</v>
      </c>
      <c r="B2266" s="3" t="s">
        <v>244</v>
      </c>
      <c r="C2266" s="3" t="s">
        <v>13</v>
      </c>
      <c r="D2266" s="3" t="s">
        <v>10</v>
      </c>
      <c r="E2266" s="5" t="s">
        <v>11</v>
      </c>
      <c r="F2266" s="17">
        <v>7.09</v>
      </c>
      <c r="G2266" s="3">
        <v>4</v>
      </c>
      <c r="H2266" s="17">
        <f>Table1[[#This Row],[Unit price]]*Table1[[#This Row],[Quantity]]</f>
        <v>28.36</v>
      </c>
      <c r="I2266" s="29">
        <f>Table1[[#This Row],[Total Revenue]]/$H$5056*100</f>
        <v>3.0088753866725788E-3</v>
      </c>
      <c r="J2266" s="3" t="s">
        <v>12</v>
      </c>
      <c r="K2266" s="4">
        <v>5.9</v>
      </c>
      <c r="M2266"/>
    </row>
    <row r="2267" spans="1:13" x14ac:dyDescent="0.25">
      <c r="A2267" s="3" t="s">
        <v>129</v>
      </c>
      <c r="B2267" s="3" t="s">
        <v>244</v>
      </c>
      <c r="C2267" s="3" t="s">
        <v>13</v>
      </c>
      <c r="D2267" s="3" t="s">
        <v>10</v>
      </c>
      <c r="E2267" s="5" t="s">
        <v>20</v>
      </c>
      <c r="F2267" s="17">
        <v>52.1</v>
      </c>
      <c r="G2267" s="3">
        <v>4</v>
      </c>
      <c r="H2267" s="17">
        <f>Table1[[#This Row],[Unit price]]*Table1[[#This Row],[Quantity]]</f>
        <v>208.4</v>
      </c>
      <c r="I2267" s="29">
        <f>Table1[[#This Row],[Total Revenue]]/$H$5056*100</f>
        <v>2.2110353687678611E-2</v>
      </c>
      <c r="J2267" s="3" t="s">
        <v>17</v>
      </c>
      <c r="K2267" s="4">
        <v>8</v>
      </c>
      <c r="M2267"/>
    </row>
    <row r="2268" spans="1:13" x14ac:dyDescent="0.25">
      <c r="A2268" s="3" t="s">
        <v>129</v>
      </c>
      <c r="B2268" s="3" t="s">
        <v>243</v>
      </c>
      <c r="C2268" s="3" t="s">
        <v>13</v>
      </c>
      <c r="D2268" s="3" t="s">
        <v>10</v>
      </c>
      <c r="E2268" s="5" t="s">
        <v>11</v>
      </c>
      <c r="F2268" s="17">
        <v>6.71</v>
      </c>
      <c r="G2268" s="3">
        <v>3</v>
      </c>
      <c r="H2268" s="17">
        <f>Table1[[#This Row],[Unit price]]*Table1[[#This Row],[Quantity]]</f>
        <v>20.13</v>
      </c>
      <c r="I2268" s="29">
        <f>Table1[[#This Row],[Total Revenue]]/$H$5056*100</f>
        <v>2.1357073883539845E-3</v>
      </c>
      <c r="J2268" s="3" t="s">
        <v>17</v>
      </c>
      <c r="K2268" s="4">
        <v>8.1</v>
      </c>
      <c r="M2268"/>
    </row>
    <row r="2269" spans="1:13" x14ac:dyDescent="0.25">
      <c r="A2269" s="3" t="s">
        <v>129</v>
      </c>
      <c r="B2269" s="3" t="s">
        <v>243</v>
      </c>
      <c r="C2269" s="3" t="s">
        <v>13</v>
      </c>
      <c r="D2269" s="3" t="s">
        <v>19</v>
      </c>
      <c r="E2269" s="5" t="s">
        <v>11</v>
      </c>
      <c r="F2269" s="17">
        <v>6.82</v>
      </c>
      <c r="G2269" s="3">
        <v>2</v>
      </c>
      <c r="H2269" s="17">
        <f>Table1[[#This Row],[Unit price]]*Table1[[#This Row],[Quantity]]</f>
        <v>13.64</v>
      </c>
      <c r="I2269" s="29">
        <f>Table1[[#This Row],[Total Revenue]]/$H$5056*100</f>
        <v>1.4471459899229188E-3</v>
      </c>
      <c r="J2269" s="3" t="s">
        <v>17</v>
      </c>
      <c r="K2269" s="4">
        <v>8.1999999999999993</v>
      </c>
      <c r="M2269"/>
    </row>
    <row r="2270" spans="1:13" x14ac:dyDescent="0.25">
      <c r="A2270" s="3" t="s">
        <v>129</v>
      </c>
      <c r="B2270" s="3" t="s">
        <v>244</v>
      </c>
      <c r="C2270" s="3" t="s">
        <v>9</v>
      </c>
      <c r="D2270" s="3" t="s">
        <v>19</v>
      </c>
      <c r="E2270" s="5" t="s">
        <v>21</v>
      </c>
      <c r="F2270" s="17">
        <v>36.6</v>
      </c>
      <c r="G2270" s="3">
        <v>3</v>
      </c>
      <c r="H2270" s="17">
        <f>Table1[[#This Row],[Unit price]]*Table1[[#This Row],[Quantity]]</f>
        <v>109.80000000000001</v>
      </c>
      <c r="I2270" s="29">
        <f>Table1[[#This Row],[Total Revenue]]/$H$5056*100</f>
        <v>1.1649313027385373E-2</v>
      </c>
      <c r="J2270" s="3" t="s">
        <v>17</v>
      </c>
      <c r="K2270" s="4">
        <v>8</v>
      </c>
      <c r="M2270"/>
    </row>
    <row r="2271" spans="1:13" x14ac:dyDescent="0.25">
      <c r="A2271" s="3" t="s">
        <v>129</v>
      </c>
      <c r="B2271" s="3" t="s">
        <v>243</v>
      </c>
      <c r="C2271" s="3" t="s">
        <v>9</v>
      </c>
      <c r="D2271" s="3" t="s">
        <v>10</v>
      </c>
      <c r="E2271" s="5" t="s">
        <v>21</v>
      </c>
      <c r="F2271" s="17">
        <v>31.8</v>
      </c>
      <c r="G2271" s="3">
        <v>2</v>
      </c>
      <c r="H2271" s="17">
        <f>Table1[[#This Row],[Unit price]]*Table1[[#This Row],[Quantity]]</f>
        <v>63.6</v>
      </c>
      <c r="I2271" s="29">
        <f>Table1[[#This Row],[Total Revenue]]/$H$5056*100</f>
        <v>6.7476895131303241E-3</v>
      </c>
      <c r="J2271" s="3" t="s">
        <v>17</v>
      </c>
      <c r="K2271" s="4">
        <v>7.6</v>
      </c>
      <c r="M2271"/>
    </row>
    <row r="2272" spans="1:13" x14ac:dyDescent="0.25">
      <c r="A2272" s="3" t="s">
        <v>129</v>
      </c>
      <c r="B2272" s="3" t="s">
        <v>245</v>
      </c>
      <c r="C2272" s="3" t="s">
        <v>13</v>
      </c>
      <c r="D2272" s="3" t="s">
        <v>10</v>
      </c>
      <c r="E2272" s="5" t="s">
        <v>20</v>
      </c>
      <c r="F2272" s="17">
        <v>68.67</v>
      </c>
      <c r="G2272" s="3">
        <v>2</v>
      </c>
      <c r="H2272" s="17">
        <f>Table1[[#This Row],[Unit price]]*Table1[[#This Row],[Quantity]]</f>
        <v>137.34</v>
      </c>
      <c r="I2272" s="29">
        <f>Table1[[#This Row],[Total Revenue]]/$H$5056*100</f>
        <v>1.4571189901467276E-2</v>
      </c>
      <c r="J2272" s="3" t="s">
        <v>17</v>
      </c>
      <c r="K2272" s="4">
        <v>8</v>
      </c>
      <c r="M2272"/>
    </row>
    <row r="2273" spans="1:13" x14ac:dyDescent="0.25">
      <c r="A2273" s="3" t="s">
        <v>129</v>
      </c>
      <c r="B2273" s="3" t="s">
        <v>245</v>
      </c>
      <c r="C2273" s="3" t="s">
        <v>13</v>
      </c>
      <c r="D2273" s="3" t="s">
        <v>19</v>
      </c>
      <c r="E2273" s="5" t="s">
        <v>18</v>
      </c>
      <c r="F2273" s="17">
        <v>17.54</v>
      </c>
      <c r="G2273" s="3">
        <v>1</v>
      </c>
      <c r="H2273" s="17">
        <f>Table1[[#This Row],[Unit price]]*Table1[[#This Row],[Quantity]]</f>
        <v>17.54</v>
      </c>
      <c r="I2273" s="29">
        <f>Table1[[#This Row],[Total Revenue]]/$H$5056*100</f>
        <v>1.8609194034639289E-3</v>
      </c>
      <c r="J2273" s="3" t="s">
        <v>17</v>
      </c>
      <c r="K2273" s="4">
        <v>6.8</v>
      </c>
      <c r="M2273"/>
    </row>
    <row r="2274" spans="1:13" x14ac:dyDescent="0.25">
      <c r="A2274" s="3" t="s">
        <v>129</v>
      </c>
      <c r="B2274" s="3" t="s">
        <v>244</v>
      </c>
      <c r="C2274" s="3" t="s">
        <v>13</v>
      </c>
      <c r="D2274" s="3" t="s">
        <v>10</v>
      </c>
      <c r="E2274" s="5" t="s">
        <v>18</v>
      </c>
      <c r="F2274" s="17">
        <v>17.63</v>
      </c>
      <c r="G2274" s="3">
        <v>2</v>
      </c>
      <c r="H2274" s="17">
        <f>Table1[[#This Row],[Unit price]]*Table1[[#This Row],[Quantity]]</f>
        <v>35.26</v>
      </c>
      <c r="I2274" s="29">
        <f>Table1[[#This Row],[Total Revenue]]/$H$5056*100</f>
        <v>3.7409360413989817E-3</v>
      </c>
      <c r="J2274" s="3" t="s">
        <v>17</v>
      </c>
      <c r="K2274" s="4">
        <v>5.5</v>
      </c>
      <c r="M2274"/>
    </row>
    <row r="2275" spans="1:13" x14ac:dyDescent="0.25">
      <c r="A2275" s="3" t="s">
        <v>129</v>
      </c>
      <c r="B2275" s="3" t="s">
        <v>243</v>
      </c>
      <c r="C2275" s="3" t="s">
        <v>13</v>
      </c>
      <c r="D2275" s="3" t="s">
        <v>19</v>
      </c>
      <c r="E2275" s="5" t="s">
        <v>20</v>
      </c>
      <c r="F2275" s="17">
        <v>63.74</v>
      </c>
      <c r="G2275" s="3">
        <v>1</v>
      </c>
      <c r="H2275" s="17">
        <f>Table1[[#This Row],[Unit price]]*Table1[[#This Row],[Quantity]]</f>
        <v>63.74</v>
      </c>
      <c r="I2275" s="29">
        <f>Table1[[#This Row],[Total Revenue]]/$H$5056*100</f>
        <v>6.7625429177189762E-3</v>
      </c>
      <c r="J2275" s="3" t="s">
        <v>17</v>
      </c>
      <c r="K2275" s="4">
        <v>7.1</v>
      </c>
      <c r="M2275"/>
    </row>
    <row r="2276" spans="1:13" x14ac:dyDescent="0.25">
      <c r="A2276" s="3" t="s">
        <v>129</v>
      </c>
      <c r="B2276" s="3" t="s">
        <v>243</v>
      </c>
      <c r="C2276" s="3" t="s">
        <v>13</v>
      </c>
      <c r="D2276" s="3" t="s">
        <v>19</v>
      </c>
      <c r="E2276" s="5" t="s">
        <v>21</v>
      </c>
      <c r="F2276" s="17">
        <v>16.96</v>
      </c>
      <c r="G2276" s="3">
        <v>3</v>
      </c>
      <c r="H2276" s="17">
        <f>Table1[[#This Row],[Unit price]]*Table1[[#This Row],[Quantity]]</f>
        <v>50.88</v>
      </c>
      <c r="I2276" s="29">
        <f>Table1[[#This Row],[Total Revenue]]/$H$5056*100</f>
        <v>5.3981516105042595E-3</v>
      </c>
      <c r="J2276" s="3" t="s">
        <v>12</v>
      </c>
      <c r="K2276" s="4">
        <v>6.8</v>
      </c>
      <c r="M2276"/>
    </row>
    <row r="2277" spans="1:13" x14ac:dyDescent="0.25">
      <c r="A2277" s="3" t="s">
        <v>129</v>
      </c>
      <c r="B2277" s="3" t="s">
        <v>245</v>
      </c>
      <c r="C2277" s="3" t="s">
        <v>9</v>
      </c>
      <c r="D2277" s="3" t="s">
        <v>19</v>
      </c>
      <c r="E2277" s="5" t="s">
        <v>11</v>
      </c>
      <c r="F2277" s="17">
        <v>6.12</v>
      </c>
      <c r="G2277" s="3">
        <v>1</v>
      </c>
      <c r="H2277" s="17">
        <f>Table1[[#This Row],[Unit price]]*Table1[[#This Row],[Quantity]]</f>
        <v>6.12</v>
      </c>
      <c r="I2277" s="29">
        <f>Table1[[#This Row],[Total Revenue]]/$H$5056*100</f>
        <v>6.4930597201820104E-4</v>
      </c>
      <c r="J2277" s="3" t="s">
        <v>17</v>
      </c>
      <c r="K2277" s="4">
        <v>8.6999999999999993</v>
      </c>
      <c r="M2277"/>
    </row>
    <row r="2278" spans="1:13" x14ac:dyDescent="0.25">
      <c r="A2278" s="3" t="s">
        <v>130</v>
      </c>
      <c r="B2278" s="3" t="s">
        <v>243</v>
      </c>
      <c r="C2278" s="3" t="s">
        <v>13</v>
      </c>
      <c r="D2278" s="3" t="s">
        <v>10</v>
      </c>
      <c r="E2278" s="5" t="s">
        <v>11</v>
      </c>
      <c r="F2278" s="17">
        <v>6.13</v>
      </c>
      <c r="G2278" s="3">
        <v>2</v>
      </c>
      <c r="H2278" s="17">
        <f>Table1[[#This Row],[Unit price]]*Table1[[#This Row],[Quantity]]</f>
        <v>12.26</v>
      </c>
      <c r="I2278" s="29">
        <f>Table1[[#This Row],[Total Revenue]]/$H$5056*100</f>
        <v>1.300733858977638E-3</v>
      </c>
      <c r="J2278" s="3" t="s">
        <v>17</v>
      </c>
      <c r="K2278" s="4">
        <v>9.8000000000000007</v>
      </c>
      <c r="M2278"/>
    </row>
    <row r="2279" spans="1:13" x14ac:dyDescent="0.25">
      <c r="A2279" s="3" t="s">
        <v>130</v>
      </c>
      <c r="B2279" s="3" t="s">
        <v>244</v>
      </c>
      <c r="C2279" s="3" t="s">
        <v>9</v>
      </c>
      <c r="D2279" s="3" t="s">
        <v>10</v>
      </c>
      <c r="E2279" s="5" t="s">
        <v>11</v>
      </c>
      <c r="F2279" s="17">
        <v>5.0199999999999996</v>
      </c>
      <c r="G2279" s="3">
        <v>2</v>
      </c>
      <c r="H2279" s="17">
        <f>Table1[[#This Row],[Unit price]]*Table1[[#This Row],[Quantity]]</f>
        <v>10.039999999999999</v>
      </c>
      <c r="I2279" s="29">
        <f>Table1[[#This Row],[Total Revenue]]/$H$5056*100</f>
        <v>1.0652013005004474E-3</v>
      </c>
      <c r="J2279" s="3" t="s">
        <v>15</v>
      </c>
      <c r="K2279" s="4">
        <v>8.1999999999999993</v>
      </c>
      <c r="M2279"/>
    </row>
    <row r="2280" spans="1:13" x14ac:dyDescent="0.25">
      <c r="A2280" s="3" t="s">
        <v>130</v>
      </c>
      <c r="B2280" s="3" t="s">
        <v>245</v>
      </c>
      <c r="C2280" s="3" t="s">
        <v>13</v>
      </c>
      <c r="D2280" s="3" t="s">
        <v>10</v>
      </c>
      <c r="E2280" s="5" t="s">
        <v>11</v>
      </c>
      <c r="F2280" s="17">
        <v>6.69</v>
      </c>
      <c r="G2280" s="3">
        <v>2</v>
      </c>
      <c r="H2280" s="17">
        <f>Table1[[#This Row],[Unit price]]*Table1[[#This Row],[Quantity]]</f>
        <v>13.38</v>
      </c>
      <c r="I2280" s="29">
        <f>Table1[[#This Row],[Total Revenue]]/$H$5056*100</f>
        <v>1.4195610956868514E-3</v>
      </c>
      <c r="J2280" s="3" t="s">
        <v>17</v>
      </c>
      <c r="K2280" s="4">
        <v>7.9</v>
      </c>
      <c r="M2280"/>
    </row>
    <row r="2281" spans="1:13" x14ac:dyDescent="0.25">
      <c r="A2281" s="3" t="s">
        <v>130</v>
      </c>
      <c r="B2281" s="3" t="s">
        <v>244</v>
      </c>
      <c r="C2281" s="3" t="s">
        <v>9</v>
      </c>
      <c r="D2281" s="3" t="s">
        <v>19</v>
      </c>
      <c r="E2281" s="5" t="s">
        <v>18</v>
      </c>
      <c r="F2281" s="17">
        <v>8.9</v>
      </c>
      <c r="G2281" s="3">
        <v>1</v>
      </c>
      <c r="H2281" s="17">
        <f>Table1[[#This Row],[Unit price]]*Table1[[#This Row],[Quantity]]</f>
        <v>8.9</v>
      </c>
      <c r="I2281" s="29">
        <f>Table1[[#This Row],[Total Revenue]]/$H$5056*100</f>
        <v>9.4425214884999832E-4</v>
      </c>
      <c r="J2281" s="3" t="s">
        <v>15</v>
      </c>
      <c r="K2281" s="4">
        <v>9.4</v>
      </c>
      <c r="M2281"/>
    </row>
    <row r="2282" spans="1:13" x14ac:dyDescent="0.25">
      <c r="A2282" s="3" t="s">
        <v>130</v>
      </c>
      <c r="B2282" s="3" t="s">
        <v>244</v>
      </c>
      <c r="C2282" s="3" t="s">
        <v>13</v>
      </c>
      <c r="D2282" s="3" t="s">
        <v>19</v>
      </c>
      <c r="E2282" s="5" t="s">
        <v>16</v>
      </c>
      <c r="F2282" s="17">
        <v>59.24</v>
      </c>
      <c r="G2282" s="3">
        <v>2</v>
      </c>
      <c r="H2282" s="17">
        <f>Table1[[#This Row],[Unit price]]*Table1[[#This Row],[Quantity]]</f>
        <v>118.48</v>
      </c>
      <c r="I2282" s="29">
        <f>Table1[[#This Row],[Total Revenue]]/$H$5056*100</f>
        <v>1.2570224111881776E-2</v>
      </c>
      <c r="J2282" s="3" t="s">
        <v>12</v>
      </c>
      <c r="K2282" s="4">
        <v>7.1</v>
      </c>
      <c r="M2282"/>
    </row>
    <row r="2283" spans="1:13" x14ac:dyDescent="0.25">
      <c r="A2283" s="3" t="s">
        <v>130</v>
      </c>
      <c r="B2283" s="3" t="s">
        <v>244</v>
      </c>
      <c r="C2283" s="3" t="s">
        <v>9</v>
      </c>
      <c r="D2283" s="3" t="s">
        <v>19</v>
      </c>
      <c r="E2283" s="5" t="s">
        <v>21</v>
      </c>
      <c r="F2283" s="17">
        <v>20.84</v>
      </c>
      <c r="G2283" s="3">
        <v>4</v>
      </c>
      <c r="H2283" s="17">
        <f>Table1[[#This Row],[Unit price]]*Table1[[#This Row],[Quantity]]</f>
        <v>83.36</v>
      </c>
      <c r="I2283" s="29">
        <f>Table1[[#This Row],[Total Revenue]]/$H$5056*100</f>
        <v>8.8441414750714438E-3</v>
      </c>
      <c r="J2283" s="3" t="s">
        <v>15</v>
      </c>
      <c r="K2283" s="4">
        <v>7.1</v>
      </c>
      <c r="M2283"/>
    </row>
    <row r="2284" spans="1:13" x14ac:dyDescent="0.25">
      <c r="A2284" s="3" t="s">
        <v>130</v>
      </c>
      <c r="B2284" s="3" t="s">
        <v>245</v>
      </c>
      <c r="C2284" s="3" t="s">
        <v>13</v>
      </c>
      <c r="D2284" s="3" t="s">
        <v>10</v>
      </c>
      <c r="E2284" s="5" t="s">
        <v>20</v>
      </c>
      <c r="F2284" s="17">
        <v>53.43</v>
      </c>
      <c r="G2284" s="3">
        <v>3</v>
      </c>
      <c r="H2284" s="17">
        <f>Table1[[#This Row],[Unit price]]*Table1[[#This Row],[Quantity]]</f>
        <v>160.29</v>
      </c>
      <c r="I2284" s="29">
        <f>Table1[[#This Row],[Total Revenue]]/$H$5056*100</f>
        <v>1.7006087296535528E-2</v>
      </c>
      <c r="J2284" s="3" t="s">
        <v>17</v>
      </c>
      <c r="K2284" s="4">
        <v>9.5</v>
      </c>
      <c r="M2284"/>
    </row>
    <row r="2285" spans="1:13" x14ac:dyDescent="0.25">
      <c r="A2285" s="3" t="s">
        <v>130</v>
      </c>
      <c r="B2285" s="3" t="s">
        <v>243</v>
      </c>
      <c r="C2285" s="3" t="s">
        <v>13</v>
      </c>
      <c r="D2285" s="3" t="s">
        <v>10</v>
      </c>
      <c r="E2285" s="5" t="s">
        <v>20</v>
      </c>
      <c r="F2285" s="17">
        <v>54.1</v>
      </c>
      <c r="G2285" s="3">
        <v>2</v>
      </c>
      <c r="H2285" s="17">
        <f>Table1[[#This Row],[Unit price]]*Table1[[#This Row],[Quantity]]</f>
        <v>108.2</v>
      </c>
      <c r="I2285" s="29">
        <f>Table1[[#This Row],[Total Revenue]]/$H$5056*100</f>
        <v>1.1479559832086495E-2</v>
      </c>
      <c r="J2285" s="3" t="s">
        <v>12</v>
      </c>
      <c r="K2285" s="4">
        <v>8.5</v>
      </c>
      <c r="M2285"/>
    </row>
    <row r="2286" spans="1:13" x14ac:dyDescent="0.25">
      <c r="A2286" s="3" t="s">
        <v>130</v>
      </c>
      <c r="B2286" s="3" t="s">
        <v>245</v>
      </c>
      <c r="C2286" s="3" t="s">
        <v>9</v>
      </c>
      <c r="D2286" s="3" t="s">
        <v>10</v>
      </c>
      <c r="E2286" s="5" t="s">
        <v>21</v>
      </c>
      <c r="F2286" s="17">
        <v>18.739999999999998</v>
      </c>
      <c r="G2286" s="3">
        <v>2</v>
      </c>
      <c r="H2286" s="17">
        <f>Table1[[#This Row],[Unit price]]*Table1[[#This Row],[Quantity]]</f>
        <v>37.479999999999997</v>
      </c>
      <c r="I2286" s="29">
        <f>Table1[[#This Row],[Total Revenue]]/$H$5056*100</f>
        <v>3.9764685998761725E-3</v>
      </c>
      <c r="J2286" s="3" t="s">
        <v>15</v>
      </c>
      <c r="K2286" s="4">
        <v>8.5</v>
      </c>
      <c r="M2286"/>
    </row>
    <row r="2287" spans="1:13" x14ac:dyDescent="0.25">
      <c r="A2287" s="3" t="s">
        <v>130</v>
      </c>
      <c r="B2287" s="3" t="s">
        <v>244</v>
      </c>
      <c r="C2287" s="3" t="s">
        <v>13</v>
      </c>
      <c r="D2287" s="3" t="s">
        <v>10</v>
      </c>
      <c r="E2287" s="5" t="s">
        <v>11</v>
      </c>
      <c r="F2287" s="17">
        <v>5.94</v>
      </c>
      <c r="G2287" s="3">
        <v>4</v>
      </c>
      <c r="H2287" s="17">
        <f>Table1[[#This Row],[Unit price]]*Table1[[#This Row],[Quantity]]</f>
        <v>23.76</v>
      </c>
      <c r="I2287" s="29">
        <f>Table1[[#This Row],[Total Revenue]]/$H$5056*100</f>
        <v>2.52083495018831E-3</v>
      </c>
      <c r="J2287" s="3" t="s">
        <v>17</v>
      </c>
      <c r="K2287" s="4">
        <v>8</v>
      </c>
      <c r="M2287"/>
    </row>
    <row r="2288" spans="1:13" x14ac:dyDescent="0.25">
      <c r="A2288" s="3" t="s">
        <v>130</v>
      </c>
      <c r="B2288" s="3" t="s">
        <v>244</v>
      </c>
      <c r="C2288" s="3" t="s">
        <v>13</v>
      </c>
      <c r="D2288" s="3" t="s">
        <v>19</v>
      </c>
      <c r="E2288" s="5" t="s">
        <v>21</v>
      </c>
      <c r="F2288" s="17">
        <v>32.61</v>
      </c>
      <c r="G2288" s="3">
        <v>2</v>
      </c>
      <c r="H2288" s="17">
        <f>Table1[[#This Row],[Unit price]]*Table1[[#This Row],[Quantity]]</f>
        <v>65.22</v>
      </c>
      <c r="I2288" s="29">
        <f>Table1[[#This Row],[Total Revenue]]/$H$5056*100</f>
        <v>6.9195646233704356E-3</v>
      </c>
      <c r="J2288" s="3" t="s">
        <v>12</v>
      </c>
      <c r="K2288" s="4">
        <v>7.6</v>
      </c>
      <c r="M2288"/>
    </row>
    <row r="2289" spans="1:13" x14ac:dyDescent="0.25">
      <c r="A2289" s="3" t="s">
        <v>130</v>
      </c>
      <c r="B2289" s="3" t="s">
        <v>243</v>
      </c>
      <c r="C2289" s="3" t="s">
        <v>13</v>
      </c>
      <c r="D2289" s="3" t="s">
        <v>19</v>
      </c>
      <c r="E2289" s="5" t="s">
        <v>11</v>
      </c>
      <c r="F2289" s="17">
        <v>3.73</v>
      </c>
      <c r="G2289" s="3">
        <v>2</v>
      </c>
      <c r="H2289" s="17">
        <f>Table1[[#This Row],[Unit price]]*Table1[[#This Row],[Quantity]]</f>
        <v>7.46</v>
      </c>
      <c r="I2289" s="29">
        <f>Table1[[#This Row],[Total Revenue]]/$H$5056*100</f>
        <v>7.9147427308100965E-4</v>
      </c>
      <c r="J2289" s="3" t="s">
        <v>15</v>
      </c>
      <c r="K2289" s="4">
        <v>8.1</v>
      </c>
      <c r="M2289"/>
    </row>
    <row r="2290" spans="1:13" x14ac:dyDescent="0.25">
      <c r="A2290" s="2">
        <v>45298</v>
      </c>
      <c r="B2290" s="3" t="s">
        <v>244</v>
      </c>
      <c r="C2290" s="3" t="s">
        <v>13</v>
      </c>
      <c r="D2290" s="3" t="s">
        <v>10</v>
      </c>
      <c r="E2290" s="5" t="s">
        <v>11</v>
      </c>
      <c r="F2290" s="17">
        <v>3.96</v>
      </c>
      <c r="G2290" s="3">
        <v>2</v>
      </c>
      <c r="H2290" s="17">
        <f>Table1[[#This Row],[Unit price]]*Table1[[#This Row],[Quantity]]</f>
        <v>7.92</v>
      </c>
      <c r="I2290" s="29">
        <f>Table1[[#This Row],[Total Revenue]]/$H$5056*100</f>
        <v>8.4027831672943659E-4</v>
      </c>
      <c r="J2290" s="3" t="s">
        <v>17</v>
      </c>
      <c r="K2290" s="4">
        <v>7.9</v>
      </c>
      <c r="M2290"/>
    </row>
    <row r="2291" spans="1:13" x14ac:dyDescent="0.25">
      <c r="A2291" s="2">
        <v>45298</v>
      </c>
      <c r="B2291" s="3" t="s">
        <v>245</v>
      </c>
      <c r="C2291" s="3" t="s">
        <v>9</v>
      </c>
      <c r="D2291" s="3" t="s">
        <v>19</v>
      </c>
      <c r="E2291" s="5" t="s">
        <v>21</v>
      </c>
      <c r="F2291" s="17">
        <v>32.14</v>
      </c>
      <c r="G2291" s="3">
        <v>1</v>
      </c>
      <c r="H2291" s="17">
        <f>Table1[[#This Row],[Unit price]]*Table1[[#This Row],[Quantity]]</f>
        <v>32.14</v>
      </c>
      <c r="I2291" s="29">
        <f>Table1[[#This Row],[Total Revenue]]/$H$5056*100</f>
        <v>3.4099173105661736E-3</v>
      </c>
      <c r="J2291" s="3" t="s">
        <v>15</v>
      </c>
      <c r="K2291" s="4">
        <v>7.1</v>
      </c>
      <c r="M2291"/>
    </row>
    <row r="2292" spans="1:13" x14ac:dyDescent="0.25">
      <c r="A2292" s="2">
        <v>45298</v>
      </c>
      <c r="B2292" s="3" t="s">
        <v>244</v>
      </c>
      <c r="C2292" s="3" t="s">
        <v>13</v>
      </c>
      <c r="D2292" s="3" t="s">
        <v>19</v>
      </c>
      <c r="E2292" s="5" t="s">
        <v>18</v>
      </c>
      <c r="F2292" s="17">
        <v>12.4</v>
      </c>
      <c r="G2292" s="3">
        <v>1</v>
      </c>
      <c r="H2292" s="17">
        <f>Table1[[#This Row],[Unit price]]*Table1[[#This Row],[Quantity]]</f>
        <v>12.4</v>
      </c>
      <c r="I2292" s="29">
        <f>Table1[[#This Row],[Total Revenue]]/$H$5056*100</f>
        <v>1.3155872635662897E-3</v>
      </c>
      <c r="J2292" s="3" t="s">
        <v>17</v>
      </c>
      <c r="K2292" s="4">
        <v>6.8</v>
      </c>
      <c r="M2292"/>
    </row>
    <row r="2293" spans="1:13" x14ac:dyDescent="0.25">
      <c r="A2293" s="2">
        <v>45298</v>
      </c>
      <c r="B2293" s="3" t="s">
        <v>245</v>
      </c>
      <c r="C2293" s="3" t="s">
        <v>13</v>
      </c>
      <c r="D2293" s="3" t="s">
        <v>10</v>
      </c>
      <c r="E2293" s="5" t="s">
        <v>20</v>
      </c>
      <c r="F2293" s="17">
        <v>63.54</v>
      </c>
      <c r="G2293" s="3">
        <v>4</v>
      </c>
      <c r="H2293" s="17">
        <f>Table1[[#This Row],[Unit price]]*Table1[[#This Row],[Quantity]]</f>
        <v>254.16</v>
      </c>
      <c r="I2293" s="29">
        <f>Table1[[#This Row],[Total Revenue]]/$H$5056*100</f>
        <v>2.6965295073226467E-2</v>
      </c>
      <c r="J2293" s="3" t="s">
        <v>15</v>
      </c>
      <c r="K2293" s="4">
        <v>7.1</v>
      </c>
      <c r="M2293"/>
    </row>
    <row r="2294" spans="1:13" x14ac:dyDescent="0.25">
      <c r="A2294" s="2">
        <v>45298</v>
      </c>
      <c r="B2294" s="3" t="s">
        <v>244</v>
      </c>
      <c r="C2294" s="3" t="s">
        <v>13</v>
      </c>
      <c r="D2294" s="3" t="s">
        <v>19</v>
      </c>
      <c r="E2294" s="5" t="s">
        <v>11</v>
      </c>
      <c r="F2294" s="17">
        <v>3.36</v>
      </c>
      <c r="G2294" s="3">
        <v>3</v>
      </c>
      <c r="H2294" s="17">
        <f>Table1[[#This Row],[Unit price]]*Table1[[#This Row],[Quantity]]</f>
        <v>10.08</v>
      </c>
      <c r="I2294" s="29">
        <f>Table1[[#This Row],[Total Revenue]]/$H$5056*100</f>
        <v>1.0694451303829193E-3</v>
      </c>
      <c r="J2294" s="3" t="s">
        <v>15</v>
      </c>
      <c r="K2294" s="4">
        <v>6.1</v>
      </c>
      <c r="M2294"/>
    </row>
    <row r="2295" spans="1:13" x14ac:dyDescent="0.25">
      <c r="A2295" s="2">
        <v>45298</v>
      </c>
      <c r="B2295" s="3" t="s">
        <v>244</v>
      </c>
      <c r="C2295" s="3" t="s">
        <v>9</v>
      </c>
      <c r="D2295" s="3" t="s">
        <v>19</v>
      </c>
      <c r="E2295" s="5" t="s">
        <v>14</v>
      </c>
      <c r="F2295" s="17">
        <v>85.1</v>
      </c>
      <c r="G2295" s="3">
        <v>1</v>
      </c>
      <c r="H2295" s="17">
        <f>Table1[[#This Row],[Unit price]]*Table1[[#This Row],[Quantity]]</f>
        <v>85.1</v>
      </c>
      <c r="I2295" s="29">
        <f>Table1[[#This Row],[Total Revenue]]/$H$5056*100</f>
        <v>9.028748074958971E-3</v>
      </c>
      <c r="J2295" s="3" t="s">
        <v>17</v>
      </c>
      <c r="K2295" s="4">
        <v>8.8000000000000007</v>
      </c>
      <c r="M2295"/>
    </row>
    <row r="2296" spans="1:13" x14ac:dyDescent="0.25">
      <c r="A2296" s="2">
        <v>45298</v>
      </c>
      <c r="B2296" s="3" t="s">
        <v>244</v>
      </c>
      <c r="C2296" s="3" t="s">
        <v>9</v>
      </c>
      <c r="D2296" s="3" t="s">
        <v>10</v>
      </c>
      <c r="E2296" s="5" t="s">
        <v>11</v>
      </c>
      <c r="F2296" s="17">
        <v>6.68</v>
      </c>
      <c r="G2296" s="3">
        <v>2</v>
      </c>
      <c r="H2296" s="17">
        <f>Table1[[#This Row],[Unit price]]*Table1[[#This Row],[Quantity]]</f>
        <v>13.36</v>
      </c>
      <c r="I2296" s="29">
        <f>Table1[[#This Row],[Total Revenue]]/$H$5056*100</f>
        <v>1.4174391807456152E-3</v>
      </c>
      <c r="J2296" s="3" t="s">
        <v>12</v>
      </c>
      <c r="K2296" s="4">
        <v>8.6</v>
      </c>
      <c r="M2296"/>
    </row>
    <row r="2297" spans="1:13" x14ac:dyDescent="0.25">
      <c r="A2297" s="2">
        <v>45298</v>
      </c>
      <c r="B2297" s="3" t="s">
        <v>244</v>
      </c>
      <c r="C2297" s="3" t="s">
        <v>13</v>
      </c>
      <c r="D2297" s="3" t="s">
        <v>10</v>
      </c>
      <c r="E2297" s="5" t="s">
        <v>11</v>
      </c>
      <c r="F2297" s="17">
        <v>6.36</v>
      </c>
      <c r="G2297" s="3">
        <v>3</v>
      </c>
      <c r="H2297" s="17">
        <f>Table1[[#This Row],[Unit price]]*Table1[[#This Row],[Quantity]]</f>
        <v>19.080000000000002</v>
      </c>
      <c r="I2297" s="29">
        <f>Table1[[#This Row],[Total Revenue]]/$H$5056*100</f>
        <v>2.0243068539390974E-3</v>
      </c>
      <c r="J2297" s="3" t="s">
        <v>17</v>
      </c>
      <c r="K2297" s="4">
        <v>7.3</v>
      </c>
      <c r="M2297"/>
    </row>
    <row r="2298" spans="1:13" x14ac:dyDescent="0.25">
      <c r="A2298" s="2">
        <v>45298</v>
      </c>
      <c r="B2298" s="3" t="s">
        <v>243</v>
      </c>
      <c r="C2298" s="3" t="s">
        <v>13</v>
      </c>
      <c r="D2298" s="3" t="s">
        <v>19</v>
      </c>
      <c r="E2298" s="5" t="s">
        <v>11</v>
      </c>
      <c r="F2298" s="17">
        <v>7.8</v>
      </c>
      <c r="G2298" s="3">
        <v>2</v>
      </c>
      <c r="H2298" s="17">
        <f>Table1[[#This Row],[Unit price]]*Table1[[#This Row],[Quantity]]</f>
        <v>15.6</v>
      </c>
      <c r="I2298" s="29">
        <f>Table1[[#This Row],[Total Revenue]]/$H$5056*100</f>
        <v>1.6550936541640418E-3</v>
      </c>
      <c r="J2298" s="3" t="s">
        <v>17</v>
      </c>
      <c r="K2298" s="4">
        <v>8.9</v>
      </c>
      <c r="M2298"/>
    </row>
    <row r="2299" spans="1:13" x14ac:dyDescent="0.25">
      <c r="A2299" s="2">
        <v>45298</v>
      </c>
      <c r="B2299" s="3" t="s">
        <v>244</v>
      </c>
      <c r="C2299" s="3" t="s">
        <v>13</v>
      </c>
      <c r="D2299" s="3" t="s">
        <v>19</v>
      </c>
      <c r="E2299" s="5" t="s">
        <v>11</v>
      </c>
      <c r="F2299" s="17">
        <v>6.02</v>
      </c>
      <c r="G2299" s="3">
        <v>2</v>
      </c>
      <c r="H2299" s="17">
        <f>Table1[[#This Row],[Unit price]]*Table1[[#This Row],[Quantity]]</f>
        <v>12.04</v>
      </c>
      <c r="I2299" s="29">
        <f>Table1[[#This Row],[Total Revenue]]/$H$5056*100</f>
        <v>1.2773927946240424E-3</v>
      </c>
      <c r="J2299" s="3" t="s">
        <v>12</v>
      </c>
      <c r="K2299" s="4">
        <v>8.4</v>
      </c>
      <c r="M2299"/>
    </row>
    <row r="2300" spans="1:13" x14ac:dyDescent="0.25">
      <c r="A2300" s="2">
        <v>45298</v>
      </c>
      <c r="B2300" s="3" t="s">
        <v>243</v>
      </c>
      <c r="C2300" s="3" t="s">
        <v>13</v>
      </c>
      <c r="D2300" s="3" t="s">
        <v>10</v>
      </c>
      <c r="E2300" s="5" t="s">
        <v>18</v>
      </c>
      <c r="F2300" s="17">
        <v>14.14</v>
      </c>
      <c r="G2300" s="3">
        <v>2</v>
      </c>
      <c r="H2300" s="17">
        <f>Table1[[#This Row],[Unit price]]*Table1[[#This Row],[Quantity]]</f>
        <v>28.28</v>
      </c>
      <c r="I2300" s="29">
        <f>Table1[[#This Row],[Total Revenue]]/$H$5056*100</f>
        <v>3.000387726907635E-3</v>
      </c>
      <c r="J2300" s="3" t="s">
        <v>17</v>
      </c>
      <c r="K2300" s="4">
        <v>5.4</v>
      </c>
      <c r="M2300"/>
    </row>
    <row r="2301" spans="1:13" x14ac:dyDescent="0.25">
      <c r="A2301" s="2">
        <v>45298</v>
      </c>
      <c r="B2301" s="3" t="s">
        <v>244</v>
      </c>
      <c r="C2301" s="3" t="s">
        <v>13</v>
      </c>
      <c r="D2301" s="3" t="s">
        <v>10</v>
      </c>
      <c r="E2301" s="5" t="s">
        <v>18</v>
      </c>
      <c r="F2301" s="17">
        <v>19.420000000000002</v>
      </c>
      <c r="G2301" s="3">
        <v>3</v>
      </c>
      <c r="H2301" s="17">
        <f>Table1[[#This Row],[Unit price]]*Table1[[#This Row],[Quantity]]</f>
        <v>58.260000000000005</v>
      </c>
      <c r="I2301" s="29">
        <f>Table1[[#This Row],[Total Revenue]]/$H$5056*100</f>
        <v>6.1811382238203252E-3</v>
      </c>
      <c r="J2301" s="3" t="s">
        <v>15</v>
      </c>
      <c r="K2301" s="4">
        <v>5.2</v>
      </c>
      <c r="M2301"/>
    </row>
    <row r="2302" spans="1:13" x14ac:dyDescent="0.25">
      <c r="A2302" s="2">
        <v>45298</v>
      </c>
      <c r="B2302" s="3" t="s">
        <v>245</v>
      </c>
      <c r="C2302" s="3" t="s">
        <v>13</v>
      </c>
      <c r="D2302" s="3" t="s">
        <v>10</v>
      </c>
      <c r="E2302" s="5" t="s">
        <v>11</v>
      </c>
      <c r="F2302" s="17">
        <v>6.74</v>
      </c>
      <c r="G2302" s="3">
        <v>2</v>
      </c>
      <c r="H2302" s="17">
        <f>Table1[[#This Row],[Unit price]]*Table1[[#This Row],[Quantity]]</f>
        <v>13.48</v>
      </c>
      <c r="I2302" s="29">
        <f>Table1[[#This Row],[Total Revenue]]/$H$5056*100</f>
        <v>1.4301706703930312E-3</v>
      </c>
      <c r="J2302" s="3" t="s">
        <v>17</v>
      </c>
      <c r="K2302" s="4">
        <v>6.4</v>
      </c>
      <c r="M2302"/>
    </row>
    <row r="2303" spans="1:13" x14ac:dyDescent="0.25">
      <c r="A2303" s="2">
        <v>45298</v>
      </c>
      <c r="B2303" s="3" t="s">
        <v>243</v>
      </c>
      <c r="C2303" s="3" t="s">
        <v>13</v>
      </c>
      <c r="D2303" s="3" t="s">
        <v>10</v>
      </c>
      <c r="E2303" s="5" t="s">
        <v>21</v>
      </c>
      <c r="F2303" s="17">
        <v>32.94</v>
      </c>
      <c r="G2303" s="3">
        <v>3</v>
      </c>
      <c r="H2303" s="17">
        <f>Table1[[#This Row],[Unit price]]*Table1[[#This Row],[Quantity]]</f>
        <v>98.82</v>
      </c>
      <c r="I2303" s="29">
        <f>Table1[[#This Row],[Total Revenue]]/$H$5056*100</f>
        <v>1.0484381724646833E-2</v>
      </c>
      <c r="J2303" s="3" t="s">
        <v>17</v>
      </c>
      <c r="K2303" s="4">
        <v>7.3</v>
      </c>
      <c r="M2303"/>
    </row>
    <row r="2304" spans="1:13" x14ac:dyDescent="0.25">
      <c r="A2304" s="2">
        <v>45298</v>
      </c>
      <c r="B2304" s="3" t="s">
        <v>243</v>
      </c>
      <c r="C2304" s="3" t="s">
        <v>13</v>
      </c>
      <c r="D2304" s="3" t="s">
        <v>19</v>
      </c>
      <c r="E2304" s="5" t="s">
        <v>11</v>
      </c>
      <c r="F2304" s="17">
        <v>2.75</v>
      </c>
      <c r="G2304" s="3">
        <v>6</v>
      </c>
      <c r="H2304" s="17">
        <f>Table1[[#This Row],[Unit price]]*Table1[[#This Row],[Quantity]]</f>
        <v>16.5</v>
      </c>
      <c r="I2304" s="29">
        <f>Table1[[#This Row],[Total Revenue]]/$H$5056*100</f>
        <v>1.7505798265196595E-3</v>
      </c>
      <c r="J2304" s="3" t="s">
        <v>12</v>
      </c>
      <c r="K2304" s="4">
        <v>7.2</v>
      </c>
      <c r="M2304"/>
    </row>
    <row r="2305" spans="1:13" x14ac:dyDescent="0.25">
      <c r="A2305" s="2">
        <v>45298</v>
      </c>
      <c r="B2305" s="3" t="s">
        <v>243</v>
      </c>
      <c r="C2305" s="3" t="s">
        <v>13</v>
      </c>
      <c r="D2305" s="3" t="s">
        <v>10</v>
      </c>
      <c r="E2305" s="5" t="s">
        <v>20</v>
      </c>
      <c r="F2305" s="17">
        <v>51.31</v>
      </c>
      <c r="G2305" s="3">
        <v>1</v>
      </c>
      <c r="H2305" s="17">
        <f>Table1[[#This Row],[Unit price]]*Table1[[#This Row],[Quantity]]</f>
        <v>51.31</v>
      </c>
      <c r="I2305" s="29">
        <f>Table1[[#This Row],[Total Revenue]]/$H$5056*100</f>
        <v>5.4437727817408322E-3</v>
      </c>
      <c r="J2305" s="3" t="s">
        <v>15</v>
      </c>
      <c r="K2305" s="4">
        <v>6</v>
      </c>
      <c r="M2305"/>
    </row>
    <row r="2306" spans="1:13" x14ac:dyDescent="0.25">
      <c r="A2306" s="2">
        <v>45298</v>
      </c>
      <c r="B2306" s="3" t="s">
        <v>245</v>
      </c>
      <c r="C2306" s="3" t="s">
        <v>13</v>
      </c>
      <c r="D2306" s="3" t="s">
        <v>19</v>
      </c>
      <c r="E2306" s="5" t="s">
        <v>11</v>
      </c>
      <c r="F2306" s="17">
        <v>4.88</v>
      </c>
      <c r="G2306" s="3">
        <v>3</v>
      </c>
      <c r="H2306" s="17">
        <f>Table1[[#This Row],[Unit price]]*Table1[[#This Row],[Quantity]]</f>
        <v>14.64</v>
      </c>
      <c r="I2306" s="29">
        <f>Table1[[#This Row],[Total Revenue]]/$H$5056*100</f>
        <v>1.5532417369847162E-3</v>
      </c>
      <c r="J2306" s="3" t="s">
        <v>17</v>
      </c>
      <c r="K2306" s="4">
        <v>7.9</v>
      </c>
      <c r="M2306"/>
    </row>
    <row r="2307" spans="1:13" x14ac:dyDescent="0.25">
      <c r="A2307" s="2">
        <v>45329</v>
      </c>
      <c r="B2307" s="3" t="s">
        <v>245</v>
      </c>
      <c r="C2307" s="3" t="s">
        <v>9</v>
      </c>
      <c r="D2307" s="3" t="s">
        <v>19</v>
      </c>
      <c r="E2307" s="5" t="s">
        <v>21</v>
      </c>
      <c r="F2307" s="17">
        <v>26.23</v>
      </c>
      <c r="G2307" s="3">
        <v>3</v>
      </c>
      <c r="H2307" s="17">
        <f>Table1[[#This Row],[Unit price]]*Table1[[#This Row],[Quantity]]</f>
        <v>78.69</v>
      </c>
      <c r="I2307" s="29">
        <f>Table1[[#This Row],[Total Revenue]]/$H$5056*100</f>
        <v>8.3486743362928498E-3</v>
      </c>
      <c r="J2307" s="3" t="s">
        <v>15</v>
      </c>
      <c r="K2307" s="4">
        <v>8.9</v>
      </c>
      <c r="M2307"/>
    </row>
    <row r="2308" spans="1:13" x14ac:dyDescent="0.25">
      <c r="A2308" s="2">
        <v>45329</v>
      </c>
      <c r="B2308" s="3" t="s">
        <v>245</v>
      </c>
      <c r="C2308" s="3" t="s">
        <v>13</v>
      </c>
      <c r="D2308" s="3" t="s">
        <v>19</v>
      </c>
      <c r="E2308" s="5" t="s">
        <v>16</v>
      </c>
      <c r="F2308" s="17">
        <v>71.67</v>
      </c>
      <c r="G2308" s="3">
        <v>1</v>
      </c>
      <c r="H2308" s="17">
        <f>Table1[[#This Row],[Unit price]]*Table1[[#This Row],[Quantity]]</f>
        <v>71.67</v>
      </c>
      <c r="I2308" s="29">
        <f>Table1[[#This Row],[Total Revenue]]/$H$5056*100</f>
        <v>7.6038821919190303E-3</v>
      </c>
      <c r="J2308" s="3" t="s">
        <v>15</v>
      </c>
      <c r="K2308" s="4">
        <v>7.5</v>
      </c>
      <c r="M2308"/>
    </row>
    <row r="2309" spans="1:13" x14ac:dyDescent="0.25">
      <c r="A2309" s="2">
        <v>45329</v>
      </c>
      <c r="B2309" s="3" t="s">
        <v>245</v>
      </c>
      <c r="C2309" s="3" t="s">
        <v>13</v>
      </c>
      <c r="D2309" s="3" t="s">
        <v>10</v>
      </c>
      <c r="E2309" s="5" t="s">
        <v>20</v>
      </c>
      <c r="F2309" s="17">
        <v>56.04</v>
      </c>
      <c r="G2309" s="3">
        <v>4</v>
      </c>
      <c r="H2309" s="17">
        <f>Table1[[#This Row],[Unit price]]*Table1[[#This Row],[Quantity]]</f>
        <v>224.16</v>
      </c>
      <c r="I2309" s="29">
        <f>Table1[[#This Row],[Total Revenue]]/$H$5056*100</f>
        <v>2.3782422661372541E-2</v>
      </c>
      <c r="J2309" s="3" t="s">
        <v>15</v>
      </c>
      <c r="K2309" s="4">
        <v>7.8</v>
      </c>
      <c r="M2309"/>
    </row>
    <row r="2310" spans="1:13" x14ac:dyDescent="0.25">
      <c r="A2310" s="2">
        <v>45329</v>
      </c>
      <c r="B2310" s="3" t="s">
        <v>243</v>
      </c>
      <c r="C2310" s="3" t="s">
        <v>13</v>
      </c>
      <c r="D2310" s="3" t="s">
        <v>10</v>
      </c>
      <c r="E2310" s="5" t="s">
        <v>11</v>
      </c>
      <c r="F2310" s="17">
        <v>4.29</v>
      </c>
      <c r="G2310" s="3">
        <v>4</v>
      </c>
      <c r="H2310" s="17">
        <f>Table1[[#This Row],[Unit price]]*Table1[[#This Row],[Quantity]]</f>
        <v>17.16</v>
      </c>
      <c r="I2310" s="29">
        <f>Table1[[#This Row],[Total Revenue]]/$H$5056*100</f>
        <v>1.8206030195804461E-3</v>
      </c>
      <c r="J2310" s="3" t="s">
        <v>17</v>
      </c>
      <c r="K2310" s="4">
        <v>6.5</v>
      </c>
      <c r="M2310"/>
    </row>
    <row r="2311" spans="1:13" x14ac:dyDescent="0.25">
      <c r="A2311" s="2">
        <v>45329</v>
      </c>
      <c r="B2311" s="3" t="s">
        <v>244</v>
      </c>
      <c r="C2311" s="3" t="s">
        <v>13</v>
      </c>
      <c r="D2311" s="3" t="s">
        <v>19</v>
      </c>
      <c r="E2311" s="5" t="s">
        <v>11</v>
      </c>
      <c r="F2311" s="17">
        <v>6</v>
      </c>
      <c r="G2311" s="3">
        <v>3</v>
      </c>
      <c r="H2311" s="17">
        <f>Table1[[#This Row],[Unit price]]*Table1[[#This Row],[Quantity]]</f>
        <v>18</v>
      </c>
      <c r="I2311" s="29">
        <f>Table1[[#This Row],[Total Revenue]]/$H$5056*100</f>
        <v>1.9097234471123561E-3</v>
      </c>
      <c r="J2311" s="3" t="s">
        <v>15</v>
      </c>
      <c r="K2311" s="4">
        <v>7.6</v>
      </c>
      <c r="M2311"/>
    </row>
    <row r="2312" spans="1:13" x14ac:dyDescent="0.25">
      <c r="A2312" s="2">
        <v>45329</v>
      </c>
      <c r="B2312" s="3" t="s">
        <v>243</v>
      </c>
      <c r="C2312" s="3" t="s">
        <v>13</v>
      </c>
      <c r="D2312" s="3" t="s">
        <v>19</v>
      </c>
      <c r="E2312" s="5" t="s">
        <v>20</v>
      </c>
      <c r="F2312" s="17">
        <v>61.04</v>
      </c>
      <c r="G2312" s="3">
        <v>5</v>
      </c>
      <c r="H2312" s="17">
        <f>Table1[[#This Row],[Unit price]]*Table1[[#This Row],[Quantity]]</f>
        <v>305.2</v>
      </c>
      <c r="I2312" s="29">
        <f>Table1[[#This Row],[Total Revenue]]/$H$5056*100</f>
        <v>3.2380422003260613E-2</v>
      </c>
      <c r="J2312" s="3" t="s">
        <v>12</v>
      </c>
      <c r="K2312" s="4">
        <v>7.1</v>
      </c>
      <c r="M2312"/>
    </row>
    <row r="2313" spans="1:13" x14ac:dyDescent="0.25">
      <c r="A2313" s="2">
        <v>45329</v>
      </c>
      <c r="B2313" s="3" t="s">
        <v>243</v>
      </c>
      <c r="C2313" s="3" t="s">
        <v>13</v>
      </c>
      <c r="D2313" s="3" t="s">
        <v>10</v>
      </c>
      <c r="E2313" s="5" t="s">
        <v>11</v>
      </c>
      <c r="F2313" s="17">
        <v>3.46</v>
      </c>
      <c r="G2313" s="3">
        <v>3</v>
      </c>
      <c r="H2313" s="17">
        <f>Table1[[#This Row],[Unit price]]*Table1[[#This Row],[Quantity]]</f>
        <v>10.379999999999999</v>
      </c>
      <c r="I2313" s="29">
        <f>Table1[[#This Row],[Total Revenue]]/$H$5056*100</f>
        <v>1.1012738545014584E-3</v>
      </c>
      <c r="J2313" s="3" t="s">
        <v>12</v>
      </c>
      <c r="K2313" s="4">
        <v>6</v>
      </c>
      <c r="M2313"/>
    </row>
    <row r="2314" spans="1:13" x14ac:dyDescent="0.25">
      <c r="A2314" s="2">
        <v>45329</v>
      </c>
      <c r="B2314" s="3" t="s">
        <v>243</v>
      </c>
      <c r="C2314" s="3" t="s">
        <v>9</v>
      </c>
      <c r="D2314" s="3" t="s">
        <v>10</v>
      </c>
      <c r="E2314" s="5" t="s">
        <v>14</v>
      </c>
      <c r="F2314" s="17">
        <v>96.28</v>
      </c>
      <c r="G2314" s="3">
        <v>2</v>
      </c>
      <c r="H2314" s="17">
        <f>Table1[[#This Row],[Unit price]]*Table1[[#This Row],[Quantity]]</f>
        <v>192.56</v>
      </c>
      <c r="I2314" s="29">
        <f>Table1[[#This Row],[Total Revenue]]/$H$5056*100</f>
        <v>2.0429797054219739E-2</v>
      </c>
      <c r="J2314" s="3" t="s">
        <v>17</v>
      </c>
      <c r="K2314" s="4">
        <v>8.4</v>
      </c>
      <c r="M2314"/>
    </row>
    <row r="2315" spans="1:13" x14ac:dyDescent="0.25">
      <c r="A2315" s="2">
        <v>45329</v>
      </c>
      <c r="B2315" s="3" t="s">
        <v>243</v>
      </c>
      <c r="C2315" s="3" t="s">
        <v>9</v>
      </c>
      <c r="D2315" s="3" t="s">
        <v>19</v>
      </c>
      <c r="E2315" s="5" t="s">
        <v>11</v>
      </c>
      <c r="F2315" s="17">
        <v>4.1399999999999997</v>
      </c>
      <c r="G2315" s="3">
        <v>4</v>
      </c>
      <c r="H2315" s="17">
        <f>Table1[[#This Row],[Unit price]]*Table1[[#This Row],[Quantity]]</f>
        <v>16.559999999999999</v>
      </c>
      <c r="I2315" s="29">
        <f>Table1[[#This Row],[Total Revenue]]/$H$5056*100</f>
        <v>1.7569455713433676E-3</v>
      </c>
      <c r="J2315" s="3" t="s">
        <v>17</v>
      </c>
      <c r="K2315" s="4">
        <v>7.2</v>
      </c>
      <c r="M2315"/>
    </row>
    <row r="2316" spans="1:13" x14ac:dyDescent="0.25">
      <c r="A2316" s="2">
        <v>45329</v>
      </c>
      <c r="B2316" s="3" t="s">
        <v>244</v>
      </c>
      <c r="C2316" s="3" t="s">
        <v>13</v>
      </c>
      <c r="D2316" s="3" t="s">
        <v>19</v>
      </c>
      <c r="E2316" s="5" t="s">
        <v>11</v>
      </c>
      <c r="F2316" s="17">
        <v>4.55</v>
      </c>
      <c r="G2316" s="3">
        <v>2</v>
      </c>
      <c r="H2316" s="17">
        <f>Table1[[#This Row],[Unit price]]*Table1[[#This Row],[Quantity]]</f>
        <v>9.1</v>
      </c>
      <c r="I2316" s="29">
        <f>Table1[[#This Row],[Total Revenue]]/$H$5056*100</f>
        <v>9.654712982623576E-4</v>
      </c>
      <c r="J2316" s="3" t="s">
        <v>17</v>
      </c>
      <c r="K2316" s="4">
        <v>7.6</v>
      </c>
      <c r="M2316"/>
    </row>
    <row r="2317" spans="1:13" x14ac:dyDescent="0.25">
      <c r="A2317" s="2">
        <v>45358</v>
      </c>
      <c r="B2317" s="3" t="s">
        <v>244</v>
      </c>
      <c r="C2317" s="3" t="s">
        <v>9</v>
      </c>
      <c r="D2317" s="3" t="s">
        <v>10</v>
      </c>
      <c r="E2317" s="5" t="s">
        <v>11</v>
      </c>
      <c r="F2317" s="17">
        <v>6.32</v>
      </c>
      <c r="G2317" s="3">
        <v>5</v>
      </c>
      <c r="H2317" s="17">
        <f>Table1[[#This Row],[Unit price]]*Table1[[#This Row],[Quantity]]</f>
        <v>31.6</v>
      </c>
      <c r="I2317" s="29">
        <f>Table1[[#This Row],[Total Revenue]]/$H$5056*100</f>
        <v>3.3526256071528026E-3</v>
      </c>
      <c r="J2317" s="3" t="s">
        <v>15</v>
      </c>
      <c r="K2317" s="4">
        <v>7.2</v>
      </c>
      <c r="M2317"/>
    </row>
    <row r="2318" spans="1:13" x14ac:dyDescent="0.25">
      <c r="A2318" s="2">
        <v>45358</v>
      </c>
      <c r="B2318" s="3" t="s">
        <v>245</v>
      </c>
      <c r="C2318" s="3" t="s">
        <v>13</v>
      </c>
      <c r="D2318" s="3" t="s">
        <v>10</v>
      </c>
      <c r="E2318" s="5" t="s">
        <v>11</v>
      </c>
      <c r="F2318" s="17">
        <v>7.28</v>
      </c>
      <c r="G2318" s="3">
        <v>4</v>
      </c>
      <c r="H2318" s="17">
        <f>Table1[[#This Row],[Unit price]]*Table1[[#This Row],[Quantity]]</f>
        <v>29.12</v>
      </c>
      <c r="I2318" s="29">
        <f>Table1[[#This Row],[Total Revenue]]/$H$5056*100</f>
        <v>3.0895081544395453E-3</v>
      </c>
      <c r="J2318" s="3" t="s">
        <v>15</v>
      </c>
      <c r="K2318" s="4">
        <v>7.6</v>
      </c>
      <c r="M2318"/>
    </row>
    <row r="2319" spans="1:13" x14ac:dyDescent="0.25">
      <c r="A2319" s="2">
        <v>45358</v>
      </c>
      <c r="B2319" s="3" t="s">
        <v>245</v>
      </c>
      <c r="C2319" s="3" t="s">
        <v>13</v>
      </c>
      <c r="D2319" s="3" t="s">
        <v>19</v>
      </c>
      <c r="E2319" s="5" t="s">
        <v>21</v>
      </c>
      <c r="F2319" s="17">
        <v>33.32</v>
      </c>
      <c r="G2319" s="3">
        <v>4</v>
      </c>
      <c r="H2319" s="17">
        <f>Table1[[#This Row],[Unit price]]*Table1[[#This Row],[Quantity]]</f>
        <v>133.28</v>
      </c>
      <c r="I2319" s="29">
        <f>Table1[[#This Row],[Total Revenue]]/$H$5056*100</f>
        <v>1.4140441168396379E-2</v>
      </c>
      <c r="J2319" s="3" t="s">
        <v>17</v>
      </c>
      <c r="K2319" s="4">
        <v>6.8</v>
      </c>
      <c r="M2319"/>
    </row>
    <row r="2320" spans="1:13" x14ac:dyDescent="0.25">
      <c r="A2320" s="2">
        <v>45358</v>
      </c>
      <c r="B2320" s="3" t="s">
        <v>244</v>
      </c>
      <c r="C2320" s="3" t="s">
        <v>13</v>
      </c>
      <c r="D2320" s="3" t="s">
        <v>10</v>
      </c>
      <c r="E2320" s="5" t="s">
        <v>11</v>
      </c>
      <c r="F2320" s="17">
        <v>4.3499999999999996</v>
      </c>
      <c r="G2320" s="3">
        <v>1</v>
      </c>
      <c r="H2320" s="17">
        <f>Table1[[#This Row],[Unit price]]*Table1[[#This Row],[Quantity]]</f>
        <v>4.3499999999999996</v>
      </c>
      <c r="I2320" s="29">
        <f>Table1[[#This Row],[Total Revenue]]/$H$5056*100</f>
        <v>4.6151649971881931E-4</v>
      </c>
      <c r="J2320" s="3" t="s">
        <v>15</v>
      </c>
      <c r="K2320" s="4">
        <v>6.3</v>
      </c>
      <c r="M2320"/>
    </row>
    <row r="2321" spans="1:13" x14ac:dyDescent="0.25">
      <c r="A2321" s="2">
        <v>45358</v>
      </c>
      <c r="B2321" s="3" t="s">
        <v>245</v>
      </c>
      <c r="C2321" s="3" t="s">
        <v>9</v>
      </c>
      <c r="D2321" s="3" t="s">
        <v>10</v>
      </c>
      <c r="E2321" s="5" t="s">
        <v>11</v>
      </c>
      <c r="F2321" s="17">
        <v>3.59</v>
      </c>
      <c r="G2321" s="3">
        <v>2</v>
      </c>
      <c r="H2321" s="17">
        <f>Table1[[#This Row],[Unit price]]*Table1[[#This Row],[Quantity]]</f>
        <v>7.18</v>
      </c>
      <c r="I2321" s="29">
        <f>Table1[[#This Row],[Total Revenue]]/$H$5056*100</f>
        <v>7.6176746390370646E-4</v>
      </c>
      <c r="J2321" s="3" t="s">
        <v>15</v>
      </c>
      <c r="K2321" s="4">
        <v>7.4</v>
      </c>
      <c r="M2321"/>
    </row>
    <row r="2322" spans="1:13" x14ac:dyDescent="0.25">
      <c r="A2322" s="2">
        <v>45358</v>
      </c>
      <c r="B2322" s="3" t="s">
        <v>244</v>
      </c>
      <c r="C2322" s="3" t="s">
        <v>13</v>
      </c>
      <c r="D2322" s="3" t="s">
        <v>10</v>
      </c>
      <c r="E2322" s="5" t="s">
        <v>21</v>
      </c>
      <c r="F2322" s="17">
        <v>29.56</v>
      </c>
      <c r="G2322" s="3">
        <v>2</v>
      </c>
      <c r="H2322" s="17">
        <f>Table1[[#This Row],[Unit price]]*Table1[[#This Row],[Quantity]]</f>
        <v>59.12</v>
      </c>
      <c r="I2322" s="29">
        <f>Table1[[#This Row],[Total Revenue]]/$H$5056*100</f>
        <v>6.2723805662934715E-3</v>
      </c>
      <c r="J2322" s="3" t="s">
        <v>12</v>
      </c>
      <c r="K2322" s="4">
        <v>7.8</v>
      </c>
      <c r="M2322"/>
    </row>
    <row r="2323" spans="1:13" x14ac:dyDescent="0.25">
      <c r="A2323" s="2">
        <v>45358</v>
      </c>
      <c r="B2323" s="3" t="s">
        <v>244</v>
      </c>
      <c r="C2323" s="3" t="s">
        <v>13</v>
      </c>
      <c r="D2323" s="3" t="s">
        <v>10</v>
      </c>
      <c r="E2323" s="5" t="s">
        <v>11</v>
      </c>
      <c r="F2323" s="17">
        <v>6.55</v>
      </c>
      <c r="G2323" s="3">
        <v>3</v>
      </c>
      <c r="H2323" s="17">
        <f>Table1[[#This Row],[Unit price]]*Table1[[#This Row],[Quantity]]</f>
        <v>19.649999999999999</v>
      </c>
      <c r="I2323" s="29">
        <f>Table1[[#This Row],[Total Revenue]]/$H$5056*100</f>
        <v>2.0847814297643217E-3</v>
      </c>
      <c r="J2323" s="3" t="s">
        <v>15</v>
      </c>
      <c r="K2323" s="4">
        <v>7.4</v>
      </c>
      <c r="M2323"/>
    </row>
    <row r="2324" spans="1:13" x14ac:dyDescent="0.25">
      <c r="A2324" s="2">
        <v>45358</v>
      </c>
      <c r="B2324" s="3" t="s">
        <v>244</v>
      </c>
      <c r="C2324" s="3" t="s">
        <v>13</v>
      </c>
      <c r="D2324" s="3" t="s">
        <v>19</v>
      </c>
      <c r="E2324" s="5" t="s">
        <v>11</v>
      </c>
      <c r="F2324" s="17">
        <v>4.28</v>
      </c>
      <c r="G2324" s="3">
        <v>2</v>
      </c>
      <c r="H2324" s="17">
        <f>Table1[[#This Row],[Unit price]]*Table1[[#This Row],[Quantity]]</f>
        <v>8.56</v>
      </c>
      <c r="I2324" s="29">
        <f>Table1[[#This Row],[Total Revenue]]/$H$5056*100</f>
        <v>9.0817959484898708E-4</v>
      </c>
      <c r="J2324" s="3" t="s">
        <v>12</v>
      </c>
      <c r="K2324" s="4">
        <v>6.3</v>
      </c>
      <c r="M2324"/>
    </row>
    <row r="2325" spans="1:13" x14ac:dyDescent="0.25">
      <c r="A2325" s="2">
        <v>45358</v>
      </c>
      <c r="B2325" s="3" t="s">
        <v>243</v>
      </c>
      <c r="C2325" s="3" t="s">
        <v>13</v>
      </c>
      <c r="D2325" s="3" t="s">
        <v>19</v>
      </c>
      <c r="E2325" s="5" t="s">
        <v>20</v>
      </c>
      <c r="F2325" s="17">
        <v>70.27</v>
      </c>
      <c r="G2325" s="3">
        <v>4</v>
      </c>
      <c r="H2325" s="17">
        <f>Table1[[#This Row],[Unit price]]*Table1[[#This Row],[Quantity]]</f>
        <v>281.08</v>
      </c>
      <c r="I2325" s="29">
        <f>Table1[[#This Row],[Total Revenue]]/$H$5056*100</f>
        <v>2.9821392584130055E-2</v>
      </c>
      <c r="J2325" s="3" t="s">
        <v>12</v>
      </c>
      <c r="K2325" s="4">
        <v>8.6</v>
      </c>
      <c r="M2325"/>
    </row>
    <row r="2326" spans="1:13" x14ac:dyDescent="0.25">
      <c r="A2326" s="2">
        <v>45358</v>
      </c>
      <c r="B2326" s="3" t="s">
        <v>243</v>
      </c>
      <c r="C2326" s="3" t="s">
        <v>13</v>
      </c>
      <c r="D2326" s="3" t="s">
        <v>19</v>
      </c>
      <c r="E2326" s="5" t="s">
        <v>11</v>
      </c>
      <c r="F2326" s="17">
        <v>6.09</v>
      </c>
      <c r="G2326" s="3">
        <v>2</v>
      </c>
      <c r="H2326" s="17">
        <f>Table1[[#This Row],[Unit price]]*Table1[[#This Row],[Quantity]]</f>
        <v>12.18</v>
      </c>
      <c r="I2326" s="29">
        <f>Table1[[#This Row],[Total Revenue]]/$H$5056*100</f>
        <v>1.2922461992126942E-3</v>
      </c>
      <c r="J2326" s="3" t="s">
        <v>15</v>
      </c>
      <c r="K2326" s="4">
        <v>7.4</v>
      </c>
      <c r="M2326"/>
    </row>
    <row r="2327" spans="1:13" x14ac:dyDescent="0.25">
      <c r="A2327" s="2">
        <v>45358</v>
      </c>
      <c r="B2327" s="3" t="s">
        <v>243</v>
      </c>
      <c r="C2327" s="3" t="s">
        <v>9</v>
      </c>
      <c r="D2327" s="3" t="s">
        <v>10</v>
      </c>
      <c r="E2327" s="5" t="s">
        <v>18</v>
      </c>
      <c r="F2327" s="17">
        <v>13.06</v>
      </c>
      <c r="G2327" s="3">
        <v>1</v>
      </c>
      <c r="H2327" s="17">
        <f>Table1[[#This Row],[Unit price]]*Table1[[#This Row],[Quantity]]</f>
        <v>13.06</v>
      </c>
      <c r="I2327" s="29">
        <f>Table1[[#This Row],[Total Revenue]]/$H$5056*100</f>
        <v>1.3856104566270762E-3</v>
      </c>
      <c r="J2327" s="3" t="s">
        <v>12</v>
      </c>
      <c r="K2327" s="4">
        <v>8.1</v>
      </c>
      <c r="M2327"/>
    </row>
    <row r="2328" spans="1:13" x14ac:dyDescent="0.25">
      <c r="A2328" s="2">
        <v>45358</v>
      </c>
      <c r="B2328" s="3" t="s">
        <v>244</v>
      </c>
      <c r="C2328" s="3" t="s">
        <v>13</v>
      </c>
      <c r="D2328" s="3" t="s">
        <v>10</v>
      </c>
      <c r="E2328" s="5" t="s">
        <v>21</v>
      </c>
      <c r="F2328" s="17">
        <v>34.74</v>
      </c>
      <c r="G2328" s="3">
        <v>3</v>
      </c>
      <c r="H2328" s="17">
        <f>Table1[[#This Row],[Unit price]]*Table1[[#This Row],[Quantity]]</f>
        <v>104.22</v>
      </c>
      <c r="I2328" s="29">
        <f>Table1[[#This Row],[Total Revenue]]/$H$5056*100</f>
        <v>1.105729875878054E-2</v>
      </c>
      <c r="J2328" s="3" t="s">
        <v>17</v>
      </c>
      <c r="K2328" s="4">
        <v>8.1</v>
      </c>
      <c r="M2328"/>
    </row>
    <row r="2329" spans="1:13" x14ac:dyDescent="0.25">
      <c r="A2329" s="2">
        <v>45358</v>
      </c>
      <c r="B2329" s="3" t="s">
        <v>243</v>
      </c>
      <c r="C2329" s="3" t="s">
        <v>9</v>
      </c>
      <c r="D2329" s="3" t="s">
        <v>19</v>
      </c>
      <c r="E2329" s="5" t="s">
        <v>21</v>
      </c>
      <c r="F2329" s="17">
        <v>33.43</v>
      </c>
      <c r="G2329" s="3">
        <v>3</v>
      </c>
      <c r="H2329" s="17">
        <f>Table1[[#This Row],[Unit price]]*Table1[[#This Row],[Quantity]]</f>
        <v>100.28999999999999</v>
      </c>
      <c r="I2329" s="29">
        <f>Table1[[#This Row],[Total Revenue]]/$H$5056*100</f>
        <v>1.0640342472827677E-2</v>
      </c>
      <c r="J2329" s="3" t="s">
        <v>12</v>
      </c>
      <c r="K2329" s="4">
        <v>7</v>
      </c>
      <c r="M2329"/>
    </row>
    <row r="2330" spans="1:13" x14ac:dyDescent="0.25">
      <c r="A2330" s="2">
        <v>45358</v>
      </c>
      <c r="B2330" s="3" t="s">
        <v>244</v>
      </c>
      <c r="C2330" s="3" t="s">
        <v>13</v>
      </c>
      <c r="D2330" s="3" t="s">
        <v>19</v>
      </c>
      <c r="E2330" s="5" t="s">
        <v>21</v>
      </c>
      <c r="F2330" s="17">
        <v>26.12</v>
      </c>
      <c r="G2330" s="3">
        <v>3</v>
      </c>
      <c r="H2330" s="17">
        <f>Table1[[#This Row],[Unit price]]*Table1[[#This Row],[Quantity]]</f>
        <v>78.36</v>
      </c>
      <c r="I2330" s="29">
        <f>Table1[[#This Row],[Total Revenue]]/$H$5056*100</f>
        <v>8.3136627397624556E-3</v>
      </c>
      <c r="J2330" s="3" t="s">
        <v>12</v>
      </c>
      <c r="K2330" s="4">
        <v>8.4</v>
      </c>
      <c r="M2330"/>
    </row>
    <row r="2331" spans="1:13" x14ac:dyDescent="0.25">
      <c r="A2331" s="2">
        <v>45358</v>
      </c>
      <c r="B2331" s="3" t="s">
        <v>245</v>
      </c>
      <c r="C2331" s="3" t="s">
        <v>13</v>
      </c>
      <c r="D2331" s="3" t="s">
        <v>10</v>
      </c>
      <c r="E2331" s="5" t="s">
        <v>11</v>
      </c>
      <c r="F2331" s="17">
        <v>7.73</v>
      </c>
      <c r="G2331" s="3">
        <v>8</v>
      </c>
      <c r="H2331" s="17">
        <f>Table1[[#This Row],[Unit price]]*Table1[[#This Row],[Quantity]]</f>
        <v>61.84</v>
      </c>
      <c r="I2331" s="29">
        <f>Table1[[#This Row],[Total Revenue]]/$H$5056*100</f>
        <v>6.5609609983015614E-3</v>
      </c>
      <c r="J2331" s="3" t="s">
        <v>17</v>
      </c>
      <c r="K2331" s="4">
        <v>9.8000000000000007</v>
      </c>
      <c r="M2331"/>
    </row>
    <row r="2332" spans="1:13" x14ac:dyDescent="0.25">
      <c r="A2332" s="2">
        <v>45358</v>
      </c>
      <c r="B2332" s="3" t="s">
        <v>243</v>
      </c>
      <c r="C2332" s="3" t="s">
        <v>13</v>
      </c>
      <c r="D2332" s="3" t="s">
        <v>19</v>
      </c>
      <c r="E2332" s="5" t="s">
        <v>11</v>
      </c>
      <c r="F2332" s="17">
        <v>5.8</v>
      </c>
      <c r="G2332" s="3">
        <v>3</v>
      </c>
      <c r="H2332" s="17">
        <f>Table1[[#This Row],[Unit price]]*Table1[[#This Row],[Quantity]]</f>
        <v>17.399999999999999</v>
      </c>
      <c r="I2332" s="29">
        <f>Table1[[#This Row],[Total Revenue]]/$H$5056*100</f>
        <v>1.8460659988752772E-3</v>
      </c>
      <c r="J2332" s="3" t="s">
        <v>17</v>
      </c>
      <c r="K2332" s="4">
        <v>7.3</v>
      </c>
      <c r="M2332"/>
    </row>
    <row r="2333" spans="1:13" x14ac:dyDescent="0.25">
      <c r="A2333" s="2">
        <v>45389</v>
      </c>
      <c r="B2333" s="3" t="s">
        <v>244</v>
      </c>
      <c r="C2333" s="3" t="s">
        <v>13</v>
      </c>
      <c r="D2333" s="3" t="s">
        <v>19</v>
      </c>
      <c r="E2333" s="5" t="s">
        <v>21</v>
      </c>
      <c r="F2333" s="17">
        <v>38.86</v>
      </c>
      <c r="G2333" s="3">
        <v>2</v>
      </c>
      <c r="H2333" s="17">
        <f>Table1[[#This Row],[Unit price]]*Table1[[#This Row],[Quantity]]</f>
        <v>77.72</v>
      </c>
      <c r="I2333" s="29">
        <f>Table1[[#This Row],[Total Revenue]]/$H$5056*100</f>
        <v>8.2457614616429052E-3</v>
      </c>
      <c r="J2333" s="3" t="s">
        <v>15</v>
      </c>
      <c r="K2333" s="4">
        <v>7.7</v>
      </c>
      <c r="M2333"/>
    </row>
    <row r="2334" spans="1:13" x14ac:dyDescent="0.25">
      <c r="A2334" s="2">
        <v>45389</v>
      </c>
      <c r="B2334" s="3" t="s">
        <v>244</v>
      </c>
      <c r="C2334" s="3" t="s">
        <v>13</v>
      </c>
      <c r="D2334" s="3" t="s">
        <v>19</v>
      </c>
      <c r="E2334" s="5" t="s">
        <v>20</v>
      </c>
      <c r="F2334" s="17">
        <v>63.94</v>
      </c>
      <c r="G2334" s="3">
        <v>4</v>
      </c>
      <c r="H2334" s="17">
        <f>Table1[[#This Row],[Unit price]]*Table1[[#This Row],[Quantity]]</f>
        <v>255.76</v>
      </c>
      <c r="I2334" s="29">
        <f>Table1[[#This Row],[Total Revenue]]/$H$5056*100</f>
        <v>2.7135048268525343E-2</v>
      </c>
      <c r="J2334" s="3" t="s">
        <v>15</v>
      </c>
      <c r="K2334" s="4">
        <v>6.3</v>
      </c>
      <c r="M2334"/>
    </row>
    <row r="2335" spans="1:13" x14ac:dyDescent="0.25">
      <c r="A2335" s="2">
        <v>45389</v>
      </c>
      <c r="B2335" s="3" t="s">
        <v>245</v>
      </c>
      <c r="C2335" s="3" t="s">
        <v>13</v>
      </c>
      <c r="D2335" s="3" t="s">
        <v>10</v>
      </c>
      <c r="E2335" s="5" t="s">
        <v>16</v>
      </c>
      <c r="F2335" s="17">
        <v>69.12</v>
      </c>
      <c r="G2335" s="3">
        <v>1</v>
      </c>
      <c r="H2335" s="17">
        <f>Table1[[#This Row],[Unit price]]*Table1[[#This Row],[Quantity]]</f>
        <v>69.12</v>
      </c>
      <c r="I2335" s="29">
        <f>Table1[[#This Row],[Total Revenue]]/$H$5056*100</f>
        <v>7.333338036911447E-3</v>
      </c>
      <c r="J2335" s="3" t="s">
        <v>12</v>
      </c>
      <c r="K2335" s="4">
        <v>8.4</v>
      </c>
      <c r="M2335"/>
    </row>
    <row r="2336" spans="1:13" x14ac:dyDescent="0.25">
      <c r="A2336" s="2">
        <v>45389</v>
      </c>
      <c r="B2336" s="3" t="s">
        <v>243</v>
      </c>
      <c r="C2336" s="3" t="s">
        <v>13</v>
      </c>
      <c r="D2336" s="3" t="s">
        <v>10</v>
      </c>
      <c r="E2336" s="5" t="s">
        <v>18</v>
      </c>
      <c r="F2336" s="17">
        <v>12.47</v>
      </c>
      <c r="G2336" s="3">
        <v>3</v>
      </c>
      <c r="H2336" s="17">
        <f>Table1[[#This Row],[Unit price]]*Table1[[#This Row],[Quantity]]</f>
        <v>37.410000000000004</v>
      </c>
      <c r="I2336" s="29">
        <f>Table1[[#This Row],[Total Revenue]]/$H$5056*100</f>
        <v>3.9690418975818469E-3</v>
      </c>
      <c r="J2336" s="3" t="s">
        <v>15</v>
      </c>
      <c r="K2336" s="4">
        <v>6.8</v>
      </c>
      <c r="M2336"/>
    </row>
    <row r="2337" spans="1:13" x14ac:dyDescent="0.25">
      <c r="A2337" s="2">
        <v>45389</v>
      </c>
      <c r="B2337" s="3" t="s">
        <v>244</v>
      </c>
      <c r="C2337" s="3" t="s">
        <v>13</v>
      </c>
      <c r="D2337" s="3" t="s">
        <v>10</v>
      </c>
      <c r="E2337" s="5" t="s">
        <v>11</v>
      </c>
      <c r="F2337" s="17">
        <v>4.84</v>
      </c>
      <c r="G2337" s="3">
        <v>1</v>
      </c>
      <c r="H2337" s="17">
        <f>Table1[[#This Row],[Unit price]]*Table1[[#This Row],[Quantity]]</f>
        <v>4.84</v>
      </c>
      <c r="I2337" s="29">
        <f>Table1[[#This Row],[Total Revenue]]/$H$5056*100</f>
        <v>5.1350341577910017E-4</v>
      </c>
      <c r="J2337" s="3" t="s">
        <v>12</v>
      </c>
      <c r="K2337" s="4">
        <v>6.7</v>
      </c>
      <c r="M2337"/>
    </row>
    <row r="2338" spans="1:13" x14ac:dyDescent="0.25">
      <c r="A2338" s="2">
        <v>45389</v>
      </c>
      <c r="B2338" s="3" t="s">
        <v>243</v>
      </c>
      <c r="C2338" s="3" t="s">
        <v>13</v>
      </c>
      <c r="D2338" s="3" t="s">
        <v>19</v>
      </c>
      <c r="E2338" s="5" t="s">
        <v>11</v>
      </c>
      <c r="F2338" s="17">
        <v>2.57</v>
      </c>
      <c r="G2338" s="3">
        <v>2</v>
      </c>
      <c r="H2338" s="17">
        <f>Table1[[#This Row],[Unit price]]*Table1[[#This Row],[Quantity]]</f>
        <v>5.14</v>
      </c>
      <c r="I2338" s="29">
        <f>Table1[[#This Row],[Total Revenue]]/$H$5056*100</f>
        <v>5.4533213989763941E-4</v>
      </c>
      <c r="J2338" s="3" t="s">
        <v>15</v>
      </c>
      <c r="K2338" s="4">
        <v>8.8000000000000007</v>
      </c>
      <c r="M2338"/>
    </row>
    <row r="2339" spans="1:13" x14ac:dyDescent="0.25">
      <c r="A2339" s="2">
        <v>45389</v>
      </c>
      <c r="B2339" s="3" t="s">
        <v>243</v>
      </c>
      <c r="C2339" s="3" t="s">
        <v>13</v>
      </c>
      <c r="D2339" s="3" t="s">
        <v>19</v>
      </c>
      <c r="E2339" s="5" t="s">
        <v>11</v>
      </c>
      <c r="F2339" s="17">
        <v>7.81</v>
      </c>
      <c r="G2339" s="3">
        <v>3</v>
      </c>
      <c r="H2339" s="17">
        <f>Table1[[#This Row],[Unit price]]*Table1[[#This Row],[Quantity]]</f>
        <v>23.43</v>
      </c>
      <c r="I2339" s="29">
        <f>Table1[[#This Row],[Total Revenue]]/$H$5056*100</f>
        <v>2.4858233536579166E-3</v>
      </c>
      <c r="J2339" s="3" t="s">
        <v>15</v>
      </c>
      <c r="K2339" s="4">
        <v>6.8</v>
      </c>
      <c r="M2339"/>
    </row>
    <row r="2340" spans="1:13" x14ac:dyDescent="0.25">
      <c r="A2340" s="2">
        <v>45389</v>
      </c>
      <c r="B2340" s="3" t="s">
        <v>244</v>
      </c>
      <c r="C2340" s="3" t="s">
        <v>13</v>
      </c>
      <c r="D2340" s="3" t="s">
        <v>19</v>
      </c>
      <c r="E2340" s="5" t="s">
        <v>11</v>
      </c>
      <c r="F2340" s="17">
        <v>7.05</v>
      </c>
      <c r="G2340" s="3">
        <v>4</v>
      </c>
      <c r="H2340" s="17">
        <f>Table1[[#This Row],[Unit price]]*Table1[[#This Row],[Quantity]]</f>
        <v>28.2</v>
      </c>
      <c r="I2340" s="29">
        <f>Table1[[#This Row],[Total Revenue]]/$H$5056*100</f>
        <v>2.9919000671426907E-3</v>
      </c>
      <c r="J2340" s="3" t="s">
        <v>12</v>
      </c>
      <c r="K2340" s="4">
        <v>7.9</v>
      </c>
      <c r="M2340"/>
    </row>
    <row r="2341" spans="1:13" x14ac:dyDescent="0.25">
      <c r="A2341" s="2">
        <v>45389</v>
      </c>
      <c r="B2341" s="3" t="s">
        <v>245</v>
      </c>
      <c r="C2341" s="3" t="s">
        <v>13</v>
      </c>
      <c r="D2341" s="3" t="s">
        <v>10</v>
      </c>
      <c r="E2341" s="5" t="s">
        <v>11</v>
      </c>
      <c r="F2341" s="17">
        <v>4.33</v>
      </c>
      <c r="G2341" s="3">
        <v>2</v>
      </c>
      <c r="H2341" s="17">
        <f>Table1[[#This Row],[Unit price]]*Table1[[#This Row],[Quantity]]</f>
        <v>8.66</v>
      </c>
      <c r="I2341" s="29">
        <f>Table1[[#This Row],[Total Revenue]]/$H$5056*100</f>
        <v>9.1878916955516682E-4</v>
      </c>
      <c r="J2341" s="3" t="s">
        <v>12</v>
      </c>
      <c r="K2341" s="4">
        <v>7.2</v>
      </c>
      <c r="M2341"/>
    </row>
    <row r="2342" spans="1:13" x14ac:dyDescent="0.25">
      <c r="A2342" s="2">
        <v>45389</v>
      </c>
      <c r="B2342" s="3" t="s">
        <v>243</v>
      </c>
      <c r="C2342" s="3" t="s">
        <v>13</v>
      </c>
      <c r="D2342" s="3" t="s">
        <v>10</v>
      </c>
      <c r="E2342" s="5" t="s">
        <v>16</v>
      </c>
      <c r="F2342" s="17">
        <v>62.05</v>
      </c>
      <c r="G2342" s="3">
        <v>1</v>
      </c>
      <c r="H2342" s="17">
        <f>Table1[[#This Row],[Unit price]]*Table1[[#This Row],[Quantity]]</f>
        <v>62.05</v>
      </c>
      <c r="I2342" s="29">
        <f>Table1[[#This Row],[Total Revenue]]/$H$5056*100</f>
        <v>6.5832411051845383E-3</v>
      </c>
      <c r="J2342" s="3" t="s">
        <v>15</v>
      </c>
      <c r="K2342" s="4">
        <v>7.7</v>
      </c>
      <c r="M2342"/>
    </row>
    <row r="2343" spans="1:13" x14ac:dyDescent="0.25">
      <c r="A2343" s="2">
        <v>45389</v>
      </c>
      <c r="B2343" s="3" t="s">
        <v>243</v>
      </c>
      <c r="C2343" s="3" t="s">
        <v>9</v>
      </c>
      <c r="D2343" s="3" t="s">
        <v>10</v>
      </c>
      <c r="E2343" s="5" t="s">
        <v>20</v>
      </c>
      <c r="F2343" s="17">
        <v>73.540000000000006</v>
      </c>
      <c r="G2343" s="3">
        <v>3</v>
      </c>
      <c r="H2343" s="17">
        <f>Table1[[#This Row],[Unit price]]*Table1[[#This Row],[Quantity]]</f>
        <v>220.62</v>
      </c>
      <c r="I2343" s="29">
        <f>Table1[[#This Row],[Total Revenue]]/$H$5056*100</f>
        <v>2.3406843716773776E-2</v>
      </c>
      <c r="J2343" s="3" t="s">
        <v>17</v>
      </c>
      <c r="K2343" s="4">
        <v>7.8</v>
      </c>
      <c r="M2343"/>
    </row>
    <row r="2344" spans="1:13" x14ac:dyDescent="0.25">
      <c r="A2344" s="2">
        <v>45419</v>
      </c>
      <c r="B2344" s="3" t="s">
        <v>244</v>
      </c>
      <c r="C2344" s="3" t="s">
        <v>13</v>
      </c>
      <c r="D2344" s="3" t="s">
        <v>19</v>
      </c>
      <c r="E2344" s="5" t="s">
        <v>11</v>
      </c>
      <c r="F2344" s="17">
        <v>7.25</v>
      </c>
      <c r="G2344" s="3">
        <v>2</v>
      </c>
      <c r="H2344" s="17">
        <f>Table1[[#This Row],[Unit price]]*Table1[[#This Row],[Quantity]]</f>
        <v>14.5</v>
      </c>
      <c r="I2344" s="29">
        <f>Table1[[#This Row],[Total Revenue]]/$H$5056*100</f>
        <v>1.5383883323960646E-3</v>
      </c>
      <c r="J2344" s="3" t="s">
        <v>17</v>
      </c>
      <c r="K2344" s="4">
        <v>7.5</v>
      </c>
      <c r="M2344"/>
    </row>
    <row r="2345" spans="1:13" x14ac:dyDescent="0.25">
      <c r="A2345" s="2">
        <v>45419</v>
      </c>
      <c r="B2345" s="3" t="s">
        <v>243</v>
      </c>
      <c r="C2345" s="3" t="s">
        <v>13</v>
      </c>
      <c r="D2345" s="3" t="s">
        <v>19</v>
      </c>
      <c r="E2345" s="5" t="s">
        <v>21</v>
      </c>
      <c r="F2345" s="17">
        <v>22.46</v>
      </c>
      <c r="G2345" s="3">
        <v>4</v>
      </c>
      <c r="H2345" s="17">
        <f>Table1[[#This Row],[Unit price]]*Table1[[#This Row],[Quantity]]</f>
        <v>89.84</v>
      </c>
      <c r="I2345" s="29">
        <f>Table1[[#This Row],[Total Revenue]]/$H$5056*100</f>
        <v>9.5316419160318931E-3</v>
      </c>
      <c r="J2345" s="3" t="s">
        <v>17</v>
      </c>
      <c r="K2345" s="4">
        <v>5.7</v>
      </c>
      <c r="M2345"/>
    </row>
    <row r="2346" spans="1:13" x14ac:dyDescent="0.25">
      <c r="A2346" s="2">
        <v>45419</v>
      </c>
      <c r="B2346" s="3" t="s">
        <v>245</v>
      </c>
      <c r="C2346" s="3" t="s">
        <v>13</v>
      </c>
      <c r="D2346" s="3" t="s">
        <v>19</v>
      </c>
      <c r="E2346" s="5" t="s">
        <v>11</v>
      </c>
      <c r="F2346" s="17">
        <v>7.5</v>
      </c>
      <c r="G2346" s="3">
        <v>2</v>
      </c>
      <c r="H2346" s="17">
        <f>Table1[[#This Row],[Unit price]]*Table1[[#This Row],[Quantity]]</f>
        <v>15</v>
      </c>
      <c r="I2346" s="29">
        <f>Table1[[#This Row],[Total Revenue]]/$H$5056*100</f>
        <v>1.5914362059269633E-3</v>
      </c>
      <c r="J2346" s="3" t="s">
        <v>17</v>
      </c>
      <c r="K2346" s="4">
        <v>8.1999999999999993</v>
      </c>
      <c r="M2346"/>
    </row>
    <row r="2347" spans="1:13" x14ac:dyDescent="0.25">
      <c r="A2347" s="2">
        <v>45419</v>
      </c>
      <c r="B2347" s="3" t="s">
        <v>243</v>
      </c>
      <c r="C2347" s="3" t="s">
        <v>13</v>
      </c>
      <c r="D2347" s="3" t="s">
        <v>10</v>
      </c>
      <c r="E2347" s="5" t="s">
        <v>11</v>
      </c>
      <c r="F2347" s="17">
        <v>7.53</v>
      </c>
      <c r="G2347" s="3">
        <v>2</v>
      </c>
      <c r="H2347" s="17">
        <f>Table1[[#This Row],[Unit price]]*Table1[[#This Row],[Quantity]]</f>
        <v>15.06</v>
      </c>
      <c r="I2347" s="29">
        <f>Table1[[#This Row],[Total Revenue]]/$H$5056*100</f>
        <v>1.5978019507506714E-3</v>
      </c>
      <c r="J2347" s="3" t="s">
        <v>17</v>
      </c>
      <c r="K2347" s="4">
        <v>6.5</v>
      </c>
      <c r="M2347"/>
    </row>
    <row r="2348" spans="1:13" x14ac:dyDescent="0.25">
      <c r="A2348" s="2">
        <v>45419</v>
      </c>
      <c r="B2348" s="3" t="s">
        <v>244</v>
      </c>
      <c r="C2348" s="3" t="s">
        <v>9</v>
      </c>
      <c r="D2348" s="3" t="s">
        <v>10</v>
      </c>
      <c r="E2348" s="5" t="s">
        <v>11</v>
      </c>
      <c r="F2348" s="17">
        <v>5.25</v>
      </c>
      <c r="G2348" s="3">
        <v>1</v>
      </c>
      <c r="H2348" s="17">
        <f>Table1[[#This Row],[Unit price]]*Table1[[#This Row],[Quantity]]</f>
        <v>5.25</v>
      </c>
      <c r="I2348" s="29">
        <f>Table1[[#This Row],[Total Revenue]]/$H$5056*100</f>
        <v>5.5700267207443714E-4</v>
      </c>
      <c r="J2348" s="3" t="s">
        <v>17</v>
      </c>
      <c r="K2348" s="4">
        <v>6.8</v>
      </c>
      <c r="M2348"/>
    </row>
    <row r="2349" spans="1:13" x14ac:dyDescent="0.25">
      <c r="A2349" s="2">
        <v>45419</v>
      </c>
      <c r="B2349" s="3" t="s">
        <v>245</v>
      </c>
      <c r="C2349" s="3" t="s">
        <v>13</v>
      </c>
      <c r="D2349" s="3" t="s">
        <v>10</v>
      </c>
      <c r="E2349" s="5" t="s">
        <v>21</v>
      </c>
      <c r="F2349" s="17">
        <v>29.87</v>
      </c>
      <c r="G2349" s="3">
        <v>2</v>
      </c>
      <c r="H2349" s="17">
        <f>Table1[[#This Row],[Unit price]]*Table1[[#This Row],[Quantity]]</f>
        <v>59.74</v>
      </c>
      <c r="I2349" s="29">
        <f>Table1[[#This Row],[Total Revenue]]/$H$5056*100</f>
        <v>6.3381599294717863E-3</v>
      </c>
      <c r="J2349" s="3" t="s">
        <v>15</v>
      </c>
      <c r="K2349" s="4">
        <v>8.1</v>
      </c>
      <c r="M2349"/>
    </row>
    <row r="2350" spans="1:13" x14ac:dyDescent="0.25">
      <c r="A2350" s="2">
        <v>45419</v>
      </c>
      <c r="B2350" s="3" t="s">
        <v>243</v>
      </c>
      <c r="C2350" s="3" t="s">
        <v>13</v>
      </c>
      <c r="D2350" s="3" t="s">
        <v>19</v>
      </c>
      <c r="E2350" s="5" t="s">
        <v>20</v>
      </c>
      <c r="F2350" s="17">
        <v>72.72</v>
      </c>
      <c r="G2350" s="3">
        <v>1</v>
      </c>
      <c r="H2350" s="17">
        <f>Table1[[#This Row],[Unit price]]*Table1[[#This Row],[Quantity]]</f>
        <v>72.72</v>
      </c>
      <c r="I2350" s="29">
        <f>Table1[[#This Row],[Total Revenue]]/$H$5056*100</f>
        <v>7.7152827263339179E-3</v>
      </c>
      <c r="J2350" s="3" t="s">
        <v>15</v>
      </c>
      <c r="K2350" s="4">
        <v>7.1</v>
      </c>
      <c r="M2350"/>
    </row>
    <row r="2351" spans="1:13" x14ac:dyDescent="0.25">
      <c r="A2351" s="2">
        <v>45419</v>
      </c>
      <c r="B2351" s="3" t="s">
        <v>244</v>
      </c>
      <c r="C2351" s="3" t="s">
        <v>13</v>
      </c>
      <c r="D2351" s="3" t="s">
        <v>19</v>
      </c>
      <c r="E2351" s="5" t="s">
        <v>21</v>
      </c>
      <c r="F2351" s="17">
        <v>28.9</v>
      </c>
      <c r="G2351" s="3">
        <v>3</v>
      </c>
      <c r="H2351" s="17">
        <f>Table1[[#This Row],[Unit price]]*Table1[[#This Row],[Quantity]]</f>
        <v>86.699999999999989</v>
      </c>
      <c r="I2351" s="29">
        <f>Table1[[#This Row],[Total Revenue]]/$H$5056*100</f>
        <v>9.1985012702578469E-3</v>
      </c>
      <c r="J2351" s="3" t="s">
        <v>12</v>
      </c>
      <c r="K2351" s="4">
        <v>8.8000000000000007</v>
      </c>
      <c r="M2351"/>
    </row>
    <row r="2352" spans="1:13" x14ac:dyDescent="0.25">
      <c r="A2352" s="2">
        <v>45419</v>
      </c>
      <c r="B2352" s="3" t="s">
        <v>243</v>
      </c>
      <c r="C2352" s="3" t="s">
        <v>13</v>
      </c>
      <c r="D2352" s="3" t="s">
        <v>10</v>
      </c>
      <c r="E2352" s="5" t="s">
        <v>21</v>
      </c>
      <c r="F2352" s="17">
        <v>30.95</v>
      </c>
      <c r="G2352" s="3">
        <v>3</v>
      </c>
      <c r="H2352" s="17">
        <f>Table1[[#This Row],[Unit price]]*Table1[[#This Row],[Quantity]]</f>
        <v>92.85</v>
      </c>
      <c r="I2352" s="29">
        <f>Table1[[#This Row],[Total Revenue]]/$H$5056*100</f>
        <v>9.850990114687902E-3</v>
      </c>
      <c r="J2352" s="3" t="s">
        <v>17</v>
      </c>
      <c r="K2352" s="4">
        <v>8.1999999999999993</v>
      </c>
      <c r="M2352"/>
    </row>
    <row r="2353" spans="1:13" x14ac:dyDescent="0.25">
      <c r="A2353" s="2">
        <v>45419</v>
      </c>
      <c r="B2353" s="3" t="s">
        <v>244</v>
      </c>
      <c r="C2353" s="3" t="s">
        <v>13</v>
      </c>
      <c r="D2353" s="3" t="s">
        <v>10</v>
      </c>
      <c r="E2353" s="5" t="s">
        <v>20</v>
      </c>
      <c r="F2353" s="17">
        <v>65.27</v>
      </c>
      <c r="G2353" s="3">
        <v>4</v>
      </c>
      <c r="H2353" s="17">
        <f>Table1[[#This Row],[Unit price]]*Table1[[#This Row],[Quantity]]</f>
        <v>261.08</v>
      </c>
      <c r="I2353" s="29">
        <f>Table1[[#This Row],[Total Revenue]]/$H$5056*100</f>
        <v>2.7699477642894103E-2</v>
      </c>
      <c r="J2353" s="3" t="s">
        <v>15</v>
      </c>
      <c r="K2353" s="4">
        <v>6.2</v>
      </c>
      <c r="M2353"/>
    </row>
    <row r="2354" spans="1:13" x14ac:dyDescent="0.25">
      <c r="A2354" s="2">
        <v>45419</v>
      </c>
      <c r="B2354" s="3" t="s">
        <v>245</v>
      </c>
      <c r="C2354" s="3" t="s">
        <v>13</v>
      </c>
      <c r="D2354" s="3" t="s">
        <v>10</v>
      </c>
      <c r="E2354" s="5" t="s">
        <v>21</v>
      </c>
      <c r="F2354" s="17">
        <v>16.649999999999999</v>
      </c>
      <c r="G2354" s="3">
        <v>2</v>
      </c>
      <c r="H2354" s="17">
        <f>Table1[[#This Row],[Unit price]]*Table1[[#This Row],[Quantity]]</f>
        <v>33.299999999999997</v>
      </c>
      <c r="I2354" s="29">
        <f>Table1[[#This Row],[Total Revenue]]/$H$5056*100</f>
        <v>3.5329883771578583E-3</v>
      </c>
      <c r="J2354" s="3" t="s">
        <v>17</v>
      </c>
      <c r="K2354" s="4">
        <v>6</v>
      </c>
      <c r="M2354"/>
    </row>
    <row r="2355" spans="1:13" x14ac:dyDescent="0.25">
      <c r="A2355" s="2">
        <v>45419</v>
      </c>
      <c r="B2355" s="3" t="s">
        <v>243</v>
      </c>
      <c r="C2355" s="3" t="s">
        <v>9</v>
      </c>
      <c r="D2355" s="3" t="s">
        <v>10</v>
      </c>
      <c r="E2355" s="5" t="s">
        <v>11</v>
      </c>
      <c r="F2355" s="17">
        <v>7.22</v>
      </c>
      <c r="G2355" s="3">
        <v>6</v>
      </c>
      <c r="H2355" s="17">
        <f>Table1[[#This Row],[Unit price]]*Table1[[#This Row],[Quantity]]</f>
        <v>43.32</v>
      </c>
      <c r="I2355" s="29">
        <f>Table1[[#This Row],[Total Revenue]]/$H$5056*100</f>
        <v>4.5960677627170697E-3</v>
      </c>
      <c r="J2355" s="3" t="s">
        <v>12</v>
      </c>
      <c r="K2355" s="4">
        <v>6.9</v>
      </c>
      <c r="M2355"/>
    </row>
    <row r="2356" spans="1:13" x14ac:dyDescent="0.25">
      <c r="A2356" s="2">
        <v>45419</v>
      </c>
      <c r="B2356" s="3" t="s">
        <v>244</v>
      </c>
      <c r="C2356" s="3" t="s">
        <v>13</v>
      </c>
      <c r="D2356" s="3" t="s">
        <v>19</v>
      </c>
      <c r="E2356" s="5" t="s">
        <v>21</v>
      </c>
      <c r="F2356" s="17">
        <v>27.8</v>
      </c>
      <c r="G2356" s="3">
        <v>3</v>
      </c>
      <c r="H2356" s="17">
        <f>Table1[[#This Row],[Unit price]]*Table1[[#This Row],[Quantity]]</f>
        <v>83.4</v>
      </c>
      <c r="I2356" s="29">
        <f>Table1[[#This Row],[Total Revenue]]/$H$5056*100</f>
        <v>8.8483853049539166E-3</v>
      </c>
      <c r="J2356" s="3" t="s">
        <v>15</v>
      </c>
      <c r="K2356" s="4">
        <v>6.3</v>
      </c>
      <c r="M2356"/>
    </row>
    <row r="2357" spans="1:13" x14ac:dyDescent="0.25">
      <c r="A2357" s="2">
        <v>45419</v>
      </c>
      <c r="B2357" s="3" t="s">
        <v>245</v>
      </c>
      <c r="C2357" s="3" t="s">
        <v>13</v>
      </c>
      <c r="D2357" s="3" t="s">
        <v>19</v>
      </c>
      <c r="E2357" s="5" t="s">
        <v>21</v>
      </c>
      <c r="F2357" s="17">
        <v>32.99</v>
      </c>
      <c r="G2357" s="3">
        <v>3</v>
      </c>
      <c r="H2357" s="17">
        <f>Table1[[#This Row],[Unit price]]*Table1[[#This Row],[Quantity]]</f>
        <v>98.97</v>
      </c>
      <c r="I2357" s="29">
        <f>Table1[[#This Row],[Total Revenue]]/$H$5056*100</f>
        <v>1.0500296086706105E-2</v>
      </c>
      <c r="J2357" s="3" t="s">
        <v>15</v>
      </c>
      <c r="K2357" s="4">
        <v>6</v>
      </c>
      <c r="M2357"/>
    </row>
    <row r="2358" spans="1:13" x14ac:dyDescent="0.25">
      <c r="A2358" s="2">
        <v>45419</v>
      </c>
      <c r="B2358" s="3" t="s">
        <v>244</v>
      </c>
      <c r="C2358" s="3" t="s">
        <v>13</v>
      </c>
      <c r="D2358" s="3" t="s">
        <v>19</v>
      </c>
      <c r="E2358" s="5" t="s">
        <v>11</v>
      </c>
      <c r="F2358" s="17">
        <v>6.22</v>
      </c>
      <c r="G2358" s="3">
        <v>5</v>
      </c>
      <c r="H2358" s="17">
        <f>Table1[[#This Row],[Unit price]]*Table1[[#This Row],[Quantity]]</f>
        <v>31.099999999999998</v>
      </c>
      <c r="I2358" s="29">
        <f>Table1[[#This Row],[Total Revenue]]/$H$5056*100</f>
        <v>3.2995777336219038E-3</v>
      </c>
      <c r="J2358" s="3" t="s">
        <v>17</v>
      </c>
      <c r="K2358" s="4">
        <v>8.1999999999999993</v>
      </c>
      <c r="M2358"/>
    </row>
    <row r="2359" spans="1:13" x14ac:dyDescent="0.25">
      <c r="A2359" s="2">
        <v>45419</v>
      </c>
      <c r="B2359" s="3" t="s">
        <v>243</v>
      </c>
      <c r="C2359" s="3" t="s">
        <v>13</v>
      </c>
      <c r="D2359" s="3" t="s">
        <v>10</v>
      </c>
      <c r="E2359" s="5" t="s">
        <v>16</v>
      </c>
      <c r="F2359" s="17">
        <v>74.489999999999995</v>
      </c>
      <c r="G2359" s="3">
        <v>1</v>
      </c>
      <c r="H2359" s="17">
        <f>Table1[[#This Row],[Unit price]]*Table1[[#This Row],[Quantity]]</f>
        <v>74.489999999999995</v>
      </c>
      <c r="I2359" s="29">
        <f>Table1[[#This Row],[Total Revenue]]/$H$5056*100</f>
        <v>7.9030721986332996E-3</v>
      </c>
      <c r="J2359" s="3" t="s">
        <v>15</v>
      </c>
      <c r="K2359" s="4">
        <v>7.7</v>
      </c>
      <c r="M2359"/>
    </row>
    <row r="2360" spans="1:13" x14ac:dyDescent="0.25">
      <c r="A2360" s="2">
        <v>45419</v>
      </c>
      <c r="B2360" s="3" t="s">
        <v>243</v>
      </c>
      <c r="C2360" s="3" t="s">
        <v>13</v>
      </c>
      <c r="D2360" s="3" t="s">
        <v>19</v>
      </c>
      <c r="E2360" s="5" t="s">
        <v>16</v>
      </c>
      <c r="F2360" s="17">
        <v>58.27</v>
      </c>
      <c r="G2360" s="3">
        <v>2</v>
      </c>
      <c r="H2360" s="17">
        <f>Table1[[#This Row],[Unit price]]*Table1[[#This Row],[Quantity]]</f>
        <v>116.54</v>
      </c>
      <c r="I2360" s="29">
        <f>Table1[[#This Row],[Total Revenue]]/$H$5056*100</f>
        <v>1.2364398362581887E-2</v>
      </c>
      <c r="J2360" s="3" t="s">
        <v>15</v>
      </c>
      <c r="K2360" s="4">
        <v>6</v>
      </c>
      <c r="M2360"/>
    </row>
    <row r="2361" spans="1:13" x14ac:dyDescent="0.25">
      <c r="A2361" s="2">
        <v>45450</v>
      </c>
      <c r="B2361" s="3" t="s">
        <v>245</v>
      </c>
      <c r="C2361" s="3" t="s">
        <v>13</v>
      </c>
      <c r="D2361" s="3" t="s">
        <v>10</v>
      </c>
      <c r="E2361" s="5" t="s">
        <v>11</v>
      </c>
      <c r="F2361" s="17">
        <v>3.15</v>
      </c>
      <c r="G2361" s="3">
        <v>3</v>
      </c>
      <c r="H2361" s="17">
        <f>Table1[[#This Row],[Unit price]]*Table1[[#This Row],[Quantity]]</f>
        <v>9.4499999999999993</v>
      </c>
      <c r="I2361" s="29">
        <f>Table1[[#This Row],[Total Revenue]]/$H$5056*100</f>
        <v>1.0026048097339867E-3</v>
      </c>
      <c r="J2361" s="3" t="s">
        <v>17</v>
      </c>
      <c r="K2361" s="4">
        <v>6</v>
      </c>
      <c r="M2361"/>
    </row>
    <row r="2362" spans="1:13" x14ac:dyDescent="0.25">
      <c r="A2362" s="2">
        <v>45450</v>
      </c>
      <c r="B2362" s="3" t="s">
        <v>244</v>
      </c>
      <c r="C2362" s="3" t="s">
        <v>13</v>
      </c>
      <c r="D2362" s="3" t="s">
        <v>19</v>
      </c>
      <c r="E2362" s="5" t="s">
        <v>16</v>
      </c>
      <c r="F2362" s="17">
        <v>70.900000000000006</v>
      </c>
      <c r="G2362" s="3">
        <v>1</v>
      </c>
      <c r="H2362" s="17">
        <f>Table1[[#This Row],[Unit price]]*Table1[[#This Row],[Quantity]]</f>
        <v>70.900000000000006</v>
      </c>
      <c r="I2362" s="29">
        <f>Table1[[#This Row],[Total Revenue]]/$H$5056*100</f>
        <v>7.5221884666814469E-3</v>
      </c>
      <c r="J2362" s="3" t="s">
        <v>12</v>
      </c>
      <c r="K2362" s="4">
        <v>8</v>
      </c>
      <c r="M2362"/>
    </row>
    <row r="2363" spans="1:13" x14ac:dyDescent="0.25">
      <c r="A2363" s="2">
        <v>45450</v>
      </c>
      <c r="B2363" s="3" t="s">
        <v>244</v>
      </c>
      <c r="C2363" s="3" t="s">
        <v>13</v>
      </c>
      <c r="D2363" s="3" t="s">
        <v>19</v>
      </c>
      <c r="E2363" s="5" t="s">
        <v>11</v>
      </c>
      <c r="F2363" s="17">
        <v>4.09</v>
      </c>
      <c r="G2363" s="3">
        <v>2</v>
      </c>
      <c r="H2363" s="17">
        <f>Table1[[#This Row],[Unit price]]*Table1[[#This Row],[Quantity]]</f>
        <v>8.18</v>
      </c>
      <c r="I2363" s="29">
        <f>Table1[[#This Row],[Total Revenue]]/$H$5056*100</f>
        <v>8.6786321096550404E-4</v>
      </c>
      <c r="J2363" s="3" t="s">
        <v>15</v>
      </c>
      <c r="K2363" s="4">
        <v>7.5</v>
      </c>
      <c r="M2363"/>
    </row>
    <row r="2364" spans="1:13" x14ac:dyDescent="0.25">
      <c r="A2364" s="2">
        <v>45450</v>
      </c>
      <c r="B2364" s="3" t="s">
        <v>244</v>
      </c>
      <c r="C2364" s="3" t="s">
        <v>9</v>
      </c>
      <c r="D2364" s="3" t="s">
        <v>19</v>
      </c>
      <c r="E2364" s="5" t="s">
        <v>20</v>
      </c>
      <c r="F2364" s="17">
        <v>70.739999999999995</v>
      </c>
      <c r="G2364" s="3">
        <v>3</v>
      </c>
      <c r="H2364" s="17">
        <f>Table1[[#This Row],[Unit price]]*Table1[[#This Row],[Quantity]]</f>
        <v>212.21999999999997</v>
      </c>
      <c r="I2364" s="29">
        <f>Table1[[#This Row],[Total Revenue]]/$H$5056*100</f>
        <v>2.2515639441454675E-2</v>
      </c>
      <c r="J2364" s="3" t="s">
        <v>12</v>
      </c>
      <c r="K2364" s="4">
        <v>8.5</v>
      </c>
      <c r="M2364"/>
    </row>
    <row r="2365" spans="1:13" x14ac:dyDescent="0.25">
      <c r="A2365" s="2">
        <v>45450</v>
      </c>
      <c r="B2365" s="3" t="s">
        <v>243</v>
      </c>
      <c r="C2365" s="3" t="s">
        <v>9</v>
      </c>
      <c r="D2365" s="3" t="s">
        <v>19</v>
      </c>
      <c r="E2365" s="5" t="s">
        <v>21</v>
      </c>
      <c r="F2365" s="17">
        <v>34.909999999999997</v>
      </c>
      <c r="G2365" s="3">
        <v>2</v>
      </c>
      <c r="H2365" s="17">
        <f>Table1[[#This Row],[Unit price]]*Table1[[#This Row],[Quantity]]</f>
        <v>69.819999999999993</v>
      </c>
      <c r="I2365" s="29">
        <f>Table1[[#This Row],[Total Revenue]]/$H$5056*100</f>
        <v>7.4076050598547039E-3</v>
      </c>
      <c r="J2365" s="3" t="s">
        <v>15</v>
      </c>
      <c r="K2365" s="4">
        <v>6.1</v>
      </c>
      <c r="M2365"/>
    </row>
    <row r="2366" spans="1:13" x14ac:dyDescent="0.25">
      <c r="A2366" s="2">
        <v>45450</v>
      </c>
      <c r="B2366" s="3" t="s">
        <v>244</v>
      </c>
      <c r="C2366" s="3" t="s">
        <v>9</v>
      </c>
      <c r="D2366" s="3" t="s">
        <v>10</v>
      </c>
      <c r="E2366" s="5" t="s">
        <v>18</v>
      </c>
      <c r="F2366" s="17">
        <v>18.34</v>
      </c>
      <c r="G2366" s="3">
        <v>3</v>
      </c>
      <c r="H2366" s="17">
        <f>Table1[[#This Row],[Unit price]]*Table1[[#This Row],[Quantity]]</f>
        <v>55.019999999999996</v>
      </c>
      <c r="I2366" s="29">
        <f>Table1[[#This Row],[Total Revenue]]/$H$5056*100</f>
        <v>5.8373880033401005E-3</v>
      </c>
      <c r="J2366" s="3" t="s">
        <v>17</v>
      </c>
      <c r="K2366" s="4">
        <v>7.6</v>
      </c>
      <c r="M2366"/>
    </row>
    <row r="2367" spans="1:13" x14ac:dyDescent="0.25">
      <c r="A2367" s="2">
        <v>45450</v>
      </c>
      <c r="B2367" s="3" t="s">
        <v>244</v>
      </c>
      <c r="C2367" s="3" t="s">
        <v>13</v>
      </c>
      <c r="D2367" s="3" t="s">
        <v>19</v>
      </c>
      <c r="E2367" s="5" t="s">
        <v>11</v>
      </c>
      <c r="F2367" s="17">
        <v>3.52</v>
      </c>
      <c r="G2367" s="3">
        <v>2</v>
      </c>
      <c r="H2367" s="17">
        <f>Table1[[#This Row],[Unit price]]*Table1[[#This Row],[Quantity]]</f>
        <v>7.04</v>
      </c>
      <c r="I2367" s="29">
        <f>Table1[[#This Row],[Total Revenue]]/$H$5056*100</f>
        <v>7.4691405931505482E-4</v>
      </c>
      <c r="J2367" s="3" t="s">
        <v>17</v>
      </c>
      <c r="K2367" s="4">
        <v>6.5</v>
      </c>
      <c r="M2367"/>
    </row>
    <row r="2368" spans="1:13" x14ac:dyDescent="0.25">
      <c r="A2368" s="2">
        <v>45450</v>
      </c>
      <c r="B2368" s="3" t="s">
        <v>243</v>
      </c>
      <c r="C2368" s="3" t="s">
        <v>9</v>
      </c>
      <c r="D2368" s="3" t="s">
        <v>10</v>
      </c>
      <c r="E2368" s="5" t="s">
        <v>11</v>
      </c>
      <c r="F2368" s="17">
        <v>5.38</v>
      </c>
      <c r="G2368" s="3">
        <v>3</v>
      </c>
      <c r="H2368" s="17">
        <f>Table1[[#This Row],[Unit price]]*Table1[[#This Row],[Quantity]]</f>
        <v>16.14</v>
      </c>
      <c r="I2368" s="29">
        <f>Table1[[#This Row],[Total Revenue]]/$H$5056*100</f>
        <v>1.7123853575774129E-3</v>
      </c>
      <c r="J2368" s="3" t="s">
        <v>15</v>
      </c>
      <c r="K2368" s="4">
        <v>5.7</v>
      </c>
      <c r="M2368"/>
    </row>
    <row r="2369" spans="1:13" x14ac:dyDescent="0.25">
      <c r="A2369" s="2">
        <v>45450</v>
      </c>
      <c r="B2369" s="3" t="s">
        <v>243</v>
      </c>
      <c r="C2369" s="3" t="s">
        <v>13</v>
      </c>
      <c r="D2369" s="3" t="s">
        <v>19</v>
      </c>
      <c r="E2369" s="5" t="s">
        <v>11</v>
      </c>
      <c r="F2369" s="17">
        <v>2.52</v>
      </c>
      <c r="G2369" s="3">
        <v>2</v>
      </c>
      <c r="H2369" s="17">
        <f>Table1[[#This Row],[Unit price]]*Table1[[#This Row],[Quantity]]</f>
        <v>5.04</v>
      </c>
      <c r="I2369" s="29">
        <f>Table1[[#This Row],[Total Revenue]]/$H$5056*100</f>
        <v>5.3472256519145967E-4</v>
      </c>
      <c r="J2369" s="3" t="s">
        <v>17</v>
      </c>
      <c r="K2369" s="4">
        <v>8.5</v>
      </c>
      <c r="M2369"/>
    </row>
    <row r="2370" spans="1:13" x14ac:dyDescent="0.25">
      <c r="A2370" s="2">
        <v>45480</v>
      </c>
      <c r="B2370" s="3" t="s">
        <v>245</v>
      </c>
      <c r="C2370" s="3" t="s">
        <v>13</v>
      </c>
      <c r="D2370" s="3" t="s">
        <v>19</v>
      </c>
      <c r="E2370" s="5" t="s">
        <v>11</v>
      </c>
      <c r="F2370" s="17">
        <v>6.29</v>
      </c>
      <c r="G2370" s="3">
        <v>3</v>
      </c>
      <c r="H2370" s="17">
        <f>Table1[[#This Row],[Unit price]]*Table1[[#This Row],[Quantity]]</f>
        <v>18.87</v>
      </c>
      <c r="I2370" s="29">
        <f>Table1[[#This Row],[Total Revenue]]/$H$5056*100</f>
        <v>2.0020267470561202E-3</v>
      </c>
      <c r="J2370" s="3" t="s">
        <v>17</v>
      </c>
      <c r="K2370" s="4">
        <v>6</v>
      </c>
      <c r="M2370"/>
    </row>
    <row r="2371" spans="1:13" x14ac:dyDescent="0.25">
      <c r="A2371" s="2">
        <v>45480</v>
      </c>
      <c r="B2371" s="3" t="s">
        <v>244</v>
      </c>
      <c r="C2371" s="3" t="s">
        <v>13</v>
      </c>
      <c r="D2371" s="3" t="s">
        <v>19</v>
      </c>
      <c r="E2371" s="5" t="s">
        <v>21</v>
      </c>
      <c r="F2371" s="17">
        <v>22.56</v>
      </c>
      <c r="G2371" s="3">
        <v>1</v>
      </c>
      <c r="H2371" s="17">
        <f>Table1[[#This Row],[Unit price]]*Table1[[#This Row],[Quantity]]</f>
        <v>22.56</v>
      </c>
      <c r="I2371" s="29">
        <f>Table1[[#This Row],[Total Revenue]]/$H$5056*100</f>
        <v>2.3935200537141526E-3</v>
      </c>
      <c r="J2371" s="3" t="s">
        <v>17</v>
      </c>
      <c r="K2371" s="4">
        <v>6.8</v>
      </c>
      <c r="M2371"/>
    </row>
    <row r="2372" spans="1:13" x14ac:dyDescent="0.25">
      <c r="A2372" s="2">
        <v>45480</v>
      </c>
      <c r="B2372" s="3" t="s">
        <v>243</v>
      </c>
      <c r="C2372" s="3" t="s">
        <v>9</v>
      </c>
      <c r="D2372" s="3" t="s">
        <v>10</v>
      </c>
      <c r="E2372" s="5" t="s">
        <v>21</v>
      </c>
      <c r="F2372" s="17">
        <v>29.69</v>
      </c>
      <c r="G2372" s="3">
        <v>2</v>
      </c>
      <c r="H2372" s="17">
        <f>Table1[[#This Row],[Unit price]]*Table1[[#This Row],[Quantity]]</f>
        <v>59.38</v>
      </c>
      <c r="I2372" s="29">
        <f>Table1[[#This Row],[Total Revenue]]/$H$5056*100</f>
        <v>6.2999654605295392E-3</v>
      </c>
      <c r="J2372" s="3" t="s">
        <v>15</v>
      </c>
      <c r="K2372" s="4">
        <v>6.2</v>
      </c>
      <c r="M2372"/>
    </row>
    <row r="2373" spans="1:13" x14ac:dyDescent="0.25">
      <c r="A2373" s="2">
        <v>45480</v>
      </c>
      <c r="B2373" s="3" t="s">
        <v>244</v>
      </c>
      <c r="C2373" s="3" t="s">
        <v>13</v>
      </c>
      <c r="D2373" s="3" t="s">
        <v>19</v>
      </c>
      <c r="E2373" s="5" t="s">
        <v>18</v>
      </c>
      <c r="F2373" s="17">
        <v>11.74</v>
      </c>
      <c r="G2373" s="3">
        <v>2</v>
      </c>
      <c r="H2373" s="17">
        <f>Table1[[#This Row],[Unit price]]*Table1[[#This Row],[Quantity]]</f>
        <v>23.48</v>
      </c>
      <c r="I2373" s="29">
        <f>Table1[[#This Row],[Total Revenue]]/$H$5056*100</f>
        <v>2.4911281410110067E-3</v>
      </c>
      <c r="J2373" s="3" t="s">
        <v>15</v>
      </c>
      <c r="K2373" s="4">
        <v>6.8</v>
      </c>
      <c r="M2373"/>
    </row>
    <row r="2374" spans="1:13" x14ac:dyDescent="0.25">
      <c r="A2374" s="2">
        <v>45480</v>
      </c>
      <c r="B2374" s="3" t="s">
        <v>243</v>
      </c>
      <c r="C2374" s="3" t="s">
        <v>9</v>
      </c>
      <c r="D2374" s="3" t="s">
        <v>19</v>
      </c>
      <c r="E2374" s="5" t="s">
        <v>20</v>
      </c>
      <c r="F2374" s="17">
        <v>55.23</v>
      </c>
      <c r="G2374" s="3">
        <v>5</v>
      </c>
      <c r="H2374" s="17">
        <f>Table1[[#This Row],[Unit price]]*Table1[[#This Row],[Quantity]]</f>
        <v>276.14999999999998</v>
      </c>
      <c r="I2374" s="29">
        <f>Table1[[#This Row],[Total Revenue]]/$H$5056*100</f>
        <v>2.9298340551115392E-2</v>
      </c>
      <c r="J2374" s="3" t="s">
        <v>15</v>
      </c>
      <c r="K2374" s="4">
        <v>8.1</v>
      </c>
      <c r="M2374"/>
    </row>
    <row r="2375" spans="1:13" x14ac:dyDescent="0.25">
      <c r="A2375" s="2">
        <v>45480</v>
      </c>
      <c r="B2375" s="3" t="s">
        <v>245</v>
      </c>
      <c r="C2375" s="3" t="s">
        <v>13</v>
      </c>
      <c r="D2375" s="3" t="s">
        <v>10</v>
      </c>
      <c r="E2375" s="5" t="s">
        <v>11</v>
      </c>
      <c r="F2375" s="17">
        <v>6.89</v>
      </c>
      <c r="G2375" s="3">
        <v>2</v>
      </c>
      <c r="H2375" s="17">
        <f>Table1[[#This Row],[Unit price]]*Table1[[#This Row],[Quantity]]</f>
        <v>13.78</v>
      </c>
      <c r="I2375" s="29">
        <f>Table1[[#This Row],[Total Revenue]]/$H$5056*100</f>
        <v>1.4619993945115702E-3</v>
      </c>
      <c r="J2375" s="3" t="s">
        <v>15</v>
      </c>
      <c r="K2375" s="4">
        <v>8.6</v>
      </c>
      <c r="M2375"/>
    </row>
    <row r="2376" spans="1:13" x14ac:dyDescent="0.25">
      <c r="A2376" s="2">
        <v>45480</v>
      </c>
      <c r="B2376" s="3" t="s">
        <v>243</v>
      </c>
      <c r="C2376" s="3" t="s">
        <v>13</v>
      </c>
      <c r="D2376" s="3" t="s">
        <v>10</v>
      </c>
      <c r="E2376" s="5" t="s">
        <v>11</v>
      </c>
      <c r="F2376" s="17">
        <v>3.37</v>
      </c>
      <c r="G2376" s="3">
        <v>5</v>
      </c>
      <c r="H2376" s="17">
        <f>Table1[[#This Row],[Unit price]]*Table1[[#This Row],[Quantity]]</f>
        <v>16.850000000000001</v>
      </c>
      <c r="I2376" s="29">
        <f>Table1[[#This Row],[Total Revenue]]/$H$5056*100</f>
        <v>1.7877133379912891E-3</v>
      </c>
      <c r="J2376" s="3" t="s">
        <v>12</v>
      </c>
      <c r="K2376" s="4">
        <v>5.8</v>
      </c>
      <c r="M2376"/>
    </row>
    <row r="2377" spans="1:13" x14ac:dyDescent="0.25">
      <c r="A2377" s="2">
        <v>45480</v>
      </c>
      <c r="B2377" s="3" t="s">
        <v>243</v>
      </c>
      <c r="C2377" s="3" t="s">
        <v>13</v>
      </c>
      <c r="D2377" s="3" t="s">
        <v>19</v>
      </c>
      <c r="E2377" s="5" t="s">
        <v>11</v>
      </c>
      <c r="F2377" s="17">
        <v>5.05</v>
      </c>
      <c r="G2377" s="3">
        <v>2</v>
      </c>
      <c r="H2377" s="17">
        <f>Table1[[#This Row],[Unit price]]*Table1[[#This Row],[Quantity]]</f>
        <v>10.1</v>
      </c>
      <c r="I2377" s="29">
        <f>Table1[[#This Row],[Total Revenue]]/$H$5056*100</f>
        <v>1.0715670453241553E-3</v>
      </c>
      <c r="J2377" s="3" t="s">
        <v>15</v>
      </c>
      <c r="K2377" s="4">
        <v>7.6</v>
      </c>
      <c r="M2377"/>
    </row>
    <row r="2378" spans="1:13" x14ac:dyDescent="0.25">
      <c r="A2378" s="2">
        <v>45480</v>
      </c>
      <c r="B2378" s="3" t="s">
        <v>245</v>
      </c>
      <c r="C2378" s="3" t="s">
        <v>13</v>
      </c>
      <c r="D2378" s="3" t="s">
        <v>10</v>
      </c>
      <c r="E2378" s="5" t="s">
        <v>11</v>
      </c>
      <c r="F2378" s="17">
        <v>4.17</v>
      </c>
      <c r="G2378" s="3">
        <v>2</v>
      </c>
      <c r="H2378" s="17">
        <f>Table1[[#This Row],[Unit price]]*Table1[[#This Row],[Quantity]]</f>
        <v>8.34</v>
      </c>
      <c r="I2378" s="29">
        <f>Table1[[#This Row],[Total Revenue]]/$H$5056*100</f>
        <v>8.8483853049539163E-4</v>
      </c>
      <c r="J2378" s="3" t="s">
        <v>12</v>
      </c>
      <c r="K2378" s="4">
        <v>6.7</v>
      </c>
      <c r="M2378"/>
    </row>
    <row r="2379" spans="1:13" x14ac:dyDescent="0.25">
      <c r="A2379" s="2">
        <v>45480</v>
      </c>
      <c r="B2379" s="3" t="s">
        <v>243</v>
      </c>
      <c r="C2379" s="3" t="s">
        <v>13</v>
      </c>
      <c r="D2379" s="3" t="s">
        <v>19</v>
      </c>
      <c r="E2379" s="5" t="s">
        <v>21</v>
      </c>
      <c r="F2379" s="17">
        <v>32.61</v>
      </c>
      <c r="G2379" s="3">
        <v>3</v>
      </c>
      <c r="H2379" s="17">
        <f>Table1[[#This Row],[Unit price]]*Table1[[#This Row],[Quantity]]</f>
        <v>97.83</v>
      </c>
      <c r="I2379" s="29">
        <f>Table1[[#This Row],[Total Revenue]]/$H$5056*100</f>
        <v>1.0379346935055656E-2</v>
      </c>
      <c r="J2379" s="3" t="s">
        <v>15</v>
      </c>
      <c r="K2379" s="4">
        <v>5.4</v>
      </c>
      <c r="M2379"/>
    </row>
    <row r="2380" spans="1:13" x14ac:dyDescent="0.25">
      <c r="A2380" s="2">
        <v>45480</v>
      </c>
      <c r="B2380" s="3" t="s">
        <v>244</v>
      </c>
      <c r="C2380" s="3" t="s">
        <v>13</v>
      </c>
      <c r="D2380" s="3" t="s">
        <v>19</v>
      </c>
      <c r="E2380" s="5" t="s">
        <v>11</v>
      </c>
      <c r="F2380" s="17">
        <v>3.44</v>
      </c>
      <c r="G2380" s="3">
        <v>2</v>
      </c>
      <c r="H2380" s="17">
        <f>Table1[[#This Row],[Unit price]]*Table1[[#This Row],[Quantity]]</f>
        <v>6.88</v>
      </c>
      <c r="I2380" s="29">
        <f>Table1[[#This Row],[Total Revenue]]/$H$5056*100</f>
        <v>7.2993873978516722E-4</v>
      </c>
      <c r="J2380" s="3" t="s">
        <v>17</v>
      </c>
      <c r="K2380" s="4">
        <v>6.8</v>
      </c>
      <c r="M2380"/>
    </row>
    <row r="2381" spans="1:13" x14ac:dyDescent="0.25">
      <c r="A2381" s="2">
        <v>45480</v>
      </c>
      <c r="B2381" s="3" t="s">
        <v>245</v>
      </c>
      <c r="C2381" s="3" t="s">
        <v>13</v>
      </c>
      <c r="D2381" s="3" t="s">
        <v>10</v>
      </c>
      <c r="E2381" s="5" t="s">
        <v>11</v>
      </c>
      <c r="F2381" s="17">
        <v>4.01</v>
      </c>
      <c r="G2381" s="3">
        <v>4</v>
      </c>
      <c r="H2381" s="17">
        <f>Table1[[#This Row],[Unit price]]*Table1[[#This Row],[Quantity]]</f>
        <v>16.04</v>
      </c>
      <c r="I2381" s="29">
        <f>Table1[[#This Row],[Total Revenue]]/$H$5056*100</f>
        <v>1.7017757828712327E-3</v>
      </c>
      <c r="J2381" s="3" t="s">
        <v>17</v>
      </c>
      <c r="K2381" s="4">
        <v>8.1</v>
      </c>
      <c r="M2381"/>
    </row>
    <row r="2382" spans="1:13" x14ac:dyDescent="0.25">
      <c r="A2382" s="2">
        <v>45480</v>
      </c>
      <c r="B2382" s="3" t="s">
        <v>243</v>
      </c>
      <c r="C2382" s="3" t="s">
        <v>13</v>
      </c>
      <c r="D2382" s="3" t="s">
        <v>10</v>
      </c>
      <c r="E2382" s="5" t="s">
        <v>20</v>
      </c>
      <c r="F2382" s="17">
        <v>65.05</v>
      </c>
      <c r="G2382" s="3">
        <v>5</v>
      </c>
      <c r="H2382" s="17">
        <f>Table1[[#This Row],[Unit price]]*Table1[[#This Row],[Quantity]]</f>
        <v>325.25</v>
      </c>
      <c r="I2382" s="29">
        <f>Table1[[#This Row],[Total Revenue]]/$H$5056*100</f>
        <v>3.4507641731849656E-2</v>
      </c>
      <c r="J2382" s="3" t="s">
        <v>17</v>
      </c>
      <c r="K2382" s="4">
        <v>6.6</v>
      </c>
      <c r="M2382"/>
    </row>
    <row r="2383" spans="1:13" x14ac:dyDescent="0.25">
      <c r="A2383" s="2">
        <v>45480</v>
      </c>
      <c r="B2383" s="3" t="s">
        <v>244</v>
      </c>
      <c r="C2383" s="3" t="s">
        <v>9</v>
      </c>
      <c r="D2383" s="3" t="s">
        <v>10</v>
      </c>
      <c r="E2383" s="5" t="s">
        <v>11</v>
      </c>
      <c r="F2383" s="17">
        <v>6.83</v>
      </c>
      <c r="G2383" s="3">
        <v>4</v>
      </c>
      <c r="H2383" s="17">
        <f>Table1[[#This Row],[Unit price]]*Table1[[#This Row],[Quantity]]</f>
        <v>27.32</v>
      </c>
      <c r="I2383" s="29">
        <f>Table1[[#This Row],[Total Revenue]]/$H$5056*100</f>
        <v>2.8985358097283094E-3</v>
      </c>
      <c r="J2383" s="3" t="s">
        <v>15</v>
      </c>
      <c r="K2383" s="4">
        <v>7.9</v>
      </c>
      <c r="M2383"/>
    </row>
    <row r="2384" spans="1:13" x14ac:dyDescent="0.25">
      <c r="A2384" s="2">
        <v>45511</v>
      </c>
      <c r="B2384" s="3" t="s">
        <v>243</v>
      </c>
      <c r="C2384" s="3" t="s">
        <v>9</v>
      </c>
      <c r="D2384" s="3" t="s">
        <v>10</v>
      </c>
      <c r="E2384" s="5" t="s">
        <v>16</v>
      </c>
      <c r="F2384" s="17">
        <v>59.69</v>
      </c>
      <c r="G2384" s="3">
        <v>1</v>
      </c>
      <c r="H2384" s="17">
        <f>Table1[[#This Row],[Unit price]]*Table1[[#This Row],[Quantity]]</f>
        <v>59.69</v>
      </c>
      <c r="I2384" s="29">
        <f>Table1[[#This Row],[Total Revenue]]/$H$5056*100</f>
        <v>6.3328551421186954E-3</v>
      </c>
      <c r="J2384" s="3" t="s">
        <v>15</v>
      </c>
      <c r="K2384" s="4">
        <v>5.6</v>
      </c>
      <c r="M2384"/>
    </row>
    <row r="2385" spans="1:13" x14ac:dyDescent="0.25">
      <c r="A2385" s="2">
        <v>45511</v>
      </c>
      <c r="B2385" s="3" t="s">
        <v>243</v>
      </c>
      <c r="C2385" s="3" t="s">
        <v>13</v>
      </c>
      <c r="D2385" s="3" t="s">
        <v>19</v>
      </c>
      <c r="E2385" s="5" t="s">
        <v>21</v>
      </c>
      <c r="F2385" s="17">
        <v>32.43</v>
      </c>
      <c r="G2385" s="3">
        <v>1</v>
      </c>
      <c r="H2385" s="17">
        <f>Table1[[#This Row],[Unit price]]*Table1[[#This Row],[Quantity]]</f>
        <v>32.43</v>
      </c>
      <c r="I2385" s="29">
        <f>Table1[[#This Row],[Total Revenue]]/$H$5056*100</f>
        <v>3.4406850772140942E-3</v>
      </c>
      <c r="J2385" s="3" t="s">
        <v>17</v>
      </c>
      <c r="K2385" s="4">
        <v>9</v>
      </c>
      <c r="M2385"/>
    </row>
    <row r="2386" spans="1:13" x14ac:dyDescent="0.25">
      <c r="A2386" s="2">
        <v>45511</v>
      </c>
      <c r="B2386" s="3" t="s">
        <v>245</v>
      </c>
      <c r="C2386" s="3" t="s">
        <v>13</v>
      </c>
      <c r="D2386" s="3" t="s">
        <v>10</v>
      </c>
      <c r="E2386" s="5" t="s">
        <v>11</v>
      </c>
      <c r="F2386" s="17">
        <v>5.49</v>
      </c>
      <c r="G2386" s="3">
        <v>1</v>
      </c>
      <c r="H2386" s="17">
        <f>Table1[[#This Row],[Unit price]]*Table1[[#This Row],[Quantity]]</f>
        <v>5.49</v>
      </c>
      <c r="I2386" s="29">
        <f>Table1[[#This Row],[Total Revenue]]/$H$5056*100</f>
        <v>5.8246565136926864E-4</v>
      </c>
      <c r="J2386" s="3" t="s">
        <v>12</v>
      </c>
      <c r="K2386" s="4">
        <v>7.3</v>
      </c>
      <c r="M2386"/>
    </row>
    <row r="2387" spans="1:13" x14ac:dyDescent="0.25">
      <c r="A2387" s="2">
        <v>45511</v>
      </c>
      <c r="B2387" s="3" t="s">
        <v>245</v>
      </c>
      <c r="C2387" s="3" t="s">
        <v>13</v>
      </c>
      <c r="D2387" s="3" t="s">
        <v>10</v>
      </c>
      <c r="E2387" s="5" t="s">
        <v>11</v>
      </c>
      <c r="F2387" s="17">
        <v>4.84</v>
      </c>
      <c r="G2387" s="3">
        <v>4</v>
      </c>
      <c r="H2387" s="17">
        <f>Table1[[#This Row],[Unit price]]*Table1[[#This Row],[Quantity]]</f>
        <v>19.36</v>
      </c>
      <c r="I2387" s="29">
        <f>Table1[[#This Row],[Total Revenue]]/$H$5056*100</f>
        <v>2.0540136631164007E-3</v>
      </c>
      <c r="J2387" s="3" t="s">
        <v>12</v>
      </c>
      <c r="K2387" s="4">
        <v>6.6</v>
      </c>
      <c r="M2387"/>
    </row>
    <row r="2388" spans="1:13" x14ac:dyDescent="0.25">
      <c r="A2388" s="2">
        <v>45511</v>
      </c>
      <c r="B2388" s="3" t="s">
        <v>244</v>
      </c>
      <c r="C2388" s="3" t="s">
        <v>9</v>
      </c>
      <c r="D2388" s="3" t="s">
        <v>19</v>
      </c>
      <c r="E2388" s="5" t="s">
        <v>18</v>
      </c>
      <c r="F2388" s="17">
        <v>9.08</v>
      </c>
      <c r="G2388" s="3">
        <v>1</v>
      </c>
      <c r="H2388" s="17">
        <f>Table1[[#This Row],[Unit price]]*Table1[[#This Row],[Quantity]]</f>
        <v>9.08</v>
      </c>
      <c r="I2388" s="29">
        <f>Table1[[#This Row],[Total Revenue]]/$H$5056*100</f>
        <v>9.6334938332112176E-4</v>
      </c>
      <c r="J2388" s="3" t="s">
        <v>15</v>
      </c>
      <c r="K2388" s="4">
        <v>6</v>
      </c>
      <c r="M2388"/>
    </row>
    <row r="2389" spans="1:13" x14ac:dyDescent="0.25">
      <c r="A2389" s="2">
        <v>45511</v>
      </c>
      <c r="B2389" s="3" t="s">
        <v>243</v>
      </c>
      <c r="C2389" s="3" t="s">
        <v>13</v>
      </c>
      <c r="D2389" s="3" t="s">
        <v>10</v>
      </c>
      <c r="E2389" s="5" t="s">
        <v>21</v>
      </c>
      <c r="F2389" s="17">
        <v>28.72</v>
      </c>
      <c r="G2389" s="3">
        <v>2</v>
      </c>
      <c r="H2389" s="17">
        <f>Table1[[#This Row],[Unit price]]*Table1[[#This Row],[Quantity]]</f>
        <v>57.44</v>
      </c>
      <c r="I2389" s="29">
        <f>Table1[[#This Row],[Total Revenue]]/$H$5056*100</f>
        <v>6.0941397112296517E-3</v>
      </c>
      <c r="J2389" s="3" t="s">
        <v>15</v>
      </c>
      <c r="K2389" s="4">
        <v>7.4</v>
      </c>
      <c r="M2389"/>
    </row>
    <row r="2390" spans="1:13" x14ac:dyDescent="0.25">
      <c r="A2390" s="2">
        <v>45511</v>
      </c>
      <c r="B2390" s="3" t="s">
        <v>244</v>
      </c>
      <c r="C2390" s="3" t="s">
        <v>13</v>
      </c>
      <c r="D2390" s="3" t="s">
        <v>19</v>
      </c>
      <c r="E2390" s="5" t="s">
        <v>11</v>
      </c>
      <c r="F2390" s="17">
        <v>3.78</v>
      </c>
      <c r="G2390" s="3">
        <v>2</v>
      </c>
      <c r="H2390" s="17">
        <f>Table1[[#This Row],[Unit price]]*Table1[[#This Row],[Quantity]]</f>
        <v>7.56</v>
      </c>
      <c r="I2390" s="29">
        <f>Table1[[#This Row],[Total Revenue]]/$H$5056*100</f>
        <v>8.0208384778718939E-4</v>
      </c>
      <c r="J2390" s="3" t="s">
        <v>17</v>
      </c>
      <c r="K2390" s="4">
        <v>9.8000000000000007</v>
      </c>
      <c r="M2390"/>
    </row>
    <row r="2391" spans="1:13" x14ac:dyDescent="0.25">
      <c r="A2391" s="2">
        <v>45511</v>
      </c>
      <c r="B2391" s="3" t="s">
        <v>244</v>
      </c>
      <c r="C2391" s="3" t="s">
        <v>13</v>
      </c>
      <c r="D2391" s="3" t="s">
        <v>19</v>
      </c>
      <c r="E2391" s="5" t="s">
        <v>20</v>
      </c>
      <c r="F2391" s="17">
        <v>54.4</v>
      </c>
      <c r="G2391" s="3">
        <v>2</v>
      </c>
      <c r="H2391" s="17">
        <f>Table1[[#This Row],[Unit price]]*Table1[[#This Row],[Quantity]]</f>
        <v>108.8</v>
      </c>
      <c r="I2391" s="29">
        <f>Table1[[#This Row],[Total Revenue]]/$H$5056*100</f>
        <v>1.1543217280323573E-2</v>
      </c>
      <c r="J2391" s="3" t="s">
        <v>12</v>
      </c>
      <c r="K2391" s="4">
        <v>7.1</v>
      </c>
      <c r="M2391"/>
    </row>
    <row r="2392" spans="1:13" x14ac:dyDescent="0.25">
      <c r="A2392" s="2">
        <v>45511</v>
      </c>
      <c r="B2392" s="3" t="s">
        <v>244</v>
      </c>
      <c r="C2392" s="3" t="s">
        <v>13</v>
      </c>
      <c r="D2392" s="3" t="s">
        <v>10</v>
      </c>
      <c r="E2392" s="5" t="s">
        <v>11</v>
      </c>
      <c r="F2392" s="17">
        <v>7.5</v>
      </c>
      <c r="G2392" s="3">
        <v>5</v>
      </c>
      <c r="H2392" s="17">
        <f>Table1[[#This Row],[Unit price]]*Table1[[#This Row],[Quantity]]</f>
        <v>37.5</v>
      </c>
      <c r="I2392" s="29">
        <f>Table1[[#This Row],[Total Revenue]]/$H$5056*100</f>
        <v>3.9785905148174081E-3</v>
      </c>
      <c r="J2392" s="3" t="s">
        <v>12</v>
      </c>
      <c r="K2392" s="4">
        <v>7.9</v>
      </c>
      <c r="M2392"/>
    </row>
    <row r="2393" spans="1:13" x14ac:dyDescent="0.25">
      <c r="A2393" s="2">
        <v>45511</v>
      </c>
      <c r="B2393" s="3" t="s">
        <v>244</v>
      </c>
      <c r="C2393" s="3" t="s">
        <v>13</v>
      </c>
      <c r="D2393" s="3" t="s">
        <v>19</v>
      </c>
      <c r="E2393" s="5" t="s">
        <v>14</v>
      </c>
      <c r="F2393" s="17">
        <v>95</v>
      </c>
      <c r="G2393" s="3">
        <v>1</v>
      </c>
      <c r="H2393" s="17">
        <f>Table1[[#This Row],[Unit price]]*Table1[[#This Row],[Quantity]]</f>
        <v>95</v>
      </c>
      <c r="I2393" s="29">
        <f>Table1[[#This Row],[Total Revenue]]/$H$5056*100</f>
        <v>1.0079095970870767E-2</v>
      </c>
      <c r="J2393" s="3" t="s">
        <v>12</v>
      </c>
      <c r="K2393" s="4">
        <v>6.8</v>
      </c>
      <c r="M2393"/>
    </row>
    <row r="2394" spans="1:13" x14ac:dyDescent="0.25">
      <c r="A2394" s="2">
        <v>45511</v>
      </c>
      <c r="B2394" s="3" t="s">
        <v>244</v>
      </c>
      <c r="C2394" s="3" t="s">
        <v>9</v>
      </c>
      <c r="D2394" s="3" t="s">
        <v>10</v>
      </c>
      <c r="E2394" s="5" t="s">
        <v>20</v>
      </c>
      <c r="F2394" s="17">
        <v>61.86</v>
      </c>
      <c r="G2394" s="3">
        <v>4</v>
      </c>
      <c r="H2394" s="17">
        <f>Table1[[#This Row],[Unit price]]*Table1[[#This Row],[Quantity]]</f>
        <v>247.44</v>
      </c>
      <c r="I2394" s="29">
        <f>Table1[[#This Row],[Total Revenue]]/$H$5056*100</f>
        <v>2.6252331652971184E-2</v>
      </c>
      <c r="J2394" s="3" t="s">
        <v>12</v>
      </c>
      <c r="K2394" s="4">
        <v>7</v>
      </c>
      <c r="M2394"/>
    </row>
    <row r="2395" spans="1:13" x14ac:dyDescent="0.25">
      <c r="A2395" s="2">
        <v>45511</v>
      </c>
      <c r="B2395" s="3" t="s">
        <v>244</v>
      </c>
      <c r="C2395" s="3" t="s">
        <v>13</v>
      </c>
      <c r="D2395" s="3" t="s">
        <v>10</v>
      </c>
      <c r="E2395" s="5" t="s">
        <v>11</v>
      </c>
      <c r="F2395" s="17">
        <v>3.17</v>
      </c>
      <c r="G2395" s="3">
        <v>4</v>
      </c>
      <c r="H2395" s="17">
        <f>Table1[[#This Row],[Unit price]]*Table1[[#This Row],[Quantity]]</f>
        <v>12.68</v>
      </c>
      <c r="I2395" s="29">
        <f>Table1[[#This Row],[Total Revenue]]/$H$5056*100</f>
        <v>1.345294072743593E-3</v>
      </c>
      <c r="J2395" s="3" t="s">
        <v>15</v>
      </c>
      <c r="K2395" s="4">
        <v>7.4</v>
      </c>
      <c r="M2395"/>
    </row>
    <row r="2396" spans="1:13" x14ac:dyDescent="0.25">
      <c r="A2396" s="2">
        <v>45511</v>
      </c>
      <c r="B2396" s="3" t="s">
        <v>245</v>
      </c>
      <c r="C2396" s="3" t="s">
        <v>13</v>
      </c>
      <c r="D2396" s="3" t="s">
        <v>10</v>
      </c>
      <c r="E2396" s="5" t="s">
        <v>21</v>
      </c>
      <c r="F2396" s="17">
        <v>35.35</v>
      </c>
      <c r="G2396" s="3">
        <v>1</v>
      </c>
      <c r="H2396" s="17">
        <f>Table1[[#This Row],[Unit price]]*Table1[[#This Row],[Quantity]]</f>
        <v>35.35</v>
      </c>
      <c r="I2396" s="29">
        <f>Table1[[#This Row],[Total Revenue]]/$H$5056*100</f>
        <v>3.7504846586345437E-3</v>
      </c>
      <c r="J2396" s="3" t="s">
        <v>15</v>
      </c>
      <c r="K2396" s="4">
        <v>7.5</v>
      </c>
      <c r="M2396"/>
    </row>
    <row r="2397" spans="1:13" x14ac:dyDescent="0.25">
      <c r="A2397" s="2">
        <v>45511</v>
      </c>
      <c r="B2397" s="3" t="s">
        <v>243</v>
      </c>
      <c r="C2397" s="3" t="s">
        <v>9</v>
      </c>
      <c r="D2397" s="3" t="s">
        <v>10</v>
      </c>
      <c r="E2397" s="5" t="s">
        <v>18</v>
      </c>
      <c r="F2397" s="17">
        <v>16.059999999999999</v>
      </c>
      <c r="G2397" s="3">
        <v>3</v>
      </c>
      <c r="H2397" s="17">
        <f>Table1[[#This Row],[Unit price]]*Table1[[#This Row],[Quantity]]</f>
        <v>48.179999999999993</v>
      </c>
      <c r="I2397" s="29">
        <f>Table1[[#This Row],[Total Revenue]]/$H$5056*100</f>
        <v>5.111693093437405E-3</v>
      </c>
      <c r="J2397" s="3" t="s">
        <v>15</v>
      </c>
      <c r="K2397" s="4">
        <v>6.9</v>
      </c>
      <c r="M2397"/>
    </row>
    <row r="2398" spans="1:13" x14ac:dyDescent="0.25">
      <c r="A2398" s="2">
        <v>45511</v>
      </c>
      <c r="B2398" s="3" t="s">
        <v>243</v>
      </c>
      <c r="C2398" s="3" t="s">
        <v>13</v>
      </c>
      <c r="D2398" s="3" t="s">
        <v>19</v>
      </c>
      <c r="E2398" s="5" t="s">
        <v>18</v>
      </c>
      <c r="F2398" s="17">
        <v>14.21</v>
      </c>
      <c r="G2398" s="3">
        <v>3</v>
      </c>
      <c r="H2398" s="17">
        <f>Table1[[#This Row],[Unit price]]*Table1[[#This Row],[Quantity]]</f>
        <v>42.63</v>
      </c>
      <c r="I2398" s="29">
        <f>Table1[[#This Row],[Total Revenue]]/$H$5056*100</f>
        <v>4.5228616972444301E-3</v>
      </c>
      <c r="J2398" s="3" t="s">
        <v>17</v>
      </c>
      <c r="K2398" s="4">
        <v>6.1</v>
      </c>
      <c r="M2398"/>
    </row>
    <row r="2399" spans="1:13" x14ac:dyDescent="0.25">
      <c r="A2399" s="2">
        <v>45542</v>
      </c>
      <c r="B2399" s="3" t="s">
        <v>245</v>
      </c>
      <c r="C2399" s="3" t="s">
        <v>9</v>
      </c>
      <c r="D2399" s="3" t="s">
        <v>10</v>
      </c>
      <c r="E2399" s="5" t="s">
        <v>21</v>
      </c>
      <c r="F2399" s="17">
        <v>28.49</v>
      </c>
      <c r="G2399" s="3">
        <v>4</v>
      </c>
      <c r="H2399" s="17">
        <f>Table1[[#This Row],[Unit price]]*Table1[[#This Row],[Quantity]]</f>
        <v>113.96</v>
      </c>
      <c r="I2399" s="29">
        <f>Table1[[#This Row],[Total Revenue]]/$H$5056*100</f>
        <v>1.2090671335162449E-2</v>
      </c>
      <c r="J2399" s="3" t="s">
        <v>17</v>
      </c>
      <c r="K2399" s="4">
        <v>7</v>
      </c>
      <c r="M2399"/>
    </row>
    <row r="2400" spans="1:13" x14ac:dyDescent="0.25">
      <c r="A2400" s="2">
        <v>45542</v>
      </c>
      <c r="B2400" s="3" t="s">
        <v>245</v>
      </c>
      <c r="C2400" s="3" t="s">
        <v>13</v>
      </c>
      <c r="D2400" s="3" t="s">
        <v>19</v>
      </c>
      <c r="E2400" s="5" t="s">
        <v>11</v>
      </c>
      <c r="F2400" s="17">
        <v>5.43</v>
      </c>
      <c r="G2400" s="3">
        <v>3</v>
      </c>
      <c r="H2400" s="17">
        <f>Table1[[#This Row],[Unit price]]*Table1[[#This Row],[Quantity]]</f>
        <v>16.29</v>
      </c>
      <c r="I2400" s="29">
        <f>Table1[[#This Row],[Total Revenue]]/$H$5056*100</f>
        <v>1.728299719636682E-3</v>
      </c>
      <c r="J2400" s="3" t="s">
        <v>15</v>
      </c>
      <c r="K2400" s="4">
        <v>6.5</v>
      </c>
      <c r="M2400"/>
    </row>
    <row r="2401" spans="1:13" x14ac:dyDescent="0.25">
      <c r="A2401" s="2">
        <v>45542</v>
      </c>
      <c r="B2401" s="3" t="s">
        <v>243</v>
      </c>
      <c r="C2401" s="3" t="s">
        <v>13</v>
      </c>
      <c r="D2401" s="3" t="s">
        <v>19</v>
      </c>
      <c r="E2401" s="5" t="s">
        <v>11</v>
      </c>
      <c r="F2401" s="17">
        <v>2.88</v>
      </c>
      <c r="G2401" s="3">
        <v>1</v>
      </c>
      <c r="H2401" s="17">
        <f>Table1[[#This Row],[Unit price]]*Table1[[#This Row],[Quantity]]</f>
        <v>2.88</v>
      </c>
      <c r="I2401" s="29">
        <f>Table1[[#This Row],[Total Revenue]]/$H$5056*100</f>
        <v>3.0555575153797698E-4</v>
      </c>
      <c r="J2401" s="3" t="s">
        <v>17</v>
      </c>
      <c r="K2401" s="4">
        <v>9.1</v>
      </c>
      <c r="M2401"/>
    </row>
    <row r="2402" spans="1:13" x14ac:dyDescent="0.25">
      <c r="A2402" s="2">
        <v>45542</v>
      </c>
      <c r="B2402" s="3" t="s">
        <v>243</v>
      </c>
      <c r="C2402" s="3" t="s">
        <v>9</v>
      </c>
      <c r="D2402" s="3" t="s">
        <v>10</v>
      </c>
      <c r="E2402" s="5" t="s">
        <v>11</v>
      </c>
      <c r="F2402" s="17">
        <v>7.61</v>
      </c>
      <c r="G2402" s="3">
        <v>4</v>
      </c>
      <c r="H2402" s="17">
        <f>Table1[[#This Row],[Unit price]]*Table1[[#This Row],[Quantity]]</f>
        <v>30.44</v>
      </c>
      <c r="I2402" s="29">
        <f>Table1[[#This Row],[Total Revenue]]/$H$5056*100</f>
        <v>3.2295545405611179E-3</v>
      </c>
      <c r="J2402" s="3" t="s">
        <v>15</v>
      </c>
      <c r="K2402" s="4">
        <v>7.3</v>
      </c>
      <c r="M2402"/>
    </row>
    <row r="2403" spans="1:13" x14ac:dyDescent="0.25">
      <c r="A2403" s="2">
        <v>45542</v>
      </c>
      <c r="B2403" s="3" t="s">
        <v>243</v>
      </c>
      <c r="C2403" s="3" t="s">
        <v>13</v>
      </c>
      <c r="D2403" s="3" t="s">
        <v>10</v>
      </c>
      <c r="E2403" s="5" t="s">
        <v>11</v>
      </c>
      <c r="F2403" s="17">
        <v>7.17</v>
      </c>
      <c r="G2403" s="3">
        <v>3</v>
      </c>
      <c r="H2403" s="17">
        <f>Table1[[#This Row],[Unit price]]*Table1[[#This Row],[Quantity]]</f>
        <v>21.509999999999998</v>
      </c>
      <c r="I2403" s="29">
        <f>Table1[[#This Row],[Total Revenue]]/$H$5056*100</f>
        <v>2.2821195192992655E-3</v>
      </c>
      <c r="J2403" s="3" t="s">
        <v>15</v>
      </c>
      <c r="K2403" s="4">
        <v>7.3</v>
      </c>
      <c r="M2403"/>
    </row>
    <row r="2404" spans="1:13" x14ac:dyDescent="0.25">
      <c r="A2404" s="2">
        <v>45542</v>
      </c>
      <c r="B2404" s="3" t="s">
        <v>244</v>
      </c>
      <c r="C2404" s="3" t="s">
        <v>9</v>
      </c>
      <c r="D2404" s="3" t="s">
        <v>10</v>
      </c>
      <c r="E2404" s="5" t="s">
        <v>20</v>
      </c>
      <c r="F2404" s="17">
        <v>53.9</v>
      </c>
      <c r="G2404" s="3">
        <v>5</v>
      </c>
      <c r="H2404" s="17">
        <f>Table1[[#This Row],[Unit price]]*Table1[[#This Row],[Quantity]]</f>
        <v>269.5</v>
      </c>
      <c r="I2404" s="29">
        <f>Table1[[#This Row],[Total Revenue]]/$H$5056*100</f>
        <v>2.8592803833154438E-2</v>
      </c>
      <c r="J2404" s="3" t="s">
        <v>15</v>
      </c>
      <c r="K2404" s="4">
        <v>5.9</v>
      </c>
      <c r="M2404"/>
    </row>
    <row r="2405" spans="1:13" x14ac:dyDescent="0.25">
      <c r="A2405" s="2">
        <v>45542</v>
      </c>
      <c r="B2405" s="3" t="s">
        <v>244</v>
      </c>
      <c r="C2405" s="3" t="s">
        <v>13</v>
      </c>
      <c r="D2405" s="3" t="s">
        <v>19</v>
      </c>
      <c r="E2405" s="5" t="s">
        <v>11</v>
      </c>
      <c r="F2405" s="17">
        <v>6.43</v>
      </c>
      <c r="G2405" s="3">
        <v>1</v>
      </c>
      <c r="H2405" s="17">
        <f>Table1[[#This Row],[Unit price]]*Table1[[#This Row],[Quantity]]</f>
        <v>6.43</v>
      </c>
      <c r="I2405" s="29">
        <f>Table1[[#This Row],[Total Revenue]]/$H$5056*100</f>
        <v>6.8219565360735826E-4</v>
      </c>
      <c r="J2405" s="3" t="s">
        <v>15</v>
      </c>
      <c r="K2405" s="4">
        <v>7.1</v>
      </c>
      <c r="M2405"/>
    </row>
    <row r="2406" spans="1:13" x14ac:dyDescent="0.25">
      <c r="A2406" s="2">
        <v>45542</v>
      </c>
      <c r="B2406" s="3" t="s">
        <v>244</v>
      </c>
      <c r="C2406" s="3" t="s">
        <v>13</v>
      </c>
      <c r="D2406" s="3" t="s">
        <v>19</v>
      </c>
      <c r="E2406" s="5" t="s">
        <v>11</v>
      </c>
      <c r="F2406" s="17">
        <v>7.14</v>
      </c>
      <c r="G2406" s="3">
        <v>5</v>
      </c>
      <c r="H2406" s="17">
        <f>Table1[[#This Row],[Unit price]]*Table1[[#This Row],[Quantity]]</f>
        <v>35.699999999999996</v>
      </c>
      <c r="I2406" s="29">
        <f>Table1[[#This Row],[Total Revenue]]/$H$5056*100</f>
        <v>3.7876181701061722E-3</v>
      </c>
      <c r="J2406" s="3" t="s">
        <v>12</v>
      </c>
      <c r="K2406" s="4">
        <v>7.6</v>
      </c>
      <c r="M2406"/>
    </row>
    <row r="2407" spans="1:13" x14ac:dyDescent="0.25">
      <c r="A2407" s="2">
        <v>45542</v>
      </c>
      <c r="B2407" s="3" t="s">
        <v>243</v>
      </c>
      <c r="C2407" s="3" t="s">
        <v>13</v>
      </c>
      <c r="D2407" s="3" t="s">
        <v>19</v>
      </c>
      <c r="E2407" s="5" t="s">
        <v>16</v>
      </c>
      <c r="F2407" s="17">
        <v>56.93</v>
      </c>
      <c r="G2407" s="3">
        <v>3</v>
      </c>
      <c r="H2407" s="17">
        <f>Table1[[#This Row],[Unit price]]*Table1[[#This Row],[Quantity]]</f>
        <v>170.79</v>
      </c>
      <c r="I2407" s="29">
        <f>Table1[[#This Row],[Total Revenue]]/$H$5056*100</f>
        <v>1.8120092640684406E-2</v>
      </c>
      <c r="J2407" s="3" t="s">
        <v>17</v>
      </c>
      <c r="K2407" s="4">
        <v>7.2</v>
      </c>
      <c r="M2407"/>
    </row>
    <row r="2408" spans="1:13" x14ac:dyDescent="0.25">
      <c r="A2408" s="2">
        <v>45542</v>
      </c>
      <c r="B2408" s="3" t="s">
        <v>245</v>
      </c>
      <c r="C2408" s="3" t="s">
        <v>13</v>
      </c>
      <c r="D2408" s="3" t="s">
        <v>19</v>
      </c>
      <c r="E2408" s="5" t="s">
        <v>11</v>
      </c>
      <c r="F2408" s="17">
        <v>3.58</v>
      </c>
      <c r="G2408" s="3">
        <v>6</v>
      </c>
      <c r="H2408" s="17">
        <f>Table1[[#This Row],[Unit price]]*Table1[[#This Row],[Quantity]]</f>
        <v>21.48</v>
      </c>
      <c r="I2408" s="29">
        <f>Table1[[#This Row],[Total Revenue]]/$H$5056*100</f>
        <v>2.2789366468874113E-3</v>
      </c>
      <c r="J2408" s="3" t="s">
        <v>15</v>
      </c>
      <c r="K2408" s="4">
        <v>6.3</v>
      </c>
      <c r="M2408"/>
    </row>
    <row r="2409" spans="1:13" x14ac:dyDescent="0.25">
      <c r="A2409" s="2">
        <v>45542</v>
      </c>
      <c r="B2409" s="3" t="s">
        <v>244</v>
      </c>
      <c r="C2409" s="3" t="s">
        <v>13</v>
      </c>
      <c r="D2409" s="3" t="s">
        <v>19</v>
      </c>
      <c r="E2409" s="5" t="s">
        <v>21</v>
      </c>
      <c r="F2409" s="17">
        <v>38.74</v>
      </c>
      <c r="G2409" s="3">
        <v>1</v>
      </c>
      <c r="H2409" s="17">
        <f>Table1[[#This Row],[Unit price]]*Table1[[#This Row],[Quantity]]</f>
        <v>38.74</v>
      </c>
      <c r="I2409" s="29">
        <f>Table1[[#This Row],[Total Revenue]]/$H$5056*100</f>
        <v>4.1101492411740378E-3</v>
      </c>
      <c r="J2409" s="3" t="s">
        <v>15</v>
      </c>
      <c r="K2409" s="4">
        <v>5.9</v>
      </c>
      <c r="M2409"/>
    </row>
    <row r="2410" spans="1:13" x14ac:dyDescent="0.25">
      <c r="A2410" s="2">
        <v>45542</v>
      </c>
      <c r="B2410" s="3" t="s">
        <v>244</v>
      </c>
      <c r="C2410" s="3" t="s">
        <v>13</v>
      </c>
      <c r="D2410" s="3" t="s">
        <v>10</v>
      </c>
      <c r="E2410" s="5" t="s">
        <v>11</v>
      </c>
      <c r="F2410" s="17">
        <v>4.1500000000000004</v>
      </c>
      <c r="G2410" s="3">
        <v>2</v>
      </c>
      <c r="H2410" s="17">
        <f>Table1[[#This Row],[Unit price]]*Table1[[#This Row],[Quantity]]</f>
        <v>8.3000000000000007</v>
      </c>
      <c r="I2410" s="29">
        <f>Table1[[#This Row],[Total Revenue]]/$H$5056*100</f>
        <v>8.8059470061291984E-4</v>
      </c>
      <c r="J2410" s="3" t="s">
        <v>15</v>
      </c>
      <c r="K2410" s="4">
        <v>6.9</v>
      </c>
      <c r="M2410"/>
    </row>
    <row r="2411" spans="1:13" x14ac:dyDescent="0.25">
      <c r="A2411" s="2">
        <v>45542</v>
      </c>
      <c r="B2411" s="3" t="s">
        <v>244</v>
      </c>
      <c r="C2411" s="3" t="s">
        <v>13</v>
      </c>
      <c r="D2411" s="3" t="s">
        <v>19</v>
      </c>
      <c r="E2411" s="5" t="s">
        <v>21</v>
      </c>
      <c r="F2411" s="17">
        <v>31.21</v>
      </c>
      <c r="G2411" s="3">
        <v>2</v>
      </c>
      <c r="H2411" s="17">
        <f>Table1[[#This Row],[Unit price]]*Table1[[#This Row],[Quantity]]</f>
        <v>62.42</v>
      </c>
      <c r="I2411" s="29">
        <f>Table1[[#This Row],[Total Revenue]]/$H$5056*100</f>
        <v>6.6224965315974044E-3</v>
      </c>
      <c r="J2411" s="3" t="s">
        <v>17</v>
      </c>
      <c r="K2411" s="4">
        <v>6.7</v>
      </c>
      <c r="M2411"/>
    </row>
    <row r="2412" spans="1:13" x14ac:dyDescent="0.25">
      <c r="A2412" s="2">
        <v>45542</v>
      </c>
      <c r="B2412" s="3" t="s">
        <v>243</v>
      </c>
      <c r="C2412" s="3" t="s">
        <v>13</v>
      </c>
      <c r="D2412" s="3" t="s">
        <v>19</v>
      </c>
      <c r="E2412" s="5" t="s">
        <v>11</v>
      </c>
      <c r="F2412" s="17">
        <v>4.51</v>
      </c>
      <c r="G2412" s="3">
        <v>7</v>
      </c>
      <c r="H2412" s="17">
        <f>Table1[[#This Row],[Unit price]]*Table1[[#This Row],[Quantity]]</f>
        <v>31.57</v>
      </c>
      <c r="I2412" s="29">
        <f>Table1[[#This Row],[Total Revenue]]/$H$5056*100</f>
        <v>3.3494427347409489E-3</v>
      </c>
      <c r="J2412" s="3" t="s">
        <v>17</v>
      </c>
      <c r="K2412" s="4">
        <v>7.6</v>
      </c>
      <c r="M2412"/>
    </row>
    <row r="2413" spans="1:13" x14ac:dyDescent="0.25">
      <c r="A2413" s="2">
        <v>45542</v>
      </c>
      <c r="B2413" s="3" t="s">
        <v>244</v>
      </c>
      <c r="C2413" s="3" t="s">
        <v>13</v>
      </c>
      <c r="D2413" s="3" t="s">
        <v>10</v>
      </c>
      <c r="E2413" s="5" t="s">
        <v>11</v>
      </c>
      <c r="F2413" s="17">
        <v>5.46</v>
      </c>
      <c r="G2413" s="3">
        <v>3</v>
      </c>
      <c r="H2413" s="17">
        <f>Table1[[#This Row],[Unit price]]*Table1[[#This Row],[Quantity]]</f>
        <v>16.38</v>
      </c>
      <c r="I2413" s="29">
        <f>Table1[[#This Row],[Total Revenue]]/$H$5056*100</f>
        <v>1.7378483368722438E-3</v>
      </c>
      <c r="J2413" s="3" t="s">
        <v>17</v>
      </c>
      <c r="K2413" s="4">
        <v>7</v>
      </c>
      <c r="M2413"/>
    </row>
    <row r="2414" spans="1:13" x14ac:dyDescent="0.25">
      <c r="A2414" s="2">
        <v>45542</v>
      </c>
      <c r="B2414" s="3" t="s">
        <v>244</v>
      </c>
      <c r="C2414" s="3" t="s">
        <v>9</v>
      </c>
      <c r="D2414" s="3" t="s">
        <v>10</v>
      </c>
      <c r="E2414" s="5" t="s">
        <v>11</v>
      </c>
      <c r="F2414" s="17">
        <v>3.14</v>
      </c>
      <c r="G2414" s="3">
        <v>4</v>
      </c>
      <c r="H2414" s="17">
        <f>Table1[[#This Row],[Unit price]]*Table1[[#This Row],[Quantity]]</f>
        <v>12.56</v>
      </c>
      <c r="I2414" s="29">
        <f>Table1[[#This Row],[Total Revenue]]/$H$5056*100</f>
        <v>1.3325625830961773E-3</v>
      </c>
      <c r="J2414" s="3" t="s">
        <v>12</v>
      </c>
      <c r="K2414" s="4">
        <v>6.2</v>
      </c>
      <c r="M2414"/>
    </row>
    <row r="2415" spans="1:13" x14ac:dyDescent="0.25">
      <c r="A2415" s="2">
        <v>45542</v>
      </c>
      <c r="B2415" s="3" t="s">
        <v>243</v>
      </c>
      <c r="C2415" s="3" t="s">
        <v>13</v>
      </c>
      <c r="D2415" s="3" t="s">
        <v>10</v>
      </c>
      <c r="E2415" s="5" t="s">
        <v>18</v>
      </c>
      <c r="F2415" s="17">
        <v>12.21</v>
      </c>
      <c r="G2415" s="3">
        <v>2</v>
      </c>
      <c r="H2415" s="17">
        <f>Table1[[#This Row],[Unit price]]*Table1[[#This Row],[Quantity]]</f>
        <v>24.42</v>
      </c>
      <c r="I2415" s="29">
        <f>Table1[[#This Row],[Total Revenue]]/$H$5056*100</f>
        <v>2.5908581432490963E-3</v>
      </c>
      <c r="J2415" s="3" t="s">
        <v>17</v>
      </c>
      <c r="K2415" s="4">
        <v>5.7</v>
      </c>
      <c r="M2415"/>
    </row>
    <row r="2416" spans="1:13" x14ac:dyDescent="0.25">
      <c r="A2416" s="2">
        <v>45542</v>
      </c>
      <c r="B2416" s="3" t="s">
        <v>245</v>
      </c>
      <c r="C2416" s="3" t="s">
        <v>9</v>
      </c>
      <c r="D2416" s="3" t="s">
        <v>10</v>
      </c>
      <c r="E2416" s="5" t="s">
        <v>11</v>
      </c>
      <c r="F2416" s="17">
        <v>6.6</v>
      </c>
      <c r="G2416" s="3">
        <v>6</v>
      </c>
      <c r="H2416" s="17">
        <f>Table1[[#This Row],[Unit price]]*Table1[[#This Row],[Quantity]]</f>
        <v>39.599999999999994</v>
      </c>
      <c r="I2416" s="29">
        <f>Table1[[#This Row],[Total Revenue]]/$H$5056*100</f>
        <v>4.2013915836471823E-3</v>
      </c>
      <c r="J2416" s="3" t="s">
        <v>12</v>
      </c>
      <c r="K2416" s="4">
        <v>7.2</v>
      </c>
      <c r="M2416"/>
    </row>
    <row r="2417" spans="1:13" x14ac:dyDescent="0.25">
      <c r="A2417" s="2">
        <v>45572</v>
      </c>
      <c r="B2417" s="3" t="s">
        <v>244</v>
      </c>
      <c r="C2417" s="3" t="s">
        <v>13</v>
      </c>
      <c r="D2417" s="3" t="s">
        <v>10</v>
      </c>
      <c r="E2417" s="5" t="s">
        <v>18</v>
      </c>
      <c r="F2417" s="17">
        <v>7.79</v>
      </c>
      <c r="G2417" s="3">
        <v>1</v>
      </c>
      <c r="H2417" s="17">
        <f>Table1[[#This Row],[Unit price]]*Table1[[#This Row],[Quantity]]</f>
        <v>7.79</v>
      </c>
      <c r="I2417" s="29">
        <f>Table1[[#This Row],[Total Revenue]]/$H$5056*100</f>
        <v>8.2648586961140292E-4</v>
      </c>
      <c r="J2417" s="3" t="s">
        <v>17</v>
      </c>
      <c r="K2417" s="4">
        <v>6.5</v>
      </c>
      <c r="M2417"/>
    </row>
    <row r="2418" spans="1:13" x14ac:dyDescent="0.25">
      <c r="A2418" s="2">
        <v>45572</v>
      </c>
      <c r="B2418" s="3" t="s">
        <v>244</v>
      </c>
      <c r="C2418" s="3" t="s">
        <v>13</v>
      </c>
      <c r="D2418" s="3" t="s">
        <v>19</v>
      </c>
      <c r="E2418" s="5" t="s">
        <v>21</v>
      </c>
      <c r="F2418" s="17">
        <v>26.49</v>
      </c>
      <c r="G2418" s="3">
        <v>3</v>
      </c>
      <c r="H2418" s="17">
        <f>Table1[[#This Row],[Unit price]]*Table1[[#This Row],[Quantity]]</f>
        <v>79.47</v>
      </c>
      <c r="I2418" s="29">
        <f>Table1[[#This Row],[Total Revenue]]/$H$5056*100</f>
        <v>8.4314290190010514E-3</v>
      </c>
      <c r="J2418" s="3" t="s">
        <v>17</v>
      </c>
      <c r="K2418" s="4">
        <v>7.2</v>
      </c>
      <c r="M2418"/>
    </row>
    <row r="2419" spans="1:13" x14ac:dyDescent="0.25">
      <c r="A2419" s="2">
        <v>45572</v>
      </c>
      <c r="B2419" s="3" t="s">
        <v>245</v>
      </c>
      <c r="C2419" s="3" t="s">
        <v>13</v>
      </c>
      <c r="D2419" s="3" t="s">
        <v>19</v>
      </c>
      <c r="E2419" s="5" t="s">
        <v>16</v>
      </c>
      <c r="F2419" s="17">
        <v>50.63</v>
      </c>
      <c r="G2419" s="3">
        <v>2</v>
      </c>
      <c r="H2419" s="17">
        <f>Table1[[#This Row],[Unit price]]*Table1[[#This Row],[Quantity]]</f>
        <v>101.26</v>
      </c>
      <c r="I2419" s="29">
        <f>Table1[[#This Row],[Total Revenue]]/$H$5056*100</f>
        <v>1.0743255347477621E-2</v>
      </c>
      <c r="J2419" s="3" t="s">
        <v>17</v>
      </c>
      <c r="K2419" s="4">
        <v>7.3</v>
      </c>
      <c r="M2419"/>
    </row>
    <row r="2420" spans="1:13" x14ac:dyDescent="0.25">
      <c r="A2420" s="2">
        <v>45572</v>
      </c>
      <c r="B2420" s="3" t="s">
        <v>245</v>
      </c>
      <c r="C2420" s="3" t="s">
        <v>13</v>
      </c>
      <c r="D2420" s="3" t="s">
        <v>10</v>
      </c>
      <c r="E2420" s="5" t="s">
        <v>21</v>
      </c>
      <c r="F2420" s="17">
        <v>26.91</v>
      </c>
      <c r="G2420" s="3">
        <v>1</v>
      </c>
      <c r="H2420" s="17">
        <f>Table1[[#This Row],[Unit price]]*Table1[[#This Row],[Quantity]]</f>
        <v>26.91</v>
      </c>
      <c r="I2420" s="29">
        <f>Table1[[#This Row],[Total Revenue]]/$H$5056*100</f>
        <v>2.8550365534329722E-3</v>
      </c>
      <c r="J2420" s="3" t="s">
        <v>15</v>
      </c>
      <c r="K2420" s="4">
        <v>7.2</v>
      </c>
      <c r="M2420"/>
    </row>
    <row r="2421" spans="1:13" x14ac:dyDescent="0.25">
      <c r="A2421" s="2">
        <v>45572</v>
      </c>
      <c r="B2421" s="3" t="s">
        <v>243</v>
      </c>
      <c r="C2421" s="3" t="s">
        <v>13</v>
      </c>
      <c r="D2421" s="3" t="s">
        <v>19</v>
      </c>
      <c r="E2421" s="5" t="s">
        <v>20</v>
      </c>
      <c r="F2421" s="17">
        <v>65.61</v>
      </c>
      <c r="G2421" s="3">
        <v>4</v>
      </c>
      <c r="H2421" s="17">
        <f>Table1[[#This Row],[Unit price]]*Table1[[#This Row],[Quantity]]</f>
        <v>262.44</v>
      </c>
      <c r="I2421" s="29">
        <f>Table1[[#This Row],[Total Revenue]]/$H$5056*100</f>
        <v>2.7843767858898149E-2</v>
      </c>
      <c r="J2421" s="3" t="s">
        <v>15</v>
      </c>
      <c r="K2421" s="4">
        <v>8.6999999999999993</v>
      </c>
      <c r="M2421"/>
    </row>
    <row r="2422" spans="1:13" x14ac:dyDescent="0.25">
      <c r="A2422" s="2">
        <v>45572</v>
      </c>
      <c r="B2422" s="3" t="s">
        <v>245</v>
      </c>
      <c r="C2422" s="3" t="s">
        <v>13</v>
      </c>
      <c r="D2422" s="3" t="s">
        <v>10</v>
      </c>
      <c r="E2422" s="5" t="s">
        <v>11</v>
      </c>
      <c r="F2422" s="17">
        <v>6.96</v>
      </c>
      <c r="G2422" s="3">
        <v>1</v>
      </c>
      <c r="H2422" s="17">
        <f>Table1[[#This Row],[Unit price]]*Table1[[#This Row],[Quantity]]</f>
        <v>6.96</v>
      </c>
      <c r="I2422" s="29">
        <f>Table1[[#This Row],[Total Revenue]]/$H$5056*100</f>
        <v>7.3842639955011091E-4</v>
      </c>
      <c r="J2422" s="3" t="s">
        <v>17</v>
      </c>
      <c r="K2422" s="4">
        <v>7.7</v>
      </c>
      <c r="M2422"/>
    </row>
    <row r="2423" spans="1:13" x14ac:dyDescent="0.25">
      <c r="A2423" s="2">
        <v>45572</v>
      </c>
      <c r="B2423" s="3" t="s">
        <v>244</v>
      </c>
      <c r="C2423" s="3" t="s">
        <v>13</v>
      </c>
      <c r="D2423" s="3" t="s">
        <v>19</v>
      </c>
      <c r="E2423" s="5" t="s">
        <v>21</v>
      </c>
      <c r="F2423" s="17">
        <v>36.68</v>
      </c>
      <c r="G2423" s="3">
        <v>2</v>
      </c>
      <c r="H2423" s="17">
        <f>Table1[[#This Row],[Unit price]]*Table1[[#This Row],[Quantity]]</f>
        <v>73.36</v>
      </c>
      <c r="I2423" s="29">
        <f>Table1[[#This Row],[Total Revenue]]/$H$5056*100</f>
        <v>7.7831840044534691E-3</v>
      </c>
      <c r="J2423" s="3" t="s">
        <v>17</v>
      </c>
      <c r="K2423" s="4">
        <v>6.7</v>
      </c>
      <c r="M2423"/>
    </row>
    <row r="2424" spans="1:13" x14ac:dyDescent="0.25">
      <c r="A2424" s="2">
        <v>45572</v>
      </c>
      <c r="B2424" s="3" t="s">
        <v>245</v>
      </c>
      <c r="C2424" s="3" t="s">
        <v>13</v>
      </c>
      <c r="D2424" s="3" t="s">
        <v>10</v>
      </c>
      <c r="E2424" s="5" t="s">
        <v>20</v>
      </c>
      <c r="F2424" s="17">
        <v>54.82</v>
      </c>
      <c r="G2424" s="3">
        <v>3</v>
      </c>
      <c r="H2424" s="17">
        <f>Table1[[#This Row],[Unit price]]*Table1[[#This Row],[Quantity]]</f>
        <v>164.46</v>
      </c>
      <c r="I2424" s="29">
        <f>Table1[[#This Row],[Total Revenue]]/$H$5056*100</f>
        <v>1.7448506561783227E-2</v>
      </c>
      <c r="J2424" s="3" t="s">
        <v>15</v>
      </c>
      <c r="K2424" s="4">
        <v>5.3</v>
      </c>
      <c r="M2424"/>
    </row>
    <row r="2425" spans="1:13" x14ac:dyDescent="0.25">
      <c r="A2425" s="2">
        <v>45572</v>
      </c>
      <c r="B2425" s="3" t="s">
        <v>245</v>
      </c>
      <c r="C2425" s="3" t="s">
        <v>9</v>
      </c>
      <c r="D2425" s="3" t="s">
        <v>10</v>
      </c>
      <c r="E2425" s="5" t="s">
        <v>11</v>
      </c>
      <c r="F2425" s="17">
        <v>5.59</v>
      </c>
      <c r="G2425" s="3">
        <v>3</v>
      </c>
      <c r="H2425" s="17">
        <f>Table1[[#This Row],[Unit price]]*Table1[[#This Row],[Quantity]]</f>
        <v>16.77</v>
      </c>
      <c r="I2425" s="29">
        <f>Table1[[#This Row],[Total Revenue]]/$H$5056*100</f>
        <v>1.779225678226345E-3</v>
      </c>
      <c r="J2425" s="3" t="s">
        <v>15</v>
      </c>
      <c r="K2425" s="4">
        <v>7.5</v>
      </c>
      <c r="M2425"/>
    </row>
    <row r="2426" spans="1:13" x14ac:dyDescent="0.25">
      <c r="A2426" s="2">
        <v>45572</v>
      </c>
      <c r="B2426" s="3" t="s">
        <v>245</v>
      </c>
      <c r="C2426" s="3" t="s">
        <v>13</v>
      </c>
      <c r="D2426" s="3" t="s">
        <v>19</v>
      </c>
      <c r="E2426" s="5" t="s">
        <v>21</v>
      </c>
      <c r="F2426" s="17">
        <v>29.13</v>
      </c>
      <c r="G2426" s="3">
        <v>3</v>
      </c>
      <c r="H2426" s="17">
        <f>Table1[[#This Row],[Unit price]]*Table1[[#This Row],[Quantity]]</f>
        <v>87.39</v>
      </c>
      <c r="I2426" s="29">
        <f>Table1[[#This Row],[Total Revenue]]/$H$5056*100</f>
        <v>9.2717073357304874E-3</v>
      </c>
      <c r="J2426" s="3" t="s">
        <v>15</v>
      </c>
      <c r="K2426" s="4">
        <v>6</v>
      </c>
      <c r="M2426"/>
    </row>
    <row r="2427" spans="1:13" x14ac:dyDescent="0.25">
      <c r="A2427" s="2">
        <v>45572</v>
      </c>
      <c r="B2427" s="3" t="s">
        <v>243</v>
      </c>
      <c r="C2427" s="3" t="s">
        <v>13</v>
      </c>
      <c r="D2427" s="3" t="s">
        <v>19</v>
      </c>
      <c r="E2427" s="5" t="s">
        <v>11</v>
      </c>
      <c r="F2427" s="17">
        <v>7.58</v>
      </c>
      <c r="G2427" s="3">
        <v>2</v>
      </c>
      <c r="H2427" s="17">
        <f>Table1[[#This Row],[Unit price]]*Table1[[#This Row],[Quantity]]</f>
        <v>15.16</v>
      </c>
      <c r="I2427" s="29">
        <f>Table1[[#This Row],[Total Revenue]]/$H$5056*100</f>
        <v>1.6084115254568511E-3</v>
      </c>
      <c r="J2427" s="3" t="s">
        <v>12</v>
      </c>
      <c r="K2427" s="4">
        <v>7.5</v>
      </c>
      <c r="M2427"/>
    </row>
    <row r="2428" spans="1:13" x14ac:dyDescent="0.25">
      <c r="A2428" s="2">
        <v>45572</v>
      </c>
      <c r="B2428" s="3" t="s">
        <v>244</v>
      </c>
      <c r="C2428" s="3" t="s">
        <v>9</v>
      </c>
      <c r="D2428" s="3" t="s">
        <v>10</v>
      </c>
      <c r="E2428" s="5" t="s">
        <v>11</v>
      </c>
      <c r="F2428" s="17">
        <v>4.7300000000000004</v>
      </c>
      <c r="G2428" s="3">
        <v>1</v>
      </c>
      <c r="H2428" s="17">
        <f>Table1[[#This Row],[Unit price]]*Table1[[#This Row],[Quantity]]</f>
        <v>4.7300000000000004</v>
      </c>
      <c r="I2428" s="29">
        <f>Table1[[#This Row],[Total Revenue]]/$H$5056*100</f>
        <v>5.0183288360230245E-4</v>
      </c>
      <c r="J2428" s="3" t="s">
        <v>12</v>
      </c>
      <c r="K2428" s="4">
        <v>6.7</v>
      </c>
      <c r="M2428"/>
    </row>
    <row r="2429" spans="1:13" x14ac:dyDescent="0.25">
      <c r="A2429" s="2">
        <v>45603</v>
      </c>
      <c r="B2429" s="3" t="s">
        <v>244</v>
      </c>
      <c r="C2429" s="3" t="s">
        <v>9</v>
      </c>
      <c r="D2429" s="3" t="s">
        <v>19</v>
      </c>
      <c r="E2429" s="5" t="s">
        <v>11</v>
      </c>
      <c r="F2429" s="17">
        <v>5.65</v>
      </c>
      <c r="G2429" s="3">
        <v>3</v>
      </c>
      <c r="H2429" s="17">
        <f>Table1[[#This Row],[Unit price]]*Table1[[#This Row],[Quantity]]</f>
        <v>16.950000000000003</v>
      </c>
      <c r="I2429" s="29">
        <f>Table1[[#This Row],[Total Revenue]]/$H$5056*100</f>
        <v>1.7983229126974688E-3</v>
      </c>
      <c r="J2429" s="3" t="s">
        <v>15</v>
      </c>
      <c r="K2429" s="4">
        <v>8.6</v>
      </c>
      <c r="M2429"/>
    </row>
    <row r="2430" spans="1:13" x14ac:dyDescent="0.25">
      <c r="A2430" s="2">
        <v>45603</v>
      </c>
      <c r="B2430" s="3" t="s">
        <v>244</v>
      </c>
      <c r="C2430" s="3" t="s">
        <v>13</v>
      </c>
      <c r="D2430" s="3" t="s">
        <v>10</v>
      </c>
      <c r="E2430" s="5" t="s">
        <v>14</v>
      </c>
      <c r="F2430" s="17">
        <v>93.36</v>
      </c>
      <c r="G2430" s="3">
        <v>2</v>
      </c>
      <c r="H2430" s="17">
        <f>Table1[[#This Row],[Unit price]]*Table1[[#This Row],[Quantity]]</f>
        <v>186.72</v>
      </c>
      <c r="I2430" s="29">
        <f>Table1[[#This Row],[Total Revenue]]/$H$5056*100</f>
        <v>1.981019789137884E-2</v>
      </c>
      <c r="J2430" s="3" t="s">
        <v>17</v>
      </c>
      <c r="K2430" s="4">
        <v>6.8</v>
      </c>
      <c r="M2430"/>
    </row>
    <row r="2431" spans="1:13" x14ac:dyDescent="0.25">
      <c r="A2431" s="2">
        <v>45603</v>
      </c>
      <c r="B2431" s="3" t="s">
        <v>243</v>
      </c>
      <c r="C2431" s="3" t="s">
        <v>9</v>
      </c>
      <c r="D2431" s="3" t="s">
        <v>19</v>
      </c>
      <c r="E2431" s="5" t="s">
        <v>11</v>
      </c>
      <c r="F2431" s="17">
        <v>4.24</v>
      </c>
      <c r="G2431" s="3">
        <v>4</v>
      </c>
      <c r="H2431" s="17">
        <f>Table1[[#This Row],[Unit price]]*Table1[[#This Row],[Quantity]]</f>
        <v>16.96</v>
      </c>
      <c r="I2431" s="29">
        <f>Table1[[#This Row],[Total Revenue]]/$H$5056*100</f>
        <v>1.7993838701680866E-3</v>
      </c>
      <c r="J2431" s="3" t="s">
        <v>15</v>
      </c>
      <c r="K2431" s="4">
        <v>6.9</v>
      </c>
      <c r="M2431"/>
    </row>
    <row r="2432" spans="1:13" x14ac:dyDescent="0.25">
      <c r="A2432" s="2">
        <v>45603</v>
      </c>
      <c r="B2432" s="3" t="s">
        <v>244</v>
      </c>
      <c r="C2432" s="3" t="s">
        <v>9</v>
      </c>
      <c r="D2432" s="3" t="s">
        <v>10</v>
      </c>
      <c r="E2432" s="5" t="s">
        <v>20</v>
      </c>
      <c r="F2432" s="17">
        <v>54.19</v>
      </c>
      <c r="G2432" s="3">
        <v>3</v>
      </c>
      <c r="H2432" s="17">
        <f>Table1[[#This Row],[Unit price]]*Table1[[#This Row],[Quantity]]</f>
        <v>162.57</v>
      </c>
      <c r="I2432" s="29">
        <f>Table1[[#This Row],[Total Revenue]]/$H$5056*100</f>
        <v>1.7247985599836427E-2</v>
      </c>
      <c r="J2432" s="3" t="s">
        <v>17</v>
      </c>
      <c r="K2432" s="4">
        <v>7.5</v>
      </c>
      <c r="M2432"/>
    </row>
    <row r="2433" spans="1:13" x14ac:dyDescent="0.25">
      <c r="A2433" s="2">
        <v>45603</v>
      </c>
      <c r="B2433" s="3" t="s">
        <v>243</v>
      </c>
      <c r="C2433" s="3" t="s">
        <v>13</v>
      </c>
      <c r="D2433" s="3" t="s">
        <v>10</v>
      </c>
      <c r="E2433" s="5" t="s">
        <v>11</v>
      </c>
      <c r="F2433" s="17">
        <v>4.74</v>
      </c>
      <c r="G2433" s="3">
        <v>3</v>
      </c>
      <c r="H2433" s="17">
        <f>Table1[[#This Row],[Unit price]]*Table1[[#This Row],[Quantity]]</f>
        <v>14.22</v>
      </c>
      <c r="I2433" s="29">
        <f>Table1[[#This Row],[Total Revenue]]/$H$5056*100</f>
        <v>1.5086815232187613E-3</v>
      </c>
      <c r="J2433" s="3" t="s">
        <v>17</v>
      </c>
      <c r="K2433" s="4">
        <v>6.3</v>
      </c>
      <c r="M2433"/>
    </row>
    <row r="2434" spans="1:13" x14ac:dyDescent="0.25">
      <c r="A2434" s="2">
        <v>45603</v>
      </c>
      <c r="B2434" s="3" t="s">
        <v>244</v>
      </c>
      <c r="C2434" s="3" t="s">
        <v>13</v>
      </c>
      <c r="D2434" s="3" t="s">
        <v>19</v>
      </c>
      <c r="E2434" s="5" t="s">
        <v>18</v>
      </c>
      <c r="F2434" s="17">
        <v>19.71</v>
      </c>
      <c r="G2434" s="3">
        <v>1</v>
      </c>
      <c r="H2434" s="17">
        <f>Table1[[#This Row],[Unit price]]*Table1[[#This Row],[Quantity]]</f>
        <v>19.71</v>
      </c>
      <c r="I2434" s="29">
        <f>Table1[[#This Row],[Total Revenue]]/$H$5056*100</f>
        <v>2.09114717458803E-3</v>
      </c>
      <c r="J2434" s="3" t="s">
        <v>15</v>
      </c>
      <c r="K2434" s="4">
        <v>7</v>
      </c>
      <c r="M2434"/>
    </row>
    <row r="2435" spans="1:13" x14ac:dyDescent="0.25">
      <c r="A2435" s="2">
        <v>45603</v>
      </c>
      <c r="B2435" s="3" t="s">
        <v>244</v>
      </c>
      <c r="C2435" s="3" t="s">
        <v>13</v>
      </c>
      <c r="D2435" s="3" t="s">
        <v>10</v>
      </c>
      <c r="E2435" s="5" t="s">
        <v>16</v>
      </c>
      <c r="F2435" s="17">
        <v>67.459999999999994</v>
      </c>
      <c r="G2435" s="3">
        <v>2</v>
      </c>
      <c r="H2435" s="17">
        <f>Table1[[#This Row],[Unit price]]*Table1[[#This Row],[Quantity]]</f>
        <v>134.91999999999999</v>
      </c>
      <c r="I2435" s="29">
        <f>Table1[[#This Row],[Total Revenue]]/$H$5056*100</f>
        <v>1.4314438193577724E-2</v>
      </c>
      <c r="J2435" s="3" t="s">
        <v>12</v>
      </c>
      <c r="K2435" s="4">
        <v>6.3</v>
      </c>
      <c r="M2435"/>
    </row>
    <row r="2436" spans="1:13" x14ac:dyDescent="0.25">
      <c r="A2436" s="2">
        <v>45603</v>
      </c>
      <c r="B2436" s="3" t="s">
        <v>244</v>
      </c>
      <c r="C2436" s="3" t="s">
        <v>9</v>
      </c>
      <c r="D2436" s="3" t="s">
        <v>10</v>
      </c>
      <c r="E2436" s="5" t="s">
        <v>11</v>
      </c>
      <c r="F2436" s="17">
        <v>7.24</v>
      </c>
      <c r="G2436" s="3">
        <v>2</v>
      </c>
      <c r="H2436" s="17">
        <f>Table1[[#This Row],[Unit price]]*Table1[[#This Row],[Quantity]]</f>
        <v>14.48</v>
      </c>
      <c r="I2436" s="29">
        <f>Table1[[#This Row],[Total Revenue]]/$H$5056*100</f>
        <v>1.5362664174548286E-3</v>
      </c>
      <c r="J2436" s="3" t="s">
        <v>12</v>
      </c>
      <c r="K2436" s="4">
        <v>8.4</v>
      </c>
      <c r="M2436"/>
    </row>
    <row r="2437" spans="1:13" x14ac:dyDescent="0.25">
      <c r="A2437" s="2">
        <v>45603</v>
      </c>
      <c r="B2437" s="3" t="s">
        <v>245</v>
      </c>
      <c r="C2437" s="3" t="s">
        <v>13</v>
      </c>
      <c r="D2437" s="3" t="s">
        <v>10</v>
      </c>
      <c r="E2437" s="5" t="s">
        <v>11</v>
      </c>
      <c r="F2437" s="17">
        <v>6.3</v>
      </c>
      <c r="G2437" s="3">
        <v>3</v>
      </c>
      <c r="H2437" s="17">
        <f>Table1[[#This Row],[Unit price]]*Table1[[#This Row],[Quantity]]</f>
        <v>18.899999999999999</v>
      </c>
      <c r="I2437" s="29">
        <f>Table1[[#This Row],[Total Revenue]]/$H$5056*100</f>
        <v>2.0052096194679734E-3</v>
      </c>
      <c r="J2437" s="3" t="s">
        <v>17</v>
      </c>
      <c r="K2437" s="4">
        <v>9.6999999999999993</v>
      </c>
      <c r="M2437"/>
    </row>
    <row r="2438" spans="1:13" x14ac:dyDescent="0.25">
      <c r="A2438" s="2">
        <v>45603</v>
      </c>
      <c r="B2438" s="3" t="s">
        <v>243</v>
      </c>
      <c r="C2438" s="3" t="s">
        <v>13</v>
      </c>
      <c r="D2438" s="3" t="s">
        <v>19</v>
      </c>
      <c r="E2438" s="5" t="s">
        <v>11</v>
      </c>
      <c r="F2438" s="17">
        <v>7.27</v>
      </c>
      <c r="G2438" s="3">
        <v>2</v>
      </c>
      <c r="H2438" s="17">
        <f>Table1[[#This Row],[Unit price]]*Table1[[#This Row],[Quantity]]</f>
        <v>14.54</v>
      </c>
      <c r="I2438" s="29">
        <f>Table1[[#This Row],[Total Revenue]]/$H$5056*100</f>
        <v>1.5426321622785365E-3</v>
      </c>
      <c r="J2438" s="3" t="s">
        <v>15</v>
      </c>
      <c r="K2438" s="4">
        <v>6.7</v>
      </c>
      <c r="M2438"/>
    </row>
    <row r="2439" spans="1:13" x14ac:dyDescent="0.25">
      <c r="A2439" s="2">
        <v>45633</v>
      </c>
      <c r="B2439" s="3" t="s">
        <v>243</v>
      </c>
      <c r="C2439" s="3" t="s">
        <v>13</v>
      </c>
      <c r="D2439" s="3" t="s">
        <v>19</v>
      </c>
      <c r="E2439" s="5" t="s">
        <v>14</v>
      </c>
      <c r="F2439" s="17">
        <v>91.82</v>
      </c>
      <c r="G2439" s="3">
        <v>2</v>
      </c>
      <c r="H2439" s="17">
        <f>Table1[[#This Row],[Unit price]]*Table1[[#This Row],[Quantity]]</f>
        <v>183.64</v>
      </c>
      <c r="I2439" s="29">
        <f>Table1[[#This Row],[Total Revenue]]/$H$5056*100</f>
        <v>1.9483422990428503E-2</v>
      </c>
      <c r="J2439" s="3" t="s">
        <v>12</v>
      </c>
      <c r="K2439" s="4">
        <v>6.6</v>
      </c>
      <c r="M2439"/>
    </row>
    <row r="2440" spans="1:13" x14ac:dyDescent="0.25">
      <c r="A2440" s="2">
        <v>45633</v>
      </c>
      <c r="B2440" s="3" t="s">
        <v>244</v>
      </c>
      <c r="C2440" s="3" t="s">
        <v>13</v>
      </c>
      <c r="D2440" s="3" t="s">
        <v>10</v>
      </c>
      <c r="E2440" s="5" t="s">
        <v>11</v>
      </c>
      <c r="F2440" s="17">
        <v>2.39</v>
      </c>
      <c r="G2440" s="3">
        <v>2</v>
      </c>
      <c r="H2440" s="17">
        <f>Table1[[#This Row],[Unit price]]*Table1[[#This Row],[Quantity]]</f>
        <v>4.78</v>
      </c>
      <c r="I2440" s="29">
        <f>Table1[[#This Row],[Total Revenue]]/$H$5056*100</f>
        <v>5.0713767095539233E-4</v>
      </c>
      <c r="J2440" s="3" t="s">
        <v>12</v>
      </c>
      <c r="K2440" s="4">
        <v>8</v>
      </c>
      <c r="M2440"/>
    </row>
    <row r="2441" spans="1:13" x14ac:dyDescent="0.25">
      <c r="A2441" s="2">
        <v>45633</v>
      </c>
      <c r="B2441" s="3" t="s">
        <v>244</v>
      </c>
      <c r="C2441" s="3" t="s">
        <v>13</v>
      </c>
      <c r="D2441" s="3" t="s">
        <v>10</v>
      </c>
      <c r="E2441" s="5" t="s">
        <v>20</v>
      </c>
      <c r="F2441" s="17">
        <v>72.42</v>
      </c>
      <c r="G2441" s="3">
        <v>4</v>
      </c>
      <c r="H2441" s="17">
        <f>Table1[[#This Row],[Unit price]]*Table1[[#This Row],[Quantity]]</f>
        <v>289.68</v>
      </c>
      <c r="I2441" s="29">
        <f>Table1[[#This Row],[Total Revenue]]/$H$5056*100</f>
        <v>3.0733816008861516E-2</v>
      </c>
      <c r="J2441" s="3" t="s">
        <v>15</v>
      </c>
      <c r="K2441" s="4">
        <v>6.9</v>
      </c>
      <c r="M2441"/>
    </row>
    <row r="2442" spans="1:13" x14ac:dyDescent="0.25">
      <c r="A2442" s="2">
        <v>45633</v>
      </c>
      <c r="B2442" s="3" t="s">
        <v>243</v>
      </c>
      <c r="C2442" s="3" t="s">
        <v>13</v>
      </c>
      <c r="D2442" s="3" t="s">
        <v>19</v>
      </c>
      <c r="E2442" s="5" t="s">
        <v>20</v>
      </c>
      <c r="F2442" s="17">
        <v>61.39</v>
      </c>
      <c r="G2442" s="3">
        <v>4</v>
      </c>
      <c r="H2442" s="17">
        <f>Table1[[#This Row],[Unit price]]*Table1[[#This Row],[Quantity]]</f>
        <v>245.56</v>
      </c>
      <c r="I2442" s="29">
        <f>Table1[[#This Row],[Total Revenue]]/$H$5056*100</f>
        <v>2.6052871648495009E-2</v>
      </c>
      <c r="J2442" s="3" t="s">
        <v>12</v>
      </c>
      <c r="K2442" s="4">
        <v>5.8</v>
      </c>
      <c r="M2442"/>
    </row>
    <row r="2443" spans="1:13" x14ac:dyDescent="0.25">
      <c r="A2443" s="2">
        <v>45633</v>
      </c>
      <c r="B2443" s="3" t="s">
        <v>244</v>
      </c>
      <c r="C2443" s="3" t="s">
        <v>13</v>
      </c>
      <c r="D2443" s="3" t="s">
        <v>10</v>
      </c>
      <c r="E2443" s="5" t="s">
        <v>14</v>
      </c>
      <c r="F2443" s="17">
        <v>81.42</v>
      </c>
      <c r="G2443" s="3">
        <v>2</v>
      </c>
      <c r="H2443" s="17">
        <f>Table1[[#This Row],[Unit price]]*Table1[[#This Row],[Quantity]]</f>
        <v>162.84</v>
      </c>
      <c r="I2443" s="29">
        <f>Table1[[#This Row],[Total Revenue]]/$H$5056*100</f>
        <v>1.7276631451543116E-2</v>
      </c>
      <c r="J2443" s="3" t="s">
        <v>12</v>
      </c>
      <c r="K2443" s="4">
        <v>6.1</v>
      </c>
      <c r="M2443"/>
    </row>
    <row r="2444" spans="1:13" x14ac:dyDescent="0.25">
      <c r="A2444" s="2">
        <v>45633</v>
      </c>
      <c r="B2444" s="3" t="s">
        <v>244</v>
      </c>
      <c r="C2444" s="3" t="s">
        <v>13</v>
      </c>
      <c r="D2444" s="3" t="s">
        <v>10</v>
      </c>
      <c r="E2444" s="5" t="s">
        <v>21</v>
      </c>
      <c r="F2444" s="17">
        <v>26.85</v>
      </c>
      <c r="G2444" s="3">
        <v>2</v>
      </c>
      <c r="H2444" s="17">
        <f>Table1[[#This Row],[Unit price]]*Table1[[#This Row],[Quantity]]</f>
        <v>53.7</v>
      </c>
      <c r="I2444" s="29">
        <f>Table1[[#This Row],[Total Revenue]]/$H$5056*100</f>
        <v>5.6973416172185288E-3</v>
      </c>
      <c r="J2444" s="3" t="s">
        <v>17</v>
      </c>
      <c r="K2444" s="4">
        <v>6.6</v>
      </c>
      <c r="M2444"/>
    </row>
    <row r="2445" spans="1:13" x14ac:dyDescent="0.25">
      <c r="A2445" s="2">
        <v>45633</v>
      </c>
      <c r="B2445" s="3" t="s">
        <v>245</v>
      </c>
      <c r="C2445" s="3" t="s">
        <v>13</v>
      </c>
      <c r="D2445" s="3" t="s">
        <v>10</v>
      </c>
      <c r="E2445" s="5" t="s">
        <v>21</v>
      </c>
      <c r="F2445" s="17">
        <v>27.29</v>
      </c>
      <c r="G2445" s="3">
        <v>2</v>
      </c>
      <c r="H2445" s="17">
        <f>Table1[[#This Row],[Unit price]]*Table1[[#This Row],[Quantity]]</f>
        <v>54.58</v>
      </c>
      <c r="I2445" s="29">
        <f>Table1[[#This Row],[Total Revenue]]/$H$5056*100</f>
        <v>5.7907058746329105E-3</v>
      </c>
      <c r="J2445" s="3" t="s">
        <v>17</v>
      </c>
      <c r="K2445" s="4">
        <v>6.7</v>
      </c>
      <c r="M2445"/>
    </row>
    <row r="2446" spans="1:13" x14ac:dyDescent="0.25">
      <c r="A2446" s="2">
        <v>45633</v>
      </c>
      <c r="B2446" s="3" t="s">
        <v>245</v>
      </c>
      <c r="C2446" s="3" t="s">
        <v>13</v>
      </c>
      <c r="D2446" s="3" t="s">
        <v>19</v>
      </c>
      <c r="E2446" s="5" t="s">
        <v>14</v>
      </c>
      <c r="F2446" s="17">
        <v>85.6</v>
      </c>
      <c r="G2446" s="3">
        <v>2</v>
      </c>
      <c r="H2446" s="17">
        <f>Table1[[#This Row],[Unit price]]*Table1[[#This Row],[Quantity]]</f>
        <v>171.2</v>
      </c>
      <c r="I2446" s="29">
        <f>Table1[[#This Row],[Total Revenue]]/$H$5056*100</f>
        <v>1.816359189697974E-2</v>
      </c>
      <c r="J2446" s="3" t="s">
        <v>17</v>
      </c>
      <c r="K2446" s="4">
        <v>5.5</v>
      </c>
      <c r="M2446"/>
    </row>
    <row r="2447" spans="1:13" x14ac:dyDescent="0.25">
      <c r="A2447" s="2">
        <v>45633</v>
      </c>
      <c r="B2447" s="3" t="s">
        <v>243</v>
      </c>
      <c r="C2447" s="3" t="s">
        <v>9</v>
      </c>
      <c r="D2447" s="3" t="s">
        <v>10</v>
      </c>
      <c r="E2447" s="5" t="s">
        <v>11</v>
      </c>
      <c r="F2447" s="17">
        <v>7.82</v>
      </c>
      <c r="G2447" s="3">
        <v>3</v>
      </c>
      <c r="H2447" s="17">
        <f>Table1[[#This Row],[Unit price]]*Table1[[#This Row],[Quantity]]</f>
        <v>23.46</v>
      </c>
      <c r="I2447" s="29">
        <f>Table1[[#This Row],[Total Revenue]]/$H$5056*100</f>
        <v>2.4890062260697707E-3</v>
      </c>
      <c r="J2447" s="3" t="s">
        <v>15</v>
      </c>
      <c r="K2447" s="4">
        <v>7.1</v>
      </c>
      <c r="M2447"/>
    </row>
    <row r="2448" spans="1:13" x14ac:dyDescent="0.25">
      <c r="A2448" s="2">
        <v>45633</v>
      </c>
      <c r="B2448" s="3" t="s">
        <v>244</v>
      </c>
      <c r="C2448" s="3" t="s">
        <v>13</v>
      </c>
      <c r="D2448" s="3" t="s">
        <v>19</v>
      </c>
      <c r="E2448" s="5" t="s">
        <v>21</v>
      </c>
      <c r="F2448" s="17">
        <v>33.1</v>
      </c>
      <c r="G2448" s="3">
        <v>3</v>
      </c>
      <c r="H2448" s="17">
        <f>Table1[[#This Row],[Unit price]]*Table1[[#This Row],[Quantity]]</f>
        <v>99.300000000000011</v>
      </c>
      <c r="I2448" s="29">
        <f>Table1[[#This Row],[Total Revenue]]/$H$5056*100</f>
        <v>1.0535307683236498E-2</v>
      </c>
      <c r="J2448" s="3" t="s">
        <v>12</v>
      </c>
      <c r="K2448" s="4">
        <v>5.8</v>
      </c>
      <c r="M2448"/>
    </row>
    <row r="2449" spans="1:13" x14ac:dyDescent="0.25">
      <c r="A2449" s="2">
        <v>45633</v>
      </c>
      <c r="B2449" s="3" t="s">
        <v>243</v>
      </c>
      <c r="C2449" s="3" t="s">
        <v>13</v>
      </c>
      <c r="D2449" s="3" t="s">
        <v>19</v>
      </c>
      <c r="E2449" s="5" t="s">
        <v>11</v>
      </c>
      <c r="F2449" s="17">
        <v>3.01</v>
      </c>
      <c r="G2449" s="3">
        <v>2</v>
      </c>
      <c r="H2449" s="17">
        <f>Table1[[#This Row],[Unit price]]*Table1[[#This Row],[Quantity]]</f>
        <v>6.02</v>
      </c>
      <c r="I2449" s="29">
        <f>Table1[[#This Row],[Total Revenue]]/$H$5056*100</f>
        <v>6.3869639731202119E-4</v>
      </c>
      <c r="J2449" s="3" t="s">
        <v>15</v>
      </c>
      <c r="K2449" s="4">
        <v>7.4</v>
      </c>
      <c r="M2449"/>
    </row>
    <row r="2450" spans="1:13" x14ac:dyDescent="0.25">
      <c r="A2450" s="2">
        <v>45633</v>
      </c>
      <c r="B2450" s="3" t="s">
        <v>243</v>
      </c>
      <c r="C2450" s="3" t="s">
        <v>13</v>
      </c>
      <c r="D2450" s="3" t="s">
        <v>10</v>
      </c>
      <c r="E2450" s="5" t="s">
        <v>11</v>
      </c>
      <c r="F2450" s="17">
        <v>5.16</v>
      </c>
      <c r="G2450" s="3">
        <v>3</v>
      </c>
      <c r="H2450" s="17">
        <f>Table1[[#This Row],[Unit price]]*Table1[[#This Row],[Quantity]]</f>
        <v>15.48</v>
      </c>
      <c r="I2450" s="29">
        <f>Table1[[#This Row],[Total Revenue]]/$H$5056*100</f>
        <v>1.6423621645166261E-3</v>
      </c>
      <c r="J2450" s="3" t="s">
        <v>12</v>
      </c>
      <c r="K2450" s="4">
        <v>8.8000000000000007</v>
      </c>
      <c r="M2450"/>
    </row>
    <row r="2451" spans="1:13" x14ac:dyDescent="0.25">
      <c r="A2451" s="2">
        <v>45633</v>
      </c>
      <c r="B2451" s="3" t="s">
        <v>244</v>
      </c>
      <c r="C2451" s="3" t="s">
        <v>13</v>
      </c>
      <c r="D2451" s="3" t="s">
        <v>19</v>
      </c>
      <c r="E2451" s="5" t="s">
        <v>11</v>
      </c>
      <c r="F2451" s="17">
        <v>7.64</v>
      </c>
      <c r="G2451" s="3">
        <v>2</v>
      </c>
      <c r="H2451" s="17">
        <f>Table1[[#This Row],[Unit price]]*Table1[[#This Row],[Quantity]]</f>
        <v>15.28</v>
      </c>
      <c r="I2451" s="29">
        <f>Table1[[#This Row],[Total Revenue]]/$H$5056*100</f>
        <v>1.6211430151042666E-3</v>
      </c>
      <c r="J2451" s="3" t="s">
        <v>12</v>
      </c>
      <c r="K2451" s="4">
        <v>7.6</v>
      </c>
      <c r="M2451"/>
    </row>
    <row r="2452" spans="1:13" x14ac:dyDescent="0.25">
      <c r="A2452" s="2">
        <v>45633</v>
      </c>
      <c r="B2452" s="3" t="s">
        <v>245</v>
      </c>
      <c r="C2452" s="3" t="s">
        <v>9</v>
      </c>
      <c r="D2452" s="3" t="s">
        <v>19</v>
      </c>
      <c r="E2452" s="5" t="s">
        <v>11</v>
      </c>
      <c r="F2452" s="17">
        <v>7.36</v>
      </c>
      <c r="G2452" s="3">
        <v>3</v>
      </c>
      <c r="H2452" s="17">
        <f>Table1[[#This Row],[Unit price]]*Table1[[#This Row],[Quantity]]</f>
        <v>22.080000000000002</v>
      </c>
      <c r="I2452" s="29">
        <f>Table1[[#This Row],[Total Revenue]]/$H$5056*100</f>
        <v>2.3425940951244902E-3</v>
      </c>
      <c r="J2452" s="3" t="s">
        <v>15</v>
      </c>
      <c r="K2452" s="4">
        <v>7.4</v>
      </c>
      <c r="M2452"/>
    </row>
    <row r="2453" spans="1:13" x14ac:dyDescent="0.25">
      <c r="A2453" s="2">
        <v>45633</v>
      </c>
      <c r="B2453" s="3" t="s">
        <v>244</v>
      </c>
      <c r="C2453" s="3" t="s">
        <v>13</v>
      </c>
      <c r="D2453" s="3" t="s">
        <v>19</v>
      </c>
      <c r="E2453" s="5" t="s">
        <v>11</v>
      </c>
      <c r="F2453" s="17">
        <v>3.88</v>
      </c>
      <c r="G2453" s="3">
        <v>3</v>
      </c>
      <c r="H2453" s="17">
        <f>Table1[[#This Row],[Unit price]]*Table1[[#This Row],[Quantity]]</f>
        <v>11.64</v>
      </c>
      <c r="I2453" s="29">
        <f>Table1[[#This Row],[Total Revenue]]/$H$5056*100</f>
        <v>1.2349544957993236E-3</v>
      </c>
      <c r="J2453" s="3" t="s">
        <v>12</v>
      </c>
      <c r="K2453" s="4">
        <v>8.1</v>
      </c>
      <c r="M2453"/>
    </row>
    <row r="2454" spans="1:13" x14ac:dyDescent="0.25">
      <c r="A2454" s="3" t="s">
        <v>131</v>
      </c>
      <c r="B2454" s="3" t="s">
        <v>244</v>
      </c>
      <c r="C2454" s="3" t="s">
        <v>9</v>
      </c>
      <c r="D2454" s="3" t="s">
        <v>10</v>
      </c>
      <c r="E2454" s="5" t="s">
        <v>11</v>
      </c>
      <c r="F2454" s="17">
        <v>5.53</v>
      </c>
      <c r="G2454" s="3">
        <v>3</v>
      </c>
      <c r="H2454" s="17">
        <f>Table1[[#This Row],[Unit price]]*Table1[[#This Row],[Quantity]]</f>
        <v>16.59</v>
      </c>
      <c r="I2454" s="29">
        <f>Table1[[#This Row],[Total Revenue]]/$H$5056*100</f>
        <v>1.7601284437552213E-3</v>
      </c>
      <c r="J2454" s="3" t="s">
        <v>17</v>
      </c>
      <c r="K2454" s="4">
        <v>8.6999999999999993</v>
      </c>
      <c r="M2454"/>
    </row>
    <row r="2455" spans="1:13" x14ac:dyDescent="0.25">
      <c r="A2455" s="3" t="s">
        <v>131</v>
      </c>
      <c r="B2455" s="3" t="s">
        <v>244</v>
      </c>
      <c r="C2455" s="3" t="s">
        <v>13</v>
      </c>
      <c r="D2455" s="3" t="s">
        <v>10</v>
      </c>
      <c r="E2455" s="5" t="s">
        <v>16</v>
      </c>
      <c r="F2455" s="17">
        <v>72.39</v>
      </c>
      <c r="G2455" s="3">
        <v>1</v>
      </c>
      <c r="H2455" s="17">
        <f>Table1[[#This Row],[Unit price]]*Table1[[#This Row],[Quantity]]</f>
        <v>72.39</v>
      </c>
      <c r="I2455" s="29">
        <f>Table1[[#This Row],[Total Revenue]]/$H$5056*100</f>
        <v>7.6802711298035245E-3</v>
      </c>
      <c r="J2455" s="3" t="s">
        <v>17</v>
      </c>
      <c r="K2455" s="4">
        <v>5.3</v>
      </c>
      <c r="M2455"/>
    </row>
    <row r="2456" spans="1:13" x14ac:dyDescent="0.25">
      <c r="A2456" s="3" t="s">
        <v>131</v>
      </c>
      <c r="B2456" s="3" t="s">
        <v>244</v>
      </c>
      <c r="C2456" s="3" t="s">
        <v>9</v>
      </c>
      <c r="D2456" s="3" t="s">
        <v>10</v>
      </c>
      <c r="E2456" s="5" t="s">
        <v>18</v>
      </c>
      <c r="F2456" s="17">
        <v>12.38</v>
      </c>
      <c r="G2456" s="3">
        <v>3</v>
      </c>
      <c r="H2456" s="17">
        <f>Table1[[#This Row],[Unit price]]*Table1[[#This Row],[Quantity]]</f>
        <v>37.14</v>
      </c>
      <c r="I2456" s="29">
        <f>Table1[[#This Row],[Total Revenue]]/$H$5056*100</f>
        <v>3.940396045875161E-3</v>
      </c>
      <c r="J2456" s="3" t="s">
        <v>17</v>
      </c>
      <c r="K2456" s="4">
        <v>7.2</v>
      </c>
      <c r="M2456"/>
    </row>
    <row r="2457" spans="1:13" x14ac:dyDescent="0.25">
      <c r="A2457" s="3" t="s">
        <v>131</v>
      </c>
      <c r="B2457" s="3" t="s">
        <v>245</v>
      </c>
      <c r="C2457" s="3" t="s">
        <v>13</v>
      </c>
      <c r="D2457" s="3" t="s">
        <v>10</v>
      </c>
      <c r="E2457" s="5" t="s">
        <v>11</v>
      </c>
      <c r="F2457" s="17">
        <v>6.27</v>
      </c>
      <c r="G2457" s="3">
        <v>2</v>
      </c>
      <c r="H2457" s="17">
        <f>Table1[[#This Row],[Unit price]]*Table1[[#This Row],[Quantity]]</f>
        <v>12.54</v>
      </c>
      <c r="I2457" s="29">
        <f>Table1[[#This Row],[Total Revenue]]/$H$5056*100</f>
        <v>1.3304406681549411E-3</v>
      </c>
      <c r="J2457" s="3" t="s">
        <v>15</v>
      </c>
      <c r="K2457" s="4">
        <v>7.4</v>
      </c>
      <c r="M2457"/>
    </row>
    <row r="2458" spans="1:13" x14ac:dyDescent="0.25">
      <c r="A2458" s="3" t="s">
        <v>131</v>
      </c>
      <c r="B2458" s="3" t="s">
        <v>245</v>
      </c>
      <c r="C2458" s="3" t="s">
        <v>9</v>
      </c>
      <c r="D2458" s="3" t="s">
        <v>10</v>
      </c>
      <c r="E2458" s="5" t="s">
        <v>16</v>
      </c>
      <c r="F2458" s="17">
        <v>67.06</v>
      </c>
      <c r="G2458" s="3">
        <v>1</v>
      </c>
      <c r="H2458" s="17">
        <f>Table1[[#This Row],[Unit price]]*Table1[[#This Row],[Quantity]]</f>
        <v>67.06</v>
      </c>
      <c r="I2458" s="29">
        <f>Table1[[#This Row],[Total Revenue]]/$H$5056*100</f>
        <v>7.1147807979641446E-3</v>
      </c>
      <c r="J2458" s="3" t="s">
        <v>12</v>
      </c>
      <c r="K2458" s="4">
        <v>6.9</v>
      </c>
      <c r="M2458"/>
    </row>
    <row r="2459" spans="1:13" x14ac:dyDescent="0.25">
      <c r="A2459" s="3" t="s">
        <v>131</v>
      </c>
      <c r="B2459" s="3" t="s">
        <v>243</v>
      </c>
      <c r="C2459" s="3" t="s">
        <v>13</v>
      </c>
      <c r="D2459" s="3" t="s">
        <v>19</v>
      </c>
      <c r="E2459" s="5" t="s">
        <v>11</v>
      </c>
      <c r="F2459" s="17">
        <v>7.21</v>
      </c>
      <c r="G2459" s="3">
        <v>6</v>
      </c>
      <c r="H2459" s="17">
        <f>Table1[[#This Row],[Unit price]]*Table1[[#This Row],[Quantity]]</f>
        <v>43.26</v>
      </c>
      <c r="I2459" s="29">
        <f>Table1[[#This Row],[Total Revenue]]/$H$5056*100</f>
        <v>4.5897020178933623E-3</v>
      </c>
      <c r="J2459" s="3" t="s">
        <v>17</v>
      </c>
      <c r="K2459" s="4">
        <v>7.9</v>
      </c>
      <c r="M2459"/>
    </row>
    <row r="2460" spans="1:13" x14ac:dyDescent="0.25">
      <c r="A2460" s="3" t="s">
        <v>131</v>
      </c>
      <c r="B2460" s="3" t="s">
        <v>245</v>
      </c>
      <c r="C2460" s="3" t="s">
        <v>13</v>
      </c>
      <c r="D2460" s="3" t="s">
        <v>19</v>
      </c>
      <c r="E2460" s="5" t="s">
        <v>18</v>
      </c>
      <c r="F2460" s="17">
        <v>17.47</v>
      </c>
      <c r="G2460" s="3">
        <v>1</v>
      </c>
      <c r="H2460" s="17">
        <f>Table1[[#This Row],[Unit price]]*Table1[[#This Row],[Quantity]]</f>
        <v>17.47</v>
      </c>
      <c r="I2460" s="29">
        <f>Table1[[#This Row],[Total Revenue]]/$H$5056*100</f>
        <v>1.8534927011696033E-3</v>
      </c>
      <c r="J2460" s="3" t="s">
        <v>15</v>
      </c>
      <c r="K2460" s="4">
        <v>6.5</v>
      </c>
      <c r="M2460"/>
    </row>
    <row r="2461" spans="1:13" x14ac:dyDescent="0.25">
      <c r="A2461" s="3" t="s">
        <v>131</v>
      </c>
      <c r="B2461" s="3" t="s">
        <v>244</v>
      </c>
      <c r="C2461" s="3" t="s">
        <v>13</v>
      </c>
      <c r="D2461" s="3" t="s">
        <v>10</v>
      </c>
      <c r="E2461" s="5" t="s">
        <v>21</v>
      </c>
      <c r="F2461" s="17">
        <v>32.79</v>
      </c>
      <c r="G2461" s="3">
        <v>1</v>
      </c>
      <c r="H2461" s="17">
        <f>Table1[[#This Row],[Unit price]]*Table1[[#This Row],[Quantity]]</f>
        <v>32.79</v>
      </c>
      <c r="I2461" s="29">
        <f>Table1[[#This Row],[Total Revenue]]/$H$5056*100</f>
        <v>3.4788795461563418E-3</v>
      </c>
      <c r="J2461" s="3" t="s">
        <v>12</v>
      </c>
      <c r="K2461" s="4">
        <v>5.8</v>
      </c>
      <c r="M2461"/>
    </row>
    <row r="2462" spans="1:13" x14ac:dyDescent="0.25">
      <c r="A2462" s="3" t="s">
        <v>131</v>
      </c>
      <c r="B2462" s="3" t="s">
        <v>245</v>
      </c>
      <c r="C2462" s="3" t="s">
        <v>13</v>
      </c>
      <c r="D2462" s="3" t="s">
        <v>19</v>
      </c>
      <c r="E2462" s="5" t="s">
        <v>20</v>
      </c>
      <c r="F2462" s="17">
        <v>52.31</v>
      </c>
      <c r="G2462" s="3">
        <v>2</v>
      </c>
      <c r="H2462" s="17">
        <f>Table1[[#This Row],[Unit price]]*Table1[[#This Row],[Quantity]]</f>
        <v>104.62</v>
      </c>
      <c r="I2462" s="29">
        <f>Table1[[#This Row],[Total Revenue]]/$H$5056*100</f>
        <v>1.1099737057605259E-2</v>
      </c>
      <c r="J2462" s="3" t="s">
        <v>17</v>
      </c>
      <c r="K2462" s="4">
        <v>6.2</v>
      </c>
      <c r="M2462"/>
    </row>
    <row r="2463" spans="1:13" x14ac:dyDescent="0.25">
      <c r="A2463" s="3" t="s">
        <v>131</v>
      </c>
      <c r="B2463" s="3" t="s">
        <v>245</v>
      </c>
      <c r="C2463" s="3" t="s">
        <v>13</v>
      </c>
      <c r="D2463" s="3" t="s">
        <v>19</v>
      </c>
      <c r="E2463" s="5" t="s">
        <v>18</v>
      </c>
      <c r="F2463" s="17">
        <v>14.75</v>
      </c>
      <c r="G2463" s="3">
        <v>1</v>
      </c>
      <c r="H2463" s="17">
        <f>Table1[[#This Row],[Unit price]]*Table1[[#This Row],[Quantity]]</f>
        <v>14.75</v>
      </c>
      <c r="I2463" s="29">
        <f>Table1[[#This Row],[Total Revenue]]/$H$5056*100</f>
        <v>1.5649122691615139E-3</v>
      </c>
      <c r="J2463" s="3" t="s">
        <v>17</v>
      </c>
      <c r="K2463" s="4">
        <v>7.1</v>
      </c>
      <c r="M2463"/>
    </row>
    <row r="2464" spans="1:13" x14ac:dyDescent="0.25">
      <c r="A2464" s="3" t="s">
        <v>131</v>
      </c>
      <c r="B2464" s="3" t="s">
        <v>243</v>
      </c>
      <c r="C2464" s="3" t="s">
        <v>13</v>
      </c>
      <c r="D2464" s="3" t="s">
        <v>10</v>
      </c>
      <c r="E2464" s="5" t="s">
        <v>11</v>
      </c>
      <c r="F2464" s="17">
        <v>6.81</v>
      </c>
      <c r="G2464" s="3">
        <v>2</v>
      </c>
      <c r="H2464" s="17">
        <f>Table1[[#This Row],[Unit price]]*Table1[[#This Row],[Quantity]]</f>
        <v>13.62</v>
      </c>
      <c r="I2464" s="29">
        <f>Table1[[#This Row],[Total Revenue]]/$H$5056*100</f>
        <v>1.4450240749816826E-3</v>
      </c>
      <c r="J2464" s="3" t="s">
        <v>15</v>
      </c>
      <c r="K2464" s="4">
        <v>9.6999999999999993</v>
      </c>
      <c r="M2464"/>
    </row>
    <row r="2465" spans="1:13" x14ac:dyDescent="0.25">
      <c r="A2465" s="3" t="s">
        <v>131</v>
      </c>
      <c r="B2465" s="3" t="s">
        <v>243</v>
      </c>
      <c r="C2465" s="3" t="s">
        <v>9</v>
      </c>
      <c r="D2465" s="3" t="s">
        <v>19</v>
      </c>
      <c r="E2465" s="5" t="s">
        <v>21</v>
      </c>
      <c r="F2465" s="17">
        <v>24.85</v>
      </c>
      <c r="G2465" s="3">
        <v>2</v>
      </c>
      <c r="H2465" s="17">
        <f>Table1[[#This Row],[Unit price]]*Table1[[#This Row],[Quantity]]</f>
        <v>49.7</v>
      </c>
      <c r="I2465" s="29">
        <f>Table1[[#This Row],[Total Revenue]]/$H$5056*100</f>
        <v>5.2729586289713389E-3</v>
      </c>
      <c r="J2465" s="3" t="s">
        <v>15</v>
      </c>
      <c r="K2465" s="4">
        <v>7.9</v>
      </c>
      <c r="M2465"/>
    </row>
    <row r="2466" spans="1:13" x14ac:dyDescent="0.25">
      <c r="A2466" s="3" t="s">
        <v>131</v>
      </c>
      <c r="B2466" s="3" t="s">
        <v>243</v>
      </c>
      <c r="C2466" s="3" t="s">
        <v>9</v>
      </c>
      <c r="D2466" s="3" t="s">
        <v>10</v>
      </c>
      <c r="E2466" s="5" t="s">
        <v>21</v>
      </c>
      <c r="F2466" s="17">
        <v>21.5</v>
      </c>
      <c r="G2466" s="3">
        <v>2</v>
      </c>
      <c r="H2466" s="17">
        <f>Table1[[#This Row],[Unit price]]*Table1[[#This Row],[Quantity]]</f>
        <v>43</v>
      </c>
      <c r="I2466" s="29">
        <f>Table1[[#This Row],[Total Revenue]]/$H$5056*100</f>
        <v>4.5621171236572946E-3</v>
      </c>
      <c r="J2466" s="3" t="s">
        <v>17</v>
      </c>
      <c r="K2466" s="4">
        <v>9.1999999999999993</v>
      </c>
      <c r="M2466"/>
    </row>
    <row r="2467" spans="1:13" x14ac:dyDescent="0.25">
      <c r="A2467" s="3" t="s">
        <v>131</v>
      </c>
      <c r="B2467" s="3" t="s">
        <v>243</v>
      </c>
      <c r="C2467" s="3" t="s">
        <v>9</v>
      </c>
      <c r="D2467" s="3" t="s">
        <v>10</v>
      </c>
      <c r="E2467" s="5" t="s">
        <v>21</v>
      </c>
      <c r="F2467" s="17">
        <v>32.380000000000003</v>
      </c>
      <c r="G2467" s="3">
        <v>4</v>
      </c>
      <c r="H2467" s="17">
        <f>Table1[[#This Row],[Unit price]]*Table1[[#This Row],[Quantity]]</f>
        <v>129.52000000000001</v>
      </c>
      <c r="I2467" s="29">
        <f>Table1[[#This Row],[Total Revenue]]/$H$5056*100</f>
        <v>1.374152115944402E-2</v>
      </c>
      <c r="J2467" s="3" t="s">
        <v>12</v>
      </c>
      <c r="K2467" s="4">
        <v>7</v>
      </c>
      <c r="M2467"/>
    </row>
    <row r="2468" spans="1:13" x14ac:dyDescent="0.25">
      <c r="A2468" s="3" t="s">
        <v>131</v>
      </c>
      <c r="B2468" s="3" t="s">
        <v>243</v>
      </c>
      <c r="C2468" s="3" t="s">
        <v>13</v>
      </c>
      <c r="D2468" s="3" t="s">
        <v>10</v>
      </c>
      <c r="E2468" s="5" t="s">
        <v>18</v>
      </c>
      <c r="F2468" s="17">
        <v>13.13</v>
      </c>
      <c r="G2468" s="3">
        <v>3</v>
      </c>
      <c r="H2468" s="17">
        <f>Table1[[#This Row],[Unit price]]*Table1[[#This Row],[Quantity]]</f>
        <v>39.39</v>
      </c>
      <c r="I2468" s="29">
        <f>Table1[[#This Row],[Total Revenue]]/$H$5056*100</f>
        <v>4.1791114767642055E-3</v>
      </c>
      <c r="J2468" s="3" t="s">
        <v>15</v>
      </c>
      <c r="K2468" s="4">
        <v>8</v>
      </c>
      <c r="M2468"/>
    </row>
    <row r="2469" spans="1:13" x14ac:dyDescent="0.25">
      <c r="A2469" s="3" t="s">
        <v>132</v>
      </c>
      <c r="B2469" s="3" t="s">
        <v>245</v>
      </c>
      <c r="C2469" s="3" t="s">
        <v>13</v>
      </c>
      <c r="D2469" s="3" t="s">
        <v>10</v>
      </c>
      <c r="E2469" s="5" t="s">
        <v>11</v>
      </c>
      <c r="F2469" s="17">
        <v>5.36</v>
      </c>
      <c r="G2469" s="3">
        <v>3</v>
      </c>
      <c r="H2469" s="17">
        <f>Table1[[#This Row],[Unit price]]*Table1[[#This Row],[Quantity]]</f>
        <v>16.080000000000002</v>
      </c>
      <c r="I2469" s="29">
        <f>Table1[[#This Row],[Total Revenue]]/$H$5056*100</f>
        <v>1.7060196127537048E-3</v>
      </c>
      <c r="J2469" s="3" t="s">
        <v>12</v>
      </c>
      <c r="K2469" s="4">
        <v>9</v>
      </c>
      <c r="M2469"/>
    </row>
    <row r="2470" spans="1:13" x14ac:dyDescent="0.25">
      <c r="A2470" s="3" t="s">
        <v>132</v>
      </c>
      <c r="B2470" s="3" t="s">
        <v>245</v>
      </c>
      <c r="C2470" s="3" t="s">
        <v>13</v>
      </c>
      <c r="D2470" s="3" t="s">
        <v>10</v>
      </c>
      <c r="E2470" s="5" t="s">
        <v>11</v>
      </c>
      <c r="F2470" s="17">
        <v>4.7</v>
      </c>
      <c r="G2470" s="3">
        <v>3</v>
      </c>
      <c r="H2470" s="17">
        <f>Table1[[#This Row],[Unit price]]*Table1[[#This Row],[Quantity]]</f>
        <v>14.100000000000001</v>
      </c>
      <c r="I2470" s="29">
        <f>Table1[[#This Row],[Total Revenue]]/$H$5056*100</f>
        <v>1.4959500335713456E-3</v>
      </c>
      <c r="J2470" s="3" t="s">
        <v>12</v>
      </c>
      <c r="K2470" s="4">
        <v>8.1</v>
      </c>
      <c r="M2470"/>
    </row>
    <row r="2471" spans="1:13" x14ac:dyDescent="0.25">
      <c r="A2471" s="3" t="s">
        <v>132</v>
      </c>
      <c r="B2471" s="3" t="s">
        <v>244</v>
      </c>
      <c r="C2471" s="3" t="s">
        <v>13</v>
      </c>
      <c r="D2471" s="3" t="s">
        <v>19</v>
      </c>
      <c r="E2471" s="5" t="s">
        <v>21</v>
      </c>
      <c r="F2471" s="17">
        <v>25.37</v>
      </c>
      <c r="G2471" s="3">
        <v>2</v>
      </c>
      <c r="H2471" s="17">
        <f>Table1[[#This Row],[Unit price]]*Table1[[#This Row],[Quantity]]</f>
        <v>50.74</v>
      </c>
      <c r="I2471" s="29">
        <f>Table1[[#This Row],[Total Revenue]]/$H$5056*100</f>
        <v>5.3832982059156074E-3</v>
      </c>
      <c r="J2471" s="3" t="s">
        <v>15</v>
      </c>
      <c r="K2471" s="4">
        <v>5.6</v>
      </c>
      <c r="M2471"/>
    </row>
    <row r="2472" spans="1:13" x14ac:dyDescent="0.25">
      <c r="A2472" s="3" t="s">
        <v>132</v>
      </c>
      <c r="B2472" s="3" t="s">
        <v>244</v>
      </c>
      <c r="C2472" s="3" t="s">
        <v>9</v>
      </c>
      <c r="D2472" s="3" t="s">
        <v>10</v>
      </c>
      <c r="E2472" s="5" t="s">
        <v>11</v>
      </c>
      <c r="F2472" s="17">
        <v>6.2</v>
      </c>
      <c r="G2472" s="3">
        <v>1</v>
      </c>
      <c r="H2472" s="17">
        <f>Table1[[#This Row],[Unit price]]*Table1[[#This Row],[Quantity]]</f>
        <v>6.2</v>
      </c>
      <c r="I2472" s="29">
        <f>Table1[[#This Row],[Total Revenue]]/$H$5056*100</f>
        <v>6.5779363178314484E-4</v>
      </c>
      <c r="J2472" s="3" t="s">
        <v>15</v>
      </c>
      <c r="K2472" s="4">
        <v>8.6999999999999993</v>
      </c>
      <c r="M2472"/>
    </row>
    <row r="2473" spans="1:13" x14ac:dyDescent="0.25">
      <c r="A2473" s="3" t="s">
        <v>132</v>
      </c>
      <c r="B2473" s="3" t="s">
        <v>243</v>
      </c>
      <c r="C2473" s="3" t="s">
        <v>9</v>
      </c>
      <c r="D2473" s="3" t="s">
        <v>10</v>
      </c>
      <c r="E2473" s="5" t="s">
        <v>20</v>
      </c>
      <c r="F2473" s="17">
        <v>73.55</v>
      </c>
      <c r="G2473" s="3">
        <v>5</v>
      </c>
      <c r="H2473" s="17">
        <f>Table1[[#This Row],[Unit price]]*Table1[[#This Row],[Quantity]]</f>
        <v>367.75</v>
      </c>
      <c r="I2473" s="29">
        <f>Table1[[#This Row],[Total Revenue]]/$H$5056*100</f>
        <v>3.9016710981976052E-2</v>
      </c>
      <c r="J2473" s="3" t="s">
        <v>12</v>
      </c>
      <c r="K2473" s="4">
        <v>7.4</v>
      </c>
      <c r="M2473"/>
    </row>
    <row r="2474" spans="1:13" x14ac:dyDescent="0.25">
      <c r="A2474" s="3" t="s">
        <v>132</v>
      </c>
      <c r="B2474" s="3" t="s">
        <v>245</v>
      </c>
      <c r="C2474" s="3" t="s">
        <v>9</v>
      </c>
      <c r="D2474" s="3" t="s">
        <v>19</v>
      </c>
      <c r="E2474" s="5" t="s">
        <v>11</v>
      </c>
      <c r="F2474" s="17">
        <v>5.99</v>
      </c>
      <c r="G2474" s="3">
        <v>3</v>
      </c>
      <c r="H2474" s="17">
        <f>Table1[[#This Row],[Unit price]]*Table1[[#This Row],[Quantity]]</f>
        <v>17.97</v>
      </c>
      <c r="I2474" s="29">
        <f>Table1[[#This Row],[Total Revenue]]/$H$5056*100</f>
        <v>1.906540574700502E-3</v>
      </c>
      <c r="J2474" s="3" t="s">
        <v>15</v>
      </c>
      <c r="K2474" s="4">
        <v>7.3</v>
      </c>
      <c r="M2474"/>
    </row>
    <row r="2475" spans="1:13" x14ac:dyDescent="0.25">
      <c r="A2475" s="3" t="s">
        <v>132</v>
      </c>
      <c r="B2475" s="3" t="s">
        <v>245</v>
      </c>
      <c r="C2475" s="3" t="s">
        <v>13</v>
      </c>
      <c r="D2475" s="3" t="s">
        <v>10</v>
      </c>
      <c r="E2475" s="5" t="s">
        <v>11</v>
      </c>
      <c r="F2475" s="17">
        <v>4.32</v>
      </c>
      <c r="G2475" s="3">
        <v>5</v>
      </c>
      <c r="H2475" s="17">
        <f>Table1[[#This Row],[Unit price]]*Table1[[#This Row],[Quantity]]</f>
        <v>21.6</v>
      </c>
      <c r="I2475" s="29">
        <f>Table1[[#This Row],[Total Revenue]]/$H$5056*100</f>
        <v>2.2916681365348275E-3</v>
      </c>
      <c r="J2475" s="3" t="s">
        <v>17</v>
      </c>
      <c r="K2475" s="4">
        <v>6.9</v>
      </c>
      <c r="M2475"/>
    </row>
    <row r="2476" spans="1:13" x14ac:dyDescent="0.25">
      <c r="A2476" s="3" t="s">
        <v>132</v>
      </c>
      <c r="B2476" s="3" t="s">
        <v>243</v>
      </c>
      <c r="C2476" s="3" t="s">
        <v>13</v>
      </c>
      <c r="D2476" s="3" t="s">
        <v>10</v>
      </c>
      <c r="E2476" s="5" t="s">
        <v>11</v>
      </c>
      <c r="F2476" s="17">
        <v>7.9</v>
      </c>
      <c r="G2476" s="3">
        <v>1</v>
      </c>
      <c r="H2476" s="17">
        <f>Table1[[#This Row],[Unit price]]*Table1[[#This Row],[Quantity]]</f>
        <v>7.9</v>
      </c>
      <c r="I2476" s="29">
        <f>Table1[[#This Row],[Total Revenue]]/$H$5056*100</f>
        <v>8.3815640178820064E-4</v>
      </c>
      <c r="J2476" s="3" t="s">
        <v>15</v>
      </c>
      <c r="K2476" s="4">
        <v>8.3000000000000007</v>
      </c>
      <c r="M2476"/>
    </row>
    <row r="2477" spans="1:13" x14ac:dyDescent="0.25">
      <c r="A2477" s="3" t="s">
        <v>132</v>
      </c>
      <c r="B2477" s="3" t="s">
        <v>243</v>
      </c>
      <c r="C2477" s="3" t="s">
        <v>9</v>
      </c>
      <c r="D2477" s="3" t="s">
        <v>10</v>
      </c>
      <c r="E2477" s="5" t="s">
        <v>11</v>
      </c>
      <c r="F2477" s="17">
        <v>7.14</v>
      </c>
      <c r="G2477" s="3">
        <v>3</v>
      </c>
      <c r="H2477" s="17">
        <f>Table1[[#This Row],[Unit price]]*Table1[[#This Row],[Quantity]]</f>
        <v>21.419999999999998</v>
      </c>
      <c r="I2477" s="29">
        <f>Table1[[#This Row],[Total Revenue]]/$H$5056*100</f>
        <v>2.272570902063703E-3</v>
      </c>
      <c r="J2477" s="3" t="s">
        <v>17</v>
      </c>
      <c r="K2477" s="4">
        <v>8.4</v>
      </c>
      <c r="M2477"/>
    </row>
    <row r="2478" spans="1:13" x14ac:dyDescent="0.25">
      <c r="A2478" s="3" t="s">
        <v>132</v>
      </c>
      <c r="B2478" s="3" t="s">
        <v>244</v>
      </c>
      <c r="C2478" s="3" t="s">
        <v>13</v>
      </c>
      <c r="D2478" s="3" t="s">
        <v>10</v>
      </c>
      <c r="E2478" s="5" t="s">
        <v>21</v>
      </c>
      <c r="F2478" s="17">
        <v>31.07</v>
      </c>
      <c r="G2478" s="3">
        <v>2</v>
      </c>
      <c r="H2478" s="17">
        <f>Table1[[#This Row],[Unit price]]*Table1[[#This Row],[Quantity]]</f>
        <v>62.14</v>
      </c>
      <c r="I2478" s="29">
        <f>Table1[[#This Row],[Total Revenue]]/$H$5056*100</f>
        <v>6.5927897224201002E-3</v>
      </c>
      <c r="J2478" s="3" t="s">
        <v>15</v>
      </c>
      <c r="K2478" s="4">
        <v>6</v>
      </c>
      <c r="M2478"/>
    </row>
    <row r="2479" spans="1:13" x14ac:dyDescent="0.25">
      <c r="A2479" s="3" t="s">
        <v>133</v>
      </c>
      <c r="B2479" s="3" t="s">
        <v>244</v>
      </c>
      <c r="C2479" s="3" t="s">
        <v>9</v>
      </c>
      <c r="D2479" s="3" t="s">
        <v>10</v>
      </c>
      <c r="E2479" s="5" t="s">
        <v>18</v>
      </c>
      <c r="F2479" s="17">
        <v>13.83</v>
      </c>
      <c r="G2479" s="3">
        <v>3</v>
      </c>
      <c r="H2479" s="17">
        <f>Table1[[#This Row],[Unit price]]*Table1[[#This Row],[Quantity]]</f>
        <v>41.49</v>
      </c>
      <c r="I2479" s="29">
        <f>Table1[[#This Row],[Total Revenue]]/$H$5056*100</f>
        <v>4.4019125455939806E-3</v>
      </c>
      <c r="J2479" s="3" t="s">
        <v>15</v>
      </c>
      <c r="K2479" s="4">
        <v>7.2</v>
      </c>
      <c r="M2479"/>
    </row>
    <row r="2480" spans="1:13" x14ac:dyDescent="0.25">
      <c r="A2480" s="3" t="s">
        <v>133</v>
      </c>
      <c r="B2480" s="3" t="s">
        <v>243</v>
      </c>
      <c r="C2480" s="3" t="s">
        <v>13</v>
      </c>
      <c r="D2480" s="3" t="s">
        <v>10</v>
      </c>
      <c r="E2480" s="5" t="s">
        <v>11</v>
      </c>
      <c r="F2480" s="17">
        <v>6.94</v>
      </c>
      <c r="G2480" s="3">
        <v>2</v>
      </c>
      <c r="H2480" s="17">
        <f>Table1[[#This Row],[Unit price]]*Table1[[#This Row],[Quantity]]</f>
        <v>13.88</v>
      </c>
      <c r="I2480" s="29">
        <f>Table1[[#This Row],[Total Revenue]]/$H$5056*100</f>
        <v>1.4726089692177501E-3</v>
      </c>
      <c r="J2480" s="3" t="s">
        <v>15</v>
      </c>
      <c r="K2480" s="4">
        <v>7.3</v>
      </c>
      <c r="M2480"/>
    </row>
    <row r="2481" spans="1:13" x14ac:dyDescent="0.25">
      <c r="A2481" s="3" t="s">
        <v>133</v>
      </c>
      <c r="B2481" s="3" t="s">
        <v>244</v>
      </c>
      <c r="C2481" s="3" t="s">
        <v>13</v>
      </c>
      <c r="D2481" s="3" t="s">
        <v>19</v>
      </c>
      <c r="E2481" s="5" t="s">
        <v>21</v>
      </c>
      <c r="F2481" s="17">
        <v>30.64</v>
      </c>
      <c r="G2481" s="3">
        <v>1</v>
      </c>
      <c r="H2481" s="17">
        <f>Table1[[#This Row],[Unit price]]*Table1[[#This Row],[Quantity]]</f>
        <v>30.64</v>
      </c>
      <c r="I2481" s="29">
        <f>Table1[[#This Row],[Total Revenue]]/$H$5056*100</f>
        <v>3.2507736899734774E-3</v>
      </c>
      <c r="J2481" s="3" t="s">
        <v>15</v>
      </c>
      <c r="K2481" s="4">
        <v>5.9</v>
      </c>
      <c r="M2481"/>
    </row>
    <row r="2482" spans="1:13" x14ac:dyDescent="0.25">
      <c r="A2482" s="3" t="s">
        <v>133</v>
      </c>
      <c r="B2482" s="3" t="s">
        <v>243</v>
      </c>
      <c r="C2482" s="3" t="s">
        <v>13</v>
      </c>
      <c r="D2482" s="3" t="s">
        <v>10</v>
      </c>
      <c r="E2482" s="5" t="s">
        <v>11</v>
      </c>
      <c r="F2482" s="17">
        <v>7.56</v>
      </c>
      <c r="G2482" s="3">
        <v>2</v>
      </c>
      <c r="H2482" s="17">
        <f>Table1[[#This Row],[Unit price]]*Table1[[#This Row],[Quantity]]</f>
        <v>15.12</v>
      </c>
      <c r="I2482" s="29">
        <f>Table1[[#This Row],[Total Revenue]]/$H$5056*100</f>
        <v>1.6041676955743788E-3</v>
      </c>
      <c r="J2482" s="3" t="s">
        <v>17</v>
      </c>
      <c r="K2482" s="4">
        <v>7.4</v>
      </c>
      <c r="M2482"/>
    </row>
    <row r="2483" spans="1:13" x14ac:dyDescent="0.25">
      <c r="A2483" s="3" t="s">
        <v>133</v>
      </c>
      <c r="B2483" s="3" t="s">
        <v>243</v>
      </c>
      <c r="C2483" s="3" t="s">
        <v>9</v>
      </c>
      <c r="D2483" s="3" t="s">
        <v>19</v>
      </c>
      <c r="E2483" s="5" t="s">
        <v>14</v>
      </c>
      <c r="F2483" s="17">
        <v>94.92</v>
      </c>
      <c r="G2483" s="3">
        <v>1</v>
      </c>
      <c r="H2483" s="17">
        <f>Table1[[#This Row],[Unit price]]*Table1[[#This Row],[Quantity]]</f>
        <v>94.92</v>
      </c>
      <c r="I2483" s="29">
        <f>Table1[[#This Row],[Total Revenue]]/$H$5056*100</f>
        <v>1.0070608311105825E-2</v>
      </c>
      <c r="J2483" s="3" t="s">
        <v>15</v>
      </c>
      <c r="K2483" s="4">
        <v>9.8000000000000007</v>
      </c>
      <c r="M2483"/>
    </row>
    <row r="2484" spans="1:13" x14ac:dyDescent="0.25">
      <c r="A2484" s="3" t="s">
        <v>133</v>
      </c>
      <c r="B2484" s="3" t="s">
        <v>244</v>
      </c>
      <c r="C2484" s="3" t="s">
        <v>13</v>
      </c>
      <c r="D2484" s="3" t="s">
        <v>19</v>
      </c>
      <c r="E2484" s="5" t="s">
        <v>21</v>
      </c>
      <c r="F2484" s="17">
        <v>30.64</v>
      </c>
      <c r="G2484" s="3">
        <v>3</v>
      </c>
      <c r="H2484" s="17">
        <f>Table1[[#This Row],[Unit price]]*Table1[[#This Row],[Quantity]]</f>
        <v>91.92</v>
      </c>
      <c r="I2484" s="29">
        <f>Table1[[#This Row],[Total Revenue]]/$H$5056*100</f>
        <v>9.7523210699204301E-3</v>
      </c>
      <c r="J2484" s="3" t="s">
        <v>12</v>
      </c>
      <c r="K2484" s="4">
        <v>5.6</v>
      </c>
      <c r="M2484"/>
    </row>
    <row r="2485" spans="1:13" x14ac:dyDescent="0.25">
      <c r="A2485" s="3" t="s">
        <v>133</v>
      </c>
      <c r="B2485" s="3" t="s">
        <v>243</v>
      </c>
      <c r="C2485" s="3" t="s">
        <v>9</v>
      </c>
      <c r="D2485" s="3" t="s">
        <v>10</v>
      </c>
      <c r="E2485" s="5" t="s">
        <v>21</v>
      </c>
      <c r="F2485" s="17">
        <v>28.23</v>
      </c>
      <c r="G2485" s="3">
        <v>4</v>
      </c>
      <c r="H2485" s="17">
        <f>Table1[[#This Row],[Unit price]]*Table1[[#This Row],[Quantity]]</f>
        <v>112.92</v>
      </c>
      <c r="I2485" s="29">
        <f>Table1[[#This Row],[Total Revenue]]/$H$5056*100</f>
        <v>1.198033175821818E-2</v>
      </c>
      <c r="J2485" s="3" t="s">
        <v>17</v>
      </c>
      <c r="K2485" s="4">
        <v>8.1999999999999993</v>
      </c>
      <c r="M2485"/>
    </row>
    <row r="2486" spans="1:13" x14ac:dyDescent="0.25">
      <c r="A2486" s="3" t="s">
        <v>133</v>
      </c>
      <c r="B2486" s="3" t="s">
        <v>244</v>
      </c>
      <c r="C2486" s="3" t="s">
        <v>13</v>
      </c>
      <c r="D2486" s="3" t="s">
        <v>10</v>
      </c>
      <c r="E2486" s="5" t="s">
        <v>14</v>
      </c>
      <c r="F2486" s="17">
        <v>96.01</v>
      </c>
      <c r="G2486" s="3">
        <v>1</v>
      </c>
      <c r="H2486" s="17">
        <f>Table1[[#This Row],[Unit price]]*Table1[[#This Row],[Quantity]]</f>
        <v>96.01</v>
      </c>
      <c r="I2486" s="29">
        <f>Table1[[#This Row],[Total Revenue]]/$H$5056*100</f>
        <v>1.0186252675403185E-2</v>
      </c>
      <c r="J2486" s="3" t="s">
        <v>12</v>
      </c>
      <c r="K2486" s="4">
        <v>8.3000000000000007</v>
      </c>
      <c r="M2486"/>
    </row>
    <row r="2487" spans="1:13" x14ac:dyDescent="0.25">
      <c r="A2487" s="3" t="s">
        <v>133</v>
      </c>
      <c r="B2487" s="3" t="s">
        <v>243</v>
      </c>
      <c r="C2487" s="3" t="s">
        <v>13</v>
      </c>
      <c r="D2487" s="3" t="s">
        <v>10</v>
      </c>
      <c r="E2487" s="5" t="s">
        <v>11</v>
      </c>
      <c r="F2487" s="17">
        <v>5.64</v>
      </c>
      <c r="G2487" s="3">
        <v>4</v>
      </c>
      <c r="H2487" s="17">
        <f>Table1[[#This Row],[Unit price]]*Table1[[#This Row],[Quantity]]</f>
        <v>22.56</v>
      </c>
      <c r="I2487" s="29">
        <f>Table1[[#This Row],[Total Revenue]]/$H$5056*100</f>
        <v>2.3935200537141526E-3</v>
      </c>
      <c r="J2487" s="3" t="s">
        <v>12</v>
      </c>
      <c r="K2487" s="4">
        <v>8.5</v>
      </c>
      <c r="M2487"/>
    </row>
    <row r="2488" spans="1:13" x14ac:dyDescent="0.25">
      <c r="A2488" s="3" t="s">
        <v>134</v>
      </c>
      <c r="B2488" s="3" t="s">
        <v>244</v>
      </c>
      <c r="C2488" s="3" t="s">
        <v>9</v>
      </c>
      <c r="D2488" s="3" t="s">
        <v>19</v>
      </c>
      <c r="E2488" s="5" t="s">
        <v>11</v>
      </c>
      <c r="F2488" s="17">
        <v>5.45</v>
      </c>
      <c r="G2488" s="3">
        <v>1</v>
      </c>
      <c r="H2488" s="17">
        <f>Table1[[#This Row],[Unit price]]*Table1[[#This Row],[Quantity]]</f>
        <v>5.45</v>
      </c>
      <c r="I2488" s="29">
        <f>Table1[[#This Row],[Total Revenue]]/$H$5056*100</f>
        <v>5.7822182148679674E-4</v>
      </c>
      <c r="J2488" s="3" t="s">
        <v>17</v>
      </c>
      <c r="K2488" s="4">
        <v>7.3</v>
      </c>
      <c r="M2488"/>
    </row>
    <row r="2489" spans="1:13" x14ac:dyDescent="0.25">
      <c r="A2489" s="3" t="s">
        <v>134</v>
      </c>
      <c r="B2489" s="3" t="s">
        <v>244</v>
      </c>
      <c r="C2489" s="3" t="s">
        <v>13</v>
      </c>
      <c r="D2489" s="3" t="s">
        <v>19</v>
      </c>
      <c r="E2489" s="5" t="s">
        <v>11</v>
      </c>
      <c r="F2489" s="17">
        <v>3.53</v>
      </c>
      <c r="G2489" s="3">
        <v>2</v>
      </c>
      <c r="H2489" s="17">
        <f>Table1[[#This Row],[Unit price]]*Table1[[#This Row],[Quantity]]</f>
        <v>7.06</v>
      </c>
      <c r="I2489" s="29">
        <f>Table1[[#This Row],[Total Revenue]]/$H$5056*100</f>
        <v>7.4903597425629066E-4</v>
      </c>
      <c r="J2489" s="3" t="s">
        <v>15</v>
      </c>
      <c r="K2489" s="4">
        <v>7.4</v>
      </c>
      <c r="M2489"/>
    </row>
    <row r="2490" spans="1:13" x14ac:dyDescent="0.25">
      <c r="A2490" s="3" t="s">
        <v>134</v>
      </c>
      <c r="B2490" s="3" t="s">
        <v>245</v>
      </c>
      <c r="C2490" s="3" t="s">
        <v>13</v>
      </c>
      <c r="D2490" s="3" t="s">
        <v>19</v>
      </c>
      <c r="E2490" s="5" t="s">
        <v>18</v>
      </c>
      <c r="F2490" s="17">
        <v>5.37</v>
      </c>
      <c r="G2490" s="3">
        <v>2</v>
      </c>
      <c r="H2490" s="17">
        <f>Table1[[#This Row],[Unit price]]*Table1[[#This Row],[Quantity]]</f>
        <v>10.74</v>
      </c>
      <c r="I2490" s="29">
        <f>Table1[[#This Row],[Total Revenue]]/$H$5056*100</f>
        <v>1.1394683234437057E-3</v>
      </c>
      <c r="J2490" s="3" t="s">
        <v>15</v>
      </c>
      <c r="K2490" s="4">
        <v>6.8</v>
      </c>
      <c r="M2490"/>
    </row>
    <row r="2491" spans="1:13" x14ac:dyDescent="0.25">
      <c r="A2491" s="3" t="s">
        <v>134</v>
      </c>
      <c r="B2491" s="3" t="s">
        <v>245</v>
      </c>
      <c r="C2491" s="3" t="s">
        <v>13</v>
      </c>
      <c r="D2491" s="3" t="s">
        <v>19</v>
      </c>
      <c r="E2491" s="5" t="s">
        <v>21</v>
      </c>
      <c r="F2491" s="17">
        <v>27.11</v>
      </c>
      <c r="G2491" s="3">
        <v>3</v>
      </c>
      <c r="H2491" s="17">
        <f>Table1[[#This Row],[Unit price]]*Table1[[#This Row],[Quantity]]</f>
        <v>81.33</v>
      </c>
      <c r="I2491" s="29">
        <f>Table1[[#This Row],[Total Revenue]]/$H$5056*100</f>
        <v>8.6287671085359952E-3</v>
      </c>
      <c r="J2491" s="3" t="s">
        <v>15</v>
      </c>
      <c r="K2491" s="4">
        <v>8.1999999999999993</v>
      </c>
      <c r="M2491"/>
    </row>
    <row r="2492" spans="1:13" x14ac:dyDescent="0.25">
      <c r="A2492" s="3" t="s">
        <v>134</v>
      </c>
      <c r="B2492" s="3" t="s">
        <v>244</v>
      </c>
      <c r="C2492" s="3" t="s">
        <v>13</v>
      </c>
      <c r="D2492" s="3" t="s">
        <v>10</v>
      </c>
      <c r="E2492" s="5" t="s">
        <v>11</v>
      </c>
      <c r="F2492" s="17">
        <v>5.62</v>
      </c>
      <c r="G2492" s="3">
        <v>4</v>
      </c>
      <c r="H2492" s="17">
        <f>Table1[[#This Row],[Unit price]]*Table1[[#This Row],[Quantity]]</f>
        <v>22.48</v>
      </c>
      <c r="I2492" s="29">
        <f>Table1[[#This Row],[Total Revenue]]/$H$5056*100</f>
        <v>2.3850323939492088E-3</v>
      </c>
      <c r="J2492" s="3" t="s">
        <v>17</v>
      </c>
      <c r="K2492" s="4">
        <v>7.4</v>
      </c>
      <c r="M2492"/>
    </row>
    <row r="2493" spans="1:13" x14ac:dyDescent="0.25">
      <c r="A2493" s="3" t="s">
        <v>134</v>
      </c>
      <c r="B2493" s="3" t="s">
        <v>245</v>
      </c>
      <c r="C2493" s="3" t="s">
        <v>13</v>
      </c>
      <c r="D2493" s="3" t="s">
        <v>10</v>
      </c>
      <c r="E2493" s="5" t="s">
        <v>11</v>
      </c>
      <c r="F2493" s="17">
        <v>5.68</v>
      </c>
      <c r="G2493" s="3">
        <v>5</v>
      </c>
      <c r="H2493" s="17">
        <f>Table1[[#This Row],[Unit price]]*Table1[[#This Row],[Quantity]]</f>
        <v>28.4</v>
      </c>
      <c r="I2493" s="29">
        <f>Table1[[#This Row],[Total Revenue]]/$H$5056*100</f>
        <v>3.0131192165550502E-3</v>
      </c>
      <c r="J2493" s="3" t="s">
        <v>15</v>
      </c>
      <c r="K2493" s="4">
        <v>5.8</v>
      </c>
      <c r="M2493"/>
    </row>
    <row r="2494" spans="1:13" x14ac:dyDescent="0.25">
      <c r="A2494" s="3" t="s">
        <v>134</v>
      </c>
      <c r="B2494" s="3" t="s">
        <v>245</v>
      </c>
      <c r="C2494" s="3" t="s">
        <v>13</v>
      </c>
      <c r="D2494" s="3" t="s">
        <v>19</v>
      </c>
      <c r="E2494" s="5" t="s">
        <v>16</v>
      </c>
      <c r="F2494" s="17">
        <v>57.42</v>
      </c>
      <c r="G2494" s="3">
        <v>2</v>
      </c>
      <c r="H2494" s="17">
        <f>Table1[[#This Row],[Unit price]]*Table1[[#This Row],[Quantity]]</f>
        <v>114.84</v>
      </c>
      <c r="I2494" s="29">
        <f>Table1[[#This Row],[Total Revenue]]/$H$5056*100</f>
        <v>1.2184035592576831E-2</v>
      </c>
      <c r="J2494" s="3" t="s">
        <v>12</v>
      </c>
      <c r="K2494" s="4">
        <v>6.8</v>
      </c>
      <c r="M2494"/>
    </row>
    <row r="2495" spans="1:13" x14ac:dyDescent="0.25">
      <c r="A2495" s="3" t="s">
        <v>134</v>
      </c>
      <c r="B2495" s="3" t="s">
        <v>244</v>
      </c>
      <c r="C2495" s="3" t="s">
        <v>9</v>
      </c>
      <c r="D2495" s="3" t="s">
        <v>10</v>
      </c>
      <c r="E2495" s="5" t="s">
        <v>21</v>
      </c>
      <c r="F2495" s="17">
        <v>33.9</v>
      </c>
      <c r="G2495" s="3">
        <v>1</v>
      </c>
      <c r="H2495" s="17">
        <f>Table1[[#This Row],[Unit price]]*Table1[[#This Row],[Quantity]]</f>
        <v>33.9</v>
      </c>
      <c r="I2495" s="29">
        <f>Table1[[#This Row],[Total Revenue]]/$H$5056*100</f>
        <v>3.5966458253949367E-3</v>
      </c>
      <c r="J2495" s="3" t="s">
        <v>17</v>
      </c>
      <c r="K2495" s="4">
        <v>7.5</v>
      </c>
      <c r="M2495"/>
    </row>
    <row r="2496" spans="1:13" x14ac:dyDescent="0.25">
      <c r="A2496" s="3" t="s">
        <v>134</v>
      </c>
      <c r="B2496" s="3" t="s">
        <v>244</v>
      </c>
      <c r="C2496" s="3" t="s">
        <v>13</v>
      </c>
      <c r="D2496" s="3" t="s">
        <v>10</v>
      </c>
      <c r="E2496" s="5" t="s">
        <v>11</v>
      </c>
      <c r="F2496" s="17">
        <v>3.83</v>
      </c>
      <c r="G2496" s="3">
        <v>5</v>
      </c>
      <c r="H2496" s="17">
        <f>Table1[[#This Row],[Unit price]]*Table1[[#This Row],[Quantity]]</f>
        <v>19.149999999999999</v>
      </c>
      <c r="I2496" s="29">
        <f>Table1[[#This Row],[Total Revenue]]/$H$5056*100</f>
        <v>2.031733556233423E-3</v>
      </c>
      <c r="J2496" s="3" t="s">
        <v>15</v>
      </c>
      <c r="K2496" s="4">
        <v>6.1</v>
      </c>
      <c r="M2496"/>
    </row>
    <row r="2497" spans="1:13" x14ac:dyDescent="0.25">
      <c r="A2497" s="3" t="s">
        <v>134</v>
      </c>
      <c r="B2497" s="3" t="s">
        <v>244</v>
      </c>
      <c r="C2497" s="3" t="s">
        <v>9</v>
      </c>
      <c r="D2497" s="3" t="s">
        <v>19</v>
      </c>
      <c r="E2497" s="5" t="s">
        <v>21</v>
      </c>
      <c r="F2497" s="17">
        <v>39.619999999999997</v>
      </c>
      <c r="G2497" s="3">
        <v>1</v>
      </c>
      <c r="H2497" s="17">
        <f>Table1[[#This Row],[Unit price]]*Table1[[#This Row],[Quantity]]</f>
        <v>39.619999999999997</v>
      </c>
      <c r="I2497" s="29">
        <f>Table1[[#This Row],[Total Revenue]]/$H$5056*100</f>
        <v>4.2035134985884187E-3</v>
      </c>
      <c r="J2497" s="3" t="s">
        <v>15</v>
      </c>
      <c r="K2497" s="4">
        <v>6.8</v>
      </c>
      <c r="M2497"/>
    </row>
    <row r="2498" spans="1:13" x14ac:dyDescent="0.25">
      <c r="A2498" s="3" t="s">
        <v>135</v>
      </c>
      <c r="B2498" s="3" t="s">
        <v>244</v>
      </c>
      <c r="C2498" s="3" t="s">
        <v>13</v>
      </c>
      <c r="D2498" s="3" t="s">
        <v>19</v>
      </c>
      <c r="E2498" s="5" t="s">
        <v>11</v>
      </c>
      <c r="F2498" s="17">
        <v>5.41</v>
      </c>
      <c r="G2498" s="3">
        <v>2</v>
      </c>
      <c r="H2498" s="17">
        <f>Table1[[#This Row],[Unit price]]*Table1[[#This Row],[Quantity]]</f>
        <v>10.82</v>
      </c>
      <c r="I2498" s="29">
        <f>Table1[[#This Row],[Total Revenue]]/$H$5056*100</f>
        <v>1.1479559832086497E-3</v>
      </c>
      <c r="J2498" s="3" t="s">
        <v>17</v>
      </c>
      <c r="K2498" s="4">
        <v>6.8</v>
      </c>
      <c r="M2498"/>
    </row>
    <row r="2499" spans="1:13" x14ac:dyDescent="0.25">
      <c r="A2499" s="3" t="s">
        <v>135</v>
      </c>
      <c r="B2499" s="3" t="s">
        <v>243</v>
      </c>
      <c r="C2499" s="3" t="s">
        <v>9</v>
      </c>
      <c r="D2499" s="3" t="s">
        <v>10</v>
      </c>
      <c r="E2499" s="5" t="s">
        <v>11</v>
      </c>
      <c r="F2499" s="17">
        <v>7.22</v>
      </c>
      <c r="G2499" s="3">
        <v>4</v>
      </c>
      <c r="H2499" s="17">
        <f>Table1[[#This Row],[Unit price]]*Table1[[#This Row],[Quantity]]</f>
        <v>28.88</v>
      </c>
      <c r="I2499" s="29">
        <f>Table1[[#This Row],[Total Revenue]]/$H$5056*100</f>
        <v>3.0640451751447135E-3</v>
      </c>
      <c r="J2499" s="3" t="s">
        <v>15</v>
      </c>
      <c r="K2499" s="4">
        <v>7.4</v>
      </c>
      <c r="M2499"/>
    </row>
    <row r="2500" spans="1:13" x14ac:dyDescent="0.25">
      <c r="A2500" s="3" t="s">
        <v>135</v>
      </c>
      <c r="B2500" s="3" t="s">
        <v>245</v>
      </c>
      <c r="C2500" s="3" t="s">
        <v>13</v>
      </c>
      <c r="D2500" s="3" t="s">
        <v>19</v>
      </c>
      <c r="E2500" s="5" t="s">
        <v>11</v>
      </c>
      <c r="F2500" s="17">
        <v>5.01</v>
      </c>
      <c r="G2500" s="3">
        <v>3</v>
      </c>
      <c r="H2500" s="17">
        <f>Table1[[#This Row],[Unit price]]*Table1[[#This Row],[Quantity]]</f>
        <v>15.03</v>
      </c>
      <c r="I2500" s="29">
        <f>Table1[[#This Row],[Total Revenue]]/$H$5056*100</f>
        <v>1.5946190783388172E-3</v>
      </c>
      <c r="J2500" s="3" t="s">
        <v>15</v>
      </c>
      <c r="K2500" s="4">
        <v>7.5</v>
      </c>
      <c r="M2500"/>
    </row>
    <row r="2501" spans="1:13" x14ac:dyDescent="0.25">
      <c r="A2501" s="3" t="s">
        <v>135</v>
      </c>
      <c r="B2501" s="3" t="s">
        <v>245</v>
      </c>
      <c r="C2501" s="3" t="s">
        <v>13</v>
      </c>
      <c r="D2501" s="3" t="s">
        <v>19</v>
      </c>
      <c r="E2501" s="5" t="s">
        <v>11</v>
      </c>
      <c r="F2501" s="17">
        <v>5.9</v>
      </c>
      <c r="G2501" s="3">
        <v>4</v>
      </c>
      <c r="H2501" s="17">
        <f>Table1[[#This Row],[Unit price]]*Table1[[#This Row],[Quantity]]</f>
        <v>23.6</v>
      </c>
      <c r="I2501" s="29">
        <f>Table1[[#This Row],[Total Revenue]]/$H$5056*100</f>
        <v>2.5038596306584224E-3</v>
      </c>
      <c r="J2501" s="3" t="s">
        <v>12</v>
      </c>
      <c r="K2501" s="4">
        <v>7.2</v>
      </c>
      <c r="M2501"/>
    </row>
    <row r="2502" spans="1:13" x14ac:dyDescent="0.25">
      <c r="A2502" s="3" t="s">
        <v>135</v>
      </c>
      <c r="B2502" s="3" t="s">
        <v>243</v>
      </c>
      <c r="C2502" s="3" t="s">
        <v>13</v>
      </c>
      <c r="D2502" s="3" t="s">
        <v>19</v>
      </c>
      <c r="E2502" s="5" t="s">
        <v>11</v>
      </c>
      <c r="F2502" s="17">
        <v>6.03</v>
      </c>
      <c r="G2502" s="3">
        <v>5</v>
      </c>
      <c r="H2502" s="17">
        <f>Table1[[#This Row],[Unit price]]*Table1[[#This Row],[Quantity]]</f>
        <v>30.150000000000002</v>
      </c>
      <c r="I2502" s="29">
        <f>Table1[[#This Row],[Total Revenue]]/$H$5056*100</f>
        <v>3.1987867739131965E-3</v>
      </c>
      <c r="J2502" s="3" t="s">
        <v>15</v>
      </c>
      <c r="K2502" s="4">
        <v>8.8000000000000007</v>
      </c>
      <c r="M2502"/>
    </row>
    <row r="2503" spans="1:13" x14ac:dyDescent="0.25">
      <c r="A2503" s="3" t="s">
        <v>135</v>
      </c>
      <c r="B2503" s="3" t="s">
        <v>243</v>
      </c>
      <c r="C2503" s="3" t="s">
        <v>13</v>
      </c>
      <c r="D2503" s="3" t="s">
        <v>19</v>
      </c>
      <c r="E2503" s="5" t="s">
        <v>11</v>
      </c>
      <c r="F2503" s="17">
        <v>6.42</v>
      </c>
      <c r="G2503" s="3">
        <v>1</v>
      </c>
      <c r="H2503" s="17">
        <f>Table1[[#This Row],[Unit price]]*Table1[[#This Row],[Quantity]]</f>
        <v>6.42</v>
      </c>
      <c r="I2503" s="29">
        <f>Table1[[#This Row],[Total Revenue]]/$H$5056*100</f>
        <v>6.8113469613674028E-4</v>
      </c>
      <c r="J2503" s="3" t="s">
        <v>17</v>
      </c>
      <c r="K2503" s="4">
        <v>6.3</v>
      </c>
      <c r="M2503"/>
    </row>
    <row r="2504" spans="1:13" x14ac:dyDescent="0.25">
      <c r="A2504" s="3" t="s">
        <v>135</v>
      </c>
      <c r="B2504" s="3" t="s">
        <v>243</v>
      </c>
      <c r="C2504" s="3" t="s">
        <v>13</v>
      </c>
      <c r="D2504" s="3" t="s">
        <v>19</v>
      </c>
      <c r="E2504" s="5" t="s">
        <v>21</v>
      </c>
      <c r="F2504" s="17">
        <v>29.12</v>
      </c>
      <c r="G2504" s="3">
        <v>3</v>
      </c>
      <c r="H2504" s="17">
        <f>Table1[[#This Row],[Unit price]]*Table1[[#This Row],[Quantity]]</f>
        <v>87.36</v>
      </c>
      <c r="I2504" s="29">
        <f>Table1[[#This Row],[Total Revenue]]/$H$5056*100</f>
        <v>9.2685244633186354E-3</v>
      </c>
      <c r="J2504" s="3" t="s">
        <v>15</v>
      </c>
      <c r="K2504" s="4">
        <v>6.7</v>
      </c>
      <c r="M2504"/>
    </row>
    <row r="2505" spans="1:13" x14ac:dyDescent="0.25">
      <c r="A2505" s="3" t="s">
        <v>135</v>
      </c>
      <c r="B2505" s="3" t="s">
        <v>245</v>
      </c>
      <c r="C2505" s="3" t="s">
        <v>13</v>
      </c>
      <c r="D2505" s="3" t="s">
        <v>19</v>
      </c>
      <c r="E2505" s="5" t="s">
        <v>11</v>
      </c>
      <c r="F2505" s="17">
        <v>2.34</v>
      </c>
      <c r="G2505" s="3">
        <v>4</v>
      </c>
      <c r="H2505" s="17">
        <f>Table1[[#This Row],[Unit price]]*Table1[[#This Row],[Quantity]]</f>
        <v>9.36</v>
      </c>
      <c r="I2505" s="29">
        <f>Table1[[#This Row],[Total Revenue]]/$H$5056*100</f>
        <v>9.9305619249842494E-4</v>
      </c>
      <c r="J2505" s="3" t="s">
        <v>12</v>
      </c>
      <c r="K2505" s="4">
        <v>9</v>
      </c>
      <c r="M2505"/>
    </row>
    <row r="2506" spans="1:13" x14ac:dyDescent="0.25">
      <c r="A2506" s="3" t="s">
        <v>135</v>
      </c>
      <c r="B2506" s="3" t="s">
        <v>244</v>
      </c>
      <c r="C2506" s="3" t="s">
        <v>13</v>
      </c>
      <c r="D2506" s="3" t="s">
        <v>10</v>
      </c>
      <c r="E2506" s="5" t="s">
        <v>11</v>
      </c>
      <c r="F2506" s="17">
        <v>3.43</v>
      </c>
      <c r="G2506" s="3">
        <v>4</v>
      </c>
      <c r="H2506" s="17">
        <f>Table1[[#This Row],[Unit price]]*Table1[[#This Row],[Quantity]]</f>
        <v>13.72</v>
      </c>
      <c r="I2506" s="29">
        <f>Table1[[#This Row],[Total Revenue]]/$H$5056*100</f>
        <v>1.4556336496878625E-3</v>
      </c>
      <c r="J2506" s="3" t="s">
        <v>17</v>
      </c>
      <c r="K2506" s="4">
        <v>8.3000000000000007</v>
      </c>
      <c r="M2506"/>
    </row>
    <row r="2507" spans="1:13" x14ac:dyDescent="0.25">
      <c r="A2507" s="3" t="s">
        <v>135</v>
      </c>
      <c r="B2507" s="3" t="s">
        <v>244</v>
      </c>
      <c r="C2507" s="3" t="s">
        <v>13</v>
      </c>
      <c r="D2507" s="3" t="s">
        <v>19</v>
      </c>
      <c r="E2507" s="5" t="s">
        <v>11</v>
      </c>
      <c r="F2507" s="17">
        <v>6.57</v>
      </c>
      <c r="G2507" s="3">
        <v>2</v>
      </c>
      <c r="H2507" s="17">
        <f>Table1[[#This Row],[Unit price]]*Table1[[#This Row],[Quantity]]</f>
        <v>13.14</v>
      </c>
      <c r="I2507" s="29">
        <f>Table1[[#This Row],[Total Revenue]]/$H$5056*100</f>
        <v>1.3940981163920198E-3</v>
      </c>
      <c r="J2507" s="3" t="s">
        <v>17</v>
      </c>
      <c r="K2507" s="4">
        <v>6.9</v>
      </c>
      <c r="M2507"/>
    </row>
    <row r="2508" spans="1:13" x14ac:dyDescent="0.25">
      <c r="A2508" s="3" t="s">
        <v>135</v>
      </c>
      <c r="B2508" s="3" t="s">
        <v>243</v>
      </c>
      <c r="C2508" s="3" t="s">
        <v>9</v>
      </c>
      <c r="D2508" s="3" t="s">
        <v>10</v>
      </c>
      <c r="E2508" s="5" t="s">
        <v>16</v>
      </c>
      <c r="F2508" s="17">
        <v>73.400000000000006</v>
      </c>
      <c r="G2508" s="3">
        <v>2</v>
      </c>
      <c r="H2508" s="17">
        <f>Table1[[#This Row],[Unit price]]*Table1[[#This Row],[Quantity]]</f>
        <v>146.80000000000001</v>
      </c>
      <c r="I2508" s="29">
        <f>Table1[[#This Row],[Total Revenue]]/$H$5056*100</f>
        <v>1.5574855668671882E-2</v>
      </c>
      <c r="J2508" s="3" t="s">
        <v>12</v>
      </c>
      <c r="K2508" s="4">
        <v>8.6999999999999993</v>
      </c>
      <c r="M2508"/>
    </row>
    <row r="2509" spans="1:13" x14ac:dyDescent="0.25">
      <c r="A2509" s="3" t="s">
        <v>135</v>
      </c>
      <c r="B2509" s="3" t="s">
        <v>243</v>
      </c>
      <c r="C2509" s="3" t="s">
        <v>13</v>
      </c>
      <c r="D2509" s="3" t="s">
        <v>10</v>
      </c>
      <c r="E2509" s="5" t="s">
        <v>18</v>
      </c>
      <c r="F2509" s="17">
        <v>15.82</v>
      </c>
      <c r="G2509" s="3">
        <v>1</v>
      </c>
      <c r="H2509" s="17">
        <f>Table1[[#This Row],[Unit price]]*Table1[[#This Row],[Quantity]]</f>
        <v>15.82</v>
      </c>
      <c r="I2509" s="29">
        <f>Table1[[#This Row],[Total Revenue]]/$H$5056*100</f>
        <v>1.6784347185176374E-3</v>
      </c>
      <c r="J2509" s="3" t="s">
        <v>15</v>
      </c>
      <c r="K2509" s="4">
        <v>8.3000000000000007</v>
      </c>
      <c r="M2509"/>
    </row>
    <row r="2510" spans="1:13" x14ac:dyDescent="0.25">
      <c r="A2510" s="3" t="s">
        <v>136</v>
      </c>
      <c r="B2510" s="3" t="s">
        <v>244</v>
      </c>
      <c r="C2510" s="3" t="s">
        <v>9</v>
      </c>
      <c r="D2510" s="3" t="s">
        <v>10</v>
      </c>
      <c r="E2510" s="5" t="s">
        <v>16</v>
      </c>
      <c r="F2510" s="17">
        <v>58.14</v>
      </c>
      <c r="G2510" s="3">
        <v>2</v>
      </c>
      <c r="H2510" s="17">
        <f>Table1[[#This Row],[Unit price]]*Table1[[#This Row],[Quantity]]</f>
        <v>116.28</v>
      </c>
      <c r="I2510" s="29">
        <f>Table1[[#This Row],[Total Revenue]]/$H$5056*100</f>
        <v>1.2336813468345821E-2</v>
      </c>
      <c r="J2510" s="3" t="s">
        <v>12</v>
      </c>
      <c r="K2510" s="4">
        <v>7.7</v>
      </c>
      <c r="M2510"/>
    </row>
    <row r="2511" spans="1:13" x14ac:dyDescent="0.25">
      <c r="A2511" s="3" t="s">
        <v>136</v>
      </c>
      <c r="B2511" s="3" t="s">
        <v>244</v>
      </c>
      <c r="C2511" s="3" t="s">
        <v>9</v>
      </c>
      <c r="D2511" s="3" t="s">
        <v>19</v>
      </c>
      <c r="E2511" s="5" t="s">
        <v>11</v>
      </c>
      <c r="F2511" s="17">
        <v>6.1</v>
      </c>
      <c r="G2511" s="3">
        <v>1</v>
      </c>
      <c r="H2511" s="17">
        <f>Table1[[#This Row],[Unit price]]*Table1[[#This Row],[Quantity]]</f>
        <v>6.1</v>
      </c>
      <c r="I2511" s="29">
        <f>Table1[[#This Row],[Total Revenue]]/$H$5056*100</f>
        <v>6.4718405707696509E-4</v>
      </c>
      <c r="J2511" s="3" t="s">
        <v>17</v>
      </c>
      <c r="K2511" s="4">
        <v>7.7</v>
      </c>
      <c r="M2511"/>
    </row>
    <row r="2512" spans="1:13" x14ac:dyDescent="0.25">
      <c r="A2512" s="3" t="s">
        <v>136</v>
      </c>
      <c r="B2512" s="3" t="s">
        <v>244</v>
      </c>
      <c r="C2512" s="3" t="s">
        <v>9</v>
      </c>
      <c r="D2512" s="3" t="s">
        <v>10</v>
      </c>
      <c r="E2512" s="5" t="s">
        <v>18</v>
      </c>
      <c r="F2512" s="17">
        <v>6.81</v>
      </c>
      <c r="G2512" s="3">
        <v>2</v>
      </c>
      <c r="H2512" s="17">
        <f>Table1[[#This Row],[Unit price]]*Table1[[#This Row],[Quantity]]</f>
        <v>13.62</v>
      </c>
      <c r="I2512" s="29">
        <f>Table1[[#This Row],[Total Revenue]]/$H$5056*100</f>
        <v>1.4450240749816826E-3</v>
      </c>
      <c r="J2512" s="3" t="s">
        <v>17</v>
      </c>
      <c r="K2512" s="4">
        <v>8.1999999999999993</v>
      </c>
      <c r="M2512"/>
    </row>
    <row r="2513" spans="1:13" x14ac:dyDescent="0.25">
      <c r="A2513" s="3" t="s">
        <v>136</v>
      </c>
      <c r="B2513" s="3" t="s">
        <v>243</v>
      </c>
      <c r="C2513" s="3" t="s">
        <v>13</v>
      </c>
      <c r="D2513" s="3" t="s">
        <v>19</v>
      </c>
      <c r="E2513" s="5" t="s">
        <v>11</v>
      </c>
      <c r="F2513" s="17">
        <v>7.11</v>
      </c>
      <c r="G2513" s="3">
        <v>3</v>
      </c>
      <c r="H2513" s="17">
        <f>Table1[[#This Row],[Unit price]]*Table1[[#This Row],[Quantity]]</f>
        <v>21.330000000000002</v>
      </c>
      <c r="I2513" s="29">
        <f>Table1[[#This Row],[Total Revenue]]/$H$5056*100</f>
        <v>2.2630222848281419E-3</v>
      </c>
      <c r="J2513" s="3" t="s">
        <v>12</v>
      </c>
      <c r="K2513" s="4">
        <v>7.2</v>
      </c>
      <c r="M2513"/>
    </row>
    <row r="2514" spans="1:13" x14ac:dyDescent="0.25">
      <c r="A2514" s="3" t="s">
        <v>136</v>
      </c>
      <c r="B2514" s="3" t="s">
        <v>243</v>
      </c>
      <c r="C2514" s="3" t="s">
        <v>13</v>
      </c>
      <c r="D2514" s="3" t="s">
        <v>19</v>
      </c>
      <c r="E2514" s="5" t="s">
        <v>11</v>
      </c>
      <c r="F2514" s="17">
        <v>4.79</v>
      </c>
      <c r="G2514" s="3">
        <v>3</v>
      </c>
      <c r="H2514" s="17">
        <f>Table1[[#This Row],[Unit price]]*Table1[[#This Row],[Quantity]]</f>
        <v>14.370000000000001</v>
      </c>
      <c r="I2514" s="29">
        <f>Table1[[#This Row],[Total Revenue]]/$H$5056*100</f>
        <v>1.5245958852780309E-3</v>
      </c>
      <c r="J2514" s="3" t="s">
        <v>17</v>
      </c>
      <c r="K2514" s="4">
        <v>6.3</v>
      </c>
      <c r="M2514"/>
    </row>
    <row r="2515" spans="1:13" x14ac:dyDescent="0.25">
      <c r="A2515" s="3" t="s">
        <v>136</v>
      </c>
      <c r="B2515" s="3" t="s">
        <v>244</v>
      </c>
      <c r="C2515" s="3" t="s">
        <v>9</v>
      </c>
      <c r="D2515" s="3" t="s">
        <v>19</v>
      </c>
      <c r="E2515" s="5" t="s">
        <v>21</v>
      </c>
      <c r="F2515" s="17">
        <v>33.200000000000003</v>
      </c>
      <c r="G2515" s="3">
        <v>3</v>
      </c>
      <c r="H2515" s="17">
        <f>Table1[[#This Row],[Unit price]]*Table1[[#This Row],[Quantity]]</f>
        <v>99.600000000000009</v>
      </c>
      <c r="I2515" s="29">
        <f>Table1[[#This Row],[Total Revenue]]/$H$5056*100</f>
        <v>1.0567136407355036E-2</v>
      </c>
      <c r="J2515" s="3" t="s">
        <v>15</v>
      </c>
      <c r="K2515" s="4">
        <v>7.1</v>
      </c>
      <c r="M2515"/>
    </row>
    <row r="2516" spans="1:13" x14ac:dyDescent="0.25">
      <c r="A2516" s="3" t="s">
        <v>136</v>
      </c>
      <c r="B2516" s="3" t="s">
        <v>243</v>
      </c>
      <c r="C2516" s="3" t="s">
        <v>9</v>
      </c>
      <c r="D2516" s="3" t="s">
        <v>19</v>
      </c>
      <c r="E2516" s="5" t="s">
        <v>20</v>
      </c>
      <c r="F2516" s="17">
        <v>69.739999999999995</v>
      </c>
      <c r="G2516" s="3">
        <v>4</v>
      </c>
      <c r="H2516" s="17">
        <f>Table1[[#This Row],[Unit price]]*Table1[[#This Row],[Quantity]]</f>
        <v>278.95999999999998</v>
      </c>
      <c r="I2516" s="29">
        <f>Table1[[#This Row],[Total Revenue]]/$H$5056*100</f>
        <v>2.9596469600359044E-2</v>
      </c>
      <c r="J2516" s="3" t="s">
        <v>12</v>
      </c>
      <c r="K2516" s="4">
        <v>6.9</v>
      </c>
      <c r="M2516"/>
    </row>
    <row r="2517" spans="1:13" x14ac:dyDescent="0.25">
      <c r="A2517" s="3" t="s">
        <v>136</v>
      </c>
      <c r="B2517" s="3" t="s">
        <v>244</v>
      </c>
      <c r="C2517" s="3" t="s">
        <v>13</v>
      </c>
      <c r="D2517" s="3" t="s">
        <v>10</v>
      </c>
      <c r="E2517" s="5" t="s">
        <v>16</v>
      </c>
      <c r="F2517" s="17">
        <v>61.82</v>
      </c>
      <c r="G2517" s="3">
        <v>2</v>
      </c>
      <c r="H2517" s="17">
        <f>Table1[[#This Row],[Unit price]]*Table1[[#This Row],[Quantity]]</f>
        <v>123.64</v>
      </c>
      <c r="I2517" s="29">
        <f>Table1[[#This Row],[Total Revenue]]/$H$5056*100</f>
        <v>1.3117678166720648E-2</v>
      </c>
      <c r="J2517" s="3" t="s">
        <v>12</v>
      </c>
      <c r="K2517" s="4">
        <v>8.6</v>
      </c>
      <c r="M2517"/>
    </row>
    <row r="2518" spans="1:13" x14ac:dyDescent="0.25">
      <c r="A2518" s="3" t="s">
        <v>136</v>
      </c>
      <c r="B2518" s="3" t="s">
        <v>243</v>
      </c>
      <c r="C2518" s="3" t="s">
        <v>13</v>
      </c>
      <c r="D2518" s="3" t="s">
        <v>10</v>
      </c>
      <c r="E2518" s="5" t="s">
        <v>20</v>
      </c>
      <c r="F2518" s="17">
        <v>49.71</v>
      </c>
      <c r="G2518" s="3">
        <v>2</v>
      </c>
      <c r="H2518" s="17">
        <f>Table1[[#This Row],[Unit price]]*Table1[[#This Row],[Quantity]]</f>
        <v>99.42</v>
      </c>
      <c r="I2518" s="29">
        <f>Table1[[#This Row],[Total Revenue]]/$H$5056*100</f>
        <v>1.0548039172883912E-2</v>
      </c>
      <c r="J2518" s="3" t="s">
        <v>17</v>
      </c>
      <c r="K2518" s="4">
        <v>6.9</v>
      </c>
      <c r="M2518"/>
    </row>
    <row r="2519" spans="1:13" x14ac:dyDescent="0.25">
      <c r="A2519" s="3" t="s">
        <v>136</v>
      </c>
      <c r="B2519" s="3" t="s">
        <v>245</v>
      </c>
      <c r="C2519" s="3" t="s">
        <v>13</v>
      </c>
      <c r="D2519" s="3" t="s">
        <v>19</v>
      </c>
      <c r="E2519" s="5" t="s">
        <v>11</v>
      </c>
      <c r="F2519" s="17">
        <v>2.98</v>
      </c>
      <c r="G2519" s="3">
        <v>3</v>
      </c>
      <c r="H2519" s="17">
        <f>Table1[[#This Row],[Unit price]]*Table1[[#This Row],[Quantity]]</f>
        <v>8.94</v>
      </c>
      <c r="I2519" s="29">
        <f>Table1[[#This Row],[Total Revenue]]/$H$5056*100</f>
        <v>9.4849597873247011E-4</v>
      </c>
      <c r="J2519" s="3" t="s">
        <v>15</v>
      </c>
      <c r="K2519" s="4">
        <v>6.1</v>
      </c>
      <c r="M2519"/>
    </row>
    <row r="2520" spans="1:13" x14ac:dyDescent="0.25">
      <c r="A2520" s="3" t="s">
        <v>136</v>
      </c>
      <c r="B2520" s="3" t="s">
        <v>243</v>
      </c>
      <c r="C2520" s="3" t="s">
        <v>13</v>
      </c>
      <c r="D2520" s="3" t="s">
        <v>10</v>
      </c>
      <c r="E2520" s="5" t="s">
        <v>11</v>
      </c>
      <c r="F2520" s="17">
        <v>5.29</v>
      </c>
      <c r="G2520" s="3">
        <v>5</v>
      </c>
      <c r="H2520" s="17">
        <f>Table1[[#This Row],[Unit price]]*Table1[[#This Row],[Quantity]]</f>
        <v>26.45</v>
      </c>
      <c r="I2520" s="29">
        <f>Table1[[#This Row],[Total Revenue]]/$H$5056*100</f>
        <v>2.8062325097845454E-3</v>
      </c>
      <c r="J2520" s="3" t="s">
        <v>17</v>
      </c>
      <c r="K2520" s="4">
        <v>6.6</v>
      </c>
      <c r="M2520"/>
    </row>
    <row r="2521" spans="1:13" x14ac:dyDescent="0.25">
      <c r="A2521" s="3" t="s">
        <v>136</v>
      </c>
      <c r="B2521" s="3" t="s">
        <v>244</v>
      </c>
      <c r="C2521" s="3" t="s">
        <v>9</v>
      </c>
      <c r="D2521" s="3" t="s">
        <v>10</v>
      </c>
      <c r="E2521" s="5" t="s">
        <v>20</v>
      </c>
      <c r="F2521" s="17">
        <v>68.19</v>
      </c>
      <c r="G2521" s="3">
        <v>2</v>
      </c>
      <c r="H2521" s="17">
        <f>Table1[[#This Row],[Unit price]]*Table1[[#This Row],[Quantity]]</f>
        <v>136.38</v>
      </c>
      <c r="I2521" s="29">
        <f>Table1[[#This Row],[Total Revenue]]/$H$5056*100</f>
        <v>1.446933798428795E-2</v>
      </c>
      <c r="J2521" s="3" t="s">
        <v>15</v>
      </c>
      <c r="K2521" s="4">
        <v>6.2</v>
      </c>
      <c r="M2521"/>
    </row>
    <row r="2522" spans="1:13" x14ac:dyDescent="0.25">
      <c r="A2522" s="3" t="s">
        <v>136</v>
      </c>
      <c r="B2522" s="3" t="s">
        <v>243</v>
      </c>
      <c r="C2522" s="3" t="s">
        <v>9</v>
      </c>
      <c r="D2522" s="3" t="s">
        <v>19</v>
      </c>
      <c r="E2522" s="5" t="s">
        <v>11</v>
      </c>
      <c r="F2522" s="17">
        <v>6.49</v>
      </c>
      <c r="G2522" s="3">
        <v>2</v>
      </c>
      <c r="H2522" s="17">
        <f>Table1[[#This Row],[Unit price]]*Table1[[#This Row],[Quantity]]</f>
        <v>12.98</v>
      </c>
      <c r="I2522" s="29">
        <f>Table1[[#This Row],[Total Revenue]]/$H$5056*100</f>
        <v>1.3771227968621324E-3</v>
      </c>
      <c r="J2522" s="3" t="s">
        <v>12</v>
      </c>
      <c r="K2522" s="4">
        <v>9</v>
      </c>
      <c r="M2522"/>
    </row>
    <row r="2523" spans="1:13" x14ac:dyDescent="0.25">
      <c r="A2523" s="3" t="s">
        <v>136</v>
      </c>
      <c r="B2523" s="3" t="s">
        <v>243</v>
      </c>
      <c r="C2523" s="3" t="s">
        <v>9</v>
      </c>
      <c r="D2523" s="3" t="s">
        <v>10</v>
      </c>
      <c r="E2523" s="5" t="s">
        <v>18</v>
      </c>
      <c r="F2523" s="17">
        <v>14.32</v>
      </c>
      <c r="G2523" s="3">
        <v>3</v>
      </c>
      <c r="H2523" s="17">
        <f>Table1[[#This Row],[Unit price]]*Table1[[#This Row],[Quantity]]</f>
        <v>42.96</v>
      </c>
      <c r="I2523" s="29">
        <f>Table1[[#This Row],[Total Revenue]]/$H$5056*100</f>
        <v>4.5578732937748227E-3</v>
      </c>
      <c r="J2523" s="3" t="s">
        <v>15</v>
      </c>
      <c r="K2523" s="4">
        <v>7.4</v>
      </c>
      <c r="M2523"/>
    </row>
    <row r="2524" spans="1:13" x14ac:dyDescent="0.25">
      <c r="A2524" s="3" t="s">
        <v>136</v>
      </c>
      <c r="B2524" s="3" t="s">
        <v>243</v>
      </c>
      <c r="C2524" s="3" t="s">
        <v>9</v>
      </c>
      <c r="D2524" s="3" t="s">
        <v>10</v>
      </c>
      <c r="E2524" s="5" t="s">
        <v>18</v>
      </c>
      <c r="F2524" s="17">
        <v>15.19</v>
      </c>
      <c r="G2524" s="3">
        <v>2</v>
      </c>
      <c r="H2524" s="17">
        <f>Table1[[#This Row],[Unit price]]*Table1[[#This Row],[Quantity]]</f>
        <v>30.38</v>
      </c>
      <c r="I2524" s="29">
        <f>Table1[[#This Row],[Total Revenue]]/$H$5056*100</f>
        <v>3.2231887957374097E-3</v>
      </c>
      <c r="J2524" s="3" t="s">
        <v>12</v>
      </c>
      <c r="K2524" s="4">
        <v>7.5</v>
      </c>
      <c r="M2524"/>
    </row>
    <row r="2525" spans="1:13" x14ac:dyDescent="0.25">
      <c r="A2525" s="3" t="s">
        <v>137</v>
      </c>
      <c r="B2525" s="3" t="s">
        <v>243</v>
      </c>
      <c r="C2525" s="3" t="s">
        <v>9</v>
      </c>
      <c r="D2525" s="3" t="s">
        <v>10</v>
      </c>
      <c r="E2525" s="5" t="s">
        <v>11</v>
      </c>
      <c r="F2525" s="17">
        <v>3.24</v>
      </c>
      <c r="G2525" s="3">
        <v>2</v>
      </c>
      <c r="H2525" s="17">
        <f>Table1[[#This Row],[Unit price]]*Table1[[#This Row],[Quantity]]</f>
        <v>6.48</v>
      </c>
      <c r="I2525" s="29">
        <f>Table1[[#This Row],[Total Revenue]]/$H$5056*100</f>
        <v>6.8750044096044824E-4</v>
      </c>
      <c r="J2525" s="3" t="s">
        <v>12</v>
      </c>
      <c r="K2525" s="4">
        <v>8.3000000000000007</v>
      </c>
      <c r="M2525"/>
    </row>
    <row r="2526" spans="1:13" x14ac:dyDescent="0.25">
      <c r="A2526" s="3" t="s">
        <v>137</v>
      </c>
      <c r="B2526" s="3" t="s">
        <v>243</v>
      </c>
      <c r="C2526" s="3" t="s">
        <v>9</v>
      </c>
      <c r="D2526" s="3" t="s">
        <v>19</v>
      </c>
      <c r="E2526" s="5" t="s">
        <v>11</v>
      </c>
      <c r="F2526" s="17">
        <v>6.69</v>
      </c>
      <c r="G2526" s="3">
        <v>3</v>
      </c>
      <c r="H2526" s="17">
        <f>Table1[[#This Row],[Unit price]]*Table1[[#This Row],[Quantity]]</f>
        <v>20.07</v>
      </c>
      <c r="I2526" s="29">
        <f>Table1[[#This Row],[Total Revenue]]/$H$5056*100</f>
        <v>2.1293416435302771E-3</v>
      </c>
      <c r="J2526" s="3" t="s">
        <v>12</v>
      </c>
      <c r="K2526" s="4">
        <v>7.4</v>
      </c>
      <c r="M2526"/>
    </row>
    <row r="2527" spans="1:13" x14ac:dyDescent="0.25">
      <c r="A2527" s="3" t="s">
        <v>137</v>
      </c>
      <c r="B2527" s="3" t="s">
        <v>243</v>
      </c>
      <c r="C2527" s="3" t="s">
        <v>9</v>
      </c>
      <c r="D2527" s="3" t="s">
        <v>19</v>
      </c>
      <c r="E2527" s="5" t="s">
        <v>11</v>
      </c>
      <c r="F2527" s="17">
        <v>6.78</v>
      </c>
      <c r="G2527" s="3">
        <v>3</v>
      </c>
      <c r="H2527" s="17">
        <f>Table1[[#This Row],[Unit price]]*Table1[[#This Row],[Quantity]]</f>
        <v>20.34</v>
      </c>
      <c r="I2527" s="29">
        <f>Table1[[#This Row],[Total Revenue]]/$H$5056*100</f>
        <v>2.1579874952369622E-3</v>
      </c>
      <c r="J2527" s="3" t="s">
        <v>12</v>
      </c>
      <c r="K2527" s="4">
        <v>8.6999999999999993</v>
      </c>
      <c r="M2527"/>
    </row>
    <row r="2528" spans="1:13" x14ac:dyDescent="0.25">
      <c r="A2528" s="3" t="s">
        <v>137</v>
      </c>
      <c r="B2528" s="3" t="s">
        <v>244</v>
      </c>
      <c r="C2528" s="3" t="s">
        <v>13</v>
      </c>
      <c r="D2528" s="3" t="s">
        <v>19</v>
      </c>
      <c r="E2528" s="5" t="s">
        <v>11</v>
      </c>
      <c r="F2528" s="17">
        <v>2.69</v>
      </c>
      <c r="G2528" s="3">
        <v>1</v>
      </c>
      <c r="H2528" s="17">
        <f>Table1[[#This Row],[Unit price]]*Table1[[#This Row],[Quantity]]</f>
        <v>2.69</v>
      </c>
      <c r="I2528" s="29">
        <f>Table1[[#This Row],[Total Revenue]]/$H$5056*100</f>
        <v>2.853975595962354E-4</v>
      </c>
      <c r="J2528" s="3" t="s">
        <v>15</v>
      </c>
      <c r="K2528" s="4">
        <v>6.8</v>
      </c>
      <c r="M2528"/>
    </row>
    <row r="2529" spans="1:13" x14ac:dyDescent="0.25">
      <c r="A2529" s="3" t="s">
        <v>137</v>
      </c>
      <c r="B2529" s="3" t="s">
        <v>244</v>
      </c>
      <c r="C2529" s="3" t="s">
        <v>9</v>
      </c>
      <c r="D2529" s="3" t="s">
        <v>10</v>
      </c>
      <c r="E2529" s="5" t="s">
        <v>20</v>
      </c>
      <c r="F2529" s="17">
        <v>68.73</v>
      </c>
      <c r="G2529" s="3">
        <v>2</v>
      </c>
      <c r="H2529" s="17">
        <f>Table1[[#This Row],[Unit price]]*Table1[[#This Row],[Quantity]]</f>
        <v>137.46</v>
      </c>
      <c r="I2529" s="29">
        <f>Table1[[#This Row],[Total Revenue]]/$H$5056*100</f>
        <v>1.4583921391114692E-2</v>
      </c>
      <c r="J2529" s="3" t="s">
        <v>12</v>
      </c>
      <c r="K2529" s="4">
        <v>6.6</v>
      </c>
      <c r="M2529"/>
    </row>
    <row r="2530" spans="1:13" x14ac:dyDescent="0.25">
      <c r="A2530" s="3" t="s">
        <v>137</v>
      </c>
      <c r="B2530" s="3" t="s">
        <v>243</v>
      </c>
      <c r="C2530" s="3" t="s">
        <v>13</v>
      </c>
      <c r="D2530" s="3" t="s">
        <v>19</v>
      </c>
      <c r="E2530" s="5" t="s">
        <v>11</v>
      </c>
      <c r="F2530" s="17">
        <v>2.68</v>
      </c>
      <c r="G2530" s="3">
        <v>4</v>
      </c>
      <c r="H2530" s="17">
        <f>Table1[[#This Row],[Unit price]]*Table1[[#This Row],[Quantity]]</f>
        <v>10.72</v>
      </c>
      <c r="I2530" s="29">
        <f>Table1[[#This Row],[Total Revenue]]/$H$5056*100</f>
        <v>1.1373464085024699E-3</v>
      </c>
      <c r="J2530" s="3" t="s">
        <v>15</v>
      </c>
      <c r="K2530" s="4">
        <v>8.1</v>
      </c>
      <c r="M2530"/>
    </row>
    <row r="2531" spans="1:13" x14ac:dyDescent="0.25">
      <c r="A2531" s="3" t="s">
        <v>137</v>
      </c>
      <c r="B2531" s="3" t="s">
        <v>244</v>
      </c>
      <c r="C2531" s="3" t="s">
        <v>13</v>
      </c>
      <c r="D2531" s="3" t="s">
        <v>10</v>
      </c>
      <c r="E2531" s="5" t="s">
        <v>11</v>
      </c>
      <c r="F2531" s="17">
        <v>5.45</v>
      </c>
      <c r="G2531" s="3">
        <v>3</v>
      </c>
      <c r="H2531" s="17">
        <f>Table1[[#This Row],[Unit price]]*Table1[[#This Row],[Quantity]]</f>
        <v>16.350000000000001</v>
      </c>
      <c r="I2531" s="29">
        <f>Table1[[#This Row],[Total Revenue]]/$H$5056*100</f>
        <v>1.7346654644603903E-3</v>
      </c>
      <c r="J2531" s="3" t="s">
        <v>15</v>
      </c>
      <c r="K2531" s="4">
        <v>8.8000000000000007</v>
      </c>
      <c r="M2531"/>
    </row>
    <row r="2532" spans="1:13" x14ac:dyDescent="0.25">
      <c r="A2532" s="3" t="s">
        <v>137</v>
      </c>
      <c r="B2532" s="3" t="s">
        <v>243</v>
      </c>
      <c r="C2532" s="3" t="s">
        <v>13</v>
      </c>
      <c r="D2532" s="3" t="s">
        <v>10</v>
      </c>
      <c r="E2532" s="5" t="s">
        <v>20</v>
      </c>
      <c r="F2532" s="17">
        <v>56.98</v>
      </c>
      <c r="G2532" s="3">
        <v>4</v>
      </c>
      <c r="H2532" s="17">
        <f>Table1[[#This Row],[Unit price]]*Table1[[#This Row],[Quantity]]</f>
        <v>227.92</v>
      </c>
      <c r="I2532" s="29">
        <f>Table1[[#This Row],[Total Revenue]]/$H$5056*100</f>
        <v>2.4181342670324898E-2</v>
      </c>
      <c r="J2532" s="3" t="s">
        <v>12</v>
      </c>
      <c r="K2532" s="4">
        <v>8</v>
      </c>
      <c r="M2532"/>
    </row>
    <row r="2533" spans="1:13" x14ac:dyDescent="0.25">
      <c r="A2533" s="3" t="s">
        <v>137</v>
      </c>
      <c r="B2533" s="3" t="s">
        <v>243</v>
      </c>
      <c r="C2533" s="3" t="s">
        <v>13</v>
      </c>
      <c r="D2533" s="3" t="s">
        <v>10</v>
      </c>
      <c r="E2533" s="5" t="s">
        <v>21</v>
      </c>
      <c r="F2533" s="17">
        <v>16.87</v>
      </c>
      <c r="G2533" s="3">
        <v>3</v>
      </c>
      <c r="H2533" s="17">
        <f>Table1[[#This Row],[Unit price]]*Table1[[#This Row],[Quantity]]</f>
        <v>50.61</v>
      </c>
      <c r="I2533" s="29">
        <f>Table1[[#This Row],[Total Revenue]]/$H$5056*100</f>
        <v>5.3695057587975744E-3</v>
      </c>
      <c r="J2533" s="3" t="s">
        <v>12</v>
      </c>
      <c r="K2533" s="4">
        <v>5.0999999999999996</v>
      </c>
      <c r="M2533"/>
    </row>
    <row r="2534" spans="1:13" x14ac:dyDescent="0.25">
      <c r="A2534" s="3" t="s">
        <v>137</v>
      </c>
      <c r="B2534" s="3" t="s">
        <v>245</v>
      </c>
      <c r="C2534" s="3" t="s">
        <v>9</v>
      </c>
      <c r="D2534" s="3" t="s">
        <v>19</v>
      </c>
      <c r="E2534" s="5" t="s">
        <v>11</v>
      </c>
      <c r="F2534" s="17">
        <v>7.4</v>
      </c>
      <c r="G2534" s="3">
        <v>5</v>
      </c>
      <c r="H2534" s="17">
        <f>Table1[[#This Row],[Unit price]]*Table1[[#This Row],[Quantity]]</f>
        <v>37</v>
      </c>
      <c r="I2534" s="29">
        <f>Table1[[#This Row],[Total Revenue]]/$H$5056*100</f>
        <v>3.9255426412865098E-3</v>
      </c>
      <c r="J2534" s="3" t="s">
        <v>17</v>
      </c>
      <c r="K2534" s="4">
        <v>8.1999999999999993</v>
      </c>
      <c r="M2534"/>
    </row>
    <row r="2535" spans="1:13" x14ac:dyDescent="0.25">
      <c r="A2535" s="3" t="s">
        <v>138</v>
      </c>
      <c r="B2535" s="3" t="s">
        <v>243</v>
      </c>
      <c r="C2535" s="3" t="s">
        <v>13</v>
      </c>
      <c r="D2535" s="3" t="s">
        <v>19</v>
      </c>
      <c r="E2535" s="5" t="s">
        <v>11</v>
      </c>
      <c r="F2535" s="17">
        <v>5.17</v>
      </c>
      <c r="G2535" s="3">
        <v>3</v>
      </c>
      <c r="H2535" s="17">
        <f>Table1[[#This Row],[Unit price]]*Table1[[#This Row],[Quantity]]</f>
        <v>15.51</v>
      </c>
      <c r="I2535" s="29">
        <f>Table1[[#This Row],[Total Revenue]]/$H$5056*100</f>
        <v>1.6455450369284802E-3</v>
      </c>
      <c r="J2535" s="3" t="s">
        <v>15</v>
      </c>
      <c r="K2535" s="4">
        <v>7.7</v>
      </c>
      <c r="M2535"/>
    </row>
    <row r="2536" spans="1:13" x14ac:dyDescent="0.25">
      <c r="A2536" s="3" t="s">
        <v>138</v>
      </c>
      <c r="B2536" s="3" t="s">
        <v>243</v>
      </c>
      <c r="C2536" s="3" t="s">
        <v>13</v>
      </c>
      <c r="D2536" s="3" t="s">
        <v>19</v>
      </c>
      <c r="E2536" s="5" t="s">
        <v>21</v>
      </c>
      <c r="F2536" s="17">
        <v>27.52</v>
      </c>
      <c r="G2536" s="3">
        <v>2</v>
      </c>
      <c r="H2536" s="17">
        <f>Table1[[#This Row],[Unit price]]*Table1[[#This Row],[Quantity]]</f>
        <v>55.04</v>
      </c>
      <c r="I2536" s="29">
        <f>Table1[[#This Row],[Total Revenue]]/$H$5056*100</f>
        <v>5.8395099182813378E-3</v>
      </c>
      <c r="J2536" s="3" t="s">
        <v>17</v>
      </c>
      <c r="K2536" s="4">
        <v>7.3</v>
      </c>
      <c r="M2536"/>
    </row>
    <row r="2537" spans="1:13" x14ac:dyDescent="0.25">
      <c r="A2537" s="3" t="s">
        <v>138</v>
      </c>
      <c r="B2537" s="3" t="s">
        <v>243</v>
      </c>
      <c r="C2537" s="3" t="s">
        <v>9</v>
      </c>
      <c r="D2537" s="3" t="s">
        <v>10</v>
      </c>
      <c r="E2537" s="5" t="s">
        <v>21</v>
      </c>
      <c r="F2537" s="17">
        <v>38.89</v>
      </c>
      <c r="G2537" s="3">
        <v>2</v>
      </c>
      <c r="H2537" s="17">
        <f>Table1[[#This Row],[Unit price]]*Table1[[#This Row],[Quantity]]</f>
        <v>77.78</v>
      </c>
      <c r="I2537" s="29">
        <f>Table1[[#This Row],[Total Revenue]]/$H$5056*100</f>
        <v>8.2521272064666144E-3</v>
      </c>
      <c r="J2537" s="3" t="s">
        <v>17</v>
      </c>
      <c r="K2537" s="4">
        <v>6.9</v>
      </c>
      <c r="M2537"/>
    </row>
    <row r="2538" spans="1:13" x14ac:dyDescent="0.25">
      <c r="A2538" s="3" t="s">
        <v>138</v>
      </c>
      <c r="B2538" s="3" t="s">
        <v>245</v>
      </c>
      <c r="C2538" s="3" t="s">
        <v>13</v>
      </c>
      <c r="D2538" s="3" t="s">
        <v>19</v>
      </c>
      <c r="E2538" s="5" t="s">
        <v>11</v>
      </c>
      <c r="F2538" s="17">
        <v>6.68</v>
      </c>
      <c r="G2538" s="3">
        <v>3</v>
      </c>
      <c r="H2538" s="17">
        <f>Table1[[#This Row],[Unit price]]*Table1[[#This Row],[Quantity]]</f>
        <v>20.04</v>
      </c>
      <c r="I2538" s="29">
        <f>Table1[[#This Row],[Total Revenue]]/$H$5056*100</f>
        <v>2.126158771118423E-3</v>
      </c>
      <c r="J2538" s="3" t="s">
        <v>12</v>
      </c>
      <c r="K2538" s="4">
        <v>6.5</v>
      </c>
      <c r="M2538"/>
    </row>
    <row r="2539" spans="1:13" x14ac:dyDescent="0.25">
      <c r="A2539" s="3" t="s">
        <v>138</v>
      </c>
      <c r="B2539" s="3" t="s">
        <v>245</v>
      </c>
      <c r="C2539" s="3" t="s">
        <v>13</v>
      </c>
      <c r="D2539" s="3" t="s">
        <v>10</v>
      </c>
      <c r="E2539" s="5" t="s">
        <v>11</v>
      </c>
      <c r="F2539" s="17">
        <v>6.38</v>
      </c>
      <c r="G2539" s="3">
        <v>4</v>
      </c>
      <c r="H2539" s="17">
        <f>Table1[[#This Row],[Unit price]]*Table1[[#This Row],[Quantity]]</f>
        <v>25.52</v>
      </c>
      <c r="I2539" s="29">
        <f>Table1[[#This Row],[Total Revenue]]/$H$5056*100</f>
        <v>2.7075634650170735E-3</v>
      </c>
      <c r="J2539" s="3" t="s">
        <v>15</v>
      </c>
      <c r="K2539" s="4">
        <v>6.5</v>
      </c>
      <c r="M2539"/>
    </row>
    <row r="2540" spans="1:13" x14ac:dyDescent="0.25">
      <c r="A2540" s="3" t="s">
        <v>138</v>
      </c>
      <c r="B2540" s="3" t="s">
        <v>244</v>
      </c>
      <c r="C2540" s="3" t="s">
        <v>13</v>
      </c>
      <c r="D2540" s="3" t="s">
        <v>19</v>
      </c>
      <c r="E2540" s="5" t="s">
        <v>11</v>
      </c>
      <c r="F2540" s="17">
        <v>5.13</v>
      </c>
      <c r="G2540" s="3">
        <v>1</v>
      </c>
      <c r="H2540" s="17">
        <f>Table1[[#This Row],[Unit price]]*Table1[[#This Row],[Quantity]]</f>
        <v>5.13</v>
      </c>
      <c r="I2540" s="29">
        <f>Table1[[#This Row],[Total Revenue]]/$H$5056*100</f>
        <v>5.4427118242702144E-4</v>
      </c>
      <c r="J2540" s="3" t="s">
        <v>12</v>
      </c>
      <c r="K2540" s="4">
        <v>7.8</v>
      </c>
      <c r="M2540"/>
    </row>
    <row r="2541" spans="1:13" x14ac:dyDescent="0.25">
      <c r="A2541" s="3" t="s">
        <v>138</v>
      </c>
      <c r="B2541" s="3" t="s">
        <v>244</v>
      </c>
      <c r="C2541" s="3" t="s">
        <v>9</v>
      </c>
      <c r="D2541" s="3" t="s">
        <v>10</v>
      </c>
      <c r="E2541" s="5" t="s">
        <v>21</v>
      </c>
      <c r="F2541" s="17">
        <v>31.79</v>
      </c>
      <c r="G2541" s="3">
        <v>4</v>
      </c>
      <c r="H2541" s="17">
        <f>Table1[[#This Row],[Unit price]]*Table1[[#This Row],[Quantity]]</f>
        <v>127.16</v>
      </c>
      <c r="I2541" s="29">
        <f>Table1[[#This Row],[Total Revenue]]/$H$5056*100</f>
        <v>1.3491135196378177E-2</v>
      </c>
      <c r="J2541" s="3" t="s">
        <v>15</v>
      </c>
      <c r="K2541" s="4">
        <v>6.6</v>
      </c>
      <c r="M2541"/>
    </row>
    <row r="2542" spans="1:13" x14ac:dyDescent="0.25">
      <c r="A2542" s="3" t="s">
        <v>138</v>
      </c>
      <c r="B2542" s="3" t="s">
        <v>243</v>
      </c>
      <c r="C2542" s="3" t="s">
        <v>13</v>
      </c>
      <c r="D2542" s="3" t="s">
        <v>19</v>
      </c>
      <c r="E2542" s="5" t="s">
        <v>11</v>
      </c>
      <c r="F2542" s="17">
        <v>4.8099999999999996</v>
      </c>
      <c r="G2542" s="3">
        <v>2</v>
      </c>
      <c r="H2542" s="17">
        <f>Table1[[#This Row],[Unit price]]*Table1[[#This Row],[Quantity]]</f>
        <v>9.6199999999999992</v>
      </c>
      <c r="I2542" s="29">
        <f>Table1[[#This Row],[Total Revenue]]/$H$5056*100</f>
        <v>1.0206410867344925E-3</v>
      </c>
      <c r="J2542" s="3" t="s">
        <v>12</v>
      </c>
      <c r="K2542" s="4">
        <v>5.9</v>
      </c>
      <c r="M2542"/>
    </row>
    <row r="2543" spans="1:13" x14ac:dyDescent="0.25">
      <c r="A2543" s="3" t="s">
        <v>138</v>
      </c>
      <c r="B2543" s="3" t="s">
        <v>243</v>
      </c>
      <c r="C2543" s="3" t="s">
        <v>9</v>
      </c>
      <c r="D2543" s="3" t="s">
        <v>19</v>
      </c>
      <c r="E2543" s="5" t="s">
        <v>11</v>
      </c>
      <c r="F2543" s="17">
        <v>6.23</v>
      </c>
      <c r="G2543" s="3">
        <v>5</v>
      </c>
      <c r="H2543" s="17">
        <f>Table1[[#This Row],[Unit price]]*Table1[[#This Row],[Quantity]]</f>
        <v>31.150000000000002</v>
      </c>
      <c r="I2543" s="29">
        <f>Table1[[#This Row],[Total Revenue]]/$H$5056*100</f>
        <v>3.3048825209749939E-3</v>
      </c>
      <c r="J2543" s="3" t="s">
        <v>17</v>
      </c>
      <c r="K2543" s="4">
        <v>8.6999999999999993</v>
      </c>
      <c r="M2543"/>
    </row>
    <row r="2544" spans="1:13" x14ac:dyDescent="0.25">
      <c r="A2544" s="3" t="s">
        <v>138</v>
      </c>
      <c r="B2544" s="3" t="s">
        <v>244</v>
      </c>
      <c r="C2544" s="3" t="s">
        <v>13</v>
      </c>
      <c r="D2544" s="3" t="s">
        <v>10</v>
      </c>
      <c r="E2544" s="5" t="s">
        <v>11</v>
      </c>
      <c r="F2544" s="17">
        <v>6.93</v>
      </c>
      <c r="G2544" s="3">
        <v>2</v>
      </c>
      <c r="H2544" s="17">
        <f>Table1[[#This Row],[Unit price]]*Table1[[#This Row],[Quantity]]</f>
        <v>13.86</v>
      </c>
      <c r="I2544" s="29">
        <f>Table1[[#This Row],[Total Revenue]]/$H$5056*100</f>
        <v>1.470487054276514E-3</v>
      </c>
      <c r="J2544" s="3" t="s">
        <v>12</v>
      </c>
      <c r="K2544" s="4">
        <v>7.2</v>
      </c>
      <c r="M2544"/>
    </row>
    <row r="2545" spans="1:13" x14ac:dyDescent="0.25">
      <c r="A2545" s="3" t="s">
        <v>138</v>
      </c>
      <c r="B2545" s="3" t="s">
        <v>245</v>
      </c>
      <c r="C2545" s="3" t="s">
        <v>13</v>
      </c>
      <c r="D2545" s="3" t="s">
        <v>19</v>
      </c>
      <c r="E2545" s="5" t="s">
        <v>11</v>
      </c>
      <c r="F2545" s="17">
        <v>4.08</v>
      </c>
      <c r="G2545" s="3">
        <v>3</v>
      </c>
      <c r="H2545" s="17">
        <f>Table1[[#This Row],[Unit price]]*Table1[[#This Row],[Quantity]]</f>
        <v>12.24</v>
      </c>
      <c r="I2545" s="29">
        <f>Table1[[#This Row],[Total Revenue]]/$H$5056*100</f>
        <v>1.2986119440364021E-3</v>
      </c>
      <c r="J2545" s="3" t="s">
        <v>12</v>
      </c>
      <c r="K2545" s="4">
        <v>7</v>
      </c>
      <c r="M2545"/>
    </row>
    <row r="2546" spans="1:13" x14ac:dyDescent="0.25">
      <c r="A2546" s="3" t="s">
        <v>138</v>
      </c>
      <c r="B2546" s="3" t="s">
        <v>244</v>
      </c>
      <c r="C2546" s="3" t="s">
        <v>13</v>
      </c>
      <c r="D2546" s="3" t="s">
        <v>10</v>
      </c>
      <c r="E2546" s="5" t="s">
        <v>11</v>
      </c>
      <c r="F2546" s="17">
        <v>6.54</v>
      </c>
      <c r="G2546" s="3">
        <v>3</v>
      </c>
      <c r="H2546" s="17">
        <f>Table1[[#This Row],[Unit price]]*Table1[[#This Row],[Quantity]]</f>
        <v>19.62</v>
      </c>
      <c r="I2546" s="29">
        <f>Table1[[#This Row],[Total Revenue]]/$H$5056*100</f>
        <v>2.081598557352468E-3</v>
      </c>
      <c r="J2546" s="3" t="s">
        <v>15</v>
      </c>
      <c r="K2546" s="4">
        <v>8.6999999999999993</v>
      </c>
      <c r="M2546"/>
    </row>
    <row r="2547" spans="1:13" x14ac:dyDescent="0.25">
      <c r="A2547" s="3" t="s">
        <v>138</v>
      </c>
      <c r="B2547" s="3" t="s">
        <v>245</v>
      </c>
      <c r="C2547" s="3" t="s">
        <v>13</v>
      </c>
      <c r="D2547" s="3" t="s">
        <v>10</v>
      </c>
      <c r="E2547" s="5" t="s">
        <v>11</v>
      </c>
      <c r="F2547" s="17">
        <v>6.61</v>
      </c>
      <c r="G2547" s="3">
        <v>2</v>
      </c>
      <c r="H2547" s="17">
        <f>Table1[[#This Row],[Unit price]]*Table1[[#This Row],[Quantity]]</f>
        <v>13.22</v>
      </c>
      <c r="I2547" s="29">
        <f>Table1[[#This Row],[Total Revenue]]/$H$5056*100</f>
        <v>1.4025857761569636E-3</v>
      </c>
      <c r="J2547" s="3" t="s">
        <v>17</v>
      </c>
      <c r="K2547" s="4">
        <v>7.4</v>
      </c>
      <c r="M2547"/>
    </row>
    <row r="2548" spans="1:13" x14ac:dyDescent="0.25">
      <c r="A2548" s="3" t="s">
        <v>138</v>
      </c>
      <c r="B2548" s="3" t="s">
        <v>243</v>
      </c>
      <c r="C2548" s="3" t="s">
        <v>13</v>
      </c>
      <c r="D2548" s="3" t="s">
        <v>19</v>
      </c>
      <c r="E2548" s="5" t="s">
        <v>11</v>
      </c>
      <c r="F2548" s="17">
        <v>5.37</v>
      </c>
      <c r="G2548" s="3">
        <v>2</v>
      </c>
      <c r="H2548" s="17">
        <f>Table1[[#This Row],[Unit price]]*Table1[[#This Row],[Quantity]]</f>
        <v>10.74</v>
      </c>
      <c r="I2548" s="29">
        <f>Table1[[#This Row],[Total Revenue]]/$H$5056*100</f>
        <v>1.1394683234437057E-3</v>
      </c>
      <c r="J2548" s="3" t="s">
        <v>17</v>
      </c>
      <c r="K2548" s="4">
        <v>7.8</v>
      </c>
      <c r="M2548"/>
    </row>
    <row r="2549" spans="1:13" x14ac:dyDescent="0.25">
      <c r="A2549" s="3" t="s">
        <v>138</v>
      </c>
      <c r="B2549" s="3" t="s">
        <v>243</v>
      </c>
      <c r="C2549" s="3" t="s">
        <v>13</v>
      </c>
      <c r="D2549" s="3" t="s">
        <v>19</v>
      </c>
      <c r="E2549" s="5" t="s">
        <v>16</v>
      </c>
      <c r="F2549" s="17">
        <v>69.459999999999994</v>
      </c>
      <c r="G2549" s="3">
        <v>3</v>
      </c>
      <c r="H2549" s="17">
        <f>Table1[[#This Row],[Unit price]]*Table1[[#This Row],[Quantity]]</f>
        <v>208.38</v>
      </c>
      <c r="I2549" s="29">
        <f>Table1[[#This Row],[Total Revenue]]/$H$5056*100</f>
        <v>2.2108231772737373E-2</v>
      </c>
      <c r="J2549" s="3" t="s">
        <v>15</v>
      </c>
      <c r="K2549" s="4">
        <v>6.7</v>
      </c>
      <c r="M2549"/>
    </row>
    <row r="2550" spans="1:13" x14ac:dyDescent="0.25">
      <c r="A2550" s="3" t="s">
        <v>139</v>
      </c>
      <c r="B2550" s="3" t="s">
        <v>243</v>
      </c>
      <c r="C2550" s="3" t="s">
        <v>13</v>
      </c>
      <c r="D2550" s="3" t="s">
        <v>19</v>
      </c>
      <c r="E2550" s="5" t="s">
        <v>11</v>
      </c>
      <c r="F2550" s="17">
        <v>5.98</v>
      </c>
      <c r="G2550" s="3">
        <v>3</v>
      </c>
      <c r="H2550" s="17">
        <f>Table1[[#This Row],[Unit price]]*Table1[[#This Row],[Quantity]]</f>
        <v>17.940000000000001</v>
      </c>
      <c r="I2550" s="29">
        <f>Table1[[#This Row],[Total Revenue]]/$H$5056*100</f>
        <v>1.9033577022886483E-3</v>
      </c>
      <c r="J2550" s="3" t="s">
        <v>15</v>
      </c>
      <c r="K2550" s="4">
        <v>7.5</v>
      </c>
      <c r="M2550"/>
    </row>
    <row r="2551" spans="1:13" x14ac:dyDescent="0.25">
      <c r="A2551" s="3" t="s">
        <v>139</v>
      </c>
      <c r="B2551" s="3" t="s">
        <v>244</v>
      </c>
      <c r="C2551" s="3" t="s">
        <v>13</v>
      </c>
      <c r="D2551" s="3" t="s">
        <v>10</v>
      </c>
      <c r="E2551" s="5" t="s">
        <v>18</v>
      </c>
      <c r="F2551" s="17">
        <v>15.16</v>
      </c>
      <c r="G2551" s="3">
        <v>3</v>
      </c>
      <c r="H2551" s="17">
        <f>Table1[[#This Row],[Unit price]]*Table1[[#This Row],[Quantity]]</f>
        <v>45.480000000000004</v>
      </c>
      <c r="I2551" s="29">
        <f>Table1[[#This Row],[Total Revenue]]/$H$5056*100</f>
        <v>4.8252345763705531E-3</v>
      </c>
      <c r="J2551" s="3" t="s">
        <v>17</v>
      </c>
      <c r="K2551" s="4">
        <v>7.1</v>
      </c>
      <c r="M2551"/>
    </row>
    <row r="2552" spans="1:13" x14ac:dyDescent="0.25">
      <c r="A2552" s="3" t="s">
        <v>139</v>
      </c>
      <c r="B2552" s="3" t="s">
        <v>243</v>
      </c>
      <c r="C2552" s="3" t="s">
        <v>13</v>
      </c>
      <c r="D2552" s="3" t="s">
        <v>10</v>
      </c>
      <c r="E2552" s="5" t="s">
        <v>21</v>
      </c>
      <c r="F2552" s="17">
        <v>28.58</v>
      </c>
      <c r="G2552" s="3">
        <v>4</v>
      </c>
      <c r="H2552" s="17">
        <f>Table1[[#This Row],[Unit price]]*Table1[[#This Row],[Quantity]]</f>
        <v>114.32</v>
      </c>
      <c r="I2552" s="29">
        <f>Table1[[#This Row],[Total Revenue]]/$H$5056*100</f>
        <v>1.2128865804104695E-2</v>
      </c>
      <c r="J2552" s="3" t="s">
        <v>12</v>
      </c>
      <c r="K2552" s="4">
        <v>6.4</v>
      </c>
      <c r="M2552"/>
    </row>
    <row r="2553" spans="1:13" x14ac:dyDescent="0.25">
      <c r="A2553" s="3" t="s">
        <v>139</v>
      </c>
      <c r="B2553" s="3" t="s">
        <v>243</v>
      </c>
      <c r="C2553" s="3" t="s">
        <v>13</v>
      </c>
      <c r="D2553" s="3" t="s">
        <v>19</v>
      </c>
      <c r="E2553" s="5" t="s">
        <v>11</v>
      </c>
      <c r="F2553" s="17">
        <v>6.18</v>
      </c>
      <c r="G2553" s="3">
        <v>1</v>
      </c>
      <c r="H2553" s="17">
        <f>Table1[[#This Row],[Unit price]]*Table1[[#This Row],[Quantity]]</f>
        <v>6.18</v>
      </c>
      <c r="I2553" s="29">
        <f>Table1[[#This Row],[Total Revenue]]/$H$5056*100</f>
        <v>6.5567171684190889E-4</v>
      </c>
      <c r="J2553" s="3" t="s">
        <v>15</v>
      </c>
      <c r="K2553" s="4">
        <v>6.8</v>
      </c>
      <c r="M2553"/>
    </row>
    <row r="2554" spans="1:13" x14ac:dyDescent="0.25">
      <c r="A2554" s="3" t="s">
        <v>139</v>
      </c>
      <c r="B2554" s="3" t="s">
        <v>245</v>
      </c>
      <c r="C2554" s="3" t="s">
        <v>9</v>
      </c>
      <c r="D2554" s="3" t="s">
        <v>19</v>
      </c>
      <c r="E2554" s="5" t="s">
        <v>11</v>
      </c>
      <c r="F2554" s="17">
        <v>7.14</v>
      </c>
      <c r="G2554" s="3">
        <v>6</v>
      </c>
      <c r="H2554" s="17">
        <f>Table1[[#This Row],[Unit price]]*Table1[[#This Row],[Quantity]]</f>
        <v>42.839999999999996</v>
      </c>
      <c r="I2554" s="29">
        <f>Table1[[#This Row],[Total Revenue]]/$H$5056*100</f>
        <v>4.5451418041274061E-3</v>
      </c>
      <c r="J2554" s="3" t="s">
        <v>12</v>
      </c>
      <c r="K2554" s="4">
        <v>6.8</v>
      </c>
      <c r="M2554"/>
    </row>
    <row r="2555" spans="1:13" x14ac:dyDescent="0.25">
      <c r="A2555" s="3" t="s">
        <v>139</v>
      </c>
      <c r="B2555" s="3" t="s">
        <v>244</v>
      </c>
      <c r="C2555" s="3" t="s">
        <v>13</v>
      </c>
      <c r="D2555" s="3" t="s">
        <v>19</v>
      </c>
      <c r="E2555" s="5" t="s">
        <v>21</v>
      </c>
      <c r="F2555" s="17">
        <v>23.92</v>
      </c>
      <c r="G2555" s="3">
        <v>3</v>
      </c>
      <c r="H2555" s="17">
        <f>Table1[[#This Row],[Unit price]]*Table1[[#This Row],[Quantity]]</f>
        <v>71.760000000000005</v>
      </c>
      <c r="I2555" s="29">
        <f>Table1[[#This Row],[Total Revenue]]/$H$5056*100</f>
        <v>7.6134308091545932E-3</v>
      </c>
      <c r="J2555" s="3" t="s">
        <v>15</v>
      </c>
      <c r="K2555" s="4">
        <v>8.8000000000000007</v>
      </c>
      <c r="M2555"/>
    </row>
    <row r="2556" spans="1:13" x14ac:dyDescent="0.25">
      <c r="A2556" s="3" t="s">
        <v>139</v>
      </c>
      <c r="B2556" s="3" t="s">
        <v>243</v>
      </c>
      <c r="C2556" s="3" t="s">
        <v>13</v>
      </c>
      <c r="D2556" s="3" t="s">
        <v>19</v>
      </c>
      <c r="E2556" s="5" t="s">
        <v>11</v>
      </c>
      <c r="F2556" s="17">
        <v>5.53</v>
      </c>
      <c r="G2556" s="3">
        <v>3</v>
      </c>
      <c r="H2556" s="17">
        <f>Table1[[#This Row],[Unit price]]*Table1[[#This Row],[Quantity]]</f>
        <v>16.59</v>
      </c>
      <c r="I2556" s="29">
        <f>Table1[[#This Row],[Total Revenue]]/$H$5056*100</f>
        <v>1.7601284437552213E-3</v>
      </c>
      <c r="J2556" s="3" t="s">
        <v>15</v>
      </c>
      <c r="K2556" s="4">
        <v>5.5</v>
      </c>
      <c r="M2556"/>
    </row>
    <row r="2557" spans="1:13" x14ac:dyDescent="0.25">
      <c r="A2557" s="3" t="s">
        <v>139</v>
      </c>
      <c r="B2557" s="3" t="s">
        <v>245</v>
      </c>
      <c r="C2557" s="3" t="s">
        <v>13</v>
      </c>
      <c r="D2557" s="3" t="s">
        <v>10</v>
      </c>
      <c r="E2557" s="5" t="s">
        <v>11</v>
      </c>
      <c r="F2557" s="17">
        <v>3.55</v>
      </c>
      <c r="G2557" s="3">
        <v>1</v>
      </c>
      <c r="H2557" s="17">
        <f>Table1[[#This Row],[Unit price]]*Table1[[#This Row],[Quantity]]</f>
        <v>3.55</v>
      </c>
      <c r="I2557" s="29">
        <f>Table1[[#This Row],[Total Revenue]]/$H$5056*100</f>
        <v>3.7663990206938128E-4</v>
      </c>
      <c r="J2557" s="3" t="s">
        <v>12</v>
      </c>
      <c r="K2557" s="4">
        <v>7.3</v>
      </c>
      <c r="M2557"/>
    </row>
    <row r="2558" spans="1:13" x14ac:dyDescent="0.25">
      <c r="A2558" s="3" t="s">
        <v>139</v>
      </c>
      <c r="B2558" s="3" t="s">
        <v>243</v>
      </c>
      <c r="C2558" s="3" t="s">
        <v>13</v>
      </c>
      <c r="D2558" s="3" t="s">
        <v>19</v>
      </c>
      <c r="E2558" s="5" t="s">
        <v>11</v>
      </c>
      <c r="F2558" s="17">
        <v>6.1</v>
      </c>
      <c r="G2558" s="3">
        <v>1</v>
      </c>
      <c r="H2558" s="17">
        <f>Table1[[#This Row],[Unit price]]*Table1[[#This Row],[Quantity]]</f>
        <v>6.1</v>
      </c>
      <c r="I2558" s="29">
        <f>Table1[[#This Row],[Total Revenue]]/$H$5056*100</f>
        <v>6.4718405707696509E-4</v>
      </c>
      <c r="J2558" s="3" t="s">
        <v>15</v>
      </c>
      <c r="K2558" s="4">
        <v>7.2</v>
      </c>
      <c r="M2558"/>
    </row>
    <row r="2559" spans="1:13" x14ac:dyDescent="0.25">
      <c r="A2559" s="3" t="s">
        <v>140</v>
      </c>
      <c r="B2559" s="3" t="s">
        <v>244</v>
      </c>
      <c r="C2559" s="3" t="s">
        <v>13</v>
      </c>
      <c r="D2559" s="3" t="s">
        <v>19</v>
      </c>
      <c r="E2559" s="5" t="s">
        <v>21</v>
      </c>
      <c r="F2559" s="17">
        <v>24.15</v>
      </c>
      <c r="G2559" s="3">
        <v>2</v>
      </c>
      <c r="H2559" s="17">
        <f>Table1[[#This Row],[Unit price]]*Table1[[#This Row],[Quantity]]</f>
        <v>48.3</v>
      </c>
      <c r="I2559" s="29">
        <f>Table1[[#This Row],[Total Revenue]]/$H$5056*100</f>
        <v>5.1244245830848216E-3</v>
      </c>
      <c r="J2559" s="3" t="s">
        <v>12</v>
      </c>
      <c r="K2559" s="4">
        <v>8.1</v>
      </c>
      <c r="M2559"/>
    </row>
    <row r="2560" spans="1:13" x14ac:dyDescent="0.25">
      <c r="A2560" s="3" t="s">
        <v>140</v>
      </c>
      <c r="B2560" s="3" t="s">
        <v>244</v>
      </c>
      <c r="C2560" s="3" t="s">
        <v>13</v>
      </c>
      <c r="D2560" s="3" t="s">
        <v>10</v>
      </c>
      <c r="E2560" s="5" t="s">
        <v>18</v>
      </c>
      <c r="F2560" s="17">
        <v>12.93</v>
      </c>
      <c r="G2560" s="3">
        <v>1</v>
      </c>
      <c r="H2560" s="17">
        <f>Table1[[#This Row],[Unit price]]*Table1[[#This Row],[Quantity]]</f>
        <v>12.93</v>
      </c>
      <c r="I2560" s="29">
        <f>Table1[[#This Row],[Total Revenue]]/$H$5056*100</f>
        <v>1.3718180095090423E-3</v>
      </c>
      <c r="J2560" s="3" t="s">
        <v>17</v>
      </c>
      <c r="K2560" s="4">
        <v>8.3000000000000007</v>
      </c>
      <c r="M2560"/>
    </row>
    <row r="2561" spans="1:13" x14ac:dyDescent="0.25">
      <c r="A2561" s="3" t="s">
        <v>140</v>
      </c>
      <c r="B2561" s="3" t="s">
        <v>243</v>
      </c>
      <c r="C2561" s="3" t="s">
        <v>13</v>
      </c>
      <c r="D2561" s="3" t="s">
        <v>10</v>
      </c>
      <c r="E2561" s="5" t="s">
        <v>11</v>
      </c>
      <c r="F2561" s="17">
        <v>2.5</v>
      </c>
      <c r="G2561" s="3">
        <v>3</v>
      </c>
      <c r="H2561" s="17">
        <f>Table1[[#This Row],[Unit price]]*Table1[[#This Row],[Quantity]]</f>
        <v>7.5</v>
      </c>
      <c r="I2561" s="29">
        <f>Table1[[#This Row],[Total Revenue]]/$H$5056*100</f>
        <v>7.9571810296348165E-4</v>
      </c>
      <c r="J2561" s="3" t="s">
        <v>15</v>
      </c>
      <c r="K2561" s="4">
        <v>6.6</v>
      </c>
      <c r="M2561"/>
    </row>
    <row r="2562" spans="1:13" x14ac:dyDescent="0.25">
      <c r="A2562" s="3" t="s">
        <v>140</v>
      </c>
      <c r="B2562" s="3" t="s">
        <v>243</v>
      </c>
      <c r="C2562" s="3" t="s">
        <v>13</v>
      </c>
      <c r="D2562" s="3" t="s">
        <v>19</v>
      </c>
      <c r="E2562" s="5" t="s">
        <v>21</v>
      </c>
      <c r="F2562" s="17">
        <v>32.65</v>
      </c>
      <c r="G2562" s="3">
        <v>3</v>
      </c>
      <c r="H2562" s="17">
        <f>Table1[[#This Row],[Unit price]]*Table1[[#This Row],[Quantity]]</f>
        <v>97.949999999999989</v>
      </c>
      <c r="I2562" s="29">
        <f>Table1[[#This Row],[Total Revenue]]/$H$5056*100</f>
        <v>1.0392078424703069E-2</v>
      </c>
      <c r="J2562" s="3" t="s">
        <v>15</v>
      </c>
      <c r="K2562" s="4">
        <v>4.8</v>
      </c>
      <c r="M2562"/>
    </row>
    <row r="2563" spans="1:13" x14ac:dyDescent="0.25">
      <c r="A2563" s="3" t="s">
        <v>140</v>
      </c>
      <c r="B2563" s="3" t="s">
        <v>244</v>
      </c>
      <c r="C2563" s="3" t="s">
        <v>13</v>
      </c>
      <c r="D2563" s="3" t="s">
        <v>19</v>
      </c>
      <c r="E2563" s="5" t="s">
        <v>11</v>
      </c>
      <c r="F2563" s="17">
        <v>5.1100000000000003</v>
      </c>
      <c r="G2563" s="3">
        <v>2</v>
      </c>
      <c r="H2563" s="17">
        <f>Table1[[#This Row],[Unit price]]*Table1[[#This Row],[Quantity]]</f>
        <v>10.220000000000001</v>
      </c>
      <c r="I2563" s="29">
        <f>Table1[[#This Row],[Total Revenue]]/$H$5056*100</f>
        <v>1.0842985349715712E-3</v>
      </c>
      <c r="J2563" s="3" t="s">
        <v>15</v>
      </c>
      <c r="K2563" s="4">
        <v>8.6</v>
      </c>
      <c r="M2563"/>
    </row>
    <row r="2564" spans="1:13" x14ac:dyDescent="0.25">
      <c r="A2564" s="3" t="s">
        <v>140</v>
      </c>
      <c r="B2564" s="3" t="s">
        <v>243</v>
      </c>
      <c r="C2564" s="3" t="s">
        <v>13</v>
      </c>
      <c r="D2564" s="3" t="s">
        <v>10</v>
      </c>
      <c r="E2564" s="5" t="s">
        <v>16</v>
      </c>
      <c r="F2564" s="17">
        <v>71.900000000000006</v>
      </c>
      <c r="G2564" s="3">
        <v>1</v>
      </c>
      <c r="H2564" s="17">
        <f>Table1[[#This Row],[Unit price]]*Table1[[#This Row],[Quantity]]</f>
        <v>71.900000000000006</v>
      </c>
      <c r="I2564" s="29">
        <f>Table1[[#This Row],[Total Revenue]]/$H$5056*100</f>
        <v>7.6282842137432444E-3</v>
      </c>
      <c r="J2564" s="3" t="s">
        <v>17</v>
      </c>
      <c r="K2564" s="4">
        <v>7.4</v>
      </c>
      <c r="M2564"/>
    </row>
    <row r="2565" spans="1:13" x14ac:dyDescent="0.25">
      <c r="A2565" s="3" t="s">
        <v>140</v>
      </c>
      <c r="B2565" s="3" t="s">
        <v>245</v>
      </c>
      <c r="C2565" s="3" t="s">
        <v>13</v>
      </c>
      <c r="D2565" s="3" t="s">
        <v>19</v>
      </c>
      <c r="E2565" s="5" t="s">
        <v>11</v>
      </c>
      <c r="F2565" s="17">
        <v>6.2</v>
      </c>
      <c r="G2565" s="3">
        <v>3</v>
      </c>
      <c r="H2565" s="17">
        <f>Table1[[#This Row],[Unit price]]*Table1[[#This Row],[Quantity]]</f>
        <v>18.600000000000001</v>
      </c>
      <c r="I2565" s="29">
        <f>Table1[[#This Row],[Total Revenue]]/$H$5056*100</f>
        <v>1.9733808953494346E-3</v>
      </c>
      <c r="J2565" s="3" t="s">
        <v>15</v>
      </c>
      <c r="K2565" s="4">
        <v>7.6</v>
      </c>
      <c r="M2565"/>
    </row>
    <row r="2566" spans="1:13" x14ac:dyDescent="0.25">
      <c r="A2566" s="3" t="s">
        <v>140</v>
      </c>
      <c r="B2566" s="3" t="s">
        <v>243</v>
      </c>
      <c r="C2566" s="3" t="s">
        <v>13</v>
      </c>
      <c r="D2566" s="3" t="s">
        <v>10</v>
      </c>
      <c r="E2566" s="5" t="s">
        <v>21</v>
      </c>
      <c r="F2566" s="17">
        <v>31.26</v>
      </c>
      <c r="G2566" s="3">
        <v>4</v>
      </c>
      <c r="H2566" s="17">
        <f>Table1[[#This Row],[Unit price]]*Table1[[#This Row],[Quantity]]</f>
        <v>125.04</v>
      </c>
      <c r="I2566" s="29">
        <f>Table1[[#This Row],[Total Revenue]]/$H$5056*100</f>
        <v>1.3266212212607167E-2</v>
      </c>
      <c r="J2566" s="3" t="s">
        <v>12</v>
      </c>
      <c r="K2566" s="4">
        <v>7.6</v>
      </c>
      <c r="M2566"/>
    </row>
    <row r="2567" spans="1:13" x14ac:dyDescent="0.25">
      <c r="A2567" s="3" t="s">
        <v>140</v>
      </c>
      <c r="B2567" s="3" t="s">
        <v>245</v>
      </c>
      <c r="C2567" s="3" t="s">
        <v>13</v>
      </c>
      <c r="D2567" s="3" t="s">
        <v>10</v>
      </c>
      <c r="E2567" s="5" t="s">
        <v>11</v>
      </c>
      <c r="F2567" s="17">
        <v>6.08</v>
      </c>
      <c r="G2567" s="3">
        <v>3</v>
      </c>
      <c r="H2567" s="17">
        <f>Table1[[#This Row],[Unit price]]*Table1[[#This Row],[Quantity]]</f>
        <v>18.240000000000002</v>
      </c>
      <c r="I2567" s="29">
        <f>Table1[[#This Row],[Total Revenue]]/$H$5056*100</f>
        <v>1.9351864264071875E-3</v>
      </c>
      <c r="J2567" s="3" t="s">
        <v>12</v>
      </c>
      <c r="K2567" s="4">
        <v>8.6</v>
      </c>
      <c r="M2567"/>
    </row>
    <row r="2568" spans="1:13" x14ac:dyDescent="0.25">
      <c r="A2568" s="3" t="s">
        <v>140</v>
      </c>
      <c r="B2568" s="3" t="s">
        <v>243</v>
      </c>
      <c r="C2568" s="3" t="s">
        <v>13</v>
      </c>
      <c r="D2568" s="3" t="s">
        <v>10</v>
      </c>
      <c r="E2568" s="5" t="s">
        <v>21</v>
      </c>
      <c r="F2568" s="17">
        <v>25.68</v>
      </c>
      <c r="G2568" s="3">
        <v>2</v>
      </c>
      <c r="H2568" s="17">
        <f>Table1[[#This Row],[Unit price]]*Table1[[#This Row],[Quantity]]</f>
        <v>51.36</v>
      </c>
      <c r="I2568" s="29">
        <f>Table1[[#This Row],[Total Revenue]]/$H$5056*100</f>
        <v>5.4490775690939222E-3</v>
      </c>
      <c r="J2568" s="3" t="s">
        <v>15</v>
      </c>
      <c r="K2568" s="4">
        <v>6.7</v>
      </c>
      <c r="M2568"/>
    </row>
    <row r="2569" spans="1:13" x14ac:dyDescent="0.25">
      <c r="A2569" s="3" t="s">
        <v>140</v>
      </c>
      <c r="B2569" s="3" t="s">
        <v>243</v>
      </c>
      <c r="C2569" s="3" t="s">
        <v>13</v>
      </c>
      <c r="D2569" s="3" t="s">
        <v>19</v>
      </c>
      <c r="E2569" s="5" t="s">
        <v>21</v>
      </c>
      <c r="F2569" s="17">
        <v>27.81</v>
      </c>
      <c r="G2569" s="3">
        <v>4</v>
      </c>
      <c r="H2569" s="17">
        <f>Table1[[#This Row],[Unit price]]*Table1[[#This Row],[Quantity]]</f>
        <v>111.24</v>
      </c>
      <c r="I2569" s="29">
        <f>Table1[[#This Row],[Total Revenue]]/$H$5056*100</f>
        <v>1.180209090315436E-2</v>
      </c>
      <c r="J2569" s="3" t="s">
        <v>12</v>
      </c>
      <c r="K2569" s="4">
        <v>7.8</v>
      </c>
      <c r="M2569"/>
    </row>
    <row r="2570" spans="1:13" x14ac:dyDescent="0.25">
      <c r="A2570" s="3" t="s">
        <v>140</v>
      </c>
      <c r="B2570" s="3" t="s">
        <v>244</v>
      </c>
      <c r="C2570" s="3" t="s">
        <v>9</v>
      </c>
      <c r="D2570" s="3" t="s">
        <v>19</v>
      </c>
      <c r="E2570" s="5" t="s">
        <v>21</v>
      </c>
      <c r="F2570" s="17">
        <v>20.39</v>
      </c>
      <c r="G2570" s="3">
        <v>3</v>
      </c>
      <c r="H2570" s="17">
        <f>Table1[[#This Row],[Unit price]]*Table1[[#This Row],[Quantity]]</f>
        <v>61.17</v>
      </c>
      <c r="I2570" s="29">
        <f>Table1[[#This Row],[Total Revenue]]/$H$5056*100</f>
        <v>6.4898768477701556E-3</v>
      </c>
      <c r="J2570" s="3" t="s">
        <v>17</v>
      </c>
      <c r="K2570" s="4">
        <v>7.1</v>
      </c>
      <c r="M2570"/>
    </row>
    <row r="2571" spans="1:13" x14ac:dyDescent="0.25">
      <c r="A2571" s="3" t="s">
        <v>140</v>
      </c>
      <c r="B2571" s="3" t="s">
        <v>243</v>
      </c>
      <c r="C2571" s="3" t="s">
        <v>13</v>
      </c>
      <c r="D2571" s="3" t="s">
        <v>10</v>
      </c>
      <c r="E2571" s="5" t="s">
        <v>21</v>
      </c>
      <c r="F2571" s="17">
        <v>35.090000000000003</v>
      </c>
      <c r="G2571" s="3">
        <v>3</v>
      </c>
      <c r="H2571" s="17">
        <f>Table1[[#This Row],[Unit price]]*Table1[[#This Row],[Quantity]]</f>
        <v>105.27000000000001</v>
      </c>
      <c r="I2571" s="29">
        <f>Table1[[#This Row],[Total Revenue]]/$H$5056*100</f>
        <v>1.116869929319543E-2</v>
      </c>
      <c r="J2571" s="3" t="s">
        <v>12</v>
      </c>
      <c r="K2571" s="4">
        <v>8.6</v>
      </c>
      <c r="M2571"/>
    </row>
    <row r="2572" spans="1:13" x14ac:dyDescent="0.25">
      <c r="A2572" s="3" t="s">
        <v>140</v>
      </c>
      <c r="B2572" s="3" t="s">
        <v>244</v>
      </c>
      <c r="C2572" s="3" t="s">
        <v>9</v>
      </c>
      <c r="D2572" s="3" t="s">
        <v>10</v>
      </c>
      <c r="E2572" s="5" t="s">
        <v>18</v>
      </c>
      <c r="F2572" s="17">
        <v>7.16</v>
      </c>
      <c r="G2572" s="3">
        <v>2</v>
      </c>
      <c r="H2572" s="17">
        <f>Table1[[#This Row],[Unit price]]*Table1[[#This Row],[Quantity]]</f>
        <v>14.32</v>
      </c>
      <c r="I2572" s="29">
        <f>Table1[[#This Row],[Total Revenue]]/$H$5056*100</f>
        <v>1.519291097924941E-3</v>
      </c>
      <c r="J2572" s="3" t="s">
        <v>15</v>
      </c>
      <c r="K2572" s="4">
        <v>4.5999999999999996</v>
      </c>
      <c r="M2572"/>
    </row>
    <row r="2573" spans="1:13" x14ac:dyDescent="0.25">
      <c r="A2573" s="3" t="s">
        <v>140</v>
      </c>
      <c r="B2573" s="3" t="s">
        <v>244</v>
      </c>
      <c r="C2573" s="3" t="s">
        <v>13</v>
      </c>
      <c r="D2573" s="3" t="s">
        <v>10</v>
      </c>
      <c r="E2573" s="5" t="s">
        <v>11</v>
      </c>
      <c r="F2573" s="17">
        <v>6.69</v>
      </c>
      <c r="G2573" s="3">
        <v>5</v>
      </c>
      <c r="H2573" s="17">
        <f>Table1[[#This Row],[Unit price]]*Table1[[#This Row],[Quantity]]</f>
        <v>33.450000000000003</v>
      </c>
      <c r="I2573" s="29">
        <f>Table1[[#This Row],[Total Revenue]]/$H$5056*100</f>
        <v>3.5489027392171285E-3</v>
      </c>
      <c r="J2573" s="3" t="s">
        <v>15</v>
      </c>
      <c r="K2573" s="4">
        <v>7</v>
      </c>
      <c r="M2573"/>
    </row>
    <row r="2574" spans="1:13" x14ac:dyDescent="0.25">
      <c r="A2574" s="3" t="s">
        <v>140</v>
      </c>
      <c r="B2574" s="3" t="s">
        <v>244</v>
      </c>
      <c r="C2574" s="3" t="s">
        <v>9</v>
      </c>
      <c r="D2574" s="3" t="s">
        <v>10</v>
      </c>
      <c r="E2574" s="5" t="s">
        <v>11</v>
      </c>
      <c r="F2574" s="17">
        <v>7.18</v>
      </c>
      <c r="G2574" s="3">
        <v>2</v>
      </c>
      <c r="H2574" s="17">
        <f>Table1[[#This Row],[Unit price]]*Table1[[#This Row],[Quantity]]</f>
        <v>14.36</v>
      </c>
      <c r="I2574" s="29">
        <f>Table1[[#This Row],[Total Revenue]]/$H$5056*100</f>
        <v>1.5235349278074129E-3</v>
      </c>
      <c r="J2574" s="3" t="s">
        <v>17</v>
      </c>
      <c r="K2574" s="4">
        <v>7.6</v>
      </c>
      <c r="M2574"/>
    </row>
    <row r="2575" spans="1:13" x14ac:dyDescent="0.25">
      <c r="A2575" s="3" t="s">
        <v>140</v>
      </c>
      <c r="B2575" s="3" t="s">
        <v>245</v>
      </c>
      <c r="C2575" s="3" t="s">
        <v>13</v>
      </c>
      <c r="D2575" s="3" t="s">
        <v>19</v>
      </c>
      <c r="E2575" s="5" t="s">
        <v>11</v>
      </c>
      <c r="F2575" s="17">
        <v>7.26</v>
      </c>
      <c r="G2575" s="3">
        <v>2</v>
      </c>
      <c r="H2575" s="17">
        <f>Table1[[#This Row],[Unit price]]*Table1[[#This Row],[Quantity]]</f>
        <v>14.52</v>
      </c>
      <c r="I2575" s="29">
        <f>Table1[[#This Row],[Total Revenue]]/$H$5056*100</f>
        <v>1.5405102473373003E-3</v>
      </c>
      <c r="J2575" s="3" t="s">
        <v>17</v>
      </c>
      <c r="K2575" s="4">
        <v>5.9</v>
      </c>
      <c r="M2575"/>
    </row>
    <row r="2576" spans="1:13" x14ac:dyDescent="0.25">
      <c r="A2576" s="3" t="s">
        <v>140</v>
      </c>
      <c r="B2576" s="3" t="s">
        <v>244</v>
      </c>
      <c r="C2576" s="3" t="s">
        <v>13</v>
      </c>
      <c r="D2576" s="3" t="s">
        <v>10</v>
      </c>
      <c r="E2576" s="5" t="s">
        <v>11</v>
      </c>
      <c r="F2576" s="17">
        <v>2.66</v>
      </c>
      <c r="G2576" s="3">
        <v>4</v>
      </c>
      <c r="H2576" s="17">
        <f>Table1[[#This Row],[Unit price]]*Table1[[#This Row],[Quantity]]</f>
        <v>10.64</v>
      </c>
      <c r="I2576" s="29">
        <f>Table1[[#This Row],[Total Revenue]]/$H$5056*100</f>
        <v>1.1288587487375259E-3</v>
      </c>
      <c r="J2576" s="3" t="s">
        <v>15</v>
      </c>
      <c r="K2576" s="4">
        <v>9.6</v>
      </c>
      <c r="M2576"/>
    </row>
    <row r="2577" spans="1:13" x14ac:dyDescent="0.25">
      <c r="A2577" s="3" t="s">
        <v>141</v>
      </c>
      <c r="B2577" s="3" t="s">
        <v>245</v>
      </c>
      <c r="C2577" s="3" t="s">
        <v>13</v>
      </c>
      <c r="D2577" s="3" t="s">
        <v>10</v>
      </c>
      <c r="E2577" s="5" t="s">
        <v>11</v>
      </c>
      <c r="F2577" s="17">
        <v>6.54</v>
      </c>
      <c r="G2577" s="3">
        <v>5</v>
      </c>
      <c r="H2577" s="17">
        <f>Table1[[#This Row],[Unit price]]*Table1[[#This Row],[Quantity]]</f>
        <v>32.700000000000003</v>
      </c>
      <c r="I2577" s="29">
        <f>Table1[[#This Row],[Total Revenue]]/$H$5056*100</f>
        <v>3.4693309289207806E-3</v>
      </c>
      <c r="J2577" s="3" t="s">
        <v>15</v>
      </c>
      <c r="K2577" s="4">
        <v>8.4</v>
      </c>
      <c r="M2577"/>
    </row>
    <row r="2578" spans="1:13" x14ac:dyDescent="0.25">
      <c r="A2578" s="3" t="s">
        <v>141</v>
      </c>
      <c r="B2578" s="3" t="s">
        <v>243</v>
      </c>
      <c r="C2578" s="3" t="s">
        <v>13</v>
      </c>
      <c r="D2578" s="3" t="s">
        <v>19</v>
      </c>
      <c r="E2578" s="5" t="s">
        <v>11</v>
      </c>
      <c r="F2578" s="17">
        <v>6.36</v>
      </c>
      <c r="G2578" s="3">
        <v>4</v>
      </c>
      <c r="H2578" s="17">
        <f>Table1[[#This Row],[Unit price]]*Table1[[#This Row],[Quantity]]</f>
        <v>25.44</v>
      </c>
      <c r="I2578" s="29">
        <f>Table1[[#This Row],[Total Revenue]]/$H$5056*100</f>
        <v>2.6990758052521297E-3</v>
      </c>
      <c r="J2578" s="3" t="s">
        <v>12</v>
      </c>
      <c r="K2578" s="4">
        <v>6.9</v>
      </c>
      <c r="M2578"/>
    </row>
    <row r="2579" spans="1:13" x14ac:dyDescent="0.25">
      <c r="A2579" s="3" t="s">
        <v>141</v>
      </c>
      <c r="B2579" s="3" t="s">
        <v>243</v>
      </c>
      <c r="C2579" s="3" t="s">
        <v>13</v>
      </c>
      <c r="D2579" s="3" t="s">
        <v>10</v>
      </c>
      <c r="E2579" s="5" t="s">
        <v>11</v>
      </c>
      <c r="F2579" s="17">
        <v>7.35</v>
      </c>
      <c r="G2579" s="3">
        <v>4</v>
      </c>
      <c r="H2579" s="17">
        <f>Table1[[#This Row],[Unit price]]*Table1[[#This Row],[Quantity]]</f>
        <v>29.4</v>
      </c>
      <c r="I2579" s="29">
        <f>Table1[[#This Row],[Total Revenue]]/$H$5056*100</f>
        <v>3.1192149636168481E-3</v>
      </c>
      <c r="J2579" s="3" t="s">
        <v>15</v>
      </c>
      <c r="K2579" s="4">
        <v>7</v>
      </c>
      <c r="M2579"/>
    </row>
    <row r="2580" spans="1:13" x14ac:dyDescent="0.25">
      <c r="A2580" s="3" t="s">
        <v>141</v>
      </c>
      <c r="B2580" s="3" t="s">
        <v>243</v>
      </c>
      <c r="C2580" s="3" t="s">
        <v>9</v>
      </c>
      <c r="D2580" s="3" t="s">
        <v>10</v>
      </c>
      <c r="E2580" s="5" t="s">
        <v>20</v>
      </c>
      <c r="F2580" s="17">
        <v>50.65</v>
      </c>
      <c r="G2580" s="3">
        <v>5</v>
      </c>
      <c r="H2580" s="17">
        <f>Table1[[#This Row],[Unit price]]*Table1[[#This Row],[Quantity]]</f>
        <v>253.25</v>
      </c>
      <c r="I2580" s="29">
        <f>Table1[[#This Row],[Total Revenue]]/$H$5056*100</f>
        <v>2.6868747943400231E-2</v>
      </c>
      <c r="J2580" s="3" t="s">
        <v>12</v>
      </c>
      <c r="K2580" s="4">
        <v>6.3</v>
      </c>
      <c r="M2580"/>
    </row>
    <row r="2581" spans="1:13" x14ac:dyDescent="0.25">
      <c r="A2581" s="3" t="s">
        <v>141</v>
      </c>
      <c r="B2581" s="3" t="s">
        <v>245</v>
      </c>
      <c r="C2581" s="3" t="s">
        <v>9</v>
      </c>
      <c r="D2581" s="3" t="s">
        <v>10</v>
      </c>
      <c r="E2581" s="5" t="s">
        <v>11</v>
      </c>
      <c r="F2581" s="17">
        <v>5.54</v>
      </c>
      <c r="G2581" s="3">
        <v>6</v>
      </c>
      <c r="H2581" s="17">
        <f>Table1[[#This Row],[Unit price]]*Table1[[#This Row],[Quantity]]</f>
        <v>33.24</v>
      </c>
      <c r="I2581" s="29">
        <f>Table1[[#This Row],[Total Revenue]]/$H$5056*100</f>
        <v>3.5266226323341508E-3</v>
      </c>
      <c r="J2581" s="3" t="s">
        <v>17</v>
      </c>
      <c r="K2581" s="4">
        <v>7.4</v>
      </c>
      <c r="M2581"/>
    </row>
    <row r="2582" spans="1:13" x14ac:dyDescent="0.25">
      <c r="A2582" s="3" t="s">
        <v>141</v>
      </c>
      <c r="B2582" s="3" t="s">
        <v>243</v>
      </c>
      <c r="C2582" s="3" t="s">
        <v>9</v>
      </c>
      <c r="D2582" s="3" t="s">
        <v>19</v>
      </c>
      <c r="E2582" s="5" t="s">
        <v>14</v>
      </c>
      <c r="F2582" s="17">
        <v>87.26</v>
      </c>
      <c r="G2582" s="3">
        <v>1</v>
      </c>
      <c r="H2582" s="17">
        <f>Table1[[#This Row],[Unit price]]*Table1[[#This Row],[Quantity]]</f>
        <v>87.26</v>
      </c>
      <c r="I2582" s="29">
        <f>Table1[[#This Row],[Total Revenue]]/$H$5056*100</f>
        <v>9.2579148886124552E-3</v>
      </c>
      <c r="J2582" s="3" t="s">
        <v>15</v>
      </c>
      <c r="K2582" s="4">
        <v>5.6</v>
      </c>
      <c r="M2582"/>
    </row>
    <row r="2583" spans="1:13" x14ac:dyDescent="0.25">
      <c r="A2583" s="3" t="s">
        <v>141</v>
      </c>
      <c r="B2583" s="3" t="s">
        <v>243</v>
      </c>
      <c r="C2583" s="3" t="s">
        <v>13</v>
      </c>
      <c r="D2583" s="3" t="s">
        <v>10</v>
      </c>
      <c r="E2583" s="5" t="s">
        <v>11</v>
      </c>
      <c r="F2583" s="17">
        <v>7.17</v>
      </c>
      <c r="G2583" s="3">
        <v>4</v>
      </c>
      <c r="H2583" s="17">
        <f>Table1[[#This Row],[Unit price]]*Table1[[#This Row],[Quantity]]</f>
        <v>28.68</v>
      </c>
      <c r="I2583" s="29">
        <f>Table1[[#This Row],[Total Revenue]]/$H$5056*100</f>
        <v>3.042826025732354E-3</v>
      </c>
      <c r="J2583" s="3" t="s">
        <v>12</v>
      </c>
      <c r="K2583" s="4">
        <v>7.8</v>
      </c>
      <c r="M2583"/>
    </row>
    <row r="2584" spans="1:13" x14ac:dyDescent="0.25">
      <c r="A2584" s="3" t="s">
        <v>141</v>
      </c>
      <c r="B2584" s="3" t="s">
        <v>244</v>
      </c>
      <c r="C2584" s="3" t="s">
        <v>13</v>
      </c>
      <c r="D2584" s="3" t="s">
        <v>10</v>
      </c>
      <c r="E2584" s="5" t="s">
        <v>11</v>
      </c>
      <c r="F2584" s="17">
        <v>7.03</v>
      </c>
      <c r="G2584" s="3">
        <v>3</v>
      </c>
      <c r="H2584" s="17">
        <f>Table1[[#This Row],[Unit price]]*Table1[[#This Row],[Quantity]]</f>
        <v>21.09</v>
      </c>
      <c r="I2584" s="29">
        <f>Table1[[#This Row],[Total Revenue]]/$H$5056*100</f>
        <v>2.2375593055333105E-3</v>
      </c>
      <c r="J2584" s="3" t="s">
        <v>17</v>
      </c>
      <c r="K2584" s="4">
        <v>8.1999999999999993</v>
      </c>
      <c r="M2584"/>
    </row>
    <row r="2585" spans="1:13" x14ac:dyDescent="0.25">
      <c r="A2585" s="3" t="s">
        <v>141</v>
      </c>
      <c r="B2585" s="3" t="s">
        <v>243</v>
      </c>
      <c r="C2585" s="3" t="s">
        <v>13</v>
      </c>
      <c r="D2585" s="3" t="s">
        <v>10</v>
      </c>
      <c r="E2585" s="5" t="s">
        <v>21</v>
      </c>
      <c r="F2585" s="17">
        <v>35.270000000000003</v>
      </c>
      <c r="G2585" s="3">
        <v>1</v>
      </c>
      <c r="H2585" s="17">
        <f>Table1[[#This Row],[Unit price]]*Table1[[#This Row],[Quantity]]</f>
        <v>35.270000000000003</v>
      </c>
      <c r="I2585" s="29">
        <f>Table1[[#This Row],[Total Revenue]]/$H$5056*100</f>
        <v>3.7419969988696004E-3</v>
      </c>
      <c r="J2585" s="3" t="s">
        <v>17</v>
      </c>
      <c r="K2585" s="4">
        <v>6.6</v>
      </c>
      <c r="M2585"/>
    </row>
    <row r="2586" spans="1:13" x14ac:dyDescent="0.25">
      <c r="A2586" s="3" t="s">
        <v>142</v>
      </c>
      <c r="B2586" s="3" t="s">
        <v>245</v>
      </c>
      <c r="C2586" s="3" t="s">
        <v>9</v>
      </c>
      <c r="D2586" s="3" t="s">
        <v>19</v>
      </c>
      <c r="E2586" s="5" t="s">
        <v>11</v>
      </c>
      <c r="F2586" s="17">
        <v>5.12</v>
      </c>
      <c r="G2586" s="3">
        <v>6</v>
      </c>
      <c r="H2586" s="17">
        <f>Table1[[#This Row],[Unit price]]*Table1[[#This Row],[Quantity]]</f>
        <v>30.72</v>
      </c>
      <c r="I2586" s="29">
        <f>Table1[[#This Row],[Total Revenue]]/$H$5056*100</f>
        <v>3.2592613497384212E-3</v>
      </c>
      <c r="J2586" s="3" t="s">
        <v>15</v>
      </c>
      <c r="K2586" s="4">
        <v>7.1</v>
      </c>
      <c r="M2586"/>
    </row>
    <row r="2587" spans="1:13" x14ac:dyDescent="0.25">
      <c r="A2587" s="3" t="s">
        <v>142</v>
      </c>
      <c r="B2587" s="3" t="s">
        <v>244</v>
      </c>
      <c r="C2587" s="3" t="s">
        <v>13</v>
      </c>
      <c r="D2587" s="3" t="s">
        <v>19</v>
      </c>
      <c r="E2587" s="5" t="s">
        <v>18</v>
      </c>
      <c r="F2587" s="17">
        <v>17.43</v>
      </c>
      <c r="G2587" s="3">
        <v>2</v>
      </c>
      <c r="H2587" s="17">
        <f>Table1[[#This Row],[Unit price]]*Table1[[#This Row],[Quantity]]</f>
        <v>34.86</v>
      </c>
      <c r="I2587" s="29">
        <f>Table1[[#This Row],[Total Revenue]]/$H$5056*100</f>
        <v>3.6984977425742627E-3</v>
      </c>
      <c r="J2587" s="3" t="s">
        <v>12</v>
      </c>
      <c r="K2587" s="4">
        <v>7.8</v>
      </c>
      <c r="M2587"/>
    </row>
    <row r="2588" spans="1:13" x14ac:dyDescent="0.25">
      <c r="A2588" s="3" t="s">
        <v>142</v>
      </c>
      <c r="B2588" s="3" t="s">
        <v>243</v>
      </c>
      <c r="C2588" s="3" t="s">
        <v>13</v>
      </c>
      <c r="D2588" s="3" t="s">
        <v>19</v>
      </c>
      <c r="E2588" s="5" t="s">
        <v>11</v>
      </c>
      <c r="F2588" s="17">
        <v>6.13</v>
      </c>
      <c r="G2588" s="3">
        <v>4</v>
      </c>
      <c r="H2588" s="17">
        <f>Table1[[#This Row],[Unit price]]*Table1[[#This Row],[Quantity]]</f>
        <v>24.52</v>
      </c>
      <c r="I2588" s="29">
        <f>Table1[[#This Row],[Total Revenue]]/$H$5056*100</f>
        <v>2.6014677179552761E-3</v>
      </c>
      <c r="J2588" s="3" t="s">
        <v>15</v>
      </c>
      <c r="K2588" s="4">
        <v>8.3000000000000007</v>
      </c>
      <c r="M2588"/>
    </row>
    <row r="2589" spans="1:13" x14ac:dyDescent="0.25">
      <c r="A2589" s="3" t="s">
        <v>142</v>
      </c>
      <c r="B2589" s="3" t="s">
        <v>245</v>
      </c>
      <c r="C2589" s="3" t="s">
        <v>13</v>
      </c>
      <c r="D2589" s="3" t="s">
        <v>10</v>
      </c>
      <c r="E2589" s="5" t="s">
        <v>21</v>
      </c>
      <c r="F2589" s="17">
        <v>36.61</v>
      </c>
      <c r="G2589" s="3">
        <v>2</v>
      </c>
      <c r="H2589" s="17">
        <f>Table1[[#This Row],[Unit price]]*Table1[[#This Row],[Quantity]]</f>
        <v>73.22</v>
      </c>
      <c r="I2589" s="29">
        <f>Table1[[#This Row],[Total Revenue]]/$H$5056*100</f>
        <v>7.768330599864817E-3</v>
      </c>
      <c r="J2589" s="3" t="s">
        <v>12</v>
      </c>
      <c r="K2589" s="4">
        <v>8.6</v>
      </c>
      <c r="M2589"/>
    </row>
    <row r="2590" spans="1:13" x14ac:dyDescent="0.25">
      <c r="A2590" s="3" t="s">
        <v>142</v>
      </c>
      <c r="B2590" s="3" t="s">
        <v>244</v>
      </c>
      <c r="C2590" s="3" t="s">
        <v>13</v>
      </c>
      <c r="D2590" s="3" t="s">
        <v>10</v>
      </c>
      <c r="E2590" s="5" t="s">
        <v>21</v>
      </c>
      <c r="F2590" s="17">
        <v>32.28</v>
      </c>
      <c r="G2590" s="3">
        <v>3</v>
      </c>
      <c r="H2590" s="17">
        <f>Table1[[#This Row],[Unit price]]*Table1[[#This Row],[Quantity]]</f>
        <v>96.84</v>
      </c>
      <c r="I2590" s="29">
        <f>Table1[[#This Row],[Total Revenue]]/$H$5056*100</f>
        <v>1.0274312145464475E-2</v>
      </c>
      <c r="J2590" s="3" t="s">
        <v>15</v>
      </c>
      <c r="K2590" s="4">
        <v>6.6</v>
      </c>
      <c r="M2590"/>
    </row>
    <row r="2591" spans="1:13" x14ac:dyDescent="0.25">
      <c r="A2591" s="3" t="s">
        <v>142</v>
      </c>
      <c r="B2591" s="3" t="s">
        <v>243</v>
      </c>
      <c r="C2591" s="3" t="s">
        <v>13</v>
      </c>
      <c r="D2591" s="3" t="s">
        <v>10</v>
      </c>
      <c r="E2591" s="5" t="s">
        <v>11</v>
      </c>
      <c r="F2591" s="17">
        <v>5.76</v>
      </c>
      <c r="G2591" s="3">
        <v>2</v>
      </c>
      <c r="H2591" s="17">
        <f>Table1[[#This Row],[Unit price]]*Table1[[#This Row],[Quantity]]</f>
        <v>11.52</v>
      </c>
      <c r="I2591" s="29">
        <f>Table1[[#This Row],[Total Revenue]]/$H$5056*100</f>
        <v>1.2222230061519079E-3</v>
      </c>
      <c r="J2591" s="3" t="s">
        <v>17</v>
      </c>
      <c r="K2591" s="4">
        <v>7.3</v>
      </c>
      <c r="M2591"/>
    </row>
    <row r="2592" spans="1:13" x14ac:dyDescent="0.25">
      <c r="A2592" s="3" t="s">
        <v>142</v>
      </c>
      <c r="B2592" s="3" t="s">
        <v>243</v>
      </c>
      <c r="C2592" s="3" t="s">
        <v>9</v>
      </c>
      <c r="D2592" s="3" t="s">
        <v>19</v>
      </c>
      <c r="E2592" s="5" t="s">
        <v>21</v>
      </c>
      <c r="F2592" s="17">
        <v>31.41</v>
      </c>
      <c r="G2592" s="3">
        <v>4</v>
      </c>
      <c r="H2592" s="17">
        <f>Table1[[#This Row],[Unit price]]*Table1[[#This Row],[Quantity]]</f>
        <v>125.64</v>
      </c>
      <c r="I2592" s="29">
        <f>Table1[[#This Row],[Total Revenue]]/$H$5056*100</f>
        <v>1.3329869660844243E-2</v>
      </c>
      <c r="J2592" s="3" t="s">
        <v>15</v>
      </c>
      <c r="K2592" s="4">
        <v>7.4</v>
      </c>
      <c r="M2592"/>
    </row>
    <row r="2593" spans="1:13" x14ac:dyDescent="0.25">
      <c r="A2593" s="3" t="s">
        <v>142</v>
      </c>
      <c r="B2593" s="3" t="s">
        <v>243</v>
      </c>
      <c r="C2593" s="3" t="s">
        <v>9</v>
      </c>
      <c r="D2593" s="3" t="s">
        <v>19</v>
      </c>
      <c r="E2593" s="5" t="s">
        <v>18</v>
      </c>
      <c r="F2593" s="17">
        <v>10.58</v>
      </c>
      <c r="G2593" s="3">
        <v>1</v>
      </c>
      <c r="H2593" s="17">
        <f>Table1[[#This Row],[Unit price]]*Table1[[#This Row],[Quantity]]</f>
        <v>10.58</v>
      </c>
      <c r="I2593" s="29">
        <f>Table1[[#This Row],[Total Revenue]]/$H$5056*100</f>
        <v>1.1224930039138181E-3</v>
      </c>
      <c r="J2593" s="3" t="s">
        <v>17</v>
      </c>
      <c r="K2593" s="4">
        <v>7.3</v>
      </c>
      <c r="M2593"/>
    </row>
    <row r="2594" spans="1:13" x14ac:dyDescent="0.25">
      <c r="A2594" s="3" t="s">
        <v>142</v>
      </c>
      <c r="B2594" s="3" t="s">
        <v>245</v>
      </c>
      <c r="C2594" s="3" t="s">
        <v>9</v>
      </c>
      <c r="D2594" s="3" t="s">
        <v>10</v>
      </c>
      <c r="E2594" s="5" t="s">
        <v>11</v>
      </c>
      <c r="F2594" s="17">
        <v>6.26</v>
      </c>
      <c r="G2594" s="3">
        <v>2</v>
      </c>
      <c r="H2594" s="17">
        <f>Table1[[#This Row],[Unit price]]*Table1[[#This Row],[Quantity]]</f>
        <v>12.52</v>
      </c>
      <c r="I2594" s="29">
        <f>Table1[[#This Row],[Total Revenue]]/$H$5056*100</f>
        <v>1.3283187532137054E-3</v>
      </c>
      <c r="J2594" s="3" t="s">
        <v>17</v>
      </c>
      <c r="K2594" s="4">
        <v>6</v>
      </c>
      <c r="M2594"/>
    </row>
    <row r="2595" spans="1:13" x14ac:dyDescent="0.25">
      <c r="A2595" s="3" t="s">
        <v>142</v>
      </c>
      <c r="B2595" s="3" t="s">
        <v>243</v>
      </c>
      <c r="C2595" s="3" t="s">
        <v>9</v>
      </c>
      <c r="D2595" s="3" t="s">
        <v>19</v>
      </c>
      <c r="E2595" s="5" t="s">
        <v>11</v>
      </c>
      <c r="F2595" s="17">
        <v>6.12</v>
      </c>
      <c r="G2595" s="3">
        <v>1</v>
      </c>
      <c r="H2595" s="17">
        <f>Table1[[#This Row],[Unit price]]*Table1[[#This Row],[Quantity]]</f>
        <v>6.12</v>
      </c>
      <c r="I2595" s="29">
        <f>Table1[[#This Row],[Total Revenue]]/$H$5056*100</f>
        <v>6.4930597201820104E-4</v>
      </c>
      <c r="J2595" s="3" t="s">
        <v>17</v>
      </c>
      <c r="K2595" s="4">
        <v>8.8000000000000007</v>
      </c>
      <c r="M2595"/>
    </row>
    <row r="2596" spans="1:13" x14ac:dyDescent="0.25">
      <c r="A2596" s="3" t="s">
        <v>142</v>
      </c>
      <c r="B2596" s="3" t="s">
        <v>244</v>
      </c>
      <c r="C2596" s="3" t="s">
        <v>13</v>
      </c>
      <c r="D2596" s="3" t="s">
        <v>19</v>
      </c>
      <c r="E2596" s="5" t="s">
        <v>21</v>
      </c>
      <c r="F2596" s="17">
        <v>37.14</v>
      </c>
      <c r="G2596" s="3">
        <v>2</v>
      </c>
      <c r="H2596" s="17">
        <f>Table1[[#This Row],[Unit price]]*Table1[[#This Row],[Quantity]]</f>
        <v>74.28</v>
      </c>
      <c r="I2596" s="29">
        <f>Table1[[#This Row],[Total Revenue]]/$H$5056*100</f>
        <v>7.8807920917503219E-3</v>
      </c>
      <c r="J2596" s="3" t="s">
        <v>12</v>
      </c>
      <c r="K2596" s="4">
        <v>7.2</v>
      </c>
      <c r="M2596"/>
    </row>
    <row r="2597" spans="1:13" x14ac:dyDescent="0.25">
      <c r="A2597" s="3" t="s">
        <v>142</v>
      </c>
      <c r="B2597" s="3" t="s">
        <v>245</v>
      </c>
      <c r="C2597" s="3" t="s">
        <v>13</v>
      </c>
      <c r="D2597" s="3" t="s">
        <v>19</v>
      </c>
      <c r="E2597" s="5" t="s">
        <v>11</v>
      </c>
      <c r="F2597" s="17">
        <v>2.92</v>
      </c>
      <c r="G2597" s="3">
        <v>3</v>
      </c>
      <c r="H2597" s="17">
        <f>Table1[[#This Row],[Unit price]]*Table1[[#This Row],[Quantity]]</f>
        <v>8.76</v>
      </c>
      <c r="I2597" s="29">
        <f>Table1[[#This Row],[Total Revenue]]/$H$5056*100</f>
        <v>9.2939874426134657E-4</v>
      </c>
      <c r="J2597" s="3" t="s">
        <v>17</v>
      </c>
      <c r="K2597" s="4">
        <v>7.9</v>
      </c>
      <c r="M2597"/>
    </row>
    <row r="2598" spans="1:13" x14ac:dyDescent="0.25">
      <c r="A2598" s="3" t="s">
        <v>142</v>
      </c>
      <c r="B2598" s="3" t="s">
        <v>244</v>
      </c>
      <c r="C2598" s="3" t="s">
        <v>13</v>
      </c>
      <c r="D2598" s="3" t="s">
        <v>10</v>
      </c>
      <c r="E2598" s="5" t="s">
        <v>11</v>
      </c>
      <c r="F2598" s="17">
        <v>6.44</v>
      </c>
      <c r="G2598" s="3">
        <v>1</v>
      </c>
      <c r="H2598" s="17">
        <f>Table1[[#This Row],[Unit price]]*Table1[[#This Row],[Quantity]]</f>
        <v>6.44</v>
      </c>
      <c r="I2598" s="29">
        <f>Table1[[#This Row],[Total Revenue]]/$H$5056*100</f>
        <v>6.8325661107797634E-4</v>
      </c>
      <c r="J2598" s="3" t="s">
        <v>15</v>
      </c>
      <c r="K2598" s="4">
        <v>7.7</v>
      </c>
      <c r="M2598"/>
    </row>
    <row r="2599" spans="1:13" x14ac:dyDescent="0.25">
      <c r="A2599" s="3" t="s">
        <v>142</v>
      </c>
      <c r="B2599" s="3" t="s">
        <v>243</v>
      </c>
      <c r="C2599" s="3" t="s">
        <v>13</v>
      </c>
      <c r="D2599" s="3" t="s">
        <v>10</v>
      </c>
      <c r="E2599" s="5" t="s">
        <v>11</v>
      </c>
      <c r="F2599" s="17">
        <v>6.7</v>
      </c>
      <c r="G2599" s="3">
        <v>5</v>
      </c>
      <c r="H2599" s="17">
        <f>Table1[[#This Row],[Unit price]]*Table1[[#This Row],[Quantity]]</f>
        <v>33.5</v>
      </c>
      <c r="I2599" s="29">
        <f>Table1[[#This Row],[Total Revenue]]/$H$5056*100</f>
        <v>3.5542075265702178E-3</v>
      </c>
      <c r="J2599" s="3" t="s">
        <v>15</v>
      </c>
      <c r="K2599" s="4">
        <v>8.1</v>
      </c>
      <c r="M2599"/>
    </row>
    <row r="2600" spans="1:13" x14ac:dyDescent="0.25">
      <c r="A2600" s="3" t="s">
        <v>142</v>
      </c>
      <c r="B2600" s="3" t="s">
        <v>244</v>
      </c>
      <c r="C2600" s="3" t="s">
        <v>13</v>
      </c>
      <c r="D2600" s="3" t="s">
        <v>19</v>
      </c>
      <c r="E2600" s="5" t="s">
        <v>11</v>
      </c>
      <c r="F2600" s="17">
        <v>5.6</v>
      </c>
      <c r="G2600" s="3">
        <v>4</v>
      </c>
      <c r="H2600" s="17">
        <f>Table1[[#This Row],[Unit price]]*Table1[[#This Row],[Quantity]]</f>
        <v>22.4</v>
      </c>
      <c r="I2600" s="29">
        <f>Table1[[#This Row],[Total Revenue]]/$H$5056*100</f>
        <v>2.376544734184265E-3</v>
      </c>
      <c r="J2600" s="3" t="s">
        <v>17</v>
      </c>
      <c r="K2600" s="4">
        <v>8</v>
      </c>
      <c r="M2600"/>
    </row>
    <row r="2601" spans="1:13" x14ac:dyDescent="0.25">
      <c r="A2601" s="3" t="s">
        <v>142</v>
      </c>
      <c r="B2601" s="3" t="s">
        <v>243</v>
      </c>
      <c r="C2601" s="3" t="s">
        <v>13</v>
      </c>
      <c r="D2601" s="3" t="s">
        <v>10</v>
      </c>
      <c r="E2601" s="5" t="s">
        <v>11</v>
      </c>
      <c r="F2601" s="17">
        <v>4.42</v>
      </c>
      <c r="G2601" s="3">
        <v>2</v>
      </c>
      <c r="H2601" s="17">
        <f>Table1[[#This Row],[Unit price]]*Table1[[#This Row],[Quantity]]</f>
        <v>8.84</v>
      </c>
      <c r="I2601" s="29">
        <f>Table1[[#This Row],[Total Revenue]]/$H$5056*100</f>
        <v>9.3788640402629037E-4</v>
      </c>
      <c r="J2601" s="3" t="s">
        <v>12</v>
      </c>
      <c r="K2601" s="4">
        <v>6.8</v>
      </c>
      <c r="M2601"/>
    </row>
    <row r="2602" spans="1:13" x14ac:dyDescent="0.25">
      <c r="A2602" s="3" t="s">
        <v>142</v>
      </c>
      <c r="B2602" s="3" t="s">
        <v>244</v>
      </c>
      <c r="C2602" s="3" t="s">
        <v>13</v>
      </c>
      <c r="D2602" s="3" t="s">
        <v>19</v>
      </c>
      <c r="E2602" s="5" t="s">
        <v>11</v>
      </c>
      <c r="F2602" s="17">
        <v>5.37</v>
      </c>
      <c r="G2602" s="3">
        <v>1</v>
      </c>
      <c r="H2602" s="17">
        <f>Table1[[#This Row],[Unit price]]*Table1[[#This Row],[Quantity]]</f>
        <v>5.37</v>
      </c>
      <c r="I2602" s="29">
        <f>Table1[[#This Row],[Total Revenue]]/$H$5056*100</f>
        <v>5.6973416172185283E-4</v>
      </c>
      <c r="J2602" s="3" t="s">
        <v>17</v>
      </c>
      <c r="K2602" s="4">
        <v>6.2</v>
      </c>
      <c r="M2602"/>
    </row>
    <row r="2603" spans="1:13" x14ac:dyDescent="0.25">
      <c r="A2603" s="3" t="s">
        <v>143</v>
      </c>
      <c r="B2603" s="3" t="s">
        <v>244</v>
      </c>
      <c r="C2603" s="3" t="s">
        <v>9</v>
      </c>
      <c r="D2603" s="3" t="s">
        <v>10</v>
      </c>
      <c r="E2603" s="5" t="s">
        <v>11</v>
      </c>
      <c r="F2603" s="17">
        <v>7.62</v>
      </c>
      <c r="G2603" s="3">
        <v>5</v>
      </c>
      <c r="H2603" s="17">
        <f>Table1[[#This Row],[Unit price]]*Table1[[#This Row],[Quantity]]</f>
        <v>38.1</v>
      </c>
      <c r="I2603" s="29">
        <f>Table1[[#This Row],[Total Revenue]]/$H$5056*100</f>
        <v>4.0422479630544865E-3</v>
      </c>
      <c r="J2603" s="3" t="s">
        <v>15</v>
      </c>
      <c r="K2603" s="4">
        <v>5.9</v>
      </c>
      <c r="M2603"/>
    </row>
    <row r="2604" spans="1:13" x14ac:dyDescent="0.25">
      <c r="A2604" s="3" t="s">
        <v>143</v>
      </c>
      <c r="B2604" s="3" t="s">
        <v>244</v>
      </c>
      <c r="C2604" s="3" t="s">
        <v>13</v>
      </c>
      <c r="D2604" s="3" t="s">
        <v>10</v>
      </c>
      <c r="E2604" s="5" t="s">
        <v>20</v>
      </c>
      <c r="F2604" s="17">
        <v>60.48</v>
      </c>
      <c r="G2604" s="3">
        <v>1</v>
      </c>
      <c r="H2604" s="17">
        <f>Table1[[#This Row],[Unit price]]*Table1[[#This Row],[Quantity]]</f>
        <v>60.48</v>
      </c>
      <c r="I2604" s="29">
        <f>Table1[[#This Row],[Total Revenue]]/$H$5056*100</f>
        <v>6.4166707822975151E-3</v>
      </c>
      <c r="J2604" s="3" t="s">
        <v>15</v>
      </c>
      <c r="K2604" s="4">
        <v>6.7</v>
      </c>
      <c r="M2604"/>
    </row>
    <row r="2605" spans="1:13" x14ac:dyDescent="0.25">
      <c r="A2605" s="3" t="s">
        <v>143</v>
      </c>
      <c r="B2605" s="3" t="s">
        <v>243</v>
      </c>
      <c r="C2605" s="3" t="s">
        <v>13</v>
      </c>
      <c r="D2605" s="3" t="s">
        <v>19</v>
      </c>
      <c r="E2605" s="5" t="s">
        <v>21</v>
      </c>
      <c r="F2605" s="17">
        <v>34.909999999999997</v>
      </c>
      <c r="G2605" s="3">
        <v>1</v>
      </c>
      <c r="H2605" s="17">
        <f>Table1[[#This Row],[Unit price]]*Table1[[#This Row],[Quantity]]</f>
        <v>34.909999999999997</v>
      </c>
      <c r="I2605" s="29">
        <f>Table1[[#This Row],[Total Revenue]]/$H$5056*100</f>
        <v>3.703802529927352E-3</v>
      </c>
      <c r="J2605" s="3" t="s">
        <v>17</v>
      </c>
      <c r="K2605" s="4">
        <v>7.2</v>
      </c>
      <c r="M2605"/>
    </row>
    <row r="2606" spans="1:13" x14ac:dyDescent="0.25">
      <c r="A2606" s="3" t="s">
        <v>143</v>
      </c>
      <c r="B2606" s="3" t="s">
        <v>244</v>
      </c>
      <c r="C2606" s="3" t="s">
        <v>13</v>
      </c>
      <c r="D2606" s="3" t="s">
        <v>19</v>
      </c>
      <c r="E2606" s="5" t="s">
        <v>11</v>
      </c>
      <c r="F2606" s="17">
        <v>6.43</v>
      </c>
      <c r="G2606" s="3">
        <v>2</v>
      </c>
      <c r="H2606" s="17">
        <f>Table1[[#This Row],[Unit price]]*Table1[[#This Row],[Quantity]]</f>
        <v>12.86</v>
      </c>
      <c r="I2606" s="29">
        <f>Table1[[#This Row],[Total Revenue]]/$H$5056*100</f>
        <v>1.3643913072147165E-3</v>
      </c>
      <c r="J2606" s="3" t="s">
        <v>17</v>
      </c>
      <c r="K2606" s="4">
        <v>6.8</v>
      </c>
      <c r="M2606"/>
    </row>
    <row r="2607" spans="1:13" x14ac:dyDescent="0.25">
      <c r="A2607" s="3" t="s">
        <v>143</v>
      </c>
      <c r="B2607" s="3" t="s">
        <v>243</v>
      </c>
      <c r="C2607" s="3" t="s">
        <v>9</v>
      </c>
      <c r="D2607" s="3" t="s">
        <v>10</v>
      </c>
      <c r="E2607" s="5" t="s">
        <v>21</v>
      </c>
      <c r="F2607" s="17">
        <v>36.97</v>
      </c>
      <c r="G2607" s="3">
        <v>1</v>
      </c>
      <c r="H2607" s="17">
        <f>Table1[[#This Row],[Unit price]]*Table1[[#This Row],[Quantity]]</f>
        <v>36.97</v>
      </c>
      <c r="I2607" s="29">
        <f>Table1[[#This Row],[Total Revenue]]/$H$5056*100</f>
        <v>3.9223597688746552E-3</v>
      </c>
      <c r="J2607" s="3" t="s">
        <v>15</v>
      </c>
      <c r="K2607" s="4">
        <v>7.2</v>
      </c>
      <c r="M2607"/>
    </row>
    <row r="2608" spans="1:13" x14ac:dyDescent="0.25">
      <c r="A2608" s="3" t="s">
        <v>143</v>
      </c>
      <c r="B2608" s="3" t="s">
        <v>245</v>
      </c>
      <c r="C2608" s="3" t="s">
        <v>13</v>
      </c>
      <c r="D2608" s="3" t="s">
        <v>19</v>
      </c>
      <c r="E2608" s="5" t="s">
        <v>11</v>
      </c>
      <c r="F2608" s="17">
        <v>5.4</v>
      </c>
      <c r="G2608" s="3">
        <v>4</v>
      </c>
      <c r="H2608" s="17">
        <f>Table1[[#This Row],[Unit price]]*Table1[[#This Row],[Quantity]]</f>
        <v>21.6</v>
      </c>
      <c r="I2608" s="29">
        <f>Table1[[#This Row],[Total Revenue]]/$H$5056*100</f>
        <v>2.2916681365348275E-3</v>
      </c>
      <c r="J2608" s="3" t="s">
        <v>15</v>
      </c>
      <c r="K2608" s="4">
        <v>7</v>
      </c>
      <c r="M2608"/>
    </row>
    <row r="2609" spans="1:13" x14ac:dyDescent="0.25">
      <c r="A2609" s="3" t="s">
        <v>143</v>
      </c>
      <c r="B2609" s="3" t="s">
        <v>244</v>
      </c>
      <c r="C2609" s="3" t="s">
        <v>13</v>
      </c>
      <c r="D2609" s="3" t="s">
        <v>19</v>
      </c>
      <c r="E2609" s="5" t="s">
        <v>21</v>
      </c>
      <c r="F2609" s="17">
        <v>34.299999999999997</v>
      </c>
      <c r="G2609" s="3">
        <v>1</v>
      </c>
      <c r="H2609" s="17">
        <f>Table1[[#This Row],[Unit price]]*Table1[[#This Row],[Quantity]]</f>
        <v>34.299999999999997</v>
      </c>
      <c r="I2609" s="29">
        <f>Table1[[#This Row],[Total Revenue]]/$H$5056*100</f>
        <v>3.6390841242196557E-3</v>
      </c>
      <c r="J2609" s="3" t="s">
        <v>15</v>
      </c>
      <c r="K2609" s="4">
        <v>7.4</v>
      </c>
      <c r="M2609"/>
    </row>
    <row r="2610" spans="1:13" x14ac:dyDescent="0.25">
      <c r="A2610" s="3" t="s">
        <v>143</v>
      </c>
      <c r="B2610" s="3" t="s">
        <v>245</v>
      </c>
      <c r="C2610" s="3" t="s">
        <v>9</v>
      </c>
      <c r="D2610" s="3" t="s">
        <v>19</v>
      </c>
      <c r="E2610" s="5" t="s">
        <v>11</v>
      </c>
      <c r="F2610" s="17">
        <v>5.21</v>
      </c>
      <c r="G2610" s="3">
        <v>2</v>
      </c>
      <c r="H2610" s="17">
        <f>Table1[[#This Row],[Unit price]]*Table1[[#This Row],[Quantity]]</f>
        <v>10.42</v>
      </c>
      <c r="I2610" s="29">
        <f>Table1[[#This Row],[Total Revenue]]/$H$5056*100</f>
        <v>1.1055176843839305E-3</v>
      </c>
      <c r="J2610" s="3" t="s">
        <v>15</v>
      </c>
      <c r="K2610" s="4">
        <v>7.2</v>
      </c>
      <c r="M2610"/>
    </row>
    <row r="2611" spans="1:13" x14ac:dyDescent="0.25">
      <c r="A2611" s="3" t="s">
        <v>143</v>
      </c>
      <c r="B2611" s="3" t="s">
        <v>244</v>
      </c>
      <c r="C2611" s="3" t="s">
        <v>9</v>
      </c>
      <c r="D2611" s="3" t="s">
        <v>19</v>
      </c>
      <c r="E2611" s="5" t="s">
        <v>18</v>
      </c>
      <c r="F2611" s="17">
        <v>13.73</v>
      </c>
      <c r="G2611" s="3">
        <v>3</v>
      </c>
      <c r="H2611" s="17">
        <f>Table1[[#This Row],[Unit price]]*Table1[[#This Row],[Quantity]]</f>
        <v>41.19</v>
      </c>
      <c r="I2611" s="29">
        <f>Table1[[#This Row],[Total Revenue]]/$H$5056*100</f>
        <v>4.3700838214754409E-3</v>
      </c>
      <c r="J2611" s="3" t="s">
        <v>12</v>
      </c>
      <c r="K2611" s="4">
        <v>7.1</v>
      </c>
      <c r="M2611"/>
    </row>
    <row r="2612" spans="1:13" x14ac:dyDescent="0.25">
      <c r="A2612" s="3" t="s">
        <v>143</v>
      </c>
      <c r="B2612" s="3" t="s">
        <v>244</v>
      </c>
      <c r="C2612" s="3" t="s">
        <v>13</v>
      </c>
      <c r="D2612" s="3" t="s">
        <v>19</v>
      </c>
      <c r="E2612" s="5" t="s">
        <v>21</v>
      </c>
      <c r="F2612" s="17">
        <v>22.33</v>
      </c>
      <c r="G2612" s="3">
        <v>3</v>
      </c>
      <c r="H2612" s="17">
        <f>Table1[[#This Row],[Unit price]]*Table1[[#This Row],[Quantity]]</f>
        <v>66.989999999999995</v>
      </c>
      <c r="I2612" s="29">
        <f>Table1[[#This Row],[Total Revenue]]/$H$5056*100</f>
        <v>7.1073540956698182E-3</v>
      </c>
      <c r="J2612" s="3" t="s">
        <v>12</v>
      </c>
      <c r="K2612" s="4">
        <v>6.4</v>
      </c>
      <c r="M2612"/>
    </row>
    <row r="2613" spans="1:13" x14ac:dyDescent="0.25">
      <c r="A2613" s="3" t="s">
        <v>143</v>
      </c>
      <c r="B2613" s="3" t="s">
        <v>244</v>
      </c>
      <c r="C2613" s="3" t="s">
        <v>9</v>
      </c>
      <c r="D2613" s="3" t="s">
        <v>19</v>
      </c>
      <c r="E2613" s="5" t="s">
        <v>21</v>
      </c>
      <c r="F2613" s="17">
        <v>25.22</v>
      </c>
      <c r="G2613" s="3">
        <v>1</v>
      </c>
      <c r="H2613" s="17">
        <f>Table1[[#This Row],[Unit price]]*Table1[[#This Row],[Quantity]]</f>
        <v>25.22</v>
      </c>
      <c r="I2613" s="29">
        <f>Table1[[#This Row],[Total Revenue]]/$H$5056*100</f>
        <v>2.6757347408985343E-3</v>
      </c>
      <c r="J2613" s="3" t="s">
        <v>12</v>
      </c>
      <c r="K2613" s="4">
        <v>6.8</v>
      </c>
      <c r="M2613"/>
    </row>
    <row r="2614" spans="1:13" x14ac:dyDescent="0.25">
      <c r="A2614" s="3" t="s">
        <v>143</v>
      </c>
      <c r="B2614" s="3" t="s">
        <v>243</v>
      </c>
      <c r="C2614" s="3" t="s">
        <v>13</v>
      </c>
      <c r="D2614" s="3" t="s">
        <v>10</v>
      </c>
      <c r="E2614" s="5" t="s">
        <v>11</v>
      </c>
      <c r="F2614" s="17">
        <v>3.85</v>
      </c>
      <c r="G2614" s="3">
        <v>4</v>
      </c>
      <c r="H2614" s="17">
        <f>Table1[[#This Row],[Unit price]]*Table1[[#This Row],[Quantity]]</f>
        <v>15.4</v>
      </c>
      <c r="I2614" s="29">
        <f>Table1[[#This Row],[Total Revenue]]/$H$5056*100</f>
        <v>1.6338745047516823E-3</v>
      </c>
      <c r="J2614" s="3" t="s">
        <v>17</v>
      </c>
      <c r="K2614" s="4">
        <v>7.2</v>
      </c>
      <c r="M2614"/>
    </row>
    <row r="2615" spans="1:13" x14ac:dyDescent="0.25">
      <c r="A2615" s="3" t="s">
        <v>143</v>
      </c>
      <c r="B2615" s="3" t="s">
        <v>244</v>
      </c>
      <c r="C2615" s="3" t="s">
        <v>13</v>
      </c>
      <c r="D2615" s="3" t="s">
        <v>10</v>
      </c>
      <c r="E2615" s="5" t="s">
        <v>11</v>
      </c>
      <c r="F2615" s="17">
        <v>7.1</v>
      </c>
      <c r="G2615" s="3">
        <v>2</v>
      </c>
      <c r="H2615" s="17">
        <f>Table1[[#This Row],[Unit price]]*Table1[[#This Row],[Quantity]]</f>
        <v>14.2</v>
      </c>
      <c r="I2615" s="29">
        <f>Table1[[#This Row],[Total Revenue]]/$H$5056*100</f>
        <v>1.5065596082775251E-3</v>
      </c>
      <c r="J2615" s="3" t="s">
        <v>17</v>
      </c>
      <c r="K2615" s="4">
        <v>7.7</v>
      </c>
      <c r="M2615"/>
    </row>
    <row r="2616" spans="1:13" x14ac:dyDescent="0.25">
      <c r="A2616" s="3" t="s">
        <v>143</v>
      </c>
      <c r="B2616" s="3" t="s">
        <v>243</v>
      </c>
      <c r="C2616" s="3" t="s">
        <v>9</v>
      </c>
      <c r="D2616" s="3" t="s">
        <v>19</v>
      </c>
      <c r="E2616" s="5" t="s">
        <v>21</v>
      </c>
      <c r="F2616" s="17">
        <v>27.63</v>
      </c>
      <c r="G2616" s="3">
        <v>4</v>
      </c>
      <c r="H2616" s="17">
        <f>Table1[[#This Row],[Unit price]]*Table1[[#This Row],[Quantity]]</f>
        <v>110.52</v>
      </c>
      <c r="I2616" s="29">
        <f>Table1[[#This Row],[Total Revenue]]/$H$5056*100</f>
        <v>1.1725701965269866E-2</v>
      </c>
      <c r="J2616" s="3" t="s">
        <v>15</v>
      </c>
      <c r="K2616" s="4">
        <v>7.2</v>
      </c>
      <c r="M2616"/>
    </row>
    <row r="2617" spans="1:13" x14ac:dyDescent="0.25">
      <c r="A2617" s="3" t="s">
        <v>143</v>
      </c>
      <c r="B2617" s="3" t="s">
        <v>245</v>
      </c>
      <c r="C2617" s="3" t="s">
        <v>9</v>
      </c>
      <c r="D2617" s="3" t="s">
        <v>10</v>
      </c>
      <c r="E2617" s="5" t="s">
        <v>21</v>
      </c>
      <c r="F2617" s="17">
        <v>34.46</v>
      </c>
      <c r="G2617" s="3">
        <v>2</v>
      </c>
      <c r="H2617" s="17">
        <f>Table1[[#This Row],[Unit price]]*Table1[[#This Row],[Quantity]]</f>
        <v>68.92</v>
      </c>
      <c r="I2617" s="29">
        <f>Table1[[#This Row],[Total Revenue]]/$H$5056*100</f>
        <v>7.3121188874990875E-3</v>
      </c>
      <c r="J2617" s="3" t="s">
        <v>17</v>
      </c>
      <c r="K2617" s="4">
        <v>6.3</v>
      </c>
      <c r="M2617"/>
    </row>
    <row r="2618" spans="1:13" x14ac:dyDescent="0.25">
      <c r="A2618" s="3" t="s">
        <v>143</v>
      </c>
      <c r="B2618" s="3" t="s">
        <v>243</v>
      </c>
      <c r="C2618" s="3" t="s">
        <v>9</v>
      </c>
      <c r="D2618" s="3" t="s">
        <v>10</v>
      </c>
      <c r="E2618" s="5" t="s">
        <v>11</v>
      </c>
      <c r="F2618" s="17">
        <v>6.5</v>
      </c>
      <c r="G2618" s="3">
        <v>2</v>
      </c>
      <c r="H2618" s="17">
        <f>Table1[[#This Row],[Unit price]]*Table1[[#This Row],[Quantity]]</f>
        <v>13</v>
      </c>
      <c r="I2618" s="29">
        <f>Table1[[#This Row],[Total Revenue]]/$H$5056*100</f>
        <v>1.3792447118033682E-3</v>
      </c>
      <c r="J2618" s="3" t="s">
        <v>15</v>
      </c>
      <c r="K2618" s="4">
        <v>7.3</v>
      </c>
      <c r="M2618"/>
    </row>
    <row r="2619" spans="1:13" x14ac:dyDescent="0.25">
      <c r="A2619" s="3" t="s">
        <v>143</v>
      </c>
      <c r="B2619" s="3" t="s">
        <v>244</v>
      </c>
      <c r="C2619" s="3" t="s">
        <v>13</v>
      </c>
      <c r="D2619" s="3" t="s">
        <v>10</v>
      </c>
      <c r="E2619" s="5" t="s">
        <v>21</v>
      </c>
      <c r="F2619" s="17">
        <v>22.75</v>
      </c>
      <c r="G2619" s="3">
        <v>4</v>
      </c>
      <c r="H2619" s="17">
        <f>Table1[[#This Row],[Unit price]]*Table1[[#This Row],[Quantity]]</f>
        <v>91</v>
      </c>
      <c r="I2619" s="29">
        <f>Table1[[#This Row],[Total Revenue]]/$H$5056*100</f>
        <v>9.6547129826235773E-3</v>
      </c>
      <c r="J2619" s="3" t="s">
        <v>12</v>
      </c>
      <c r="K2619" s="4">
        <v>8.1</v>
      </c>
      <c r="M2619"/>
    </row>
    <row r="2620" spans="1:13" x14ac:dyDescent="0.25">
      <c r="A2620" s="3" t="s">
        <v>144</v>
      </c>
      <c r="B2620" s="3" t="s">
        <v>245</v>
      </c>
      <c r="C2620" s="3" t="s">
        <v>13</v>
      </c>
      <c r="D2620" s="3" t="s">
        <v>10</v>
      </c>
      <c r="E2620" s="5" t="s">
        <v>11</v>
      </c>
      <c r="F2620" s="17">
        <v>5.86</v>
      </c>
      <c r="G2620" s="3">
        <v>4</v>
      </c>
      <c r="H2620" s="17">
        <f>Table1[[#This Row],[Unit price]]*Table1[[#This Row],[Quantity]]</f>
        <v>23.44</v>
      </c>
      <c r="I2620" s="29">
        <f>Table1[[#This Row],[Total Revenue]]/$H$5056*100</f>
        <v>2.4868843111285348E-3</v>
      </c>
      <c r="J2620" s="3" t="s">
        <v>12</v>
      </c>
      <c r="K2620" s="4">
        <v>6.1</v>
      </c>
      <c r="M2620"/>
    </row>
    <row r="2621" spans="1:13" x14ac:dyDescent="0.25">
      <c r="A2621" s="3" t="s">
        <v>144</v>
      </c>
      <c r="B2621" s="3" t="s">
        <v>243</v>
      </c>
      <c r="C2621" s="3" t="s">
        <v>13</v>
      </c>
      <c r="D2621" s="3" t="s">
        <v>19</v>
      </c>
      <c r="E2621" s="5" t="s">
        <v>11</v>
      </c>
      <c r="F2621" s="17">
        <v>3.18</v>
      </c>
      <c r="G2621" s="3">
        <v>4</v>
      </c>
      <c r="H2621" s="17">
        <f>Table1[[#This Row],[Unit price]]*Table1[[#This Row],[Quantity]]</f>
        <v>12.72</v>
      </c>
      <c r="I2621" s="29">
        <f>Table1[[#This Row],[Total Revenue]]/$H$5056*100</f>
        <v>1.3495379026260649E-3</v>
      </c>
      <c r="J2621" s="3" t="s">
        <v>12</v>
      </c>
      <c r="K2621" s="4">
        <v>6</v>
      </c>
      <c r="M2621"/>
    </row>
    <row r="2622" spans="1:13" x14ac:dyDescent="0.25">
      <c r="A2622" s="3" t="s">
        <v>144</v>
      </c>
      <c r="B2622" s="3" t="s">
        <v>244</v>
      </c>
      <c r="C2622" s="3" t="s">
        <v>9</v>
      </c>
      <c r="D2622" s="3" t="s">
        <v>10</v>
      </c>
      <c r="E2622" s="5" t="s">
        <v>11</v>
      </c>
      <c r="F2622" s="17">
        <v>6.77</v>
      </c>
      <c r="G2622" s="3">
        <v>4</v>
      </c>
      <c r="H2622" s="17">
        <f>Table1[[#This Row],[Unit price]]*Table1[[#This Row],[Quantity]]</f>
        <v>27.08</v>
      </c>
      <c r="I2622" s="29">
        <f>Table1[[#This Row],[Total Revenue]]/$H$5056*100</f>
        <v>2.8730728304334776E-3</v>
      </c>
      <c r="J2622" s="3" t="s">
        <v>12</v>
      </c>
      <c r="K2622" s="4">
        <v>6.7</v>
      </c>
      <c r="M2622"/>
    </row>
    <row r="2623" spans="1:13" x14ac:dyDescent="0.25">
      <c r="A2623" s="3" t="s">
        <v>144</v>
      </c>
      <c r="B2623" s="3" t="s">
        <v>244</v>
      </c>
      <c r="C2623" s="3" t="s">
        <v>13</v>
      </c>
      <c r="D2623" s="3" t="s">
        <v>10</v>
      </c>
      <c r="E2623" s="5" t="s">
        <v>11</v>
      </c>
      <c r="F2623" s="17">
        <v>5.74</v>
      </c>
      <c r="G2623" s="3">
        <v>4</v>
      </c>
      <c r="H2623" s="17">
        <f>Table1[[#This Row],[Unit price]]*Table1[[#This Row],[Quantity]]</f>
        <v>22.96</v>
      </c>
      <c r="I2623" s="29">
        <f>Table1[[#This Row],[Total Revenue]]/$H$5056*100</f>
        <v>2.435958352538872E-3</v>
      </c>
      <c r="J2623" s="3" t="s">
        <v>17</v>
      </c>
      <c r="K2623" s="4">
        <v>7.9</v>
      </c>
      <c r="M2623"/>
    </row>
    <row r="2624" spans="1:13" x14ac:dyDescent="0.25">
      <c r="A2624" s="3" t="s">
        <v>144</v>
      </c>
      <c r="B2624" s="3" t="s">
        <v>243</v>
      </c>
      <c r="C2624" s="3" t="s">
        <v>9</v>
      </c>
      <c r="D2624" s="3" t="s">
        <v>10</v>
      </c>
      <c r="E2624" s="5" t="s">
        <v>11</v>
      </c>
      <c r="F2624" s="17">
        <v>3.67</v>
      </c>
      <c r="G2624" s="3">
        <v>3</v>
      </c>
      <c r="H2624" s="17">
        <f>Table1[[#This Row],[Unit price]]*Table1[[#This Row],[Quantity]]</f>
        <v>11.01</v>
      </c>
      <c r="I2624" s="29">
        <f>Table1[[#This Row],[Total Revenue]]/$H$5056*100</f>
        <v>1.168114175150391E-3</v>
      </c>
      <c r="J2624" s="3" t="s">
        <v>17</v>
      </c>
      <c r="K2624" s="4">
        <v>7.4</v>
      </c>
      <c r="M2624"/>
    </row>
    <row r="2625" spans="1:13" x14ac:dyDescent="0.25">
      <c r="A2625" s="3" t="s">
        <v>144</v>
      </c>
      <c r="B2625" s="3" t="s">
        <v>244</v>
      </c>
      <c r="C2625" s="3" t="s">
        <v>9</v>
      </c>
      <c r="D2625" s="3" t="s">
        <v>19</v>
      </c>
      <c r="E2625" s="5" t="s">
        <v>21</v>
      </c>
      <c r="F2625" s="17">
        <v>21.08</v>
      </c>
      <c r="G2625" s="3">
        <v>4</v>
      </c>
      <c r="H2625" s="17">
        <f>Table1[[#This Row],[Unit price]]*Table1[[#This Row],[Quantity]]</f>
        <v>84.32</v>
      </c>
      <c r="I2625" s="29">
        <f>Table1[[#This Row],[Total Revenue]]/$H$5056*100</f>
        <v>8.9459933922507694E-3</v>
      </c>
      <c r="J2625" s="3" t="s">
        <v>12</v>
      </c>
      <c r="K2625" s="4">
        <v>7.7</v>
      </c>
      <c r="M2625"/>
    </row>
    <row r="2626" spans="1:13" x14ac:dyDescent="0.25">
      <c r="A2626" s="3" t="s">
        <v>144</v>
      </c>
      <c r="B2626" s="3" t="s">
        <v>244</v>
      </c>
      <c r="C2626" s="3" t="s">
        <v>13</v>
      </c>
      <c r="D2626" s="3" t="s">
        <v>10</v>
      </c>
      <c r="E2626" s="5" t="s">
        <v>18</v>
      </c>
      <c r="F2626" s="17">
        <v>12.14</v>
      </c>
      <c r="G2626" s="3">
        <v>1</v>
      </c>
      <c r="H2626" s="17">
        <f>Table1[[#This Row],[Unit price]]*Table1[[#This Row],[Quantity]]</f>
        <v>12.14</v>
      </c>
      <c r="I2626" s="29">
        <f>Table1[[#This Row],[Total Revenue]]/$H$5056*100</f>
        <v>1.2880023693302223E-3</v>
      </c>
      <c r="J2626" s="3" t="s">
        <v>15</v>
      </c>
      <c r="K2626" s="4">
        <v>6.4</v>
      </c>
      <c r="M2626"/>
    </row>
    <row r="2627" spans="1:13" x14ac:dyDescent="0.25">
      <c r="A2627" s="3" t="s">
        <v>144</v>
      </c>
      <c r="B2627" s="3" t="s">
        <v>245</v>
      </c>
      <c r="C2627" s="3" t="s">
        <v>9</v>
      </c>
      <c r="D2627" s="3" t="s">
        <v>10</v>
      </c>
      <c r="E2627" s="5" t="s">
        <v>21</v>
      </c>
      <c r="F2627" s="17">
        <v>33.130000000000003</v>
      </c>
      <c r="G2627" s="3">
        <v>2</v>
      </c>
      <c r="H2627" s="17">
        <f>Table1[[#This Row],[Unit price]]*Table1[[#This Row],[Quantity]]</f>
        <v>66.260000000000005</v>
      </c>
      <c r="I2627" s="29">
        <f>Table1[[#This Row],[Total Revenue]]/$H$5056*100</f>
        <v>7.0299042003147067E-3</v>
      </c>
      <c r="J2627" s="3" t="s">
        <v>15</v>
      </c>
      <c r="K2627" s="4">
        <v>7.5</v>
      </c>
      <c r="M2627"/>
    </row>
    <row r="2628" spans="1:13" x14ac:dyDescent="0.25">
      <c r="A2628" s="3" t="s">
        <v>144</v>
      </c>
      <c r="B2628" s="3" t="s">
        <v>245</v>
      </c>
      <c r="C2628" s="3" t="s">
        <v>13</v>
      </c>
      <c r="D2628" s="3" t="s">
        <v>19</v>
      </c>
      <c r="E2628" s="5" t="s">
        <v>18</v>
      </c>
      <c r="F2628" s="17">
        <v>15.15</v>
      </c>
      <c r="G2628" s="3">
        <v>2</v>
      </c>
      <c r="H2628" s="17">
        <f>Table1[[#This Row],[Unit price]]*Table1[[#This Row],[Quantity]]</f>
        <v>30.3</v>
      </c>
      <c r="I2628" s="29">
        <f>Table1[[#This Row],[Total Revenue]]/$H$5056*100</f>
        <v>3.2147011359724659E-3</v>
      </c>
      <c r="J2628" s="3" t="s">
        <v>12</v>
      </c>
      <c r="K2628" s="4">
        <v>6.5</v>
      </c>
      <c r="M2628"/>
    </row>
    <row r="2629" spans="1:13" x14ac:dyDescent="0.25">
      <c r="A2629" s="3" t="s">
        <v>144</v>
      </c>
      <c r="B2629" s="3" t="s">
        <v>245</v>
      </c>
      <c r="C2629" s="3" t="s">
        <v>13</v>
      </c>
      <c r="D2629" s="3" t="s">
        <v>19</v>
      </c>
      <c r="E2629" s="5" t="s">
        <v>11</v>
      </c>
      <c r="F2629" s="17">
        <v>4.49</v>
      </c>
      <c r="G2629" s="3">
        <v>2</v>
      </c>
      <c r="H2629" s="17">
        <f>Table1[[#This Row],[Unit price]]*Table1[[#This Row],[Quantity]]</f>
        <v>8.98</v>
      </c>
      <c r="I2629" s="29">
        <f>Table1[[#This Row],[Total Revenue]]/$H$5056*100</f>
        <v>9.5273980861494212E-4</v>
      </c>
      <c r="J2629" s="3" t="s">
        <v>15</v>
      </c>
      <c r="K2629" s="4">
        <v>8.8000000000000007</v>
      </c>
      <c r="M2629"/>
    </row>
    <row r="2630" spans="1:13" x14ac:dyDescent="0.25">
      <c r="A2630" s="3" t="s">
        <v>145</v>
      </c>
      <c r="B2630" s="3" t="s">
        <v>243</v>
      </c>
      <c r="C2630" s="3" t="s">
        <v>9</v>
      </c>
      <c r="D2630" s="3" t="s">
        <v>19</v>
      </c>
      <c r="E2630" s="5" t="s">
        <v>21</v>
      </c>
      <c r="F2630" s="17">
        <v>36.69</v>
      </c>
      <c r="G2630" s="3">
        <v>3</v>
      </c>
      <c r="H2630" s="17">
        <f>Table1[[#This Row],[Unit price]]*Table1[[#This Row],[Quantity]]</f>
        <v>110.07</v>
      </c>
      <c r="I2630" s="29">
        <f>Table1[[#This Row],[Total Revenue]]/$H$5056*100</f>
        <v>1.1677958879092057E-2</v>
      </c>
      <c r="J2630" s="3" t="s">
        <v>12</v>
      </c>
      <c r="K2630" s="4">
        <v>6.9</v>
      </c>
      <c r="M2630"/>
    </row>
    <row r="2631" spans="1:13" x14ac:dyDescent="0.25">
      <c r="A2631" s="3" t="s">
        <v>145</v>
      </c>
      <c r="B2631" s="3" t="s">
        <v>245</v>
      </c>
      <c r="C2631" s="3" t="s">
        <v>13</v>
      </c>
      <c r="D2631" s="3" t="s">
        <v>19</v>
      </c>
      <c r="E2631" s="5" t="s">
        <v>18</v>
      </c>
      <c r="F2631" s="17">
        <v>13.78</v>
      </c>
      <c r="G2631" s="3">
        <v>2</v>
      </c>
      <c r="H2631" s="17">
        <f>Table1[[#This Row],[Unit price]]*Table1[[#This Row],[Quantity]]</f>
        <v>27.56</v>
      </c>
      <c r="I2631" s="29">
        <f>Table1[[#This Row],[Total Revenue]]/$H$5056*100</f>
        <v>2.9239987890231404E-3</v>
      </c>
      <c r="J2631" s="3" t="s">
        <v>17</v>
      </c>
      <c r="K2631" s="4">
        <v>7</v>
      </c>
      <c r="M2631"/>
    </row>
    <row r="2632" spans="1:13" x14ac:dyDescent="0.25">
      <c r="A2632" s="3" t="s">
        <v>145</v>
      </c>
      <c r="B2632" s="3" t="s">
        <v>243</v>
      </c>
      <c r="C2632" s="3" t="s">
        <v>9</v>
      </c>
      <c r="D2632" s="3" t="s">
        <v>10</v>
      </c>
      <c r="E2632" s="5" t="s">
        <v>21</v>
      </c>
      <c r="F2632" s="17">
        <v>16.260000000000002</v>
      </c>
      <c r="G2632" s="3">
        <v>3</v>
      </c>
      <c r="H2632" s="17">
        <f>Table1[[#This Row],[Unit price]]*Table1[[#This Row],[Quantity]]</f>
        <v>48.78</v>
      </c>
      <c r="I2632" s="29">
        <f>Table1[[#This Row],[Total Revenue]]/$H$5056*100</f>
        <v>5.1753505416744852E-3</v>
      </c>
      <c r="J2632" s="3" t="s">
        <v>17</v>
      </c>
      <c r="K2632" s="4">
        <v>7.9</v>
      </c>
      <c r="M2632"/>
    </row>
    <row r="2633" spans="1:13" x14ac:dyDescent="0.25">
      <c r="A2633" s="3" t="s">
        <v>145</v>
      </c>
      <c r="B2633" s="3" t="s">
        <v>244</v>
      </c>
      <c r="C2633" s="3" t="s">
        <v>13</v>
      </c>
      <c r="D2633" s="3" t="s">
        <v>19</v>
      </c>
      <c r="E2633" s="5" t="s">
        <v>11</v>
      </c>
      <c r="F2633" s="17">
        <v>6.24</v>
      </c>
      <c r="G2633" s="3">
        <v>2</v>
      </c>
      <c r="H2633" s="17">
        <f>Table1[[#This Row],[Unit price]]*Table1[[#This Row],[Quantity]]</f>
        <v>12.48</v>
      </c>
      <c r="I2633" s="29">
        <f>Table1[[#This Row],[Total Revenue]]/$H$5056*100</f>
        <v>1.3240749233312335E-3</v>
      </c>
      <c r="J2633" s="3" t="s">
        <v>15</v>
      </c>
      <c r="K2633" s="4">
        <v>6.4</v>
      </c>
      <c r="M2633"/>
    </row>
    <row r="2634" spans="1:13" x14ac:dyDescent="0.25">
      <c r="A2634" s="3" t="s">
        <v>145</v>
      </c>
      <c r="B2634" s="3" t="s">
        <v>244</v>
      </c>
      <c r="C2634" s="3" t="s">
        <v>13</v>
      </c>
      <c r="D2634" s="3" t="s">
        <v>19</v>
      </c>
      <c r="E2634" s="5" t="s">
        <v>11</v>
      </c>
      <c r="F2634" s="17">
        <v>7.67</v>
      </c>
      <c r="G2634" s="3">
        <v>2</v>
      </c>
      <c r="H2634" s="17">
        <f>Table1[[#This Row],[Unit price]]*Table1[[#This Row],[Quantity]]</f>
        <v>15.34</v>
      </c>
      <c r="I2634" s="29">
        <f>Table1[[#This Row],[Total Revenue]]/$H$5056*100</f>
        <v>1.6275087599279744E-3</v>
      </c>
      <c r="J2634" s="3" t="s">
        <v>12</v>
      </c>
      <c r="K2634" s="4">
        <v>8.6999999999999993</v>
      </c>
      <c r="M2634"/>
    </row>
    <row r="2635" spans="1:13" x14ac:dyDescent="0.25">
      <c r="A2635" s="3" t="s">
        <v>145</v>
      </c>
      <c r="B2635" s="3" t="s">
        <v>245</v>
      </c>
      <c r="C2635" s="3" t="s">
        <v>13</v>
      </c>
      <c r="D2635" s="3" t="s">
        <v>19</v>
      </c>
      <c r="E2635" s="5" t="s">
        <v>11</v>
      </c>
      <c r="F2635" s="17">
        <v>6.7</v>
      </c>
      <c r="G2635" s="3">
        <v>3</v>
      </c>
      <c r="H2635" s="17">
        <f>Table1[[#This Row],[Unit price]]*Table1[[#This Row],[Quantity]]</f>
        <v>20.100000000000001</v>
      </c>
      <c r="I2635" s="29">
        <f>Table1[[#This Row],[Total Revenue]]/$H$5056*100</f>
        <v>2.1325245159421313E-3</v>
      </c>
      <c r="J2635" s="3" t="s">
        <v>15</v>
      </c>
      <c r="K2635" s="4">
        <v>7.2</v>
      </c>
      <c r="M2635"/>
    </row>
    <row r="2636" spans="1:13" x14ac:dyDescent="0.25">
      <c r="A2636" s="3" t="s">
        <v>145</v>
      </c>
      <c r="B2636" s="3" t="s">
        <v>243</v>
      </c>
      <c r="C2636" s="3" t="s">
        <v>13</v>
      </c>
      <c r="D2636" s="3" t="s">
        <v>19</v>
      </c>
      <c r="E2636" s="5" t="s">
        <v>11</v>
      </c>
      <c r="F2636" s="17">
        <v>5.35</v>
      </c>
      <c r="G2636" s="3">
        <v>4</v>
      </c>
      <c r="H2636" s="17">
        <f>Table1[[#This Row],[Unit price]]*Table1[[#This Row],[Quantity]]</f>
        <v>21.4</v>
      </c>
      <c r="I2636" s="29">
        <f>Table1[[#This Row],[Total Revenue]]/$H$5056*100</f>
        <v>2.2704489871224675E-3</v>
      </c>
      <c r="J2636" s="3" t="s">
        <v>17</v>
      </c>
      <c r="K2636" s="4">
        <v>7.7</v>
      </c>
      <c r="M2636"/>
    </row>
    <row r="2637" spans="1:13" x14ac:dyDescent="0.25">
      <c r="A2637" s="3" t="s">
        <v>145</v>
      </c>
      <c r="B2637" s="3" t="s">
        <v>243</v>
      </c>
      <c r="C2637" s="3" t="s">
        <v>13</v>
      </c>
      <c r="D2637" s="3" t="s">
        <v>19</v>
      </c>
      <c r="E2637" s="5" t="s">
        <v>11</v>
      </c>
      <c r="F2637" s="17">
        <v>6.09</v>
      </c>
      <c r="G2637" s="3">
        <v>3</v>
      </c>
      <c r="H2637" s="17">
        <f>Table1[[#This Row],[Unit price]]*Table1[[#This Row],[Quantity]]</f>
        <v>18.27</v>
      </c>
      <c r="I2637" s="29">
        <f>Table1[[#This Row],[Total Revenue]]/$H$5056*100</f>
        <v>1.9383692988190412E-3</v>
      </c>
      <c r="J2637" s="3" t="s">
        <v>17</v>
      </c>
      <c r="K2637" s="4">
        <v>6.4</v>
      </c>
      <c r="M2637"/>
    </row>
    <row r="2638" spans="1:13" x14ac:dyDescent="0.25">
      <c r="A2638" s="3" t="s">
        <v>145</v>
      </c>
      <c r="B2638" s="3" t="s">
        <v>244</v>
      </c>
      <c r="C2638" s="3" t="s">
        <v>13</v>
      </c>
      <c r="D2638" s="3" t="s">
        <v>10</v>
      </c>
      <c r="E2638" s="5" t="s">
        <v>21</v>
      </c>
      <c r="F2638" s="17">
        <v>16.03</v>
      </c>
      <c r="G2638" s="3">
        <v>4</v>
      </c>
      <c r="H2638" s="17">
        <f>Table1[[#This Row],[Unit price]]*Table1[[#This Row],[Quantity]]</f>
        <v>64.12</v>
      </c>
      <c r="I2638" s="29">
        <f>Table1[[#This Row],[Total Revenue]]/$H$5056*100</f>
        <v>6.8028593016024597E-3</v>
      </c>
      <c r="J2638" s="3" t="s">
        <v>17</v>
      </c>
      <c r="K2638" s="4">
        <v>5.7</v>
      </c>
      <c r="M2638"/>
    </row>
    <row r="2639" spans="1:13" x14ac:dyDescent="0.25">
      <c r="A2639" s="3" t="s">
        <v>145</v>
      </c>
      <c r="B2639" s="3" t="s">
        <v>244</v>
      </c>
      <c r="C2639" s="3" t="s">
        <v>13</v>
      </c>
      <c r="D2639" s="3" t="s">
        <v>10</v>
      </c>
      <c r="E2639" s="5" t="s">
        <v>11</v>
      </c>
      <c r="F2639" s="17">
        <v>3.42</v>
      </c>
      <c r="G2639" s="3">
        <v>2</v>
      </c>
      <c r="H2639" s="17">
        <f>Table1[[#This Row],[Unit price]]*Table1[[#This Row],[Quantity]]</f>
        <v>6.84</v>
      </c>
      <c r="I2639" s="29">
        <f>Table1[[#This Row],[Total Revenue]]/$H$5056*100</f>
        <v>7.2569490990269533E-4</v>
      </c>
      <c r="J2639" s="3" t="s">
        <v>17</v>
      </c>
      <c r="K2639" s="4">
        <v>7.5</v>
      </c>
      <c r="M2639"/>
    </row>
    <row r="2640" spans="1:13" x14ac:dyDescent="0.25">
      <c r="A2640" s="3" t="s">
        <v>145</v>
      </c>
      <c r="B2640" s="3" t="s">
        <v>244</v>
      </c>
      <c r="C2640" s="3" t="s">
        <v>13</v>
      </c>
      <c r="D2640" s="3" t="s">
        <v>10</v>
      </c>
      <c r="E2640" s="5" t="s">
        <v>11</v>
      </c>
      <c r="F2640" s="17">
        <v>6.33</v>
      </c>
      <c r="G2640" s="3">
        <v>2</v>
      </c>
      <c r="H2640" s="17">
        <f>Table1[[#This Row],[Unit price]]*Table1[[#This Row],[Quantity]]</f>
        <v>12.66</v>
      </c>
      <c r="I2640" s="29">
        <f>Table1[[#This Row],[Total Revenue]]/$H$5056*100</f>
        <v>1.343172157802357E-3</v>
      </c>
      <c r="J2640" s="3" t="s">
        <v>15</v>
      </c>
      <c r="K2640" s="4">
        <v>7.6</v>
      </c>
      <c r="M2640"/>
    </row>
    <row r="2641" spans="1:13" x14ac:dyDescent="0.25">
      <c r="A2641" s="3" t="s">
        <v>145</v>
      </c>
      <c r="B2641" s="3" t="s">
        <v>245</v>
      </c>
      <c r="C2641" s="3" t="s">
        <v>9</v>
      </c>
      <c r="D2641" s="3" t="s">
        <v>10</v>
      </c>
      <c r="E2641" s="5" t="s">
        <v>11</v>
      </c>
      <c r="F2641" s="17">
        <v>6.91</v>
      </c>
      <c r="G2641" s="3">
        <v>3</v>
      </c>
      <c r="H2641" s="17">
        <f>Table1[[#This Row],[Unit price]]*Table1[[#This Row],[Quantity]]</f>
        <v>20.73</v>
      </c>
      <c r="I2641" s="29">
        <f>Table1[[#This Row],[Total Revenue]]/$H$5056*100</f>
        <v>2.1993648365910634E-3</v>
      </c>
      <c r="J2641" s="3" t="s">
        <v>15</v>
      </c>
      <c r="K2641" s="4">
        <v>8.8000000000000007</v>
      </c>
      <c r="M2641"/>
    </row>
    <row r="2642" spans="1:13" x14ac:dyDescent="0.25">
      <c r="A2642" s="3" t="s">
        <v>146</v>
      </c>
      <c r="B2642" s="3" t="s">
        <v>245</v>
      </c>
      <c r="C2642" s="3" t="s">
        <v>13</v>
      </c>
      <c r="D2642" s="3" t="s">
        <v>19</v>
      </c>
      <c r="E2642" s="5" t="s">
        <v>11</v>
      </c>
      <c r="F2642" s="17">
        <v>7.1</v>
      </c>
      <c r="G2642" s="3">
        <v>1</v>
      </c>
      <c r="H2642" s="17">
        <f>Table1[[#This Row],[Unit price]]*Table1[[#This Row],[Quantity]]</f>
        <v>7.1</v>
      </c>
      <c r="I2642" s="29">
        <f>Table1[[#This Row],[Total Revenue]]/$H$5056*100</f>
        <v>7.5327980413876256E-4</v>
      </c>
      <c r="J2642" s="3" t="s">
        <v>17</v>
      </c>
      <c r="K2642" s="4">
        <v>7.2</v>
      </c>
      <c r="M2642"/>
    </row>
    <row r="2643" spans="1:13" x14ac:dyDescent="0.25">
      <c r="A2643" s="3" t="s">
        <v>146</v>
      </c>
      <c r="B2643" s="3" t="s">
        <v>244</v>
      </c>
      <c r="C2643" s="3" t="s">
        <v>13</v>
      </c>
      <c r="D2643" s="3" t="s">
        <v>10</v>
      </c>
      <c r="E2643" s="5" t="s">
        <v>21</v>
      </c>
      <c r="F2643" s="17">
        <v>25.95</v>
      </c>
      <c r="G2643" s="3">
        <v>3</v>
      </c>
      <c r="H2643" s="17">
        <f>Table1[[#This Row],[Unit price]]*Table1[[#This Row],[Quantity]]</f>
        <v>77.849999999999994</v>
      </c>
      <c r="I2643" s="29">
        <f>Table1[[#This Row],[Total Revenue]]/$H$5056*100</f>
        <v>8.2595539087609391E-3</v>
      </c>
      <c r="J2643" s="3" t="s">
        <v>15</v>
      </c>
      <c r="K2643" s="4">
        <v>8.1999999999999993</v>
      </c>
      <c r="M2643"/>
    </row>
    <row r="2644" spans="1:13" x14ac:dyDescent="0.25">
      <c r="A2644" s="3" t="s">
        <v>146</v>
      </c>
      <c r="B2644" s="3" t="s">
        <v>244</v>
      </c>
      <c r="C2644" s="3" t="s">
        <v>13</v>
      </c>
      <c r="D2644" s="3" t="s">
        <v>19</v>
      </c>
      <c r="E2644" s="5" t="s">
        <v>11</v>
      </c>
      <c r="F2644" s="17">
        <v>4.91</v>
      </c>
      <c r="G2644" s="3">
        <v>1</v>
      </c>
      <c r="H2644" s="17">
        <f>Table1[[#This Row],[Unit price]]*Table1[[#This Row],[Quantity]]</f>
        <v>4.91</v>
      </c>
      <c r="I2644" s="29">
        <f>Table1[[#This Row],[Total Revenue]]/$H$5056*100</f>
        <v>5.20930118073426E-4</v>
      </c>
      <c r="J2644" s="3" t="s">
        <v>12</v>
      </c>
      <c r="K2644" s="4">
        <v>9.3000000000000007</v>
      </c>
      <c r="M2644"/>
    </row>
    <row r="2645" spans="1:13" x14ac:dyDescent="0.25">
      <c r="A2645" s="3" t="s">
        <v>146</v>
      </c>
      <c r="B2645" s="3" t="s">
        <v>243</v>
      </c>
      <c r="C2645" s="3" t="s">
        <v>13</v>
      </c>
      <c r="D2645" s="3" t="s">
        <v>19</v>
      </c>
      <c r="E2645" s="5" t="s">
        <v>11</v>
      </c>
      <c r="F2645" s="17">
        <v>5.94</v>
      </c>
      <c r="G2645" s="3">
        <v>2</v>
      </c>
      <c r="H2645" s="17">
        <f>Table1[[#This Row],[Unit price]]*Table1[[#This Row],[Quantity]]</f>
        <v>11.88</v>
      </c>
      <c r="I2645" s="29">
        <f>Table1[[#This Row],[Total Revenue]]/$H$5056*100</f>
        <v>1.260417475094155E-3</v>
      </c>
      <c r="J2645" s="3" t="s">
        <v>12</v>
      </c>
      <c r="K2645" s="4">
        <v>8.1999999999999993</v>
      </c>
      <c r="M2645"/>
    </row>
    <row r="2646" spans="1:13" x14ac:dyDescent="0.25">
      <c r="A2646" s="3" t="s">
        <v>146</v>
      </c>
      <c r="B2646" s="3" t="s">
        <v>244</v>
      </c>
      <c r="C2646" s="3" t="s">
        <v>9</v>
      </c>
      <c r="D2646" s="3" t="s">
        <v>10</v>
      </c>
      <c r="E2646" s="5" t="s">
        <v>11</v>
      </c>
      <c r="F2646" s="17">
        <v>3.95</v>
      </c>
      <c r="G2646" s="3">
        <v>2</v>
      </c>
      <c r="H2646" s="17">
        <f>Table1[[#This Row],[Unit price]]*Table1[[#This Row],[Quantity]]</f>
        <v>7.9</v>
      </c>
      <c r="I2646" s="29">
        <f>Table1[[#This Row],[Total Revenue]]/$H$5056*100</f>
        <v>8.3815640178820064E-4</v>
      </c>
      <c r="J2646" s="3" t="s">
        <v>15</v>
      </c>
      <c r="K2646" s="4">
        <v>6.6</v>
      </c>
      <c r="M2646"/>
    </row>
    <row r="2647" spans="1:13" x14ac:dyDescent="0.25">
      <c r="A2647" s="3" t="s">
        <v>146</v>
      </c>
      <c r="B2647" s="3" t="s">
        <v>244</v>
      </c>
      <c r="C2647" s="3" t="s">
        <v>13</v>
      </c>
      <c r="D2647" s="3" t="s">
        <v>19</v>
      </c>
      <c r="E2647" s="5" t="s">
        <v>11</v>
      </c>
      <c r="F2647" s="17">
        <v>6.83</v>
      </c>
      <c r="G2647" s="3">
        <v>4</v>
      </c>
      <c r="H2647" s="17">
        <f>Table1[[#This Row],[Unit price]]*Table1[[#This Row],[Quantity]]</f>
        <v>27.32</v>
      </c>
      <c r="I2647" s="29">
        <f>Table1[[#This Row],[Total Revenue]]/$H$5056*100</f>
        <v>2.8985358097283094E-3</v>
      </c>
      <c r="J2647" s="3" t="s">
        <v>17</v>
      </c>
      <c r="K2647" s="4">
        <v>7.7</v>
      </c>
      <c r="M2647"/>
    </row>
    <row r="2648" spans="1:13" x14ac:dyDescent="0.25">
      <c r="A2648" s="3" t="s">
        <v>146</v>
      </c>
      <c r="B2648" s="3" t="s">
        <v>245</v>
      </c>
      <c r="C2648" s="3" t="s">
        <v>9</v>
      </c>
      <c r="D2648" s="3" t="s">
        <v>19</v>
      </c>
      <c r="E2648" s="5" t="s">
        <v>11</v>
      </c>
      <c r="F2648" s="17">
        <v>7.58</v>
      </c>
      <c r="G2648" s="3">
        <v>3</v>
      </c>
      <c r="H2648" s="17">
        <f>Table1[[#This Row],[Unit price]]*Table1[[#This Row],[Quantity]]</f>
        <v>22.740000000000002</v>
      </c>
      <c r="I2648" s="29">
        <f>Table1[[#This Row],[Total Revenue]]/$H$5056*100</f>
        <v>2.4126172881852766E-3</v>
      </c>
      <c r="J2648" s="3" t="s">
        <v>15</v>
      </c>
      <c r="K2648" s="4">
        <v>8.5</v>
      </c>
      <c r="M2648"/>
    </row>
    <row r="2649" spans="1:13" x14ac:dyDescent="0.25">
      <c r="A2649" s="3" t="s">
        <v>146</v>
      </c>
      <c r="B2649" s="3" t="s">
        <v>245</v>
      </c>
      <c r="C2649" s="3" t="s">
        <v>9</v>
      </c>
      <c r="D2649" s="3" t="s">
        <v>10</v>
      </c>
      <c r="E2649" s="5" t="s">
        <v>18</v>
      </c>
      <c r="F2649" s="17">
        <v>11.54</v>
      </c>
      <c r="G2649" s="3">
        <v>1</v>
      </c>
      <c r="H2649" s="17">
        <f>Table1[[#This Row],[Unit price]]*Table1[[#This Row],[Quantity]]</f>
        <v>11.54</v>
      </c>
      <c r="I2649" s="29">
        <f>Table1[[#This Row],[Total Revenue]]/$H$5056*100</f>
        <v>1.2243449210931436E-3</v>
      </c>
      <c r="J2649" s="3" t="s">
        <v>12</v>
      </c>
      <c r="K2649" s="4">
        <v>7.3</v>
      </c>
      <c r="M2649"/>
    </row>
    <row r="2650" spans="1:13" x14ac:dyDescent="0.25">
      <c r="A2650" s="3" t="s">
        <v>146</v>
      </c>
      <c r="B2650" s="3" t="s">
        <v>244</v>
      </c>
      <c r="C2650" s="3" t="s">
        <v>13</v>
      </c>
      <c r="D2650" s="3" t="s">
        <v>10</v>
      </c>
      <c r="E2650" s="5" t="s">
        <v>21</v>
      </c>
      <c r="F2650" s="17">
        <v>24.78</v>
      </c>
      <c r="G2650" s="3">
        <v>2</v>
      </c>
      <c r="H2650" s="17">
        <f>Table1[[#This Row],[Unit price]]*Table1[[#This Row],[Quantity]]</f>
        <v>49.56</v>
      </c>
      <c r="I2650" s="29">
        <f>Table1[[#This Row],[Total Revenue]]/$H$5056*100</f>
        <v>5.2581052243826868E-3</v>
      </c>
      <c r="J2650" s="3" t="s">
        <v>12</v>
      </c>
      <c r="K2650" s="4">
        <v>6</v>
      </c>
      <c r="M2650"/>
    </row>
    <row r="2651" spans="1:13" x14ac:dyDescent="0.25">
      <c r="A2651" s="3" t="s">
        <v>146</v>
      </c>
      <c r="B2651" s="3" t="s">
        <v>245</v>
      </c>
      <c r="C2651" s="3" t="s">
        <v>13</v>
      </c>
      <c r="D2651" s="3" t="s">
        <v>19</v>
      </c>
      <c r="E2651" s="5" t="s">
        <v>14</v>
      </c>
      <c r="F2651" s="17">
        <v>94.77</v>
      </c>
      <c r="G2651" s="3">
        <v>1</v>
      </c>
      <c r="H2651" s="17">
        <f>Table1[[#This Row],[Unit price]]*Table1[[#This Row],[Quantity]]</f>
        <v>94.77</v>
      </c>
      <c r="I2651" s="29">
        <f>Table1[[#This Row],[Total Revenue]]/$H$5056*100</f>
        <v>1.0054693949046553E-2</v>
      </c>
      <c r="J2651" s="3" t="s">
        <v>17</v>
      </c>
      <c r="K2651" s="4">
        <v>7.6</v>
      </c>
      <c r="M2651"/>
    </row>
    <row r="2652" spans="1:13" x14ac:dyDescent="0.25">
      <c r="A2652" s="3" t="s">
        <v>146</v>
      </c>
      <c r="B2652" s="3" t="s">
        <v>244</v>
      </c>
      <c r="C2652" s="3" t="s">
        <v>13</v>
      </c>
      <c r="D2652" s="3" t="s">
        <v>19</v>
      </c>
      <c r="E2652" s="5" t="s">
        <v>11</v>
      </c>
      <c r="F2652" s="17">
        <v>3.76</v>
      </c>
      <c r="G2652" s="3">
        <v>5</v>
      </c>
      <c r="H2652" s="17">
        <f>Table1[[#This Row],[Unit price]]*Table1[[#This Row],[Quantity]]</f>
        <v>18.799999999999997</v>
      </c>
      <c r="I2652" s="29">
        <f>Table1[[#This Row],[Total Revenue]]/$H$5056*100</f>
        <v>1.9946000447617937E-3</v>
      </c>
      <c r="J2652" s="3" t="s">
        <v>12</v>
      </c>
      <c r="K2652" s="4">
        <v>6.6</v>
      </c>
      <c r="M2652"/>
    </row>
    <row r="2653" spans="1:13" x14ac:dyDescent="0.25">
      <c r="A2653" s="3" t="s">
        <v>146</v>
      </c>
      <c r="B2653" s="3" t="s">
        <v>243</v>
      </c>
      <c r="C2653" s="3" t="s">
        <v>13</v>
      </c>
      <c r="D2653" s="3" t="s">
        <v>10</v>
      </c>
      <c r="E2653" s="5" t="s">
        <v>21</v>
      </c>
      <c r="F2653" s="17">
        <v>26.01</v>
      </c>
      <c r="G2653" s="3">
        <v>2</v>
      </c>
      <c r="H2653" s="17">
        <f>Table1[[#This Row],[Unit price]]*Table1[[#This Row],[Quantity]]</f>
        <v>52.02</v>
      </c>
      <c r="I2653" s="29">
        <f>Table1[[#This Row],[Total Revenue]]/$H$5056*100</f>
        <v>5.519100762154709E-3</v>
      </c>
      <c r="J2653" s="3" t="s">
        <v>12</v>
      </c>
      <c r="K2653" s="4">
        <v>5.4</v>
      </c>
      <c r="M2653"/>
    </row>
    <row r="2654" spans="1:13" x14ac:dyDescent="0.25">
      <c r="A2654" s="3" t="s">
        <v>147</v>
      </c>
      <c r="B2654" s="3" t="s">
        <v>243</v>
      </c>
      <c r="C2654" s="3" t="s">
        <v>13</v>
      </c>
      <c r="D2654" s="3" t="s">
        <v>10</v>
      </c>
      <c r="E2654" s="5" t="s">
        <v>21</v>
      </c>
      <c r="F2654" s="17">
        <v>20.2</v>
      </c>
      <c r="G2654" s="3">
        <v>2</v>
      </c>
      <c r="H2654" s="17">
        <f>Table1[[#This Row],[Unit price]]*Table1[[#This Row],[Quantity]]</f>
        <v>40.4</v>
      </c>
      <c r="I2654" s="29">
        <f>Table1[[#This Row],[Total Revenue]]/$H$5056*100</f>
        <v>4.2862681812966211E-3</v>
      </c>
      <c r="J2654" s="3" t="s">
        <v>12</v>
      </c>
      <c r="K2654" s="4">
        <v>6.6</v>
      </c>
      <c r="M2654"/>
    </row>
    <row r="2655" spans="1:13" x14ac:dyDescent="0.25">
      <c r="A2655" s="3" t="s">
        <v>147</v>
      </c>
      <c r="B2655" s="3" t="s">
        <v>245</v>
      </c>
      <c r="C2655" s="3" t="s">
        <v>13</v>
      </c>
      <c r="D2655" s="3" t="s">
        <v>10</v>
      </c>
      <c r="E2655" s="5" t="s">
        <v>11</v>
      </c>
      <c r="F2655" s="17">
        <v>5.29</v>
      </c>
      <c r="G2655" s="3">
        <v>1</v>
      </c>
      <c r="H2655" s="17">
        <f>Table1[[#This Row],[Unit price]]*Table1[[#This Row],[Quantity]]</f>
        <v>5.29</v>
      </c>
      <c r="I2655" s="29">
        <f>Table1[[#This Row],[Total Revenue]]/$H$5056*100</f>
        <v>5.6124650195690903E-4</v>
      </c>
      <c r="J2655" s="3" t="s">
        <v>12</v>
      </c>
      <c r="K2655" s="4">
        <v>7.6</v>
      </c>
      <c r="M2655"/>
    </row>
    <row r="2656" spans="1:13" x14ac:dyDescent="0.25">
      <c r="A2656" s="3" t="s">
        <v>147</v>
      </c>
      <c r="B2656" s="3" t="s">
        <v>245</v>
      </c>
      <c r="C2656" s="3" t="s">
        <v>9</v>
      </c>
      <c r="D2656" s="3" t="s">
        <v>10</v>
      </c>
      <c r="E2656" s="5" t="s">
        <v>11</v>
      </c>
      <c r="F2656" s="17">
        <v>7.42</v>
      </c>
      <c r="G2656" s="3">
        <v>4</v>
      </c>
      <c r="H2656" s="17">
        <f>Table1[[#This Row],[Unit price]]*Table1[[#This Row],[Quantity]]</f>
        <v>29.68</v>
      </c>
      <c r="I2656" s="29">
        <f>Table1[[#This Row],[Total Revenue]]/$H$5056*100</f>
        <v>3.1489217727941514E-3</v>
      </c>
      <c r="J2656" s="3" t="s">
        <v>12</v>
      </c>
      <c r="K2656" s="4">
        <v>7.2</v>
      </c>
      <c r="M2656"/>
    </row>
    <row r="2657" spans="1:13" x14ac:dyDescent="0.25">
      <c r="A2657" s="3" t="s">
        <v>147</v>
      </c>
      <c r="B2657" s="3" t="s">
        <v>245</v>
      </c>
      <c r="C2657" s="3" t="s">
        <v>13</v>
      </c>
      <c r="D2657" s="3" t="s">
        <v>10</v>
      </c>
      <c r="E2657" s="5" t="s">
        <v>20</v>
      </c>
      <c r="F2657" s="17">
        <v>68.959999999999994</v>
      </c>
      <c r="G2657" s="3">
        <v>5</v>
      </c>
      <c r="H2657" s="17">
        <f>Table1[[#This Row],[Unit price]]*Table1[[#This Row],[Quantity]]</f>
        <v>344.79999999999995</v>
      </c>
      <c r="I2657" s="29">
        <f>Table1[[#This Row],[Total Revenue]]/$H$5056*100</f>
        <v>3.6581813586907791E-2</v>
      </c>
      <c r="J2657" s="3" t="s">
        <v>17</v>
      </c>
      <c r="K2657" s="4">
        <v>7</v>
      </c>
      <c r="M2657"/>
    </row>
    <row r="2658" spans="1:13" x14ac:dyDescent="0.25">
      <c r="A2658" s="3" t="s">
        <v>147</v>
      </c>
      <c r="B2658" s="3" t="s">
        <v>243</v>
      </c>
      <c r="C2658" s="3" t="s">
        <v>9</v>
      </c>
      <c r="D2658" s="3" t="s">
        <v>10</v>
      </c>
      <c r="E2658" s="5" t="s">
        <v>20</v>
      </c>
      <c r="F2658" s="17">
        <v>48.4</v>
      </c>
      <c r="G2658" s="3">
        <v>2</v>
      </c>
      <c r="H2658" s="17">
        <f>Table1[[#This Row],[Unit price]]*Table1[[#This Row],[Quantity]]</f>
        <v>96.8</v>
      </c>
      <c r="I2658" s="29">
        <f>Table1[[#This Row],[Total Revenue]]/$H$5056*100</f>
        <v>1.0270068315582003E-2</v>
      </c>
      <c r="J2658" s="3" t="s">
        <v>12</v>
      </c>
      <c r="K2658" s="4">
        <v>6.6</v>
      </c>
      <c r="M2658"/>
    </row>
    <row r="2659" spans="1:13" x14ac:dyDescent="0.25">
      <c r="A2659" s="3" t="s">
        <v>147</v>
      </c>
      <c r="B2659" s="3" t="s">
        <v>243</v>
      </c>
      <c r="C2659" s="3" t="s">
        <v>13</v>
      </c>
      <c r="D2659" s="3" t="s">
        <v>10</v>
      </c>
      <c r="E2659" s="5" t="s">
        <v>11</v>
      </c>
      <c r="F2659" s="17">
        <v>6.38</v>
      </c>
      <c r="G2659" s="3">
        <v>2</v>
      </c>
      <c r="H2659" s="17">
        <f>Table1[[#This Row],[Unit price]]*Table1[[#This Row],[Quantity]]</f>
        <v>12.76</v>
      </c>
      <c r="I2659" s="29">
        <f>Table1[[#This Row],[Total Revenue]]/$H$5056*100</f>
        <v>1.3537817325085368E-3</v>
      </c>
      <c r="J2659" s="3" t="s">
        <v>17</v>
      </c>
      <c r="K2659" s="4">
        <v>8.4</v>
      </c>
      <c r="M2659"/>
    </row>
    <row r="2660" spans="1:13" x14ac:dyDescent="0.25">
      <c r="A2660" s="3" t="s">
        <v>147</v>
      </c>
      <c r="B2660" s="3" t="s">
        <v>243</v>
      </c>
      <c r="C2660" s="3" t="s">
        <v>13</v>
      </c>
      <c r="D2660" s="3" t="s">
        <v>19</v>
      </c>
      <c r="E2660" s="5" t="s">
        <v>11</v>
      </c>
      <c r="F2660" s="17">
        <v>4.54</v>
      </c>
      <c r="G2660" s="3">
        <v>3</v>
      </c>
      <c r="H2660" s="17">
        <f>Table1[[#This Row],[Unit price]]*Table1[[#This Row],[Quantity]]</f>
        <v>13.620000000000001</v>
      </c>
      <c r="I2660" s="29">
        <f>Table1[[#This Row],[Total Revenue]]/$H$5056*100</f>
        <v>1.4450240749816828E-3</v>
      </c>
      <c r="J2660" s="3" t="s">
        <v>15</v>
      </c>
      <c r="K2660" s="4">
        <v>9.4</v>
      </c>
      <c r="M2660"/>
    </row>
    <row r="2661" spans="1:13" x14ac:dyDescent="0.25">
      <c r="A2661" s="3" t="s">
        <v>147</v>
      </c>
      <c r="B2661" s="3" t="s">
        <v>245</v>
      </c>
      <c r="C2661" s="3" t="s">
        <v>13</v>
      </c>
      <c r="D2661" s="3" t="s">
        <v>19</v>
      </c>
      <c r="E2661" s="5" t="s">
        <v>14</v>
      </c>
      <c r="F2661" s="17">
        <v>79.56</v>
      </c>
      <c r="G2661" s="3">
        <v>2</v>
      </c>
      <c r="H2661" s="17">
        <f>Table1[[#This Row],[Unit price]]*Table1[[#This Row],[Quantity]]</f>
        <v>159.12</v>
      </c>
      <c r="I2661" s="29">
        <f>Table1[[#This Row],[Total Revenue]]/$H$5056*100</f>
        <v>1.6881955272473225E-2</v>
      </c>
      <c r="J2661" s="3" t="s">
        <v>15</v>
      </c>
      <c r="K2661" s="4">
        <v>7.3</v>
      </c>
      <c r="M2661"/>
    </row>
    <row r="2662" spans="1:13" x14ac:dyDescent="0.25">
      <c r="A2662" s="3" t="s">
        <v>147</v>
      </c>
      <c r="B2662" s="3" t="s">
        <v>244</v>
      </c>
      <c r="C2662" s="3" t="s">
        <v>13</v>
      </c>
      <c r="D2662" s="3" t="s">
        <v>19</v>
      </c>
      <c r="E2662" s="5" t="s">
        <v>11</v>
      </c>
      <c r="F2662" s="17">
        <v>5.9</v>
      </c>
      <c r="G2662" s="3">
        <v>3</v>
      </c>
      <c r="H2662" s="17">
        <f>Table1[[#This Row],[Unit price]]*Table1[[#This Row],[Quantity]]</f>
        <v>17.700000000000003</v>
      </c>
      <c r="I2662" s="29">
        <f>Table1[[#This Row],[Total Revenue]]/$H$5056*100</f>
        <v>1.8778947229938169E-3</v>
      </c>
      <c r="J2662" s="3" t="s">
        <v>12</v>
      </c>
      <c r="K2662" s="4">
        <v>7.2</v>
      </c>
      <c r="M2662"/>
    </row>
    <row r="2663" spans="1:13" x14ac:dyDescent="0.25">
      <c r="A2663" s="3" t="s">
        <v>148</v>
      </c>
      <c r="B2663" s="3" t="s">
        <v>244</v>
      </c>
      <c r="C2663" s="3" t="s">
        <v>13</v>
      </c>
      <c r="D2663" s="3" t="s">
        <v>10</v>
      </c>
      <c r="E2663" s="5" t="s">
        <v>18</v>
      </c>
      <c r="F2663" s="17">
        <v>18.670000000000002</v>
      </c>
      <c r="G2663" s="3">
        <v>1</v>
      </c>
      <c r="H2663" s="17">
        <f>Table1[[#This Row],[Unit price]]*Table1[[#This Row],[Quantity]]</f>
        <v>18.670000000000002</v>
      </c>
      <c r="I2663" s="29">
        <f>Table1[[#This Row],[Total Revenue]]/$H$5056*100</f>
        <v>1.9808075976437607E-3</v>
      </c>
      <c r="J2663" s="3" t="s">
        <v>12</v>
      </c>
      <c r="K2663" s="4">
        <v>7.2</v>
      </c>
      <c r="M2663"/>
    </row>
    <row r="2664" spans="1:13" x14ac:dyDescent="0.25">
      <c r="A2664" s="3" t="s">
        <v>148</v>
      </c>
      <c r="B2664" s="3" t="s">
        <v>243</v>
      </c>
      <c r="C2664" s="3" t="s">
        <v>13</v>
      </c>
      <c r="D2664" s="3" t="s">
        <v>19</v>
      </c>
      <c r="E2664" s="5" t="s">
        <v>16</v>
      </c>
      <c r="F2664" s="17">
        <v>57.64</v>
      </c>
      <c r="G2664" s="3">
        <v>3</v>
      </c>
      <c r="H2664" s="17">
        <f>Table1[[#This Row],[Unit price]]*Table1[[#This Row],[Quantity]]</f>
        <v>172.92000000000002</v>
      </c>
      <c r="I2664" s="29">
        <f>Table1[[#This Row],[Total Revenue]]/$H$5056*100</f>
        <v>1.8346076581926034E-2</v>
      </c>
      <c r="J2664" s="3" t="s">
        <v>17</v>
      </c>
      <c r="K2664" s="4">
        <v>8.6999999999999993</v>
      </c>
      <c r="M2664"/>
    </row>
    <row r="2665" spans="1:13" x14ac:dyDescent="0.25">
      <c r="A2665" s="3" t="s">
        <v>148</v>
      </c>
      <c r="B2665" s="3" t="s">
        <v>245</v>
      </c>
      <c r="C2665" s="3" t="s">
        <v>13</v>
      </c>
      <c r="D2665" s="3" t="s">
        <v>19</v>
      </c>
      <c r="E2665" s="5" t="s">
        <v>16</v>
      </c>
      <c r="F2665" s="17">
        <v>67.03</v>
      </c>
      <c r="G2665" s="3">
        <v>1</v>
      </c>
      <c r="H2665" s="17">
        <f>Table1[[#This Row],[Unit price]]*Table1[[#This Row],[Quantity]]</f>
        <v>67.03</v>
      </c>
      <c r="I2665" s="29">
        <f>Table1[[#This Row],[Total Revenue]]/$H$5056*100</f>
        <v>7.1115979255522901E-3</v>
      </c>
      <c r="J2665" s="3" t="s">
        <v>17</v>
      </c>
      <c r="K2665" s="4">
        <v>7</v>
      </c>
      <c r="M2665"/>
    </row>
    <row r="2666" spans="1:13" x14ac:dyDescent="0.25">
      <c r="A2666" s="3" t="s">
        <v>148</v>
      </c>
      <c r="B2666" s="3" t="s">
        <v>243</v>
      </c>
      <c r="C2666" s="3" t="s">
        <v>13</v>
      </c>
      <c r="D2666" s="3" t="s">
        <v>19</v>
      </c>
      <c r="E2666" s="5" t="s">
        <v>11</v>
      </c>
      <c r="F2666" s="17">
        <v>7.58</v>
      </c>
      <c r="G2666" s="3">
        <v>2</v>
      </c>
      <c r="H2666" s="17">
        <f>Table1[[#This Row],[Unit price]]*Table1[[#This Row],[Quantity]]</f>
        <v>15.16</v>
      </c>
      <c r="I2666" s="29">
        <f>Table1[[#This Row],[Total Revenue]]/$H$5056*100</f>
        <v>1.6084115254568511E-3</v>
      </c>
      <c r="J2666" s="3" t="s">
        <v>15</v>
      </c>
      <c r="K2666" s="4">
        <v>8.3000000000000007</v>
      </c>
      <c r="M2666"/>
    </row>
    <row r="2667" spans="1:13" x14ac:dyDescent="0.25">
      <c r="A2667" s="3" t="s">
        <v>148</v>
      </c>
      <c r="B2667" s="3" t="s">
        <v>244</v>
      </c>
      <c r="C2667" s="3" t="s">
        <v>13</v>
      </c>
      <c r="D2667" s="3" t="s">
        <v>10</v>
      </c>
      <c r="E2667" s="5" t="s">
        <v>21</v>
      </c>
      <c r="F2667" s="17">
        <v>34.82</v>
      </c>
      <c r="G2667" s="3">
        <v>4</v>
      </c>
      <c r="H2667" s="17">
        <f>Table1[[#This Row],[Unit price]]*Table1[[#This Row],[Quantity]]</f>
        <v>139.28</v>
      </c>
      <c r="I2667" s="29">
        <f>Table1[[#This Row],[Total Revenue]]/$H$5056*100</f>
        <v>1.4777015650767163E-2</v>
      </c>
      <c r="J2667" s="3" t="s">
        <v>15</v>
      </c>
      <c r="K2667" s="4">
        <v>6.5</v>
      </c>
      <c r="M2667"/>
    </row>
    <row r="2668" spans="1:13" x14ac:dyDescent="0.25">
      <c r="A2668" s="3" t="s">
        <v>148</v>
      </c>
      <c r="B2668" s="3" t="s">
        <v>243</v>
      </c>
      <c r="C2668" s="3" t="s">
        <v>9</v>
      </c>
      <c r="D2668" s="3" t="s">
        <v>10</v>
      </c>
      <c r="E2668" s="5" t="s">
        <v>21</v>
      </c>
      <c r="F2668" s="17">
        <v>24.29</v>
      </c>
      <c r="G2668" s="3">
        <v>2</v>
      </c>
      <c r="H2668" s="17">
        <f>Table1[[#This Row],[Unit price]]*Table1[[#This Row],[Quantity]]</f>
        <v>48.58</v>
      </c>
      <c r="I2668" s="29">
        <f>Table1[[#This Row],[Total Revenue]]/$H$5056*100</f>
        <v>5.1541313922621249E-3</v>
      </c>
      <c r="J2668" s="3" t="s">
        <v>17</v>
      </c>
      <c r="K2668" s="4">
        <v>7.4</v>
      </c>
      <c r="M2668"/>
    </row>
    <row r="2669" spans="1:13" x14ac:dyDescent="0.25">
      <c r="A2669" s="3" t="s">
        <v>148</v>
      </c>
      <c r="B2669" s="3" t="s">
        <v>244</v>
      </c>
      <c r="C2669" s="3" t="s">
        <v>9</v>
      </c>
      <c r="D2669" s="3" t="s">
        <v>10</v>
      </c>
      <c r="E2669" s="5" t="s">
        <v>20</v>
      </c>
      <c r="F2669" s="17">
        <v>65.239999999999995</v>
      </c>
      <c r="G2669" s="3">
        <v>3</v>
      </c>
      <c r="H2669" s="17">
        <f>Table1[[#This Row],[Unit price]]*Table1[[#This Row],[Quantity]]</f>
        <v>195.71999999999997</v>
      </c>
      <c r="I2669" s="29">
        <f>Table1[[#This Row],[Total Revenue]]/$H$5056*100</f>
        <v>2.0765059614935015E-2</v>
      </c>
      <c r="J2669" s="3" t="s">
        <v>15</v>
      </c>
      <c r="K2669" s="4">
        <v>7.6</v>
      </c>
      <c r="M2669"/>
    </row>
    <row r="2670" spans="1:13" x14ac:dyDescent="0.25">
      <c r="A2670" s="3" t="s">
        <v>148</v>
      </c>
      <c r="B2670" s="3" t="s">
        <v>244</v>
      </c>
      <c r="C2670" s="3" t="s">
        <v>13</v>
      </c>
      <c r="D2670" s="3" t="s">
        <v>19</v>
      </c>
      <c r="E2670" s="5" t="s">
        <v>14</v>
      </c>
      <c r="F2670" s="17">
        <v>86.1</v>
      </c>
      <c r="G2670" s="3">
        <v>2</v>
      </c>
      <c r="H2670" s="17">
        <f>Table1[[#This Row],[Unit price]]*Table1[[#This Row],[Quantity]]</f>
        <v>172.2</v>
      </c>
      <c r="I2670" s="29">
        <f>Table1[[#This Row],[Total Revenue]]/$H$5056*100</f>
        <v>1.8269687644041539E-2</v>
      </c>
      <c r="J2670" s="3" t="s">
        <v>15</v>
      </c>
      <c r="K2670" s="4">
        <v>7.6</v>
      </c>
      <c r="M2670"/>
    </row>
    <row r="2671" spans="1:13" x14ac:dyDescent="0.25">
      <c r="A2671" s="3" t="s">
        <v>148</v>
      </c>
      <c r="B2671" s="3" t="s">
        <v>243</v>
      </c>
      <c r="C2671" s="3" t="s">
        <v>13</v>
      </c>
      <c r="D2671" s="3" t="s">
        <v>19</v>
      </c>
      <c r="E2671" s="5" t="s">
        <v>11</v>
      </c>
      <c r="F2671" s="17">
        <v>7.93</v>
      </c>
      <c r="G2671" s="3">
        <v>4</v>
      </c>
      <c r="H2671" s="17">
        <f>Table1[[#This Row],[Unit price]]*Table1[[#This Row],[Quantity]]</f>
        <v>31.72</v>
      </c>
      <c r="I2671" s="29">
        <f>Table1[[#This Row],[Total Revenue]]/$H$5056*100</f>
        <v>3.3653570968002187E-3</v>
      </c>
      <c r="J2671" s="3" t="s">
        <v>12</v>
      </c>
      <c r="K2671" s="4">
        <v>8.4</v>
      </c>
      <c r="M2671"/>
    </row>
    <row r="2672" spans="1:13" x14ac:dyDescent="0.25">
      <c r="A2672" s="3" t="s">
        <v>148</v>
      </c>
      <c r="B2672" s="3" t="s">
        <v>244</v>
      </c>
      <c r="C2672" s="3" t="s">
        <v>9</v>
      </c>
      <c r="D2672" s="3" t="s">
        <v>10</v>
      </c>
      <c r="E2672" s="5" t="s">
        <v>21</v>
      </c>
      <c r="F2672" s="17">
        <v>23.8</v>
      </c>
      <c r="G2672" s="3">
        <v>1</v>
      </c>
      <c r="H2672" s="17">
        <f>Table1[[#This Row],[Unit price]]*Table1[[#This Row],[Quantity]]</f>
        <v>23.8</v>
      </c>
      <c r="I2672" s="29">
        <f>Table1[[#This Row],[Total Revenue]]/$H$5056*100</f>
        <v>2.5250787800707819E-3</v>
      </c>
      <c r="J2672" s="3" t="s">
        <v>12</v>
      </c>
      <c r="K2672" s="4">
        <v>5.9</v>
      </c>
      <c r="M2672"/>
    </row>
    <row r="2673" spans="1:13" x14ac:dyDescent="0.25">
      <c r="A2673" s="3" t="s">
        <v>148</v>
      </c>
      <c r="B2673" s="3" t="s">
        <v>243</v>
      </c>
      <c r="C2673" s="3" t="s">
        <v>13</v>
      </c>
      <c r="D2673" s="3" t="s">
        <v>10</v>
      </c>
      <c r="E2673" s="5" t="s">
        <v>20</v>
      </c>
      <c r="F2673" s="17">
        <v>62.07</v>
      </c>
      <c r="G2673" s="3">
        <v>4</v>
      </c>
      <c r="H2673" s="17">
        <f>Table1[[#This Row],[Unit price]]*Table1[[#This Row],[Quantity]]</f>
        <v>248.28</v>
      </c>
      <c r="I2673" s="29">
        <f>Table1[[#This Row],[Total Revenue]]/$H$5056*100</f>
        <v>2.6341452080503095E-2</v>
      </c>
      <c r="J2673" s="3" t="s">
        <v>17</v>
      </c>
      <c r="K2673" s="4">
        <v>8.3000000000000007</v>
      </c>
      <c r="M2673"/>
    </row>
    <row r="2674" spans="1:13" x14ac:dyDescent="0.25">
      <c r="A2674" s="3" t="s">
        <v>148</v>
      </c>
      <c r="B2674" s="3" t="s">
        <v>243</v>
      </c>
      <c r="C2674" s="3" t="s">
        <v>13</v>
      </c>
      <c r="D2674" s="3" t="s">
        <v>19</v>
      </c>
      <c r="E2674" s="5" t="s">
        <v>11</v>
      </c>
      <c r="F2674" s="17">
        <v>7.06</v>
      </c>
      <c r="G2674" s="3">
        <v>1</v>
      </c>
      <c r="H2674" s="17">
        <f>Table1[[#This Row],[Unit price]]*Table1[[#This Row],[Quantity]]</f>
        <v>7.06</v>
      </c>
      <c r="I2674" s="29">
        <f>Table1[[#This Row],[Total Revenue]]/$H$5056*100</f>
        <v>7.4903597425629066E-4</v>
      </c>
      <c r="J2674" s="3" t="s">
        <v>17</v>
      </c>
      <c r="K2674" s="4">
        <v>7.3</v>
      </c>
      <c r="M2674"/>
    </row>
    <row r="2675" spans="1:13" x14ac:dyDescent="0.25">
      <c r="A2675" s="3" t="s">
        <v>149</v>
      </c>
      <c r="B2675" s="3" t="s">
        <v>244</v>
      </c>
      <c r="C2675" s="3" t="s">
        <v>13</v>
      </c>
      <c r="D2675" s="3" t="s">
        <v>19</v>
      </c>
      <c r="E2675" s="5" t="s">
        <v>21</v>
      </c>
      <c r="F2675" s="17">
        <v>20.02</v>
      </c>
      <c r="G2675" s="3">
        <v>1</v>
      </c>
      <c r="H2675" s="17">
        <f>Table1[[#This Row],[Unit price]]*Table1[[#This Row],[Quantity]]</f>
        <v>20.02</v>
      </c>
      <c r="I2675" s="29">
        <f>Table1[[#This Row],[Total Revenue]]/$H$5056*100</f>
        <v>2.124036856177187E-3</v>
      </c>
      <c r="J2675" s="3" t="s">
        <v>15</v>
      </c>
      <c r="K2675" s="4">
        <v>7.2</v>
      </c>
      <c r="M2675"/>
    </row>
    <row r="2676" spans="1:13" x14ac:dyDescent="0.25">
      <c r="A2676" s="3" t="s">
        <v>149</v>
      </c>
      <c r="B2676" s="3" t="s">
        <v>244</v>
      </c>
      <c r="C2676" s="3" t="s">
        <v>13</v>
      </c>
      <c r="D2676" s="3" t="s">
        <v>19</v>
      </c>
      <c r="E2676" s="5" t="s">
        <v>18</v>
      </c>
      <c r="F2676" s="17">
        <v>19.43</v>
      </c>
      <c r="G2676" s="3">
        <v>1</v>
      </c>
      <c r="H2676" s="17">
        <f>Table1[[#This Row],[Unit price]]*Table1[[#This Row],[Quantity]]</f>
        <v>19.43</v>
      </c>
      <c r="I2676" s="29">
        <f>Table1[[#This Row],[Total Revenue]]/$H$5056*100</f>
        <v>2.0614403654107263E-3</v>
      </c>
      <c r="J2676" s="3" t="s">
        <v>15</v>
      </c>
      <c r="K2676" s="4">
        <v>8.8000000000000007</v>
      </c>
      <c r="M2676"/>
    </row>
    <row r="2677" spans="1:13" x14ac:dyDescent="0.25">
      <c r="A2677" s="3" t="s">
        <v>149</v>
      </c>
      <c r="B2677" s="3" t="s">
        <v>243</v>
      </c>
      <c r="C2677" s="3" t="s">
        <v>13</v>
      </c>
      <c r="D2677" s="3" t="s">
        <v>19</v>
      </c>
      <c r="E2677" s="5" t="s">
        <v>11</v>
      </c>
      <c r="F2677" s="17">
        <v>7.45</v>
      </c>
      <c r="G2677" s="3">
        <v>3</v>
      </c>
      <c r="H2677" s="17">
        <f>Table1[[#This Row],[Unit price]]*Table1[[#This Row],[Quantity]]</f>
        <v>22.35</v>
      </c>
      <c r="I2677" s="29">
        <f>Table1[[#This Row],[Total Revenue]]/$H$5056*100</f>
        <v>2.3712399468311753E-3</v>
      </c>
      <c r="J2677" s="3" t="s">
        <v>15</v>
      </c>
      <c r="K2677" s="4">
        <v>5.8</v>
      </c>
      <c r="M2677"/>
    </row>
    <row r="2678" spans="1:13" x14ac:dyDescent="0.25">
      <c r="A2678" s="3" t="s">
        <v>149</v>
      </c>
      <c r="B2678" s="3" t="s">
        <v>243</v>
      </c>
      <c r="C2678" s="3" t="s">
        <v>9</v>
      </c>
      <c r="D2678" s="3" t="s">
        <v>10</v>
      </c>
      <c r="E2678" s="5" t="s">
        <v>21</v>
      </c>
      <c r="F2678" s="17">
        <v>32.25</v>
      </c>
      <c r="G2678" s="3">
        <v>4</v>
      </c>
      <c r="H2678" s="17">
        <f>Table1[[#This Row],[Unit price]]*Table1[[#This Row],[Quantity]]</f>
        <v>129</v>
      </c>
      <c r="I2678" s="29">
        <f>Table1[[#This Row],[Total Revenue]]/$H$5056*100</f>
        <v>1.3686351370971885E-2</v>
      </c>
      <c r="J2678" s="3" t="s">
        <v>17</v>
      </c>
      <c r="K2678" s="4">
        <v>5.9</v>
      </c>
      <c r="M2678"/>
    </row>
    <row r="2679" spans="1:13" x14ac:dyDescent="0.25">
      <c r="A2679" s="3" t="s">
        <v>149</v>
      </c>
      <c r="B2679" s="3" t="s">
        <v>244</v>
      </c>
      <c r="C2679" s="3" t="s">
        <v>13</v>
      </c>
      <c r="D2679" s="3" t="s">
        <v>19</v>
      </c>
      <c r="E2679" s="5" t="s">
        <v>11</v>
      </c>
      <c r="F2679" s="17">
        <v>5.35</v>
      </c>
      <c r="G2679" s="3">
        <v>3</v>
      </c>
      <c r="H2679" s="17">
        <f>Table1[[#This Row],[Unit price]]*Table1[[#This Row],[Quantity]]</f>
        <v>16.049999999999997</v>
      </c>
      <c r="I2679" s="29">
        <f>Table1[[#This Row],[Total Revenue]]/$H$5056*100</f>
        <v>1.7028367403418504E-3</v>
      </c>
      <c r="J2679" s="3" t="s">
        <v>12</v>
      </c>
      <c r="K2679" s="4">
        <v>7.6</v>
      </c>
      <c r="M2679"/>
    </row>
    <row r="2680" spans="1:13" x14ac:dyDescent="0.25">
      <c r="A2680" s="3" t="s">
        <v>149</v>
      </c>
      <c r="B2680" s="3" t="s">
        <v>245</v>
      </c>
      <c r="C2680" s="3" t="s">
        <v>13</v>
      </c>
      <c r="D2680" s="3" t="s">
        <v>10</v>
      </c>
      <c r="E2680" s="5" t="s">
        <v>21</v>
      </c>
      <c r="F2680" s="17">
        <v>27.8</v>
      </c>
      <c r="G2680" s="3">
        <v>1</v>
      </c>
      <c r="H2680" s="17">
        <f>Table1[[#This Row],[Unit price]]*Table1[[#This Row],[Quantity]]</f>
        <v>27.8</v>
      </c>
      <c r="I2680" s="29">
        <f>Table1[[#This Row],[Total Revenue]]/$H$5056*100</f>
        <v>2.9494617683179718E-3</v>
      </c>
      <c r="J2680" s="3" t="s">
        <v>12</v>
      </c>
      <c r="K2680" s="4">
        <v>5.4</v>
      </c>
      <c r="M2680"/>
    </row>
    <row r="2681" spans="1:13" x14ac:dyDescent="0.25">
      <c r="A2681" s="3" t="s">
        <v>149</v>
      </c>
      <c r="B2681" s="3" t="s">
        <v>243</v>
      </c>
      <c r="C2681" s="3" t="s">
        <v>13</v>
      </c>
      <c r="D2681" s="3" t="s">
        <v>19</v>
      </c>
      <c r="E2681" s="5" t="s">
        <v>11</v>
      </c>
      <c r="F2681" s="17">
        <v>7.93</v>
      </c>
      <c r="G2681" s="3">
        <v>4</v>
      </c>
      <c r="H2681" s="17">
        <f>Table1[[#This Row],[Unit price]]*Table1[[#This Row],[Quantity]]</f>
        <v>31.72</v>
      </c>
      <c r="I2681" s="29">
        <f>Table1[[#This Row],[Total Revenue]]/$H$5056*100</f>
        <v>3.3653570968002187E-3</v>
      </c>
      <c r="J2681" s="3" t="s">
        <v>15</v>
      </c>
      <c r="K2681" s="4">
        <v>6.5</v>
      </c>
      <c r="M2681"/>
    </row>
    <row r="2682" spans="1:13" x14ac:dyDescent="0.25">
      <c r="A2682" s="3" t="s">
        <v>149</v>
      </c>
      <c r="B2682" s="3" t="s">
        <v>243</v>
      </c>
      <c r="C2682" s="3" t="s">
        <v>13</v>
      </c>
      <c r="D2682" s="3" t="s">
        <v>10</v>
      </c>
      <c r="E2682" s="5" t="s">
        <v>11</v>
      </c>
      <c r="F2682" s="17">
        <v>6.09</v>
      </c>
      <c r="G2682" s="3">
        <v>2</v>
      </c>
      <c r="H2682" s="17">
        <f>Table1[[#This Row],[Unit price]]*Table1[[#This Row],[Quantity]]</f>
        <v>12.18</v>
      </c>
      <c r="I2682" s="29">
        <f>Table1[[#This Row],[Total Revenue]]/$H$5056*100</f>
        <v>1.2922461992126942E-3</v>
      </c>
      <c r="J2682" s="3" t="s">
        <v>15</v>
      </c>
      <c r="K2682" s="4">
        <v>7.4</v>
      </c>
      <c r="M2682"/>
    </row>
    <row r="2683" spans="1:13" x14ac:dyDescent="0.25">
      <c r="A2683" s="3" t="s">
        <v>149</v>
      </c>
      <c r="B2683" s="3" t="s">
        <v>244</v>
      </c>
      <c r="C2683" s="3" t="s">
        <v>13</v>
      </c>
      <c r="D2683" s="3" t="s">
        <v>19</v>
      </c>
      <c r="E2683" s="5" t="s">
        <v>11</v>
      </c>
      <c r="F2683" s="17">
        <v>3.93</v>
      </c>
      <c r="G2683" s="3">
        <v>3</v>
      </c>
      <c r="H2683" s="17">
        <f>Table1[[#This Row],[Unit price]]*Table1[[#This Row],[Quantity]]</f>
        <v>11.790000000000001</v>
      </c>
      <c r="I2683" s="29">
        <f>Table1[[#This Row],[Total Revenue]]/$H$5056*100</f>
        <v>1.2508688578585932E-3</v>
      </c>
      <c r="J2683" s="3" t="s">
        <v>12</v>
      </c>
      <c r="K2683" s="4">
        <v>7.6</v>
      </c>
      <c r="M2683"/>
    </row>
    <row r="2684" spans="1:13" x14ac:dyDescent="0.25">
      <c r="A2684" s="3" t="s">
        <v>149</v>
      </c>
      <c r="B2684" s="3" t="s">
        <v>244</v>
      </c>
      <c r="C2684" s="3" t="s">
        <v>13</v>
      </c>
      <c r="D2684" s="3" t="s">
        <v>10</v>
      </c>
      <c r="E2684" s="5" t="s">
        <v>21</v>
      </c>
      <c r="F2684" s="17">
        <v>34.729999999999997</v>
      </c>
      <c r="G2684" s="3">
        <v>4</v>
      </c>
      <c r="H2684" s="17">
        <f>Table1[[#This Row],[Unit price]]*Table1[[#This Row],[Quantity]]</f>
        <v>138.91999999999999</v>
      </c>
      <c r="I2684" s="29">
        <f>Table1[[#This Row],[Total Revenue]]/$H$5056*100</f>
        <v>1.4738821181824914E-2</v>
      </c>
      <c r="J2684" s="3" t="s">
        <v>15</v>
      </c>
      <c r="K2684" s="4">
        <v>7.4</v>
      </c>
      <c r="M2684"/>
    </row>
    <row r="2685" spans="1:13" x14ac:dyDescent="0.25">
      <c r="A2685" s="3" t="s">
        <v>149</v>
      </c>
      <c r="B2685" s="3" t="s">
        <v>244</v>
      </c>
      <c r="C2685" s="3" t="s">
        <v>13</v>
      </c>
      <c r="D2685" s="3" t="s">
        <v>19</v>
      </c>
      <c r="E2685" s="5" t="s">
        <v>20</v>
      </c>
      <c r="F2685" s="17">
        <v>67.69</v>
      </c>
      <c r="G2685" s="3">
        <v>5</v>
      </c>
      <c r="H2685" s="17">
        <f>Table1[[#This Row],[Unit price]]*Table1[[#This Row],[Quantity]]</f>
        <v>338.45</v>
      </c>
      <c r="I2685" s="29">
        <f>Table1[[#This Row],[Total Revenue]]/$H$5056*100</f>
        <v>3.5908105593065377E-2</v>
      </c>
      <c r="J2685" s="3" t="s">
        <v>17</v>
      </c>
      <c r="K2685" s="4">
        <v>6.4</v>
      </c>
      <c r="M2685"/>
    </row>
    <row r="2686" spans="1:13" x14ac:dyDescent="0.25">
      <c r="A2686" s="3" t="s">
        <v>149</v>
      </c>
      <c r="B2686" s="3" t="s">
        <v>243</v>
      </c>
      <c r="C2686" s="3" t="s">
        <v>13</v>
      </c>
      <c r="D2686" s="3" t="s">
        <v>10</v>
      </c>
      <c r="E2686" s="5" t="s">
        <v>11</v>
      </c>
      <c r="F2686" s="17">
        <v>3.25</v>
      </c>
      <c r="G2686" s="3">
        <v>4</v>
      </c>
      <c r="H2686" s="17">
        <f>Table1[[#This Row],[Unit price]]*Table1[[#This Row],[Quantity]]</f>
        <v>13</v>
      </c>
      <c r="I2686" s="29">
        <f>Table1[[#This Row],[Total Revenue]]/$H$5056*100</f>
        <v>1.3792447118033682E-3</v>
      </c>
      <c r="J2686" s="3" t="s">
        <v>17</v>
      </c>
      <c r="K2686" s="4">
        <v>7</v>
      </c>
      <c r="M2686"/>
    </row>
    <row r="2687" spans="1:13" x14ac:dyDescent="0.25">
      <c r="A2687" s="3" t="s">
        <v>149</v>
      </c>
      <c r="B2687" s="3" t="s">
        <v>244</v>
      </c>
      <c r="C2687" s="3" t="s">
        <v>13</v>
      </c>
      <c r="D2687" s="3" t="s">
        <v>10</v>
      </c>
      <c r="E2687" s="5" t="s">
        <v>11</v>
      </c>
      <c r="F2687" s="17">
        <v>3.88</v>
      </c>
      <c r="G2687" s="3">
        <v>1</v>
      </c>
      <c r="H2687" s="17">
        <f>Table1[[#This Row],[Unit price]]*Table1[[#This Row],[Quantity]]</f>
        <v>3.88</v>
      </c>
      <c r="I2687" s="29">
        <f>Table1[[#This Row],[Total Revenue]]/$H$5056*100</f>
        <v>4.1165149859977444E-4</v>
      </c>
      <c r="J2687" s="3" t="s">
        <v>17</v>
      </c>
      <c r="K2687" s="4">
        <v>7.8</v>
      </c>
      <c r="M2687"/>
    </row>
    <row r="2688" spans="1:13" x14ac:dyDescent="0.25">
      <c r="A2688" s="3" t="s">
        <v>149</v>
      </c>
      <c r="B2688" s="3" t="s">
        <v>243</v>
      </c>
      <c r="C2688" s="3" t="s">
        <v>13</v>
      </c>
      <c r="D2688" s="3" t="s">
        <v>10</v>
      </c>
      <c r="E2688" s="5" t="s">
        <v>11</v>
      </c>
      <c r="F2688" s="17">
        <v>2.97</v>
      </c>
      <c r="G2688" s="3">
        <v>4</v>
      </c>
      <c r="H2688" s="17">
        <f>Table1[[#This Row],[Unit price]]*Table1[[#This Row],[Quantity]]</f>
        <v>11.88</v>
      </c>
      <c r="I2688" s="29">
        <f>Table1[[#This Row],[Total Revenue]]/$H$5056*100</f>
        <v>1.260417475094155E-3</v>
      </c>
      <c r="J2688" s="3" t="s">
        <v>17</v>
      </c>
      <c r="K2688" s="4">
        <v>7.5</v>
      </c>
      <c r="M2688"/>
    </row>
    <row r="2689" spans="1:13" x14ac:dyDescent="0.25">
      <c r="A2689" s="3" t="s">
        <v>149</v>
      </c>
      <c r="B2689" s="3" t="s">
        <v>244</v>
      </c>
      <c r="C2689" s="3" t="s">
        <v>13</v>
      </c>
      <c r="D2689" s="3" t="s">
        <v>10</v>
      </c>
      <c r="E2689" s="5" t="s">
        <v>20</v>
      </c>
      <c r="F2689" s="17">
        <v>69.239999999999995</v>
      </c>
      <c r="G2689" s="3">
        <v>2</v>
      </c>
      <c r="H2689" s="17">
        <f>Table1[[#This Row],[Unit price]]*Table1[[#This Row],[Quantity]]</f>
        <v>138.47999999999999</v>
      </c>
      <c r="I2689" s="29">
        <f>Table1[[#This Row],[Total Revenue]]/$H$5056*100</f>
        <v>1.4692139053117725E-2</v>
      </c>
      <c r="J2689" s="3" t="s">
        <v>17</v>
      </c>
      <c r="K2689" s="4">
        <v>7.7</v>
      </c>
      <c r="M2689"/>
    </row>
    <row r="2690" spans="1:13" x14ac:dyDescent="0.25">
      <c r="A2690" s="2">
        <v>45299</v>
      </c>
      <c r="B2690" s="3" t="s">
        <v>244</v>
      </c>
      <c r="C2690" s="3" t="s">
        <v>13</v>
      </c>
      <c r="D2690" s="3" t="s">
        <v>10</v>
      </c>
      <c r="E2690" s="5" t="s">
        <v>11</v>
      </c>
      <c r="F2690" s="17">
        <v>3.96</v>
      </c>
      <c r="G2690" s="3">
        <v>2</v>
      </c>
      <c r="H2690" s="17">
        <f>Table1[[#This Row],[Unit price]]*Table1[[#This Row],[Quantity]]</f>
        <v>7.92</v>
      </c>
      <c r="I2690" s="29">
        <f>Table1[[#This Row],[Total Revenue]]/$H$5056*100</f>
        <v>8.4027831672943659E-4</v>
      </c>
      <c r="J2690" s="3" t="s">
        <v>17</v>
      </c>
      <c r="K2690" s="4">
        <v>7.9</v>
      </c>
      <c r="M2690"/>
    </row>
    <row r="2691" spans="1:13" x14ac:dyDescent="0.25">
      <c r="A2691" s="2">
        <v>45299</v>
      </c>
      <c r="B2691" s="3" t="s">
        <v>245</v>
      </c>
      <c r="C2691" s="3" t="s">
        <v>9</v>
      </c>
      <c r="D2691" s="3" t="s">
        <v>19</v>
      </c>
      <c r="E2691" s="5" t="s">
        <v>21</v>
      </c>
      <c r="F2691" s="17">
        <v>32.14</v>
      </c>
      <c r="G2691" s="3">
        <v>1</v>
      </c>
      <c r="H2691" s="17">
        <f>Table1[[#This Row],[Unit price]]*Table1[[#This Row],[Quantity]]</f>
        <v>32.14</v>
      </c>
      <c r="I2691" s="29">
        <f>Table1[[#This Row],[Total Revenue]]/$H$5056*100</f>
        <v>3.4099173105661736E-3</v>
      </c>
      <c r="J2691" s="3" t="s">
        <v>15</v>
      </c>
      <c r="K2691" s="4">
        <v>7.1</v>
      </c>
      <c r="M2691"/>
    </row>
    <row r="2692" spans="1:13" x14ac:dyDescent="0.25">
      <c r="A2692" s="2">
        <v>45299</v>
      </c>
      <c r="B2692" s="3" t="s">
        <v>244</v>
      </c>
      <c r="C2692" s="3" t="s">
        <v>13</v>
      </c>
      <c r="D2692" s="3" t="s">
        <v>19</v>
      </c>
      <c r="E2692" s="5" t="s">
        <v>18</v>
      </c>
      <c r="F2692" s="17">
        <v>12.4</v>
      </c>
      <c r="G2692" s="3">
        <v>1</v>
      </c>
      <c r="H2692" s="17">
        <f>Table1[[#This Row],[Unit price]]*Table1[[#This Row],[Quantity]]</f>
        <v>12.4</v>
      </c>
      <c r="I2692" s="29">
        <f>Table1[[#This Row],[Total Revenue]]/$H$5056*100</f>
        <v>1.3155872635662897E-3</v>
      </c>
      <c r="J2692" s="3" t="s">
        <v>17</v>
      </c>
      <c r="K2692" s="4">
        <v>6.8</v>
      </c>
      <c r="M2692"/>
    </row>
    <row r="2693" spans="1:13" x14ac:dyDescent="0.25">
      <c r="A2693" s="2">
        <v>45299</v>
      </c>
      <c r="B2693" s="3" t="s">
        <v>245</v>
      </c>
      <c r="C2693" s="3" t="s">
        <v>13</v>
      </c>
      <c r="D2693" s="3" t="s">
        <v>10</v>
      </c>
      <c r="E2693" s="5" t="s">
        <v>20</v>
      </c>
      <c r="F2693" s="17">
        <v>63.54</v>
      </c>
      <c r="G2693" s="3">
        <v>4</v>
      </c>
      <c r="H2693" s="17">
        <f>Table1[[#This Row],[Unit price]]*Table1[[#This Row],[Quantity]]</f>
        <v>254.16</v>
      </c>
      <c r="I2693" s="29">
        <f>Table1[[#This Row],[Total Revenue]]/$H$5056*100</f>
        <v>2.6965295073226467E-2</v>
      </c>
      <c r="J2693" s="3" t="s">
        <v>15</v>
      </c>
      <c r="K2693" s="4">
        <v>7.1</v>
      </c>
      <c r="M2693"/>
    </row>
    <row r="2694" spans="1:13" x14ac:dyDescent="0.25">
      <c r="A2694" s="2">
        <v>45299</v>
      </c>
      <c r="B2694" s="3" t="s">
        <v>244</v>
      </c>
      <c r="C2694" s="3" t="s">
        <v>13</v>
      </c>
      <c r="D2694" s="3" t="s">
        <v>19</v>
      </c>
      <c r="E2694" s="5" t="s">
        <v>11</v>
      </c>
      <c r="F2694" s="17">
        <v>3.36</v>
      </c>
      <c r="G2694" s="3">
        <v>3</v>
      </c>
      <c r="H2694" s="17">
        <f>Table1[[#This Row],[Unit price]]*Table1[[#This Row],[Quantity]]</f>
        <v>10.08</v>
      </c>
      <c r="I2694" s="29">
        <f>Table1[[#This Row],[Total Revenue]]/$H$5056*100</f>
        <v>1.0694451303829193E-3</v>
      </c>
      <c r="J2694" s="3" t="s">
        <v>15</v>
      </c>
      <c r="K2694" s="4">
        <v>6.1</v>
      </c>
      <c r="M2694"/>
    </row>
    <row r="2695" spans="1:13" x14ac:dyDescent="0.25">
      <c r="A2695" s="2">
        <v>45299</v>
      </c>
      <c r="B2695" s="3" t="s">
        <v>244</v>
      </c>
      <c r="C2695" s="3" t="s">
        <v>9</v>
      </c>
      <c r="D2695" s="3" t="s">
        <v>19</v>
      </c>
      <c r="E2695" s="5" t="s">
        <v>14</v>
      </c>
      <c r="F2695" s="17">
        <v>85.1</v>
      </c>
      <c r="G2695" s="3">
        <v>1</v>
      </c>
      <c r="H2695" s="17">
        <f>Table1[[#This Row],[Unit price]]*Table1[[#This Row],[Quantity]]</f>
        <v>85.1</v>
      </c>
      <c r="I2695" s="29">
        <f>Table1[[#This Row],[Total Revenue]]/$H$5056*100</f>
        <v>9.028748074958971E-3</v>
      </c>
      <c r="J2695" s="3" t="s">
        <v>17</v>
      </c>
      <c r="K2695" s="4">
        <v>8.8000000000000007</v>
      </c>
      <c r="M2695"/>
    </row>
    <row r="2696" spans="1:13" x14ac:dyDescent="0.25">
      <c r="A2696" s="2">
        <v>45299</v>
      </c>
      <c r="B2696" s="3" t="s">
        <v>244</v>
      </c>
      <c r="C2696" s="3" t="s">
        <v>9</v>
      </c>
      <c r="D2696" s="3" t="s">
        <v>10</v>
      </c>
      <c r="E2696" s="5" t="s">
        <v>11</v>
      </c>
      <c r="F2696" s="17">
        <v>6.68</v>
      </c>
      <c r="G2696" s="3">
        <v>2</v>
      </c>
      <c r="H2696" s="17">
        <f>Table1[[#This Row],[Unit price]]*Table1[[#This Row],[Quantity]]</f>
        <v>13.36</v>
      </c>
      <c r="I2696" s="29">
        <f>Table1[[#This Row],[Total Revenue]]/$H$5056*100</f>
        <v>1.4174391807456152E-3</v>
      </c>
      <c r="J2696" s="3" t="s">
        <v>12</v>
      </c>
      <c r="K2696" s="4">
        <v>8.6</v>
      </c>
      <c r="M2696"/>
    </row>
    <row r="2697" spans="1:13" x14ac:dyDescent="0.25">
      <c r="A2697" s="2">
        <v>45299</v>
      </c>
      <c r="B2697" s="3" t="s">
        <v>244</v>
      </c>
      <c r="C2697" s="3" t="s">
        <v>13</v>
      </c>
      <c r="D2697" s="3" t="s">
        <v>10</v>
      </c>
      <c r="E2697" s="5" t="s">
        <v>11</v>
      </c>
      <c r="F2697" s="17">
        <v>6.36</v>
      </c>
      <c r="G2697" s="3">
        <v>3</v>
      </c>
      <c r="H2697" s="17">
        <f>Table1[[#This Row],[Unit price]]*Table1[[#This Row],[Quantity]]</f>
        <v>19.080000000000002</v>
      </c>
      <c r="I2697" s="29">
        <f>Table1[[#This Row],[Total Revenue]]/$H$5056*100</f>
        <v>2.0243068539390974E-3</v>
      </c>
      <c r="J2697" s="3" t="s">
        <v>17</v>
      </c>
      <c r="K2697" s="4">
        <v>7.3</v>
      </c>
      <c r="M2697"/>
    </row>
    <row r="2698" spans="1:13" x14ac:dyDescent="0.25">
      <c r="A2698" s="2">
        <v>45299</v>
      </c>
      <c r="B2698" s="3" t="s">
        <v>243</v>
      </c>
      <c r="C2698" s="3" t="s">
        <v>13</v>
      </c>
      <c r="D2698" s="3" t="s">
        <v>19</v>
      </c>
      <c r="E2698" s="5" t="s">
        <v>11</v>
      </c>
      <c r="F2698" s="17">
        <v>7.8</v>
      </c>
      <c r="G2698" s="3">
        <v>2</v>
      </c>
      <c r="H2698" s="17">
        <f>Table1[[#This Row],[Unit price]]*Table1[[#This Row],[Quantity]]</f>
        <v>15.6</v>
      </c>
      <c r="I2698" s="29">
        <f>Table1[[#This Row],[Total Revenue]]/$H$5056*100</f>
        <v>1.6550936541640418E-3</v>
      </c>
      <c r="J2698" s="3" t="s">
        <v>17</v>
      </c>
      <c r="K2698" s="4">
        <v>8.9</v>
      </c>
      <c r="M2698"/>
    </row>
    <row r="2699" spans="1:13" x14ac:dyDescent="0.25">
      <c r="A2699" s="2">
        <v>45299</v>
      </c>
      <c r="B2699" s="3" t="s">
        <v>244</v>
      </c>
      <c r="C2699" s="3" t="s">
        <v>13</v>
      </c>
      <c r="D2699" s="3" t="s">
        <v>19</v>
      </c>
      <c r="E2699" s="5" t="s">
        <v>11</v>
      </c>
      <c r="F2699" s="17">
        <v>6.02</v>
      </c>
      <c r="G2699" s="3">
        <v>2</v>
      </c>
      <c r="H2699" s="17">
        <f>Table1[[#This Row],[Unit price]]*Table1[[#This Row],[Quantity]]</f>
        <v>12.04</v>
      </c>
      <c r="I2699" s="29">
        <f>Table1[[#This Row],[Total Revenue]]/$H$5056*100</f>
        <v>1.2773927946240424E-3</v>
      </c>
      <c r="J2699" s="3" t="s">
        <v>12</v>
      </c>
      <c r="K2699" s="4">
        <v>8.4</v>
      </c>
      <c r="M2699"/>
    </row>
    <row r="2700" spans="1:13" x14ac:dyDescent="0.25">
      <c r="A2700" s="2">
        <v>45299</v>
      </c>
      <c r="B2700" s="3" t="s">
        <v>243</v>
      </c>
      <c r="C2700" s="3" t="s">
        <v>13</v>
      </c>
      <c r="D2700" s="3" t="s">
        <v>10</v>
      </c>
      <c r="E2700" s="5" t="s">
        <v>18</v>
      </c>
      <c r="F2700" s="17">
        <v>14.14</v>
      </c>
      <c r="G2700" s="3">
        <v>2</v>
      </c>
      <c r="H2700" s="17">
        <f>Table1[[#This Row],[Unit price]]*Table1[[#This Row],[Quantity]]</f>
        <v>28.28</v>
      </c>
      <c r="I2700" s="29">
        <f>Table1[[#This Row],[Total Revenue]]/$H$5056*100</f>
        <v>3.000387726907635E-3</v>
      </c>
      <c r="J2700" s="3" t="s">
        <v>17</v>
      </c>
      <c r="K2700" s="4">
        <v>5.4</v>
      </c>
      <c r="M2700"/>
    </row>
    <row r="2701" spans="1:13" x14ac:dyDescent="0.25">
      <c r="A2701" s="2">
        <v>45299</v>
      </c>
      <c r="B2701" s="3" t="s">
        <v>244</v>
      </c>
      <c r="C2701" s="3" t="s">
        <v>13</v>
      </c>
      <c r="D2701" s="3" t="s">
        <v>10</v>
      </c>
      <c r="E2701" s="5" t="s">
        <v>18</v>
      </c>
      <c r="F2701" s="17">
        <v>19.420000000000002</v>
      </c>
      <c r="G2701" s="3">
        <v>3</v>
      </c>
      <c r="H2701" s="17">
        <f>Table1[[#This Row],[Unit price]]*Table1[[#This Row],[Quantity]]</f>
        <v>58.260000000000005</v>
      </c>
      <c r="I2701" s="29">
        <f>Table1[[#This Row],[Total Revenue]]/$H$5056*100</f>
        <v>6.1811382238203252E-3</v>
      </c>
      <c r="J2701" s="3" t="s">
        <v>15</v>
      </c>
      <c r="K2701" s="4">
        <v>5.2</v>
      </c>
      <c r="M2701"/>
    </row>
    <row r="2702" spans="1:13" x14ac:dyDescent="0.25">
      <c r="A2702" s="2">
        <v>45299</v>
      </c>
      <c r="B2702" s="3" t="s">
        <v>245</v>
      </c>
      <c r="C2702" s="3" t="s">
        <v>13</v>
      </c>
      <c r="D2702" s="3" t="s">
        <v>10</v>
      </c>
      <c r="E2702" s="5" t="s">
        <v>11</v>
      </c>
      <c r="F2702" s="17">
        <v>6.74</v>
      </c>
      <c r="G2702" s="3">
        <v>2</v>
      </c>
      <c r="H2702" s="17">
        <f>Table1[[#This Row],[Unit price]]*Table1[[#This Row],[Quantity]]</f>
        <v>13.48</v>
      </c>
      <c r="I2702" s="29">
        <f>Table1[[#This Row],[Total Revenue]]/$H$5056*100</f>
        <v>1.4301706703930312E-3</v>
      </c>
      <c r="J2702" s="3" t="s">
        <v>17</v>
      </c>
      <c r="K2702" s="4">
        <v>6.4</v>
      </c>
      <c r="M2702"/>
    </row>
    <row r="2703" spans="1:13" x14ac:dyDescent="0.25">
      <c r="A2703" s="2">
        <v>45299</v>
      </c>
      <c r="B2703" s="3" t="s">
        <v>243</v>
      </c>
      <c r="C2703" s="3" t="s">
        <v>13</v>
      </c>
      <c r="D2703" s="3" t="s">
        <v>10</v>
      </c>
      <c r="E2703" s="5" t="s">
        <v>21</v>
      </c>
      <c r="F2703" s="17">
        <v>32.94</v>
      </c>
      <c r="G2703" s="3">
        <v>3</v>
      </c>
      <c r="H2703" s="17">
        <f>Table1[[#This Row],[Unit price]]*Table1[[#This Row],[Quantity]]</f>
        <v>98.82</v>
      </c>
      <c r="I2703" s="29">
        <f>Table1[[#This Row],[Total Revenue]]/$H$5056*100</f>
        <v>1.0484381724646833E-2</v>
      </c>
      <c r="J2703" s="3" t="s">
        <v>17</v>
      </c>
      <c r="K2703" s="4">
        <v>7.3</v>
      </c>
      <c r="M2703"/>
    </row>
    <row r="2704" spans="1:13" x14ac:dyDescent="0.25">
      <c r="A2704" s="2">
        <v>45299</v>
      </c>
      <c r="B2704" s="3" t="s">
        <v>243</v>
      </c>
      <c r="C2704" s="3" t="s">
        <v>13</v>
      </c>
      <c r="D2704" s="3" t="s">
        <v>19</v>
      </c>
      <c r="E2704" s="5" t="s">
        <v>11</v>
      </c>
      <c r="F2704" s="17">
        <v>2.75</v>
      </c>
      <c r="G2704" s="3">
        <v>6</v>
      </c>
      <c r="H2704" s="17">
        <f>Table1[[#This Row],[Unit price]]*Table1[[#This Row],[Quantity]]</f>
        <v>16.5</v>
      </c>
      <c r="I2704" s="29">
        <f>Table1[[#This Row],[Total Revenue]]/$H$5056*100</f>
        <v>1.7505798265196595E-3</v>
      </c>
      <c r="J2704" s="3" t="s">
        <v>12</v>
      </c>
      <c r="K2704" s="4">
        <v>7.2</v>
      </c>
      <c r="M2704"/>
    </row>
    <row r="2705" spans="1:13" x14ac:dyDescent="0.25">
      <c r="A2705" s="2">
        <v>45299</v>
      </c>
      <c r="B2705" s="3" t="s">
        <v>243</v>
      </c>
      <c r="C2705" s="3" t="s">
        <v>13</v>
      </c>
      <c r="D2705" s="3" t="s">
        <v>10</v>
      </c>
      <c r="E2705" s="5" t="s">
        <v>20</v>
      </c>
      <c r="F2705" s="17">
        <v>51.31</v>
      </c>
      <c r="G2705" s="3">
        <v>1</v>
      </c>
      <c r="H2705" s="17">
        <f>Table1[[#This Row],[Unit price]]*Table1[[#This Row],[Quantity]]</f>
        <v>51.31</v>
      </c>
      <c r="I2705" s="29">
        <f>Table1[[#This Row],[Total Revenue]]/$H$5056*100</f>
        <v>5.4437727817408322E-3</v>
      </c>
      <c r="J2705" s="3" t="s">
        <v>15</v>
      </c>
      <c r="K2705" s="4">
        <v>6</v>
      </c>
      <c r="M2705"/>
    </row>
    <row r="2706" spans="1:13" x14ac:dyDescent="0.25">
      <c r="A2706" s="2">
        <v>45330</v>
      </c>
      <c r="B2706" s="3" t="s">
        <v>245</v>
      </c>
      <c r="C2706" s="3" t="s">
        <v>13</v>
      </c>
      <c r="D2706" s="3" t="s">
        <v>19</v>
      </c>
      <c r="E2706" s="5" t="s">
        <v>11</v>
      </c>
      <c r="F2706" s="17">
        <v>4.88</v>
      </c>
      <c r="G2706" s="3">
        <v>3</v>
      </c>
      <c r="H2706" s="17">
        <f>Table1[[#This Row],[Unit price]]*Table1[[#This Row],[Quantity]]</f>
        <v>14.64</v>
      </c>
      <c r="I2706" s="29">
        <f>Table1[[#This Row],[Total Revenue]]/$H$5056*100</f>
        <v>1.5532417369847162E-3</v>
      </c>
      <c r="J2706" s="3" t="s">
        <v>17</v>
      </c>
      <c r="K2706" s="4">
        <v>7.9</v>
      </c>
      <c r="M2706"/>
    </row>
    <row r="2707" spans="1:13" x14ac:dyDescent="0.25">
      <c r="A2707" s="2">
        <v>45330</v>
      </c>
      <c r="B2707" s="3" t="s">
        <v>245</v>
      </c>
      <c r="C2707" s="3" t="s">
        <v>9</v>
      </c>
      <c r="D2707" s="3" t="s">
        <v>19</v>
      </c>
      <c r="E2707" s="5" t="s">
        <v>21</v>
      </c>
      <c r="F2707" s="17">
        <v>26.23</v>
      </c>
      <c r="G2707" s="3">
        <v>3</v>
      </c>
      <c r="H2707" s="17">
        <f>Table1[[#This Row],[Unit price]]*Table1[[#This Row],[Quantity]]</f>
        <v>78.69</v>
      </c>
      <c r="I2707" s="29">
        <f>Table1[[#This Row],[Total Revenue]]/$H$5056*100</f>
        <v>8.3486743362928498E-3</v>
      </c>
      <c r="J2707" s="3" t="s">
        <v>15</v>
      </c>
      <c r="K2707" s="4">
        <v>8.9</v>
      </c>
      <c r="M2707"/>
    </row>
    <row r="2708" spans="1:13" x14ac:dyDescent="0.25">
      <c r="A2708" s="2">
        <v>45330</v>
      </c>
      <c r="B2708" s="3" t="s">
        <v>245</v>
      </c>
      <c r="C2708" s="3" t="s">
        <v>13</v>
      </c>
      <c r="D2708" s="3" t="s">
        <v>19</v>
      </c>
      <c r="E2708" s="5" t="s">
        <v>16</v>
      </c>
      <c r="F2708" s="17">
        <v>71.67</v>
      </c>
      <c r="G2708" s="3">
        <v>1</v>
      </c>
      <c r="H2708" s="17">
        <f>Table1[[#This Row],[Unit price]]*Table1[[#This Row],[Quantity]]</f>
        <v>71.67</v>
      </c>
      <c r="I2708" s="29">
        <f>Table1[[#This Row],[Total Revenue]]/$H$5056*100</f>
        <v>7.6038821919190303E-3</v>
      </c>
      <c r="J2708" s="3" t="s">
        <v>15</v>
      </c>
      <c r="K2708" s="4">
        <v>7.5</v>
      </c>
      <c r="M2708"/>
    </row>
    <row r="2709" spans="1:13" x14ac:dyDescent="0.25">
      <c r="A2709" s="2">
        <v>45330</v>
      </c>
      <c r="B2709" s="3" t="s">
        <v>245</v>
      </c>
      <c r="C2709" s="3" t="s">
        <v>13</v>
      </c>
      <c r="D2709" s="3" t="s">
        <v>10</v>
      </c>
      <c r="E2709" s="5" t="s">
        <v>20</v>
      </c>
      <c r="F2709" s="17">
        <v>56.04</v>
      </c>
      <c r="G2709" s="3">
        <v>4</v>
      </c>
      <c r="H2709" s="17">
        <f>Table1[[#This Row],[Unit price]]*Table1[[#This Row],[Quantity]]</f>
        <v>224.16</v>
      </c>
      <c r="I2709" s="29">
        <f>Table1[[#This Row],[Total Revenue]]/$H$5056*100</f>
        <v>2.3782422661372541E-2</v>
      </c>
      <c r="J2709" s="3" t="s">
        <v>15</v>
      </c>
      <c r="K2709" s="4">
        <v>7.8</v>
      </c>
      <c r="M2709"/>
    </row>
    <row r="2710" spans="1:13" x14ac:dyDescent="0.25">
      <c r="A2710" s="2">
        <v>45330</v>
      </c>
      <c r="B2710" s="3" t="s">
        <v>243</v>
      </c>
      <c r="C2710" s="3" t="s">
        <v>13</v>
      </c>
      <c r="D2710" s="3" t="s">
        <v>10</v>
      </c>
      <c r="E2710" s="5" t="s">
        <v>11</v>
      </c>
      <c r="F2710" s="17">
        <v>4.29</v>
      </c>
      <c r="G2710" s="3">
        <v>4</v>
      </c>
      <c r="H2710" s="17">
        <f>Table1[[#This Row],[Unit price]]*Table1[[#This Row],[Quantity]]</f>
        <v>17.16</v>
      </c>
      <c r="I2710" s="29">
        <f>Table1[[#This Row],[Total Revenue]]/$H$5056*100</f>
        <v>1.8206030195804461E-3</v>
      </c>
      <c r="J2710" s="3" t="s">
        <v>17</v>
      </c>
      <c r="K2710" s="4">
        <v>6.5</v>
      </c>
      <c r="M2710"/>
    </row>
    <row r="2711" spans="1:13" x14ac:dyDescent="0.25">
      <c r="A2711" s="2">
        <v>45330</v>
      </c>
      <c r="B2711" s="3" t="s">
        <v>244</v>
      </c>
      <c r="C2711" s="3" t="s">
        <v>13</v>
      </c>
      <c r="D2711" s="3" t="s">
        <v>19</v>
      </c>
      <c r="E2711" s="5" t="s">
        <v>11</v>
      </c>
      <c r="F2711" s="17">
        <v>6</v>
      </c>
      <c r="G2711" s="3">
        <v>3</v>
      </c>
      <c r="H2711" s="17">
        <f>Table1[[#This Row],[Unit price]]*Table1[[#This Row],[Quantity]]</f>
        <v>18</v>
      </c>
      <c r="I2711" s="29">
        <f>Table1[[#This Row],[Total Revenue]]/$H$5056*100</f>
        <v>1.9097234471123561E-3</v>
      </c>
      <c r="J2711" s="3" t="s">
        <v>15</v>
      </c>
      <c r="K2711" s="4">
        <v>7.6</v>
      </c>
      <c r="M2711"/>
    </row>
    <row r="2712" spans="1:13" x14ac:dyDescent="0.25">
      <c r="A2712" s="2">
        <v>45330</v>
      </c>
      <c r="B2712" s="3" t="s">
        <v>243</v>
      </c>
      <c r="C2712" s="3" t="s">
        <v>13</v>
      </c>
      <c r="D2712" s="3" t="s">
        <v>19</v>
      </c>
      <c r="E2712" s="5" t="s">
        <v>20</v>
      </c>
      <c r="F2712" s="17">
        <v>61.04</v>
      </c>
      <c r="G2712" s="3">
        <v>5</v>
      </c>
      <c r="H2712" s="17">
        <f>Table1[[#This Row],[Unit price]]*Table1[[#This Row],[Quantity]]</f>
        <v>305.2</v>
      </c>
      <c r="I2712" s="29">
        <f>Table1[[#This Row],[Total Revenue]]/$H$5056*100</f>
        <v>3.2380422003260613E-2</v>
      </c>
      <c r="J2712" s="3" t="s">
        <v>12</v>
      </c>
      <c r="K2712" s="4">
        <v>7.1</v>
      </c>
      <c r="M2712"/>
    </row>
    <row r="2713" spans="1:13" x14ac:dyDescent="0.25">
      <c r="A2713" s="2">
        <v>45330</v>
      </c>
      <c r="B2713" s="3" t="s">
        <v>243</v>
      </c>
      <c r="C2713" s="3" t="s">
        <v>13</v>
      </c>
      <c r="D2713" s="3" t="s">
        <v>10</v>
      </c>
      <c r="E2713" s="5" t="s">
        <v>11</v>
      </c>
      <c r="F2713" s="17">
        <v>3.46</v>
      </c>
      <c r="G2713" s="3">
        <v>3</v>
      </c>
      <c r="H2713" s="17">
        <f>Table1[[#This Row],[Unit price]]*Table1[[#This Row],[Quantity]]</f>
        <v>10.379999999999999</v>
      </c>
      <c r="I2713" s="29">
        <f>Table1[[#This Row],[Total Revenue]]/$H$5056*100</f>
        <v>1.1012738545014584E-3</v>
      </c>
      <c r="J2713" s="3" t="s">
        <v>12</v>
      </c>
      <c r="K2713" s="4">
        <v>6</v>
      </c>
      <c r="M2713"/>
    </row>
    <row r="2714" spans="1:13" x14ac:dyDescent="0.25">
      <c r="A2714" s="2">
        <v>45330</v>
      </c>
      <c r="B2714" s="3" t="s">
        <v>243</v>
      </c>
      <c r="C2714" s="3" t="s">
        <v>9</v>
      </c>
      <c r="D2714" s="3" t="s">
        <v>10</v>
      </c>
      <c r="E2714" s="5" t="s">
        <v>14</v>
      </c>
      <c r="F2714" s="17">
        <v>96.28</v>
      </c>
      <c r="G2714" s="3">
        <v>2</v>
      </c>
      <c r="H2714" s="17">
        <f>Table1[[#This Row],[Unit price]]*Table1[[#This Row],[Quantity]]</f>
        <v>192.56</v>
      </c>
      <c r="I2714" s="29">
        <f>Table1[[#This Row],[Total Revenue]]/$H$5056*100</f>
        <v>2.0429797054219739E-2</v>
      </c>
      <c r="J2714" s="3" t="s">
        <v>17</v>
      </c>
      <c r="K2714" s="4">
        <v>8.4</v>
      </c>
      <c r="M2714"/>
    </row>
    <row r="2715" spans="1:13" x14ac:dyDescent="0.25">
      <c r="A2715" s="2">
        <v>45359</v>
      </c>
      <c r="B2715" s="3" t="s">
        <v>243</v>
      </c>
      <c r="C2715" s="3" t="s">
        <v>9</v>
      </c>
      <c r="D2715" s="3" t="s">
        <v>19</v>
      </c>
      <c r="E2715" s="5" t="s">
        <v>11</v>
      </c>
      <c r="F2715" s="17">
        <v>4.1399999999999997</v>
      </c>
      <c r="G2715" s="3">
        <v>4</v>
      </c>
      <c r="H2715" s="17">
        <f>Table1[[#This Row],[Unit price]]*Table1[[#This Row],[Quantity]]</f>
        <v>16.559999999999999</v>
      </c>
      <c r="I2715" s="29">
        <f>Table1[[#This Row],[Total Revenue]]/$H$5056*100</f>
        <v>1.7569455713433676E-3</v>
      </c>
      <c r="J2715" s="3" t="s">
        <v>17</v>
      </c>
      <c r="K2715" s="4">
        <v>7.2</v>
      </c>
      <c r="M2715"/>
    </row>
    <row r="2716" spans="1:13" x14ac:dyDescent="0.25">
      <c r="A2716" s="2">
        <v>45359</v>
      </c>
      <c r="B2716" s="3" t="s">
        <v>244</v>
      </c>
      <c r="C2716" s="3" t="s">
        <v>13</v>
      </c>
      <c r="D2716" s="3" t="s">
        <v>19</v>
      </c>
      <c r="E2716" s="5" t="s">
        <v>11</v>
      </c>
      <c r="F2716" s="17">
        <v>4.55</v>
      </c>
      <c r="G2716" s="3">
        <v>2</v>
      </c>
      <c r="H2716" s="17">
        <f>Table1[[#This Row],[Unit price]]*Table1[[#This Row],[Quantity]]</f>
        <v>9.1</v>
      </c>
      <c r="I2716" s="29">
        <f>Table1[[#This Row],[Total Revenue]]/$H$5056*100</f>
        <v>9.654712982623576E-4</v>
      </c>
      <c r="J2716" s="3" t="s">
        <v>17</v>
      </c>
      <c r="K2716" s="4">
        <v>7.6</v>
      </c>
      <c r="M2716"/>
    </row>
    <row r="2717" spans="1:13" x14ac:dyDescent="0.25">
      <c r="A2717" s="2">
        <v>45359</v>
      </c>
      <c r="B2717" s="3" t="s">
        <v>244</v>
      </c>
      <c r="C2717" s="3" t="s">
        <v>9</v>
      </c>
      <c r="D2717" s="3" t="s">
        <v>10</v>
      </c>
      <c r="E2717" s="5" t="s">
        <v>11</v>
      </c>
      <c r="F2717" s="17">
        <v>6.32</v>
      </c>
      <c r="G2717" s="3">
        <v>5</v>
      </c>
      <c r="H2717" s="17">
        <f>Table1[[#This Row],[Unit price]]*Table1[[#This Row],[Quantity]]</f>
        <v>31.6</v>
      </c>
      <c r="I2717" s="29">
        <f>Table1[[#This Row],[Total Revenue]]/$H$5056*100</f>
        <v>3.3526256071528026E-3</v>
      </c>
      <c r="J2717" s="3" t="s">
        <v>15</v>
      </c>
      <c r="K2717" s="4">
        <v>7.2</v>
      </c>
      <c r="M2717"/>
    </row>
    <row r="2718" spans="1:13" x14ac:dyDescent="0.25">
      <c r="A2718" s="2">
        <v>45359</v>
      </c>
      <c r="B2718" s="3" t="s">
        <v>245</v>
      </c>
      <c r="C2718" s="3" t="s">
        <v>13</v>
      </c>
      <c r="D2718" s="3" t="s">
        <v>10</v>
      </c>
      <c r="E2718" s="5" t="s">
        <v>11</v>
      </c>
      <c r="F2718" s="17">
        <v>7.28</v>
      </c>
      <c r="G2718" s="3">
        <v>4</v>
      </c>
      <c r="H2718" s="17">
        <f>Table1[[#This Row],[Unit price]]*Table1[[#This Row],[Quantity]]</f>
        <v>29.12</v>
      </c>
      <c r="I2718" s="29">
        <f>Table1[[#This Row],[Total Revenue]]/$H$5056*100</f>
        <v>3.0895081544395453E-3</v>
      </c>
      <c r="J2718" s="3" t="s">
        <v>15</v>
      </c>
      <c r="K2718" s="4">
        <v>7.6</v>
      </c>
      <c r="M2718"/>
    </row>
    <row r="2719" spans="1:13" x14ac:dyDescent="0.25">
      <c r="A2719" s="2">
        <v>45359</v>
      </c>
      <c r="B2719" s="3" t="s">
        <v>245</v>
      </c>
      <c r="C2719" s="3" t="s">
        <v>13</v>
      </c>
      <c r="D2719" s="3" t="s">
        <v>19</v>
      </c>
      <c r="E2719" s="5" t="s">
        <v>21</v>
      </c>
      <c r="F2719" s="17">
        <v>33.32</v>
      </c>
      <c r="G2719" s="3">
        <v>4</v>
      </c>
      <c r="H2719" s="17">
        <f>Table1[[#This Row],[Unit price]]*Table1[[#This Row],[Quantity]]</f>
        <v>133.28</v>
      </c>
      <c r="I2719" s="29">
        <f>Table1[[#This Row],[Total Revenue]]/$H$5056*100</f>
        <v>1.4140441168396379E-2</v>
      </c>
      <c r="J2719" s="3" t="s">
        <v>17</v>
      </c>
      <c r="K2719" s="4">
        <v>6.8</v>
      </c>
      <c r="M2719"/>
    </row>
    <row r="2720" spans="1:13" x14ac:dyDescent="0.25">
      <c r="A2720" s="2">
        <v>45359</v>
      </c>
      <c r="B2720" s="3" t="s">
        <v>244</v>
      </c>
      <c r="C2720" s="3" t="s">
        <v>13</v>
      </c>
      <c r="D2720" s="3" t="s">
        <v>10</v>
      </c>
      <c r="E2720" s="5" t="s">
        <v>11</v>
      </c>
      <c r="F2720" s="17">
        <v>4.3499999999999996</v>
      </c>
      <c r="G2720" s="3">
        <v>1</v>
      </c>
      <c r="H2720" s="17">
        <f>Table1[[#This Row],[Unit price]]*Table1[[#This Row],[Quantity]]</f>
        <v>4.3499999999999996</v>
      </c>
      <c r="I2720" s="29">
        <f>Table1[[#This Row],[Total Revenue]]/$H$5056*100</f>
        <v>4.6151649971881931E-4</v>
      </c>
      <c r="J2720" s="3" t="s">
        <v>15</v>
      </c>
      <c r="K2720" s="4">
        <v>6.3</v>
      </c>
      <c r="M2720"/>
    </row>
    <row r="2721" spans="1:13" x14ac:dyDescent="0.25">
      <c r="A2721" s="2">
        <v>45359</v>
      </c>
      <c r="B2721" s="3" t="s">
        <v>245</v>
      </c>
      <c r="C2721" s="3" t="s">
        <v>9</v>
      </c>
      <c r="D2721" s="3" t="s">
        <v>10</v>
      </c>
      <c r="E2721" s="5" t="s">
        <v>11</v>
      </c>
      <c r="F2721" s="17">
        <v>3.59</v>
      </c>
      <c r="G2721" s="3">
        <v>2</v>
      </c>
      <c r="H2721" s="17">
        <f>Table1[[#This Row],[Unit price]]*Table1[[#This Row],[Quantity]]</f>
        <v>7.18</v>
      </c>
      <c r="I2721" s="29">
        <f>Table1[[#This Row],[Total Revenue]]/$H$5056*100</f>
        <v>7.6176746390370646E-4</v>
      </c>
      <c r="J2721" s="3" t="s">
        <v>15</v>
      </c>
      <c r="K2721" s="4">
        <v>7.4</v>
      </c>
      <c r="M2721"/>
    </row>
    <row r="2722" spans="1:13" x14ac:dyDescent="0.25">
      <c r="A2722" s="2">
        <v>45359</v>
      </c>
      <c r="B2722" s="3" t="s">
        <v>244</v>
      </c>
      <c r="C2722" s="3" t="s">
        <v>13</v>
      </c>
      <c r="D2722" s="3" t="s">
        <v>10</v>
      </c>
      <c r="E2722" s="5" t="s">
        <v>21</v>
      </c>
      <c r="F2722" s="17">
        <v>29.56</v>
      </c>
      <c r="G2722" s="3">
        <v>2</v>
      </c>
      <c r="H2722" s="17">
        <f>Table1[[#This Row],[Unit price]]*Table1[[#This Row],[Quantity]]</f>
        <v>59.12</v>
      </c>
      <c r="I2722" s="29">
        <f>Table1[[#This Row],[Total Revenue]]/$H$5056*100</f>
        <v>6.2723805662934715E-3</v>
      </c>
      <c r="J2722" s="3" t="s">
        <v>12</v>
      </c>
      <c r="K2722" s="4">
        <v>7.8</v>
      </c>
      <c r="M2722"/>
    </row>
    <row r="2723" spans="1:13" x14ac:dyDescent="0.25">
      <c r="A2723" s="2">
        <v>45359</v>
      </c>
      <c r="B2723" s="3" t="s">
        <v>244</v>
      </c>
      <c r="C2723" s="3" t="s">
        <v>13</v>
      </c>
      <c r="D2723" s="3" t="s">
        <v>10</v>
      </c>
      <c r="E2723" s="5" t="s">
        <v>11</v>
      </c>
      <c r="F2723" s="17">
        <v>6.55</v>
      </c>
      <c r="G2723" s="3">
        <v>3</v>
      </c>
      <c r="H2723" s="17">
        <f>Table1[[#This Row],[Unit price]]*Table1[[#This Row],[Quantity]]</f>
        <v>19.649999999999999</v>
      </c>
      <c r="I2723" s="29">
        <f>Table1[[#This Row],[Total Revenue]]/$H$5056*100</f>
        <v>2.0847814297643217E-3</v>
      </c>
      <c r="J2723" s="3" t="s">
        <v>15</v>
      </c>
      <c r="K2723" s="4">
        <v>7.4</v>
      </c>
      <c r="M2723"/>
    </row>
    <row r="2724" spans="1:13" x14ac:dyDescent="0.25">
      <c r="A2724" s="2">
        <v>45359</v>
      </c>
      <c r="B2724" s="3" t="s">
        <v>244</v>
      </c>
      <c r="C2724" s="3" t="s">
        <v>13</v>
      </c>
      <c r="D2724" s="3" t="s">
        <v>19</v>
      </c>
      <c r="E2724" s="5" t="s">
        <v>11</v>
      </c>
      <c r="F2724" s="17">
        <v>4.28</v>
      </c>
      <c r="G2724" s="3">
        <v>2</v>
      </c>
      <c r="H2724" s="17">
        <f>Table1[[#This Row],[Unit price]]*Table1[[#This Row],[Quantity]]</f>
        <v>8.56</v>
      </c>
      <c r="I2724" s="29">
        <f>Table1[[#This Row],[Total Revenue]]/$H$5056*100</f>
        <v>9.0817959484898708E-4</v>
      </c>
      <c r="J2724" s="3" t="s">
        <v>12</v>
      </c>
      <c r="K2724" s="4">
        <v>6.3</v>
      </c>
      <c r="M2724"/>
    </row>
    <row r="2725" spans="1:13" x14ac:dyDescent="0.25">
      <c r="A2725" s="2">
        <v>45359</v>
      </c>
      <c r="B2725" s="3" t="s">
        <v>243</v>
      </c>
      <c r="C2725" s="3" t="s">
        <v>13</v>
      </c>
      <c r="D2725" s="3" t="s">
        <v>19</v>
      </c>
      <c r="E2725" s="5" t="s">
        <v>20</v>
      </c>
      <c r="F2725" s="17">
        <v>70.27</v>
      </c>
      <c r="G2725" s="3">
        <v>4</v>
      </c>
      <c r="H2725" s="17">
        <f>Table1[[#This Row],[Unit price]]*Table1[[#This Row],[Quantity]]</f>
        <v>281.08</v>
      </c>
      <c r="I2725" s="29">
        <f>Table1[[#This Row],[Total Revenue]]/$H$5056*100</f>
        <v>2.9821392584130055E-2</v>
      </c>
      <c r="J2725" s="3" t="s">
        <v>12</v>
      </c>
      <c r="K2725" s="4">
        <v>8.6</v>
      </c>
      <c r="M2725"/>
    </row>
    <row r="2726" spans="1:13" x14ac:dyDescent="0.25">
      <c r="A2726" s="2">
        <v>45359</v>
      </c>
      <c r="B2726" s="3" t="s">
        <v>243</v>
      </c>
      <c r="C2726" s="3" t="s">
        <v>13</v>
      </c>
      <c r="D2726" s="3" t="s">
        <v>19</v>
      </c>
      <c r="E2726" s="5" t="s">
        <v>11</v>
      </c>
      <c r="F2726" s="17">
        <v>6.09</v>
      </c>
      <c r="G2726" s="3">
        <v>2</v>
      </c>
      <c r="H2726" s="17">
        <f>Table1[[#This Row],[Unit price]]*Table1[[#This Row],[Quantity]]</f>
        <v>12.18</v>
      </c>
      <c r="I2726" s="29">
        <f>Table1[[#This Row],[Total Revenue]]/$H$5056*100</f>
        <v>1.2922461992126942E-3</v>
      </c>
      <c r="J2726" s="3" t="s">
        <v>15</v>
      </c>
      <c r="K2726" s="4">
        <v>7.4</v>
      </c>
      <c r="M2726"/>
    </row>
    <row r="2727" spans="1:13" x14ac:dyDescent="0.25">
      <c r="A2727" s="2">
        <v>45359</v>
      </c>
      <c r="B2727" s="3" t="s">
        <v>243</v>
      </c>
      <c r="C2727" s="3" t="s">
        <v>9</v>
      </c>
      <c r="D2727" s="3" t="s">
        <v>10</v>
      </c>
      <c r="E2727" s="5" t="s">
        <v>18</v>
      </c>
      <c r="F2727" s="17">
        <v>13.06</v>
      </c>
      <c r="G2727" s="3">
        <v>1</v>
      </c>
      <c r="H2727" s="17">
        <f>Table1[[#This Row],[Unit price]]*Table1[[#This Row],[Quantity]]</f>
        <v>13.06</v>
      </c>
      <c r="I2727" s="29">
        <f>Table1[[#This Row],[Total Revenue]]/$H$5056*100</f>
        <v>1.3856104566270762E-3</v>
      </c>
      <c r="J2727" s="3" t="s">
        <v>12</v>
      </c>
      <c r="K2727" s="4">
        <v>8.1</v>
      </c>
      <c r="M2727"/>
    </row>
    <row r="2728" spans="1:13" x14ac:dyDescent="0.25">
      <c r="A2728" s="2">
        <v>45359</v>
      </c>
      <c r="B2728" s="3" t="s">
        <v>244</v>
      </c>
      <c r="C2728" s="3" t="s">
        <v>13</v>
      </c>
      <c r="D2728" s="3" t="s">
        <v>10</v>
      </c>
      <c r="E2728" s="5" t="s">
        <v>21</v>
      </c>
      <c r="F2728" s="17">
        <v>34.74</v>
      </c>
      <c r="G2728" s="3">
        <v>3</v>
      </c>
      <c r="H2728" s="17">
        <f>Table1[[#This Row],[Unit price]]*Table1[[#This Row],[Quantity]]</f>
        <v>104.22</v>
      </c>
      <c r="I2728" s="29">
        <f>Table1[[#This Row],[Total Revenue]]/$H$5056*100</f>
        <v>1.105729875878054E-2</v>
      </c>
      <c r="J2728" s="3" t="s">
        <v>17</v>
      </c>
      <c r="K2728" s="4">
        <v>8.1</v>
      </c>
      <c r="M2728"/>
    </row>
    <row r="2729" spans="1:13" x14ac:dyDescent="0.25">
      <c r="A2729" s="2">
        <v>45359</v>
      </c>
      <c r="B2729" s="3" t="s">
        <v>243</v>
      </c>
      <c r="C2729" s="3" t="s">
        <v>9</v>
      </c>
      <c r="D2729" s="3" t="s">
        <v>19</v>
      </c>
      <c r="E2729" s="5" t="s">
        <v>21</v>
      </c>
      <c r="F2729" s="17">
        <v>33.43</v>
      </c>
      <c r="G2729" s="3">
        <v>3</v>
      </c>
      <c r="H2729" s="17">
        <f>Table1[[#This Row],[Unit price]]*Table1[[#This Row],[Quantity]]</f>
        <v>100.28999999999999</v>
      </c>
      <c r="I2729" s="29">
        <f>Table1[[#This Row],[Total Revenue]]/$H$5056*100</f>
        <v>1.0640342472827677E-2</v>
      </c>
      <c r="J2729" s="3" t="s">
        <v>12</v>
      </c>
      <c r="K2729" s="4">
        <v>7</v>
      </c>
      <c r="M2729"/>
    </row>
    <row r="2730" spans="1:13" x14ac:dyDescent="0.25">
      <c r="A2730" s="2">
        <v>45359</v>
      </c>
      <c r="B2730" s="3" t="s">
        <v>244</v>
      </c>
      <c r="C2730" s="3" t="s">
        <v>13</v>
      </c>
      <c r="D2730" s="3" t="s">
        <v>19</v>
      </c>
      <c r="E2730" s="5" t="s">
        <v>21</v>
      </c>
      <c r="F2730" s="17">
        <v>26.12</v>
      </c>
      <c r="G2730" s="3">
        <v>3</v>
      </c>
      <c r="H2730" s="17">
        <f>Table1[[#This Row],[Unit price]]*Table1[[#This Row],[Quantity]]</f>
        <v>78.36</v>
      </c>
      <c r="I2730" s="29">
        <f>Table1[[#This Row],[Total Revenue]]/$H$5056*100</f>
        <v>8.3136627397624556E-3</v>
      </c>
      <c r="J2730" s="3" t="s">
        <v>12</v>
      </c>
      <c r="K2730" s="4">
        <v>8.4</v>
      </c>
      <c r="M2730"/>
    </row>
    <row r="2731" spans="1:13" x14ac:dyDescent="0.25">
      <c r="A2731" s="2">
        <v>45359</v>
      </c>
      <c r="B2731" s="3" t="s">
        <v>245</v>
      </c>
      <c r="C2731" s="3" t="s">
        <v>13</v>
      </c>
      <c r="D2731" s="3" t="s">
        <v>10</v>
      </c>
      <c r="E2731" s="5" t="s">
        <v>11</v>
      </c>
      <c r="F2731" s="17">
        <v>7.73</v>
      </c>
      <c r="G2731" s="3">
        <v>8</v>
      </c>
      <c r="H2731" s="17">
        <f>Table1[[#This Row],[Unit price]]*Table1[[#This Row],[Quantity]]</f>
        <v>61.84</v>
      </c>
      <c r="I2731" s="29">
        <f>Table1[[#This Row],[Total Revenue]]/$H$5056*100</f>
        <v>6.5609609983015614E-3</v>
      </c>
      <c r="J2731" s="3" t="s">
        <v>17</v>
      </c>
      <c r="K2731" s="4">
        <v>9.8000000000000007</v>
      </c>
      <c r="M2731"/>
    </row>
    <row r="2732" spans="1:13" x14ac:dyDescent="0.25">
      <c r="A2732" s="2">
        <v>45359</v>
      </c>
      <c r="B2732" s="3" t="s">
        <v>243</v>
      </c>
      <c r="C2732" s="3" t="s">
        <v>13</v>
      </c>
      <c r="D2732" s="3" t="s">
        <v>19</v>
      </c>
      <c r="E2732" s="5" t="s">
        <v>11</v>
      </c>
      <c r="F2732" s="17">
        <v>5.8</v>
      </c>
      <c r="G2732" s="3">
        <v>3</v>
      </c>
      <c r="H2732" s="17">
        <f>Table1[[#This Row],[Unit price]]*Table1[[#This Row],[Quantity]]</f>
        <v>17.399999999999999</v>
      </c>
      <c r="I2732" s="29">
        <f>Table1[[#This Row],[Total Revenue]]/$H$5056*100</f>
        <v>1.8460659988752772E-3</v>
      </c>
      <c r="J2732" s="3" t="s">
        <v>17</v>
      </c>
      <c r="K2732" s="4">
        <v>7.3</v>
      </c>
      <c r="M2732"/>
    </row>
    <row r="2733" spans="1:13" x14ac:dyDescent="0.25">
      <c r="A2733" s="2">
        <v>45390</v>
      </c>
      <c r="B2733" s="3" t="s">
        <v>244</v>
      </c>
      <c r="C2733" s="3" t="s">
        <v>13</v>
      </c>
      <c r="D2733" s="3" t="s">
        <v>19</v>
      </c>
      <c r="E2733" s="5" t="s">
        <v>21</v>
      </c>
      <c r="F2733" s="17">
        <v>38.86</v>
      </c>
      <c r="G2733" s="3">
        <v>2</v>
      </c>
      <c r="H2733" s="17">
        <f>Table1[[#This Row],[Unit price]]*Table1[[#This Row],[Quantity]]</f>
        <v>77.72</v>
      </c>
      <c r="I2733" s="29">
        <f>Table1[[#This Row],[Total Revenue]]/$H$5056*100</f>
        <v>8.2457614616429052E-3</v>
      </c>
      <c r="J2733" s="3" t="s">
        <v>15</v>
      </c>
      <c r="K2733" s="4">
        <v>7.7</v>
      </c>
      <c r="M2733"/>
    </row>
    <row r="2734" spans="1:13" x14ac:dyDescent="0.25">
      <c r="A2734" s="2">
        <v>45390</v>
      </c>
      <c r="B2734" s="3" t="s">
        <v>244</v>
      </c>
      <c r="C2734" s="3" t="s">
        <v>13</v>
      </c>
      <c r="D2734" s="3" t="s">
        <v>19</v>
      </c>
      <c r="E2734" s="5" t="s">
        <v>20</v>
      </c>
      <c r="F2734" s="17">
        <v>63.94</v>
      </c>
      <c r="G2734" s="3">
        <v>4</v>
      </c>
      <c r="H2734" s="17">
        <f>Table1[[#This Row],[Unit price]]*Table1[[#This Row],[Quantity]]</f>
        <v>255.76</v>
      </c>
      <c r="I2734" s="29">
        <f>Table1[[#This Row],[Total Revenue]]/$H$5056*100</f>
        <v>2.7135048268525343E-2</v>
      </c>
      <c r="J2734" s="3" t="s">
        <v>15</v>
      </c>
      <c r="K2734" s="4">
        <v>6.3</v>
      </c>
      <c r="M2734"/>
    </row>
    <row r="2735" spans="1:13" x14ac:dyDescent="0.25">
      <c r="A2735" s="2">
        <v>45390</v>
      </c>
      <c r="B2735" s="3" t="s">
        <v>245</v>
      </c>
      <c r="C2735" s="3" t="s">
        <v>13</v>
      </c>
      <c r="D2735" s="3" t="s">
        <v>10</v>
      </c>
      <c r="E2735" s="5" t="s">
        <v>16</v>
      </c>
      <c r="F2735" s="17">
        <v>69.12</v>
      </c>
      <c r="G2735" s="3">
        <v>1</v>
      </c>
      <c r="H2735" s="17">
        <f>Table1[[#This Row],[Unit price]]*Table1[[#This Row],[Quantity]]</f>
        <v>69.12</v>
      </c>
      <c r="I2735" s="29">
        <f>Table1[[#This Row],[Total Revenue]]/$H$5056*100</f>
        <v>7.333338036911447E-3</v>
      </c>
      <c r="J2735" s="3" t="s">
        <v>12</v>
      </c>
      <c r="K2735" s="4">
        <v>8.4</v>
      </c>
      <c r="M2735"/>
    </row>
    <row r="2736" spans="1:13" x14ac:dyDescent="0.25">
      <c r="A2736" s="2">
        <v>45390</v>
      </c>
      <c r="B2736" s="3" t="s">
        <v>243</v>
      </c>
      <c r="C2736" s="3" t="s">
        <v>13</v>
      </c>
      <c r="D2736" s="3" t="s">
        <v>10</v>
      </c>
      <c r="E2736" s="5" t="s">
        <v>18</v>
      </c>
      <c r="F2736" s="17">
        <v>12.47</v>
      </c>
      <c r="G2736" s="3">
        <v>3</v>
      </c>
      <c r="H2736" s="17">
        <f>Table1[[#This Row],[Unit price]]*Table1[[#This Row],[Quantity]]</f>
        <v>37.410000000000004</v>
      </c>
      <c r="I2736" s="29">
        <f>Table1[[#This Row],[Total Revenue]]/$H$5056*100</f>
        <v>3.9690418975818469E-3</v>
      </c>
      <c r="J2736" s="3" t="s">
        <v>15</v>
      </c>
      <c r="K2736" s="4">
        <v>6.8</v>
      </c>
      <c r="M2736"/>
    </row>
    <row r="2737" spans="1:13" x14ac:dyDescent="0.25">
      <c r="A2737" s="2">
        <v>45390</v>
      </c>
      <c r="B2737" s="3" t="s">
        <v>244</v>
      </c>
      <c r="C2737" s="3" t="s">
        <v>13</v>
      </c>
      <c r="D2737" s="3" t="s">
        <v>10</v>
      </c>
      <c r="E2737" s="5" t="s">
        <v>11</v>
      </c>
      <c r="F2737" s="17">
        <v>4.84</v>
      </c>
      <c r="G2737" s="3">
        <v>1</v>
      </c>
      <c r="H2737" s="17">
        <f>Table1[[#This Row],[Unit price]]*Table1[[#This Row],[Quantity]]</f>
        <v>4.84</v>
      </c>
      <c r="I2737" s="29">
        <f>Table1[[#This Row],[Total Revenue]]/$H$5056*100</f>
        <v>5.1350341577910017E-4</v>
      </c>
      <c r="J2737" s="3" t="s">
        <v>12</v>
      </c>
      <c r="K2737" s="4">
        <v>6.7</v>
      </c>
      <c r="M2737"/>
    </row>
    <row r="2738" spans="1:13" x14ac:dyDescent="0.25">
      <c r="A2738" s="2">
        <v>45390</v>
      </c>
      <c r="B2738" s="3" t="s">
        <v>243</v>
      </c>
      <c r="C2738" s="3" t="s">
        <v>13</v>
      </c>
      <c r="D2738" s="3" t="s">
        <v>19</v>
      </c>
      <c r="E2738" s="5" t="s">
        <v>11</v>
      </c>
      <c r="F2738" s="17">
        <v>2.57</v>
      </c>
      <c r="G2738" s="3">
        <v>2</v>
      </c>
      <c r="H2738" s="17">
        <f>Table1[[#This Row],[Unit price]]*Table1[[#This Row],[Quantity]]</f>
        <v>5.14</v>
      </c>
      <c r="I2738" s="29">
        <f>Table1[[#This Row],[Total Revenue]]/$H$5056*100</f>
        <v>5.4533213989763941E-4</v>
      </c>
      <c r="J2738" s="3" t="s">
        <v>15</v>
      </c>
      <c r="K2738" s="4">
        <v>8.8000000000000007</v>
      </c>
      <c r="M2738"/>
    </row>
    <row r="2739" spans="1:13" x14ac:dyDescent="0.25">
      <c r="A2739" s="2">
        <v>45390</v>
      </c>
      <c r="B2739" s="3" t="s">
        <v>243</v>
      </c>
      <c r="C2739" s="3" t="s">
        <v>13</v>
      </c>
      <c r="D2739" s="3" t="s">
        <v>19</v>
      </c>
      <c r="E2739" s="5" t="s">
        <v>11</v>
      </c>
      <c r="F2739" s="17">
        <v>7.81</v>
      </c>
      <c r="G2739" s="3">
        <v>3</v>
      </c>
      <c r="H2739" s="17">
        <f>Table1[[#This Row],[Unit price]]*Table1[[#This Row],[Quantity]]</f>
        <v>23.43</v>
      </c>
      <c r="I2739" s="29">
        <f>Table1[[#This Row],[Total Revenue]]/$H$5056*100</f>
        <v>2.4858233536579166E-3</v>
      </c>
      <c r="J2739" s="3" t="s">
        <v>15</v>
      </c>
      <c r="K2739" s="4">
        <v>6.8</v>
      </c>
      <c r="M2739"/>
    </row>
    <row r="2740" spans="1:13" x14ac:dyDescent="0.25">
      <c r="A2740" s="2">
        <v>45390</v>
      </c>
      <c r="B2740" s="3" t="s">
        <v>244</v>
      </c>
      <c r="C2740" s="3" t="s">
        <v>13</v>
      </c>
      <c r="D2740" s="3" t="s">
        <v>19</v>
      </c>
      <c r="E2740" s="5" t="s">
        <v>11</v>
      </c>
      <c r="F2740" s="17">
        <v>7.05</v>
      </c>
      <c r="G2740" s="3">
        <v>4</v>
      </c>
      <c r="H2740" s="17">
        <f>Table1[[#This Row],[Unit price]]*Table1[[#This Row],[Quantity]]</f>
        <v>28.2</v>
      </c>
      <c r="I2740" s="29">
        <f>Table1[[#This Row],[Total Revenue]]/$H$5056*100</f>
        <v>2.9919000671426907E-3</v>
      </c>
      <c r="J2740" s="3" t="s">
        <v>12</v>
      </c>
      <c r="K2740" s="4">
        <v>7.9</v>
      </c>
      <c r="M2740"/>
    </row>
    <row r="2741" spans="1:13" x14ac:dyDescent="0.25">
      <c r="A2741" s="2">
        <v>45390</v>
      </c>
      <c r="B2741" s="3" t="s">
        <v>245</v>
      </c>
      <c r="C2741" s="3" t="s">
        <v>13</v>
      </c>
      <c r="D2741" s="3" t="s">
        <v>10</v>
      </c>
      <c r="E2741" s="5" t="s">
        <v>11</v>
      </c>
      <c r="F2741" s="17">
        <v>4.33</v>
      </c>
      <c r="G2741" s="3">
        <v>2</v>
      </c>
      <c r="H2741" s="17">
        <f>Table1[[#This Row],[Unit price]]*Table1[[#This Row],[Quantity]]</f>
        <v>8.66</v>
      </c>
      <c r="I2741" s="29">
        <f>Table1[[#This Row],[Total Revenue]]/$H$5056*100</f>
        <v>9.1878916955516682E-4</v>
      </c>
      <c r="J2741" s="3" t="s">
        <v>12</v>
      </c>
      <c r="K2741" s="4">
        <v>7.2</v>
      </c>
      <c r="M2741"/>
    </row>
    <row r="2742" spans="1:13" x14ac:dyDescent="0.25">
      <c r="A2742" s="2">
        <v>45390</v>
      </c>
      <c r="B2742" s="3" t="s">
        <v>243</v>
      </c>
      <c r="C2742" s="3" t="s">
        <v>13</v>
      </c>
      <c r="D2742" s="3" t="s">
        <v>10</v>
      </c>
      <c r="E2742" s="5" t="s">
        <v>16</v>
      </c>
      <c r="F2742" s="17">
        <v>62.05</v>
      </c>
      <c r="G2742" s="3">
        <v>1</v>
      </c>
      <c r="H2742" s="17">
        <f>Table1[[#This Row],[Unit price]]*Table1[[#This Row],[Quantity]]</f>
        <v>62.05</v>
      </c>
      <c r="I2742" s="29">
        <f>Table1[[#This Row],[Total Revenue]]/$H$5056*100</f>
        <v>6.5832411051845383E-3</v>
      </c>
      <c r="J2742" s="3" t="s">
        <v>15</v>
      </c>
      <c r="K2742" s="4">
        <v>7.7</v>
      </c>
      <c r="M2742"/>
    </row>
    <row r="2743" spans="1:13" x14ac:dyDescent="0.25">
      <c r="A2743" s="2">
        <v>45390</v>
      </c>
      <c r="B2743" s="3" t="s">
        <v>243</v>
      </c>
      <c r="C2743" s="3" t="s">
        <v>9</v>
      </c>
      <c r="D2743" s="3" t="s">
        <v>10</v>
      </c>
      <c r="E2743" s="5" t="s">
        <v>20</v>
      </c>
      <c r="F2743" s="17">
        <v>73.540000000000006</v>
      </c>
      <c r="G2743" s="3">
        <v>3</v>
      </c>
      <c r="H2743" s="17">
        <f>Table1[[#This Row],[Unit price]]*Table1[[#This Row],[Quantity]]</f>
        <v>220.62</v>
      </c>
      <c r="I2743" s="29">
        <f>Table1[[#This Row],[Total Revenue]]/$H$5056*100</f>
        <v>2.3406843716773776E-2</v>
      </c>
      <c r="J2743" s="3" t="s">
        <v>17</v>
      </c>
      <c r="K2743" s="4">
        <v>7.8</v>
      </c>
      <c r="M2743"/>
    </row>
    <row r="2744" spans="1:13" x14ac:dyDescent="0.25">
      <c r="A2744" s="2">
        <v>45390</v>
      </c>
      <c r="B2744" s="3" t="s">
        <v>244</v>
      </c>
      <c r="C2744" s="3" t="s">
        <v>13</v>
      </c>
      <c r="D2744" s="3" t="s">
        <v>19</v>
      </c>
      <c r="E2744" s="5" t="s">
        <v>11</v>
      </c>
      <c r="F2744" s="17">
        <v>7.25</v>
      </c>
      <c r="G2744" s="3">
        <v>2</v>
      </c>
      <c r="H2744" s="17">
        <f>Table1[[#This Row],[Unit price]]*Table1[[#This Row],[Quantity]]</f>
        <v>14.5</v>
      </c>
      <c r="I2744" s="29">
        <f>Table1[[#This Row],[Total Revenue]]/$H$5056*100</f>
        <v>1.5383883323960646E-3</v>
      </c>
      <c r="J2744" s="3" t="s">
        <v>17</v>
      </c>
      <c r="K2744" s="4">
        <v>7.5</v>
      </c>
      <c r="M2744"/>
    </row>
    <row r="2745" spans="1:13" x14ac:dyDescent="0.25">
      <c r="A2745" s="2">
        <v>45390</v>
      </c>
      <c r="B2745" s="3" t="s">
        <v>243</v>
      </c>
      <c r="C2745" s="3" t="s">
        <v>13</v>
      </c>
      <c r="D2745" s="3" t="s">
        <v>19</v>
      </c>
      <c r="E2745" s="5" t="s">
        <v>21</v>
      </c>
      <c r="F2745" s="17">
        <v>22.46</v>
      </c>
      <c r="G2745" s="3">
        <v>4</v>
      </c>
      <c r="H2745" s="17">
        <f>Table1[[#This Row],[Unit price]]*Table1[[#This Row],[Quantity]]</f>
        <v>89.84</v>
      </c>
      <c r="I2745" s="29">
        <f>Table1[[#This Row],[Total Revenue]]/$H$5056*100</f>
        <v>9.5316419160318931E-3</v>
      </c>
      <c r="J2745" s="3" t="s">
        <v>17</v>
      </c>
      <c r="K2745" s="4">
        <v>5.7</v>
      </c>
      <c r="M2745"/>
    </row>
    <row r="2746" spans="1:13" x14ac:dyDescent="0.25">
      <c r="A2746" s="2">
        <v>45390</v>
      </c>
      <c r="B2746" s="3" t="s">
        <v>245</v>
      </c>
      <c r="C2746" s="3" t="s">
        <v>13</v>
      </c>
      <c r="D2746" s="3" t="s">
        <v>19</v>
      </c>
      <c r="E2746" s="5" t="s">
        <v>11</v>
      </c>
      <c r="F2746" s="17">
        <v>7.5</v>
      </c>
      <c r="G2746" s="3">
        <v>2</v>
      </c>
      <c r="H2746" s="17">
        <f>Table1[[#This Row],[Unit price]]*Table1[[#This Row],[Quantity]]</f>
        <v>15</v>
      </c>
      <c r="I2746" s="29">
        <f>Table1[[#This Row],[Total Revenue]]/$H$5056*100</f>
        <v>1.5914362059269633E-3</v>
      </c>
      <c r="J2746" s="3" t="s">
        <v>17</v>
      </c>
      <c r="K2746" s="4">
        <v>8.1999999999999993</v>
      </c>
      <c r="M2746"/>
    </row>
    <row r="2747" spans="1:13" x14ac:dyDescent="0.25">
      <c r="A2747" s="2">
        <v>45390</v>
      </c>
      <c r="B2747" s="3" t="s">
        <v>243</v>
      </c>
      <c r="C2747" s="3" t="s">
        <v>13</v>
      </c>
      <c r="D2747" s="3" t="s">
        <v>10</v>
      </c>
      <c r="E2747" s="5" t="s">
        <v>11</v>
      </c>
      <c r="F2747" s="17">
        <v>7.53</v>
      </c>
      <c r="G2747" s="3">
        <v>2</v>
      </c>
      <c r="H2747" s="17">
        <f>Table1[[#This Row],[Unit price]]*Table1[[#This Row],[Quantity]]</f>
        <v>15.06</v>
      </c>
      <c r="I2747" s="29">
        <f>Table1[[#This Row],[Total Revenue]]/$H$5056*100</f>
        <v>1.5978019507506714E-3</v>
      </c>
      <c r="J2747" s="3" t="s">
        <v>17</v>
      </c>
      <c r="K2747" s="4">
        <v>6.5</v>
      </c>
      <c r="M2747"/>
    </row>
    <row r="2748" spans="1:13" x14ac:dyDescent="0.25">
      <c r="A2748" s="2">
        <v>45420</v>
      </c>
      <c r="B2748" s="3" t="s">
        <v>244</v>
      </c>
      <c r="C2748" s="3" t="s">
        <v>9</v>
      </c>
      <c r="D2748" s="3" t="s">
        <v>10</v>
      </c>
      <c r="E2748" s="5" t="s">
        <v>11</v>
      </c>
      <c r="F2748" s="17">
        <v>5.25</v>
      </c>
      <c r="G2748" s="3">
        <v>1</v>
      </c>
      <c r="H2748" s="17">
        <f>Table1[[#This Row],[Unit price]]*Table1[[#This Row],[Quantity]]</f>
        <v>5.25</v>
      </c>
      <c r="I2748" s="29">
        <f>Table1[[#This Row],[Total Revenue]]/$H$5056*100</f>
        <v>5.5700267207443714E-4</v>
      </c>
      <c r="J2748" s="3" t="s">
        <v>17</v>
      </c>
      <c r="K2748" s="4">
        <v>6.8</v>
      </c>
      <c r="M2748"/>
    </row>
    <row r="2749" spans="1:13" x14ac:dyDescent="0.25">
      <c r="A2749" s="2">
        <v>45420</v>
      </c>
      <c r="B2749" s="3" t="s">
        <v>245</v>
      </c>
      <c r="C2749" s="3" t="s">
        <v>13</v>
      </c>
      <c r="D2749" s="3" t="s">
        <v>10</v>
      </c>
      <c r="E2749" s="5" t="s">
        <v>21</v>
      </c>
      <c r="F2749" s="17">
        <v>29.87</v>
      </c>
      <c r="G2749" s="3">
        <v>2</v>
      </c>
      <c r="H2749" s="17">
        <f>Table1[[#This Row],[Unit price]]*Table1[[#This Row],[Quantity]]</f>
        <v>59.74</v>
      </c>
      <c r="I2749" s="29">
        <f>Table1[[#This Row],[Total Revenue]]/$H$5056*100</f>
        <v>6.3381599294717863E-3</v>
      </c>
      <c r="J2749" s="3" t="s">
        <v>15</v>
      </c>
      <c r="K2749" s="4">
        <v>8.1</v>
      </c>
      <c r="M2749"/>
    </row>
    <row r="2750" spans="1:13" x14ac:dyDescent="0.25">
      <c r="A2750" s="2">
        <v>45420</v>
      </c>
      <c r="B2750" s="3" t="s">
        <v>243</v>
      </c>
      <c r="C2750" s="3" t="s">
        <v>13</v>
      </c>
      <c r="D2750" s="3" t="s">
        <v>19</v>
      </c>
      <c r="E2750" s="5" t="s">
        <v>20</v>
      </c>
      <c r="F2750" s="17">
        <v>72.72</v>
      </c>
      <c r="G2750" s="3">
        <v>1</v>
      </c>
      <c r="H2750" s="17">
        <f>Table1[[#This Row],[Unit price]]*Table1[[#This Row],[Quantity]]</f>
        <v>72.72</v>
      </c>
      <c r="I2750" s="29">
        <f>Table1[[#This Row],[Total Revenue]]/$H$5056*100</f>
        <v>7.7152827263339179E-3</v>
      </c>
      <c r="J2750" s="3" t="s">
        <v>15</v>
      </c>
      <c r="K2750" s="4">
        <v>7.1</v>
      </c>
      <c r="M2750"/>
    </row>
    <row r="2751" spans="1:13" x14ac:dyDescent="0.25">
      <c r="A2751" s="2">
        <v>45420</v>
      </c>
      <c r="B2751" s="3" t="s">
        <v>244</v>
      </c>
      <c r="C2751" s="3" t="s">
        <v>13</v>
      </c>
      <c r="D2751" s="3" t="s">
        <v>19</v>
      </c>
      <c r="E2751" s="5" t="s">
        <v>21</v>
      </c>
      <c r="F2751" s="17">
        <v>28.9</v>
      </c>
      <c r="G2751" s="3">
        <v>3</v>
      </c>
      <c r="H2751" s="17">
        <f>Table1[[#This Row],[Unit price]]*Table1[[#This Row],[Quantity]]</f>
        <v>86.699999999999989</v>
      </c>
      <c r="I2751" s="29">
        <f>Table1[[#This Row],[Total Revenue]]/$H$5056*100</f>
        <v>9.1985012702578469E-3</v>
      </c>
      <c r="J2751" s="3" t="s">
        <v>12</v>
      </c>
      <c r="K2751" s="4">
        <v>8.8000000000000007</v>
      </c>
      <c r="M2751"/>
    </row>
    <row r="2752" spans="1:13" x14ac:dyDescent="0.25">
      <c r="A2752" s="2">
        <v>45420</v>
      </c>
      <c r="B2752" s="3" t="s">
        <v>243</v>
      </c>
      <c r="C2752" s="3" t="s">
        <v>13</v>
      </c>
      <c r="D2752" s="3" t="s">
        <v>10</v>
      </c>
      <c r="E2752" s="5" t="s">
        <v>21</v>
      </c>
      <c r="F2752" s="17">
        <v>30.95</v>
      </c>
      <c r="G2752" s="3">
        <v>3</v>
      </c>
      <c r="H2752" s="17">
        <f>Table1[[#This Row],[Unit price]]*Table1[[#This Row],[Quantity]]</f>
        <v>92.85</v>
      </c>
      <c r="I2752" s="29">
        <f>Table1[[#This Row],[Total Revenue]]/$H$5056*100</f>
        <v>9.850990114687902E-3</v>
      </c>
      <c r="J2752" s="3" t="s">
        <v>17</v>
      </c>
      <c r="K2752" s="4">
        <v>8.1999999999999993</v>
      </c>
      <c r="M2752"/>
    </row>
    <row r="2753" spans="1:13" x14ac:dyDescent="0.25">
      <c r="A2753" s="2">
        <v>45420</v>
      </c>
      <c r="B2753" s="3" t="s">
        <v>244</v>
      </c>
      <c r="C2753" s="3" t="s">
        <v>13</v>
      </c>
      <c r="D2753" s="3" t="s">
        <v>10</v>
      </c>
      <c r="E2753" s="5" t="s">
        <v>20</v>
      </c>
      <c r="F2753" s="17">
        <v>65.27</v>
      </c>
      <c r="G2753" s="3">
        <v>4</v>
      </c>
      <c r="H2753" s="17">
        <f>Table1[[#This Row],[Unit price]]*Table1[[#This Row],[Quantity]]</f>
        <v>261.08</v>
      </c>
      <c r="I2753" s="29">
        <f>Table1[[#This Row],[Total Revenue]]/$H$5056*100</f>
        <v>2.7699477642894103E-2</v>
      </c>
      <c r="J2753" s="3" t="s">
        <v>15</v>
      </c>
      <c r="K2753" s="4">
        <v>6.2</v>
      </c>
      <c r="M2753"/>
    </row>
    <row r="2754" spans="1:13" x14ac:dyDescent="0.25">
      <c r="A2754" s="2">
        <v>45420</v>
      </c>
      <c r="B2754" s="3" t="s">
        <v>245</v>
      </c>
      <c r="C2754" s="3" t="s">
        <v>13</v>
      </c>
      <c r="D2754" s="3" t="s">
        <v>10</v>
      </c>
      <c r="E2754" s="5" t="s">
        <v>21</v>
      </c>
      <c r="F2754" s="17">
        <v>16.649999999999999</v>
      </c>
      <c r="G2754" s="3">
        <v>2</v>
      </c>
      <c r="H2754" s="17">
        <f>Table1[[#This Row],[Unit price]]*Table1[[#This Row],[Quantity]]</f>
        <v>33.299999999999997</v>
      </c>
      <c r="I2754" s="29">
        <f>Table1[[#This Row],[Total Revenue]]/$H$5056*100</f>
        <v>3.5329883771578583E-3</v>
      </c>
      <c r="J2754" s="3" t="s">
        <v>17</v>
      </c>
      <c r="K2754" s="4">
        <v>6</v>
      </c>
      <c r="M2754"/>
    </row>
    <row r="2755" spans="1:13" x14ac:dyDescent="0.25">
      <c r="A2755" s="2">
        <v>45420</v>
      </c>
      <c r="B2755" s="3" t="s">
        <v>243</v>
      </c>
      <c r="C2755" s="3" t="s">
        <v>9</v>
      </c>
      <c r="D2755" s="3" t="s">
        <v>10</v>
      </c>
      <c r="E2755" s="5" t="s">
        <v>11</v>
      </c>
      <c r="F2755" s="17">
        <v>7.22</v>
      </c>
      <c r="G2755" s="3">
        <v>6</v>
      </c>
      <c r="H2755" s="17">
        <f>Table1[[#This Row],[Unit price]]*Table1[[#This Row],[Quantity]]</f>
        <v>43.32</v>
      </c>
      <c r="I2755" s="29">
        <f>Table1[[#This Row],[Total Revenue]]/$H$5056*100</f>
        <v>4.5960677627170697E-3</v>
      </c>
      <c r="J2755" s="3" t="s">
        <v>12</v>
      </c>
      <c r="K2755" s="4">
        <v>6.9</v>
      </c>
      <c r="M2755"/>
    </row>
    <row r="2756" spans="1:13" x14ac:dyDescent="0.25">
      <c r="A2756" s="2">
        <v>45420</v>
      </c>
      <c r="B2756" s="3" t="s">
        <v>244</v>
      </c>
      <c r="C2756" s="3" t="s">
        <v>13</v>
      </c>
      <c r="D2756" s="3" t="s">
        <v>19</v>
      </c>
      <c r="E2756" s="5" t="s">
        <v>21</v>
      </c>
      <c r="F2756" s="17">
        <v>27.8</v>
      </c>
      <c r="G2756" s="3">
        <v>3</v>
      </c>
      <c r="H2756" s="17">
        <f>Table1[[#This Row],[Unit price]]*Table1[[#This Row],[Quantity]]</f>
        <v>83.4</v>
      </c>
      <c r="I2756" s="29">
        <f>Table1[[#This Row],[Total Revenue]]/$H$5056*100</f>
        <v>8.8483853049539166E-3</v>
      </c>
      <c r="J2756" s="3" t="s">
        <v>15</v>
      </c>
      <c r="K2756" s="4">
        <v>6.3</v>
      </c>
      <c r="M2756"/>
    </row>
    <row r="2757" spans="1:13" x14ac:dyDescent="0.25">
      <c r="A2757" s="2">
        <v>45420</v>
      </c>
      <c r="B2757" s="3" t="s">
        <v>245</v>
      </c>
      <c r="C2757" s="3" t="s">
        <v>13</v>
      </c>
      <c r="D2757" s="3" t="s">
        <v>19</v>
      </c>
      <c r="E2757" s="5" t="s">
        <v>21</v>
      </c>
      <c r="F2757" s="17">
        <v>32.99</v>
      </c>
      <c r="G2757" s="3">
        <v>3</v>
      </c>
      <c r="H2757" s="17">
        <f>Table1[[#This Row],[Unit price]]*Table1[[#This Row],[Quantity]]</f>
        <v>98.97</v>
      </c>
      <c r="I2757" s="29">
        <f>Table1[[#This Row],[Total Revenue]]/$H$5056*100</f>
        <v>1.0500296086706105E-2</v>
      </c>
      <c r="J2757" s="3" t="s">
        <v>15</v>
      </c>
      <c r="K2757" s="4">
        <v>6</v>
      </c>
      <c r="M2757"/>
    </row>
    <row r="2758" spans="1:13" x14ac:dyDescent="0.25">
      <c r="A2758" s="2">
        <v>45451</v>
      </c>
      <c r="B2758" s="3" t="s">
        <v>244</v>
      </c>
      <c r="C2758" s="3" t="s">
        <v>13</v>
      </c>
      <c r="D2758" s="3" t="s">
        <v>19</v>
      </c>
      <c r="E2758" s="5" t="s">
        <v>11</v>
      </c>
      <c r="F2758" s="17">
        <v>6.22</v>
      </c>
      <c r="G2758" s="3">
        <v>5</v>
      </c>
      <c r="H2758" s="17">
        <f>Table1[[#This Row],[Unit price]]*Table1[[#This Row],[Quantity]]</f>
        <v>31.099999999999998</v>
      </c>
      <c r="I2758" s="29">
        <f>Table1[[#This Row],[Total Revenue]]/$H$5056*100</f>
        <v>3.2995777336219038E-3</v>
      </c>
      <c r="J2758" s="3" t="s">
        <v>17</v>
      </c>
      <c r="K2758" s="4">
        <v>8.1999999999999993</v>
      </c>
      <c r="M2758"/>
    </row>
    <row r="2759" spans="1:13" x14ac:dyDescent="0.25">
      <c r="A2759" s="2">
        <v>45451</v>
      </c>
      <c r="B2759" s="3" t="s">
        <v>243</v>
      </c>
      <c r="C2759" s="3" t="s">
        <v>13</v>
      </c>
      <c r="D2759" s="3" t="s">
        <v>10</v>
      </c>
      <c r="E2759" s="5" t="s">
        <v>16</v>
      </c>
      <c r="F2759" s="17">
        <v>74.489999999999995</v>
      </c>
      <c r="G2759" s="3">
        <v>1</v>
      </c>
      <c r="H2759" s="17">
        <f>Table1[[#This Row],[Unit price]]*Table1[[#This Row],[Quantity]]</f>
        <v>74.489999999999995</v>
      </c>
      <c r="I2759" s="29">
        <f>Table1[[#This Row],[Total Revenue]]/$H$5056*100</f>
        <v>7.9030721986332996E-3</v>
      </c>
      <c r="J2759" s="3" t="s">
        <v>15</v>
      </c>
      <c r="K2759" s="4">
        <v>7.7</v>
      </c>
      <c r="M2759"/>
    </row>
    <row r="2760" spans="1:13" x14ac:dyDescent="0.25">
      <c r="A2760" s="2">
        <v>45451</v>
      </c>
      <c r="B2760" s="3" t="s">
        <v>243</v>
      </c>
      <c r="C2760" s="3" t="s">
        <v>13</v>
      </c>
      <c r="D2760" s="3" t="s">
        <v>19</v>
      </c>
      <c r="E2760" s="5" t="s">
        <v>16</v>
      </c>
      <c r="F2760" s="17">
        <v>58.27</v>
      </c>
      <c r="G2760" s="3">
        <v>2</v>
      </c>
      <c r="H2760" s="17">
        <f>Table1[[#This Row],[Unit price]]*Table1[[#This Row],[Quantity]]</f>
        <v>116.54</v>
      </c>
      <c r="I2760" s="29">
        <f>Table1[[#This Row],[Total Revenue]]/$H$5056*100</f>
        <v>1.2364398362581887E-2</v>
      </c>
      <c r="J2760" s="3" t="s">
        <v>15</v>
      </c>
      <c r="K2760" s="4">
        <v>6</v>
      </c>
      <c r="M2760"/>
    </row>
    <row r="2761" spans="1:13" x14ac:dyDescent="0.25">
      <c r="A2761" s="2">
        <v>45451</v>
      </c>
      <c r="B2761" s="3" t="s">
        <v>245</v>
      </c>
      <c r="C2761" s="3" t="s">
        <v>13</v>
      </c>
      <c r="D2761" s="3" t="s">
        <v>10</v>
      </c>
      <c r="E2761" s="5" t="s">
        <v>11</v>
      </c>
      <c r="F2761" s="17">
        <v>3.15</v>
      </c>
      <c r="G2761" s="3">
        <v>3</v>
      </c>
      <c r="H2761" s="17">
        <f>Table1[[#This Row],[Unit price]]*Table1[[#This Row],[Quantity]]</f>
        <v>9.4499999999999993</v>
      </c>
      <c r="I2761" s="29">
        <f>Table1[[#This Row],[Total Revenue]]/$H$5056*100</f>
        <v>1.0026048097339867E-3</v>
      </c>
      <c r="J2761" s="3" t="s">
        <v>17</v>
      </c>
      <c r="K2761" s="4">
        <v>6</v>
      </c>
      <c r="M2761"/>
    </row>
    <row r="2762" spans="1:13" x14ac:dyDescent="0.25">
      <c r="A2762" s="2">
        <v>45451</v>
      </c>
      <c r="B2762" s="3" t="s">
        <v>244</v>
      </c>
      <c r="C2762" s="3" t="s">
        <v>13</v>
      </c>
      <c r="D2762" s="3" t="s">
        <v>19</v>
      </c>
      <c r="E2762" s="5" t="s">
        <v>16</v>
      </c>
      <c r="F2762" s="17">
        <v>70.900000000000006</v>
      </c>
      <c r="G2762" s="3">
        <v>1</v>
      </c>
      <c r="H2762" s="17">
        <f>Table1[[#This Row],[Unit price]]*Table1[[#This Row],[Quantity]]</f>
        <v>70.900000000000006</v>
      </c>
      <c r="I2762" s="29">
        <f>Table1[[#This Row],[Total Revenue]]/$H$5056*100</f>
        <v>7.5221884666814469E-3</v>
      </c>
      <c r="J2762" s="3" t="s">
        <v>12</v>
      </c>
      <c r="K2762" s="4">
        <v>8</v>
      </c>
      <c r="M2762"/>
    </row>
    <row r="2763" spans="1:13" x14ac:dyDescent="0.25">
      <c r="A2763" s="2">
        <v>45451</v>
      </c>
      <c r="B2763" s="3" t="s">
        <v>244</v>
      </c>
      <c r="C2763" s="3" t="s">
        <v>13</v>
      </c>
      <c r="D2763" s="3" t="s">
        <v>19</v>
      </c>
      <c r="E2763" s="5" t="s">
        <v>11</v>
      </c>
      <c r="F2763" s="17">
        <v>4.09</v>
      </c>
      <c r="G2763" s="3">
        <v>2</v>
      </c>
      <c r="H2763" s="17">
        <f>Table1[[#This Row],[Unit price]]*Table1[[#This Row],[Quantity]]</f>
        <v>8.18</v>
      </c>
      <c r="I2763" s="29">
        <f>Table1[[#This Row],[Total Revenue]]/$H$5056*100</f>
        <v>8.6786321096550404E-4</v>
      </c>
      <c r="J2763" s="3" t="s">
        <v>15</v>
      </c>
      <c r="K2763" s="4">
        <v>7.5</v>
      </c>
      <c r="M2763"/>
    </row>
    <row r="2764" spans="1:13" x14ac:dyDescent="0.25">
      <c r="A2764" s="2">
        <v>45451</v>
      </c>
      <c r="B2764" s="3" t="s">
        <v>244</v>
      </c>
      <c r="C2764" s="3" t="s">
        <v>9</v>
      </c>
      <c r="D2764" s="3" t="s">
        <v>19</v>
      </c>
      <c r="E2764" s="5" t="s">
        <v>20</v>
      </c>
      <c r="F2764" s="17">
        <v>70.739999999999995</v>
      </c>
      <c r="G2764" s="3">
        <v>3</v>
      </c>
      <c r="H2764" s="17">
        <f>Table1[[#This Row],[Unit price]]*Table1[[#This Row],[Quantity]]</f>
        <v>212.21999999999997</v>
      </c>
      <c r="I2764" s="29">
        <f>Table1[[#This Row],[Total Revenue]]/$H$5056*100</f>
        <v>2.2515639441454675E-2</v>
      </c>
      <c r="J2764" s="3" t="s">
        <v>12</v>
      </c>
      <c r="K2764" s="4">
        <v>8.5</v>
      </c>
      <c r="M2764"/>
    </row>
    <row r="2765" spans="1:13" x14ac:dyDescent="0.25">
      <c r="A2765" s="2">
        <v>45451</v>
      </c>
      <c r="B2765" s="3" t="s">
        <v>243</v>
      </c>
      <c r="C2765" s="3" t="s">
        <v>9</v>
      </c>
      <c r="D2765" s="3" t="s">
        <v>19</v>
      </c>
      <c r="E2765" s="5" t="s">
        <v>21</v>
      </c>
      <c r="F2765" s="17">
        <v>34.909999999999997</v>
      </c>
      <c r="G2765" s="3">
        <v>2</v>
      </c>
      <c r="H2765" s="17">
        <f>Table1[[#This Row],[Unit price]]*Table1[[#This Row],[Quantity]]</f>
        <v>69.819999999999993</v>
      </c>
      <c r="I2765" s="29">
        <f>Table1[[#This Row],[Total Revenue]]/$H$5056*100</f>
        <v>7.4076050598547039E-3</v>
      </c>
      <c r="J2765" s="3" t="s">
        <v>15</v>
      </c>
      <c r="K2765" s="4">
        <v>6.1</v>
      </c>
      <c r="M2765"/>
    </row>
    <row r="2766" spans="1:13" x14ac:dyDescent="0.25">
      <c r="A2766" s="2">
        <v>45451</v>
      </c>
      <c r="B2766" s="3" t="s">
        <v>244</v>
      </c>
      <c r="C2766" s="3" t="s">
        <v>9</v>
      </c>
      <c r="D2766" s="3" t="s">
        <v>10</v>
      </c>
      <c r="E2766" s="5" t="s">
        <v>18</v>
      </c>
      <c r="F2766" s="17">
        <v>18.34</v>
      </c>
      <c r="G2766" s="3">
        <v>3</v>
      </c>
      <c r="H2766" s="17">
        <f>Table1[[#This Row],[Unit price]]*Table1[[#This Row],[Quantity]]</f>
        <v>55.019999999999996</v>
      </c>
      <c r="I2766" s="29">
        <f>Table1[[#This Row],[Total Revenue]]/$H$5056*100</f>
        <v>5.8373880033401005E-3</v>
      </c>
      <c r="J2766" s="3" t="s">
        <v>17</v>
      </c>
      <c r="K2766" s="4">
        <v>7.6</v>
      </c>
      <c r="M2766"/>
    </row>
    <row r="2767" spans="1:13" x14ac:dyDescent="0.25">
      <c r="A2767" s="2">
        <v>45451</v>
      </c>
      <c r="B2767" s="3" t="s">
        <v>244</v>
      </c>
      <c r="C2767" s="3" t="s">
        <v>13</v>
      </c>
      <c r="D2767" s="3" t="s">
        <v>19</v>
      </c>
      <c r="E2767" s="5" t="s">
        <v>11</v>
      </c>
      <c r="F2767" s="17">
        <v>3.52</v>
      </c>
      <c r="G2767" s="3">
        <v>2</v>
      </c>
      <c r="H2767" s="17">
        <f>Table1[[#This Row],[Unit price]]*Table1[[#This Row],[Quantity]]</f>
        <v>7.04</v>
      </c>
      <c r="I2767" s="29">
        <f>Table1[[#This Row],[Total Revenue]]/$H$5056*100</f>
        <v>7.4691405931505482E-4</v>
      </c>
      <c r="J2767" s="3" t="s">
        <v>17</v>
      </c>
      <c r="K2767" s="4">
        <v>6.5</v>
      </c>
      <c r="M2767"/>
    </row>
    <row r="2768" spans="1:13" x14ac:dyDescent="0.25">
      <c r="A2768" s="2">
        <v>45451</v>
      </c>
      <c r="B2768" s="3" t="s">
        <v>243</v>
      </c>
      <c r="C2768" s="3" t="s">
        <v>9</v>
      </c>
      <c r="D2768" s="3" t="s">
        <v>10</v>
      </c>
      <c r="E2768" s="5" t="s">
        <v>11</v>
      </c>
      <c r="F2768" s="17">
        <v>5.38</v>
      </c>
      <c r="G2768" s="3">
        <v>3</v>
      </c>
      <c r="H2768" s="17">
        <f>Table1[[#This Row],[Unit price]]*Table1[[#This Row],[Quantity]]</f>
        <v>16.14</v>
      </c>
      <c r="I2768" s="29">
        <f>Table1[[#This Row],[Total Revenue]]/$H$5056*100</f>
        <v>1.7123853575774129E-3</v>
      </c>
      <c r="J2768" s="3" t="s">
        <v>15</v>
      </c>
      <c r="K2768" s="4">
        <v>5.7</v>
      </c>
      <c r="M2768"/>
    </row>
    <row r="2769" spans="1:13" x14ac:dyDescent="0.25">
      <c r="A2769" s="2">
        <v>45451</v>
      </c>
      <c r="B2769" s="3" t="s">
        <v>243</v>
      </c>
      <c r="C2769" s="3" t="s">
        <v>13</v>
      </c>
      <c r="D2769" s="3" t="s">
        <v>19</v>
      </c>
      <c r="E2769" s="5" t="s">
        <v>11</v>
      </c>
      <c r="F2769" s="17">
        <v>2.52</v>
      </c>
      <c r="G2769" s="3">
        <v>2</v>
      </c>
      <c r="H2769" s="17">
        <f>Table1[[#This Row],[Unit price]]*Table1[[#This Row],[Quantity]]</f>
        <v>5.04</v>
      </c>
      <c r="I2769" s="29">
        <f>Table1[[#This Row],[Total Revenue]]/$H$5056*100</f>
        <v>5.3472256519145967E-4</v>
      </c>
      <c r="J2769" s="3" t="s">
        <v>17</v>
      </c>
      <c r="K2769" s="4">
        <v>8.5</v>
      </c>
      <c r="M2769"/>
    </row>
    <row r="2770" spans="1:13" x14ac:dyDescent="0.25">
      <c r="A2770" s="2">
        <v>45451</v>
      </c>
      <c r="B2770" s="3" t="s">
        <v>245</v>
      </c>
      <c r="C2770" s="3" t="s">
        <v>13</v>
      </c>
      <c r="D2770" s="3" t="s">
        <v>19</v>
      </c>
      <c r="E2770" s="5" t="s">
        <v>11</v>
      </c>
      <c r="F2770" s="17">
        <v>6.29</v>
      </c>
      <c r="G2770" s="3">
        <v>3</v>
      </c>
      <c r="H2770" s="17">
        <f>Table1[[#This Row],[Unit price]]*Table1[[#This Row],[Quantity]]</f>
        <v>18.87</v>
      </c>
      <c r="I2770" s="29">
        <f>Table1[[#This Row],[Total Revenue]]/$H$5056*100</f>
        <v>2.0020267470561202E-3</v>
      </c>
      <c r="J2770" s="3" t="s">
        <v>17</v>
      </c>
      <c r="K2770" s="4">
        <v>6</v>
      </c>
      <c r="M2770"/>
    </row>
    <row r="2771" spans="1:13" x14ac:dyDescent="0.25">
      <c r="A2771" s="2">
        <v>45451</v>
      </c>
      <c r="B2771" s="3" t="s">
        <v>244</v>
      </c>
      <c r="C2771" s="3" t="s">
        <v>13</v>
      </c>
      <c r="D2771" s="3" t="s">
        <v>19</v>
      </c>
      <c r="E2771" s="5" t="s">
        <v>21</v>
      </c>
      <c r="F2771" s="17">
        <v>22.56</v>
      </c>
      <c r="G2771" s="3">
        <v>1</v>
      </c>
      <c r="H2771" s="17">
        <f>Table1[[#This Row],[Unit price]]*Table1[[#This Row],[Quantity]]</f>
        <v>22.56</v>
      </c>
      <c r="I2771" s="29">
        <f>Table1[[#This Row],[Total Revenue]]/$H$5056*100</f>
        <v>2.3935200537141526E-3</v>
      </c>
      <c r="J2771" s="3" t="s">
        <v>17</v>
      </c>
      <c r="K2771" s="4">
        <v>6.8</v>
      </c>
      <c r="M2771"/>
    </row>
    <row r="2772" spans="1:13" x14ac:dyDescent="0.25">
      <c r="A2772" s="2">
        <v>45451</v>
      </c>
      <c r="B2772" s="3" t="s">
        <v>243</v>
      </c>
      <c r="C2772" s="3" t="s">
        <v>9</v>
      </c>
      <c r="D2772" s="3" t="s">
        <v>10</v>
      </c>
      <c r="E2772" s="5" t="s">
        <v>21</v>
      </c>
      <c r="F2772" s="17">
        <v>29.69</v>
      </c>
      <c r="G2772" s="3">
        <v>2</v>
      </c>
      <c r="H2772" s="17">
        <f>Table1[[#This Row],[Unit price]]*Table1[[#This Row],[Quantity]]</f>
        <v>59.38</v>
      </c>
      <c r="I2772" s="29">
        <f>Table1[[#This Row],[Total Revenue]]/$H$5056*100</f>
        <v>6.2999654605295392E-3</v>
      </c>
      <c r="J2772" s="3" t="s">
        <v>15</v>
      </c>
      <c r="K2772" s="4">
        <v>6.2</v>
      </c>
      <c r="M2772"/>
    </row>
    <row r="2773" spans="1:13" x14ac:dyDescent="0.25">
      <c r="A2773" s="2">
        <v>45451</v>
      </c>
      <c r="B2773" s="3" t="s">
        <v>244</v>
      </c>
      <c r="C2773" s="3" t="s">
        <v>13</v>
      </c>
      <c r="D2773" s="3" t="s">
        <v>19</v>
      </c>
      <c r="E2773" s="5" t="s">
        <v>18</v>
      </c>
      <c r="F2773" s="17">
        <v>11.74</v>
      </c>
      <c r="G2773" s="3">
        <v>2</v>
      </c>
      <c r="H2773" s="17">
        <f>Table1[[#This Row],[Unit price]]*Table1[[#This Row],[Quantity]]</f>
        <v>23.48</v>
      </c>
      <c r="I2773" s="29">
        <f>Table1[[#This Row],[Total Revenue]]/$H$5056*100</f>
        <v>2.4911281410110067E-3</v>
      </c>
      <c r="J2773" s="3" t="s">
        <v>15</v>
      </c>
      <c r="K2773" s="4">
        <v>6.8</v>
      </c>
      <c r="M2773"/>
    </row>
    <row r="2774" spans="1:13" x14ac:dyDescent="0.25">
      <c r="A2774" s="2">
        <v>45481</v>
      </c>
      <c r="B2774" s="3" t="s">
        <v>243</v>
      </c>
      <c r="C2774" s="3" t="s">
        <v>9</v>
      </c>
      <c r="D2774" s="3" t="s">
        <v>19</v>
      </c>
      <c r="E2774" s="5" t="s">
        <v>20</v>
      </c>
      <c r="F2774" s="17">
        <v>55.23</v>
      </c>
      <c r="G2774" s="3">
        <v>5</v>
      </c>
      <c r="H2774" s="17">
        <f>Table1[[#This Row],[Unit price]]*Table1[[#This Row],[Quantity]]</f>
        <v>276.14999999999998</v>
      </c>
      <c r="I2774" s="29">
        <f>Table1[[#This Row],[Total Revenue]]/$H$5056*100</f>
        <v>2.9298340551115392E-2</v>
      </c>
      <c r="J2774" s="3" t="s">
        <v>15</v>
      </c>
      <c r="K2774" s="4">
        <v>8.1</v>
      </c>
      <c r="M2774"/>
    </row>
    <row r="2775" spans="1:13" x14ac:dyDescent="0.25">
      <c r="A2775" s="2">
        <v>45481</v>
      </c>
      <c r="B2775" s="3" t="s">
        <v>245</v>
      </c>
      <c r="C2775" s="3" t="s">
        <v>13</v>
      </c>
      <c r="D2775" s="3" t="s">
        <v>10</v>
      </c>
      <c r="E2775" s="5" t="s">
        <v>11</v>
      </c>
      <c r="F2775" s="17">
        <v>6.89</v>
      </c>
      <c r="G2775" s="3">
        <v>2</v>
      </c>
      <c r="H2775" s="17">
        <f>Table1[[#This Row],[Unit price]]*Table1[[#This Row],[Quantity]]</f>
        <v>13.78</v>
      </c>
      <c r="I2775" s="29">
        <f>Table1[[#This Row],[Total Revenue]]/$H$5056*100</f>
        <v>1.4619993945115702E-3</v>
      </c>
      <c r="J2775" s="3" t="s">
        <v>15</v>
      </c>
      <c r="K2775" s="4">
        <v>8.6</v>
      </c>
      <c r="M2775"/>
    </row>
    <row r="2776" spans="1:13" x14ac:dyDescent="0.25">
      <c r="A2776" s="2">
        <v>45481</v>
      </c>
      <c r="B2776" s="3" t="s">
        <v>243</v>
      </c>
      <c r="C2776" s="3" t="s">
        <v>13</v>
      </c>
      <c r="D2776" s="3" t="s">
        <v>10</v>
      </c>
      <c r="E2776" s="5" t="s">
        <v>11</v>
      </c>
      <c r="F2776" s="17">
        <v>3.37</v>
      </c>
      <c r="G2776" s="3">
        <v>5</v>
      </c>
      <c r="H2776" s="17">
        <f>Table1[[#This Row],[Unit price]]*Table1[[#This Row],[Quantity]]</f>
        <v>16.850000000000001</v>
      </c>
      <c r="I2776" s="29">
        <f>Table1[[#This Row],[Total Revenue]]/$H$5056*100</f>
        <v>1.7877133379912891E-3</v>
      </c>
      <c r="J2776" s="3" t="s">
        <v>12</v>
      </c>
      <c r="K2776" s="4">
        <v>5.8</v>
      </c>
      <c r="M2776"/>
    </row>
    <row r="2777" spans="1:13" x14ac:dyDescent="0.25">
      <c r="A2777" s="2">
        <v>45481</v>
      </c>
      <c r="B2777" s="3" t="s">
        <v>243</v>
      </c>
      <c r="C2777" s="3" t="s">
        <v>13</v>
      </c>
      <c r="D2777" s="3" t="s">
        <v>19</v>
      </c>
      <c r="E2777" s="5" t="s">
        <v>11</v>
      </c>
      <c r="F2777" s="17">
        <v>5.05</v>
      </c>
      <c r="G2777" s="3">
        <v>2</v>
      </c>
      <c r="H2777" s="17">
        <f>Table1[[#This Row],[Unit price]]*Table1[[#This Row],[Quantity]]</f>
        <v>10.1</v>
      </c>
      <c r="I2777" s="29">
        <f>Table1[[#This Row],[Total Revenue]]/$H$5056*100</f>
        <v>1.0715670453241553E-3</v>
      </c>
      <c r="J2777" s="3" t="s">
        <v>15</v>
      </c>
      <c r="K2777" s="4">
        <v>7.6</v>
      </c>
      <c r="M2777"/>
    </row>
    <row r="2778" spans="1:13" x14ac:dyDescent="0.25">
      <c r="A2778" s="2">
        <v>45481</v>
      </c>
      <c r="B2778" s="3" t="s">
        <v>245</v>
      </c>
      <c r="C2778" s="3" t="s">
        <v>13</v>
      </c>
      <c r="D2778" s="3" t="s">
        <v>10</v>
      </c>
      <c r="E2778" s="5" t="s">
        <v>11</v>
      </c>
      <c r="F2778" s="17">
        <v>4.17</v>
      </c>
      <c r="G2778" s="3">
        <v>2</v>
      </c>
      <c r="H2778" s="17">
        <f>Table1[[#This Row],[Unit price]]*Table1[[#This Row],[Quantity]]</f>
        <v>8.34</v>
      </c>
      <c r="I2778" s="29">
        <f>Table1[[#This Row],[Total Revenue]]/$H$5056*100</f>
        <v>8.8483853049539163E-4</v>
      </c>
      <c r="J2778" s="3" t="s">
        <v>12</v>
      </c>
      <c r="K2778" s="4">
        <v>6.7</v>
      </c>
      <c r="M2778"/>
    </row>
    <row r="2779" spans="1:13" x14ac:dyDescent="0.25">
      <c r="A2779" s="2">
        <v>45481</v>
      </c>
      <c r="B2779" s="3" t="s">
        <v>243</v>
      </c>
      <c r="C2779" s="3" t="s">
        <v>13</v>
      </c>
      <c r="D2779" s="3" t="s">
        <v>19</v>
      </c>
      <c r="E2779" s="5" t="s">
        <v>21</v>
      </c>
      <c r="F2779" s="17">
        <v>32.61</v>
      </c>
      <c r="G2779" s="3">
        <v>3</v>
      </c>
      <c r="H2779" s="17">
        <f>Table1[[#This Row],[Unit price]]*Table1[[#This Row],[Quantity]]</f>
        <v>97.83</v>
      </c>
      <c r="I2779" s="29">
        <f>Table1[[#This Row],[Total Revenue]]/$H$5056*100</f>
        <v>1.0379346935055656E-2</v>
      </c>
      <c r="J2779" s="3" t="s">
        <v>15</v>
      </c>
      <c r="K2779" s="4">
        <v>5.4</v>
      </c>
      <c r="M2779"/>
    </row>
    <row r="2780" spans="1:13" x14ac:dyDescent="0.25">
      <c r="A2780" s="2">
        <v>45481</v>
      </c>
      <c r="B2780" s="3" t="s">
        <v>244</v>
      </c>
      <c r="C2780" s="3" t="s">
        <v>13</v>
      </c>
      <c r="D2780" s="3" t="s">
        <v>19</v>
      </c>
      <c r="E2780" s="5" t="s">
        <v>11</v>
      </c>
      <c r="F2780" s="17">
        <v>3.44</v>
      </c>
      <c r="G2780" s="3">
        <v>2</v>
      </c>
      <c r="H2780" s="17">
        <f>Table1[[#This Row],[Unit price]]*Table1[[#This Row],[Quantity]]</f>
        <v>6.88</v>
      </c>
      <c r="I2780" s="29">
        <f>Table1[[#This Row],[Total Revenue]]/$H$5056*100</f>
        <v>7.2993873978516722E-4</v>
      </c>
      <c r="J2780" s="3" t="s">
        <v>17</v>
      </c>
      <c r="K2780" s="4">
        <v>6.8</v>
      </c>
      <c r="M2780"/>
    </row>
    <row r="2781" spans="1:13" x14ac:dyDescent="0.25">
      <c r="A2781" s="2">
        <v>45481</v>
      </c>
      <c r="B2781" s="3" t="s">
        <v>245</v>
      </c>
      <c r="C2781" s="3" t="s">
        <v>13</v>
      </c>
      <c r="D2781" s="3" t="s">
        <v>10</v>
      </c>
      <c r="E2781" s="5" t="s">
        <v>11</v>
      </c>
      <c r="F2781" s="17">
        <v>4.01</v>
      </c>
      <c r="G2781" s="3">
        <v>4</v>
      </c>
      <c r="H2781" s="17">
        <f>Table1[[#This Row],[Unit price]]*Table1[[#This Row],[Quantity]]</f>
        <v>16.04</v>
      </c>
      <c r="I2781" s="29">
        <f>Table1[[#This Row],[Total Revenue]]/$H$5056*100</f>
        <v>1.7017757828712327E-3</v>
      </c>
      <c r="J2781" s="3" t="s">
        <v>17</v>
      </c>
      <c r="K2781" s="4">
        <v>8.1</v>
      </c>
      <c r="M2781"/>
    </row>
    <row r="2782" spans="1:13" x14ac:dyDescent="0.25">
      <c r="A2782" s="2">
        <v>45512</v>
      </c>
      <c r="B2782" s="3" t="s">
        <v>243</v>
      </c>
      <c r="C2782" s="3" t="s">
        <v>13</v>
      </c>
      <c r="D2782" s="3" t="s">
        <v>10</v>
      </c>
      <c r="E2782" s="5" t="s">
        <v>20</v>
      </c>
      <c r="F2782" s="17">
        <v>65.05</v>
      </c>
      <c r="G2782" s="3">
        <v>5</v>
      </c>
      <c r="H2782" s="17">
        <f>Table1[[#This Row],[Unit price]]*Table1[[#This Row],[Quantity]]</f>
        <v>325.25</v>
      </c>
      <c r="I2782" s="29">
        <f>Table1[[#This Row],[Total Revenue]]/$H$5056*100</f>
        <v>3.4507641731849656E-2</v>
      </c>
      <c r="J2782" s="3" t="s">
        <v>17</v>
      </c>
      <c r="K2782" s="4">
        <v>6.6</v>
      </c>
      <c r="M2782"/>
    </row>
    <row r="2783" spans="1:13" x14ac:dyDescent="0.25">
      <c r="A2783" s="2">
        <v>45512</v>
      </c>
      <c r="B2783" s="3" t="s">
        <v>244</v>
      </c>
      <c r="C2783" s="3" t="s">
        <v>9</v>
      </c>
      <c r="D2783" s="3" t="s">
        <v>10</v>
      </c>
      <c r="E2783" s="5" t="s">
        <v>11</v>
      </c>
      <c r="F2783" s="17">
        <v>6.83</v>
      </c>
      <c r="G2783" s="3">
        <v>4</v>
      </c>
      <c r="H2783" s="17">
        <f>Table1[[#This Row],[Unit price]]*Table1[[#This Row],[Quantity]]</f>
        <v>27.32</v>
      </c>
      <c r="I2783" s="29">
        <f>Table1[[#This Row],[Total Revenue]]/$H$5056*100</f>
        <v>2.8985358097283094E-3</v>
      </c>
      <c r="J2783" s="3" t="s">
        <v>15</v>
      </c>
      <c r="K2783" s="4">
        <v>7.9</v>
      </c>
      <c r="M2783"/>
    </row>
    <row r="2784" spans="1:13" x14ac:dyDescent="0.25">
      <c r="A2784" s="2">
        <v>45512</v>
      </c>
      <c r="B2784" s="3" t="s">
        <v>243</v>
      </c>
      <c r="C2784" s="3" t="s">
        <v>9</v>
      </c>
      <c r="D2784" s="3" t="s">
        <v>10</v>
      </c>
      <c r="E2784" s="5" t="s">
        <v>16</v>
      </c>
      <c r="F2784" s="17">
        <v>59.69</v>
      </c>
      <c r="G2784" s="3">
        <v>1</v>
      </c>
      <c r="H2784" s="17">
        <f>Table1[[#This Row],[Unit price]]*Table1[[#This Row],[Quantity]]</f>
        <v>59.69</v>
      </c>
      <c r="I2784" s="29">
        <f>Table1[[#This Row],[Total Revenue]]/$H$5056*100</f>
        <v>6.3328551421186954E-3</v>
      </c>
      <c r="J2784" s="3" t="s">
        <v>15</v>
      </c>
      <c r="K2784" s="4">
        <v>5.6</v>
      </c>
      <c r="M2784"/>
    </row>
    <row r="2785" spans="1:13" x14ac:dyDescent="0.25">
      <c r="A2785" s="2">
        <v>45512</v>
      </c>
      <c r="B2785" s="3" t="s">
        <v>243</v>
      </c>
      <c r="C2785" s="3" t="s">
        <v>13</v>
      </c>
      <c r="D2785" s="3" t="s">
        <v>19</v>
      </c>
      <c r="E2785" s="5" t="s">
        <v>21</v>
      </c>
      <c r="F2785" s="17">
        <v>32.43</v>
      </c>
      <c r="G2785" s="3">
        <v>1</v>
      </c>
      <c r="H2785" s="17">
        <f>Table1[[#This Row],[Unit price]]*Table1[[#This Row],[Quantity]]</f>
        <v>32.43</v>
      </c>
      <c r="I2785" s="29">
        <f>Table1[[#This Row],[Total Revenue]]/$H$5056*100</f>
        <v>3.4406850772140942E-3</v>
      </c>
      <c r="J2785" s="3" t="s">
        <v>17</v>
      </c>
      <c r="K2785" s="4">
        <v>9</v>
      </c>
      <c r="M2785"/>
    </row>
    <row r="2786" spans="1:13" x14ac:dyDescent="0.25">
      <c r="A2786" s="2">
        <v>45512</v>
      </c>
      <c r="B2786" s="3" t="s">
        <v>245</v>
      </c>
      <c r="C2786" s="3" t="s">
        <v>13</v>
      </c>
      <c r="D2786" s="3" t="s">
        <v>10</v>
      </c>
      <c r="E2786" s="5" t="s">
        <v>11</v>
      </c>
      <c r="F2786" s="17">
        <v>5.49</v>
      </c>
      <c r="G2786" s="3">
        <v>1</v>
      </c>
      <c r="H2786" s="17">
        <f>Table1[[#This Row],[Unit price]]*Table1[[#This Row],[Quantity]]</f>
        <v>5.49</v>
      </c>
      <c r="I2786" s="29">
        <f>Table1[[#This Row],[Total Revenue]]/$H$5056*100</f>
        <v>5.8246565136926864E-4</v>
      </c>
      <c r="J2786" s="3" t="s">
        <v>12</v>
      </c>
      <c r="K2786" s="4">
        <v>7.3</v>
      </c>
      <c r="M2786"/>
    </row>
    <row r="2787" spans="1:13" x14ac:dyDescent="0.25">
      <c r="A2787" s="2">
        <v>45512</v>
      </c>
      <c r="B2787" s="3" t="s">
        <v>245</v>
      </c>
      <c r="C2787" s="3" t="s">
        <v>13</v>
      </c>
      <c r="D2787" s="3" t="s">
        <v>10</v>
      </c>
      <c r="E2787" s="5" t="s">
        <v>11</v>
      </c>
      <c r="F2787" s="17">
        <v>4.84</v>
      </c>
      <c r="G2787" s="3">
        <v>4</v>
      </c>
      <c r="H2787" s="17">
        <f>Table1[[#This Row],[Unit price]]*Table1[[#This Row],[Quantity]]</f>
        <v>19.36</v>
      </c>
      <c r="I2787" s="29">
        <f>Table1[[#This Row],[Total Revenue]]/$H$5056*100</f>
        <v>2.0540136631164007E-3</v>
      </c>
      <c r="J2787" s="3" t="s">
        <v>12</v>
      </c>
      <c r="K2787" s="4">
        <v>6.6</v>
      </c>
      <c r="M2787"/>
    </row>
    <row r="2788" spans="1:13" x14ac:dyDescent="0.25">
      <c r="A2788" s="2">
        <v>45512</v>
      </c>
      <c r="B2788" s="3" t="s">
        <v>244</v>
      </c>
      <c r="C2788" s="3" t="s">
        <v>9</v>
      </c>
      <c r="D2788" s="3" t="s">
        <v>19</v>
      </c>
      <c r="E2788" s="5" t="s">
        <v>18</v>
      </c>
      <c r="F2788" s="17">
        <v>9.08</v>
      </c>
      <c r="G2788" s="3">
        <v>1</v>
      </c>
      <c r="H2788" s="17">
        <f>Table1[[#This Row],[Unit price]]*Table1[[#This Row],[Quantity]]</f>
        <v>9.08</v>
      </c>
      <c r="I2788" s="29">
        <f>Table1[[#This Row],[Total Revenue]]/$H$5056*100</f>
        <v>9.6334938332112176E-4</v>
      </c>
      <c r="J2788" s="3" t="s">
        <v>15</v>
      </c>
      <c r="K2788" s="4">
        <v>6</v>
      </c>
      <c r="M2788"/>
    </row>
    <row r="2789" spans="1:13" x14ac:dyDescent="0.25">
      <c r="A2789" s="2">
        <v>45512</v>
      </c>
      <c r="B2789" s="3" t="s">
        <v>243</v>
      </c>
      <c r="C2789" s="3" t="s">
        <v>13</v>
      </c>
      <c r="D2789" s="3" t="s">
        <v>10</v>
      </c>
      <c r="E2789" s="5" t="s">
        <v>21</v>
      </c>
      <c r="F2789" s="17">
        <v>28.72</v>
      </c>
      <c r="G2789" s="3">
        <v>2</v>
      </c>
      <c r="H2789" s="17">
        <f>Table1[[#This Row],[Unit price]]*Table1[[#This Row],[Quantity]]</f>
        <v>57.44</v>
      </c>
      <c r="I2789" s="29">
        <f>Table1[[#This Row],[Total Revenue]]/$H$5056*100</f>
        <v>6.0941397112296517E-3</v>
      </c>
      <c r="J2789" s="3" t="s">
        <v>15</v>
      </c>
      <c r="K2789" s="4">
        <v>7.4</v>
      </c>
      <c r="M2789"/>
    </row>
    <row r="2790" spans="1:13" x14ac:dyDescent="0.25">
      <c r="A2790" s="2">
        <v>45512</v>
      </c>
      <c r="B2790" s="3" t="s">
        <v>244</v>
      </c>
      <c r="C2790" s="3" t="s">
        <v>13</v>
      </c>
      <c r="D2790" s="3" t="s">
        <v>19</v>
      </c>
      <c r="E2790" s="5" t="s">
        <v>11</v>
      </c>
      <c r="F2790" s="17">
        <v>3.78</v>
      </c>
      <c r="G2790" s="3">
        <v>2</v>
      </c>
      <c r="H2790" s="17">
        <f>Table1[[#This Row],[Unit price]]*Table1[[#This Row],[Quantity]]</f>
        <v>7.56</v>
      </c>
      <c r="I2790" s="29">
        <f>Table1[[#This Row],[Total Revenue]]/$H$5056*100</f>
        <v>8.0208384778718939E-4</v>
      </c>
      <c r="J2790" s="3" t="s">
        <v>17</v>
      </c>
      <c r="K2790" s="4">
        <v>9.8000000000000007</v>
      </c>
      <c r="M2790"/>
    </row>
    <row r="2791" spans="1:13" x14ac:dyDescent="0.25">
      <c r="A2791" s="2">
        <v>45512</v>
      </c>
      <c r="B2791" s="3" t="s">
        <v>244</v>
      </c>
      <c r="C2791" s="3" t="s">
        <v>13</v>
      </c>
      <c r="D2791" s="3" t="s">
        <v>19</v>
      </c>
      <c r="E2791" s="5" t="s">
        <v>20</v>
      </c>
      <c r="F2791" s="17">
        <v>54.4</v>
      </c>
      <c r="G2791" s="3">
        <v>2</v>
      </c>
      <c r="H2791" s="17">
        <f>Table1[[#This Row],[Unit price]]*Table1[[#This Row],[Quantity]]</f>
        <v>108.8</v>
      </c>
      <c r="I2791" s="29">
        <f>Table1[[#This Row],[Total Revenue]]/$H$5056*100</f>
        <v>1.1543217280323573E-2</v>
      </c>
      <c r="J2791" s="3" t="s">
        <v>12</v>
      </c>
      <c r="K2791" s="4">
        <v>7.1</v>
      </c>
      <c r="M2791"/>
    </row>
    <row r="2792" spans="1:13" x14ac:dyDescent="0.25">
      <c r="A2792" s="2">
        <v>45512</v>
      </c>
      <c r="B2792" s="3" t="s">
        <v>244</v>
      </c>
      <c r="C2792" s="3" t="s">
        <v>13</v>
      </c>
      <c r="D2792" s="3" t="s">
        <v>10</v>
      </c>
      <c r="E2792" s="5" t="s">
        <v>11</v>
      </c>
      <c r="F2792" s="17">
        <v>7.5</v>
      </c>
      <c r="G2792" s="3">
        <v>5</v>
      </c>
      <c r="H2792" s="17">
        <f>Table1[[#This Row],[Unit price]]*Table1[[#This Row],[Quantity]]</f>
        <v>37.5</v>
      </c>
      <c r="I2792" s="29">
        <f>Table1[[#This Row],[Total Revenue]]/$H$5056*100</f>
        <v>3.9785905148174081E-3</v>
      </c>
      <c r="J2792" s="3" t="s">
        <v>12</v>
      </c>
      <c r="K2792" s="4">
        <v>7.9</v>
      </c>
      <c r="M2792"/>
    </row>
    <row r="2793" spans="1:13" x14ac:dyDescent="0.25">
      <c r="A2793" s="2">
        <v>45512</v>
      </c>
      <c r="B2793" s="3" t="s">
        <v>244</v>
      </c>
      <c r="C2793" s="3" t="s">
        <v>13</v>
      </c>
      <c r="D2793" s="3" t="s">
        <v>19</v>
      </c>
      <c r="E2793" s="5" t="s">
        <v>14</v>
      </c>
      <c r="F2793" s="17">
        <v>95</v>
      </c>
      <c r="G2793" s="3">
        <v>1</v>
      </c>
      <c r="H2793" s="17">
        <f>Table1[[#This Row],[Unit price]]*Table1[[#This Row],[Quantity]]</f>
        <v>95</v>
      </c>
      <c r="I2793" s="29">
        <f>Table1[[#This Row],[Total Revenue]]/$H$5056*100</f>
        <v>1.0079095970870767E-2</v>
      </c>
      <c r="J2793" s="3" t="s">
        <v>12</v>
      </c>
      <c r="K2793" s="4">
        <v>6.8</v>
      </c>
      <c r="M2793"/>
    </row>
    <row r="2794" spans="1:13" x14ac:dyDescent="0.25">
      <c r="A2794" s="2">
        <v>45512</v>
      </c>
      <c r="B2794" s="3" t="s">
        <v>244</v>
      </c>
      <c r="C2794" s="3" t="s">
        <v>9</v>
      </c>
      <c r="D2794" s="3" t="s">
        <v>10</v>
      </c>
      <c r="E2794" s="5" t="s">
        <v>20</v>
      </c>
      <c r="F2794" s="17">
        <v>61.86</v>
      </c>
      <c r="G2794" s="3">
        <v>4</v>
      </c>
      <c r="H2794" s="17">
        <f>Table1[[#This Row],[Unit price]]*Table1[[#This Row],[Quantity]]</f>
        <v>247.44</v>
      </c>
      <c r="I2794" s="29">
        <f>Table1[[#This Row],[Total Revenue]]/$H$5056*100</f>
        <v>2.6252331652971184E-2</v>
      </c>
      <c r="J2794" s="3" t="s">
        <v>12</v>
      </c>
      <c r="K2794" s="4">
        <v>7</v>
      </c>
      <c r="M2794"/>
    </row>
    <row r="2795" spans="1:13" x14ac:dyDescent="0.25">
      <c r="A2795" s="2">
        <v>45543</v>
      </c>
      <c r="B2795" s="3" t="s">
        <v>244</v>
      </c>
      <c r="C2795" s="3" t="s">
        <v>13</v>
      </c>
      <c r="D2795" s="3" t="s">
        <v>10</v>
      </c>
      <c r="E2795" s="5" t="s">
        <v>11</v>
      </c>
      <c r="F2795" s="17">
        <v>3.17</v>
      </c>
      <c r="G2795" s="3">
        <v>4</v>
      </c>
      <c r="H2795" s="17">
        <f>Table1[[#This Row],[Unit price]]*Table1[[#This Row],[Quantity]]</f>
        <v>12.68</v>
      </c>
      <c r="I2795" s="29">
        <f>Table1[[#This Row],[Total Revenue]]/$H$5056*100</f>
        <v>1.345294072743593E-3</v>
      </c>
      <c r="J2795" s="3" t="s">
        <v>15</v>
      </c>
      <c r="K2795" s="4">
        <v>7.4</v>
      </c>
      <c r="M2795"/>
    </row>
    <row r="2796" spans="1:13" x14ac:dyDescent="0.25">
      <c r="A2796" s="2">
        <v>45543</v>
      </c>
      <c r="B2796" s="3" t="s">
        <v>245</v>
      </c>
      <c r="C2796" s="3" t="s">
        <v>13</v>
      </c>
      <c r="D2796" s="3" t="s">
        <v>10</v>
      </c>
      <c r="E2796" s="5" t="s">
        <v>21</v>
      </c>
      <c r="F2796" s="17">
        <v>35.35</v>
      </c>
      <c r="G2796" s="3">
        <v>1</v>
      </c>
      <c r="H2796" s="17">
        <f>Table1[[#This Row],[Unit price]]*Table1[[#This Row],[Quantity]]</f>
        <v>35.35</v>
      </c>
      <c r="I2796" s="29">
        <f>Table1[[#This Row],[Total Revenue]]/$H$5056*100</f>
        <v>3.7504846586345437E-3</v>
      </c>
      <c r="J2796" s="3" t="s">
        <v>15</v>
      </c>
      <c r="K2796" s="4">
        <v>7.5</v>
      </c>
      <c r="M2796"/>
    </row>
    <row r="2797" spans="1:13" x14ac:dyDescent="0.25">
      <c r="A2797" s="2">
        <v>45543</v>
      </c>
      <c r="B2797" s="3" t="s">
        <v>243</v>
      </c>
      <c r="C2797" s="3" t="s">
        <v>9</v>
      </c>
      <c r="D2797" s="3" t="s">
        <v>10</v>
      </c>
      <c r="E2797" s="5" t="s">
        <v>18</v>
      </c>
      <c r="F2797" s="17">
        <v>16.059999999999999</v>
      </c>
      <c r="G2797" s="3">
        <v>3</v>
      </c>
      <c r="H2797" s="17">
        <f>Table1[[#This Row],[Unit price]]*Table1[[#This Row],[Quantity]]</f>
        <v>48.179999999999993</v>
      </c>
      <c r="I2797" s="29">
        <f>Table1[[#This Row],[Total Revenue]]/$H$5056*100</f>
        <v>5.111693093437405E-3</v>
      </c>
      <c r="J2797" s="3" t="s">
        <v>15</v>
      </c>
      <c r="K2797" s="4">
        <v>6.9</v>
      </c>
      <c r="M2797"/>
    </row>
    <row r="2798" spans="1:13" x14ac:dyDescent="0.25">
      <c r="A2798" s="2">
        <v>45543</v>
      </c>
      <c r="B2798" s="3" t="s">
        <v>243</v>
      </c>
      <c r="C2798" s="3" t="s">
        <v>13</v>
      </c>
      <c r="D2798" s="3" t="s">
        <v>19</v>
      </c>
      <c r="E2798" s="5" t="s">
        <v>18</v>
      </c>
      <c r="F2798" s="17">
        <v>14.21</v>
      </c>
      <c r="G2798" s="3">
        <v>3</v>
      </c>
      <c r="H2798" s="17">
        <f>Table1[[#This Row],[Unit price]]*Table1[[#This Row],[Quantity]]</f>
        <v>42.63</v>
      </c>
      <c r="I2798" s="29">
        <f>Table1[[#This Row],[Total Revenue]]/$H$5056*100</f>
        <v>4.5228616972444301E-3</v>
      </c>
      <c r="J2798" s="3" t="s">
        <v>17</v>
      </c>
      <c r="K2798" s="4">
        <v>6.1</v>
      </c>
      <c r="M2798"/>
    </row>
    <row r="2799" spans="1:13" x14ac:dyDescent="0.25">
      <c r="A2799" s="2">
        <v>45543</v>
      </c>
      <c r="B2799" s="3" t="s">
        <v>245</v>
      </c>
      <c r="C2799" s="3" t="s">
        <v>9</v>
      </c>
      <c r="D2799" s="3" t="s">
        <v>10</v>
      </c>
      <c r="E2799" s="5" t="s">
        <v>21</v>
      </c>
      <c r="F2799" s="17">
        <v>28.49</v>
      </c>
      <c r="G2799" s="3">
        <v>4</v>
      </c>
      <c r="H2799" s="17">
        <f>Table1[[#This Row],[Unit price]]*Table1[[#This Row],[Quantity]]</f>
        <v>113.96</v>
      </c>
      <c r="I2799" s="29">
        <f>Table1[[#This Row],[Total Revenue]]/$H$5056*100</f>
        <v>1.2090671335162449E-2</v>
      </c>
      <c r="J2799" s="3" t="s">
        <v>17</v>
      </c>
      <c r="K2799" s="4">
        <v>7</v>
      </c>
      <c r="M2799"/>
    </row>
    <row r="2800" spans="1:13" x14ac:dyDescent="0.25">
      <c r="A2800" s="2">
        <v>45543</v>
      </c>
      <c r="B2800" s="3" t="s">
        <v>245</v>
      </c>
      <c r="C2800" s="3" t="s">
        <v>13</v>
      </c>
      <c r="D2800" s="3" t="s">
        <v>19</v>
      </c>
      <c r="E2800" s="5" t="s">
        <v>11</v>
      </c>
      <c r="F2800" s="17">
        <v>5.43</v>
      </c>
      <c r="G2800" s="3">
        <v>3</v>
      </c>
      <c r="H2800" s="17">
        <f>Table1[[#This Row],[Unit price]]*Table1[[#This Row],[Quantity]]</f>
        <v>16.29</v>
      </c>
      <c r="I2800" s="29">
        <f>Table1[[#This Row],[Total Revenue]]/$H$5056*100</f>
        <v>1.728299719636682E-3</v>
      </c>
      <c r="J2800" s="3" t="s">
        <v>15</v>
      </c>
      <c r="K2800" s="4">
        <v>6.5</v>
      </c>
      <c r="M2800"/>
    </row>
    <row r="2801" spans="1:13" x14ac:dyDescent="0.25">
      <c r="A2801" s="2">
        <v>45543</v>
      </c>
      <c r="B2801" s="3" t="s">
        <v>243</v>
      </c>
      <c r="C2801" s="3" t="s">
        <v>13</v>
      </c>
      <c r="D2801" s="3" t="s">
        <v>19</v>
      </c>
      <c r="E2801" s="5" t="s">
        <v>11</v>
      </c>
      <c r="F2801" s="17">
        <v>2.88</v>
      </c>
      <c r="G2801" s="3">
        <v>1</v>
      </c>
      <c r="H2801" s="17">
        <f>Table1[[#This Row],[Unit price]]*Table1[[#This Row],[Quantity]]</f>
        <v>2.88</v>
      </c>
      <c r="I2801" s="29">
        <f>Table1[[#This Row],[Total Revenue]]/$H$5056*100</f>
        <v>3.0555575153797698E-4</v>
      </c>
      <c r="J2801" s="3" t="s">
        <v>17</v>
      </c>
      <c r="K2801" s="4">
        <v>9.1</v>
      </c>
      <c r="M2801"/>
    </row>
    <row r="2802" spans="1:13" x14ac:dyDescent="0.25">
      <c r="A2802" s="2">
        <v>45543</v>
      </c>
      <c r="B2802" s="3" t="s">
        <v>243</v>
      </c>
      <c r="C2802" s="3" t="s">
        <v>9</v>
      </c>
      <c r="D2802" s="3" t="s">
        <v>10</v>
      </c>
      <c r="E2802" s="5" t="s">
        <v>11</v>
      </c>
      <c r="F2802" s="17">
        <v>7.61</v>
      </c>
      <c r="G2802" s="3">
        <v>4</v>
      </c>
      <c r="H2802" s="17">
        <f>Table1[[#This Row],[Unit price]]*Table1[[#This Row],[Quantity]]</f>
        <v>30.44</v>
      </c>
      <c r="I2802" s="29">
        <f>Table1[[#This Row],[Total Revenue]]/$H$5056*100</f>
        <v>3.2295545405611179E-3</v>
      </c>
      <c r="J2802" s="3" t="s">
        <v>15</v>
      </c>
      <c r="K2802" s="4">
        <v>7.3</v>
      </c>
      <c r="M2802"/>
    </row>
    <row r="2803" spans="1:13" x14ac:dyDescent="0.25">
      <c r="A2803" s="2">
        <v>45543</v>
      </c>
      <c r="B2803" s="3" t="s">
        <v>243</v>
      </c>
      <c r="C2803" s="3" t="s">
        <v>13</v>
      </c>
      <c r="D2803" s="3" t="s">
        <v>10</v>
      </c>
      <c r="E2803" s="5" t="s">
        <v>11</v>
      </c>
      <c r="F2803" s="17">
        <v>7.17</v>
      </c>
      <c r="G2803" s="3">
        <v>3</v>
      </c>
      <c r="H2803" s="17">
        <f>Table1[[#This Row],[Unit price]]*Table1[[#This Row],[Quantity]]</f>
        <v>21.509999999999998</v>
      </c>
      <c r="I2803" s="29">
        <f>Table1[[#This Row],[Total Revenue]]/$H$5056*100</f>
        <v>2.2821195192992655E-3</v>
      </c>
      <c r="J2803" s="3" t="s">
        <v>15</v>
      </c>
      <c r="K2803" s="4">
        <v>7.3</v>
      </c>
      <c r="M2803"/>
    </row>
    <row r="2804" spans="1:13" x14ac:dyDescent="0.25">
      <c r="A2804" s="2">
        <v>45543</v>
      </c>
      <c r="B2804" s="3" t="s">
        <v>244</v>
      </c>
      <c r="C2804" s="3" t="s">
        <v>9</v>
      </c>
      <c r="D2804" s="3" t="s">
        <v>10</v>
      </c>
      <c r="E2804" s="5" t="s">
        <v>20</v>
      </c>
      <c r="F2804" s="17">
        <v>53.9</v>
      </c>
      <c r="G2804" s="3">
        <v>5</v>
      </c>
      <c r="H2804" s="17">
        <f>Table1[[#This Row],[Unit price]]*Table1[[#This Row],[Quantity]]</f>
        <v>269.5</v>
      </c>
      <c r="I2804" s="29">
        <f>Table1[[#This Row],[Total Revenue]]/$H$5056*100</f>
        <v>2.8592803833154438E-2</v>
      </c>
      <c r="J2804" s="3" t="s">
        <v>15</v>
      </c>
      <c r="K2804" s="4">
        <v>5.9</v>
      </c>
      <c r="M2804"/>
    </row>
    <row r="2805" spans="1:13" x14ac:dyDescent="0.25">
      <c r="A2805" s="2">
        <v>45543</v>
      </c>
      <c r="B2805" s="3" t="s">
        <v>244</v>
      </c>
      <c r="C2805" s="3" t="s">
        <v>13</v>
      </c>
      <c r="D2805" s="3" t="s">
        <v>19</v>
      </c>
      <c r="E2805" s="5" t="s">
        <v>11</v>
      </c>
      <c r="F2805" s="17">
        <v>6.43</v>
      </c>
      <c r="G2805" s="3">
        <v>1</v>
      </c>
      <c r="H2805" s="17">
        <f>Table1[[#This Row],[Unit price]]*Table1[[#This Row],[Quantity]]</f>
        <v>6.43</v>
      </c>
      <c r="I2805" s="29">
        <f>Table1[[#This Row],[Total Revenue]]/$H$5056*100</f>
        <v>6.8219565360735826E-4</v>
      </c>
      <c r="J2805" s="3" t="s">
        <v>15</v>
      </c>
      <c r="K2805" s="4">
        <v>7.1</v>
      </c>
      <c r="M2805"/>
    </row>
    <row r="2806" spans="1:13" x14ac:dyDescent="0.25">
      <c r="A2806" s="2">
        <v>45543</v>
      </c>
      <c r="B2806" s="3" t="s">
        <v>244</v>
      </c>
      <c r="C2806" s="3" t="s">
        <v>13</v>
      </c>
      <c r="D2806" s="3" t="s">
        <v>19</v>
      </c>
      <c r="E2806" s="5" t="s">
        <v>11</v>
      </c>
      <c r="F2806" s="17">
        <v>7.14</v>
      </c>
      <c r="G2806" s="3">
        <v>5</v>
      </c>
      <c r="H2806" s="17">
        <f>Table1[[#This Row],[Unit price]]*Table1[[#This Row],[Quantity]]</f>
        <v>35.699999999999996</v>
      </c>
      <c r="I2806" s="29">
        <f>Table1[[#This Row],[Total Revenue]]/$H$5056*100</f>
        <v>3.7876181701061722E-3</v>
      </c>
      <c r="J2806" s="3" t="s">
        <v>12</v>
      </c>
      <c r="K2806" s="4">
        <v>7.6</v>
      </c>
      <c r="M2806"/>
    </row>
    <row r="2807" spans="1:13" x14ac:dyDescent="0.25">
      <c r="A2807" s="2">
        <v>45543</v>
      </c>
      <c r="B2807" s="3" t="s">
        <v>243</v>
      </c>
      <c r="C2807" s="3" t="s">
        <v>13</v>
      </c>
      <c r="D2807" s="3" t="s">
        <v>19</v>
      </c>
      <c r="E2807" s="5" t="s">
        <v>16</v>
      </c>
      <c r="F2807" s="17">
        <v>56.93</v>
      </c>
      <c r="G2807" s="3">
        <v>3</v>
      </c>
      <c r="H2807" s="17">
        <f>Table1[[#This Row],[Unit price]]*Table1[[#This Row],[Quantity]]</f>
        <v>170.79</v>
      </c>
      <c r="I2807" s="29">
        <f>Table1[[#This Row],[Total Revenue]]/$H$5056*100</f>
        <v>1.8120092640684406E-2</v>
      </c>
      <c r="J2807" s="3" t="s">
        <v>17</v>
      </c>
      <c r="K2807" s="4">
        <v>7.2</v>
      </c>
      <c r="M2807"/>
    </row>
    <row r="2808" spans="1:13" x14ac:dyDescent="0.25">
      <c r="A2808" s="2">
        <v>45543</v>
      </c>
      <c r="B2808" s="3" t="s">
        <v>245</v>
      </c>
      <c r="C2808" s="3" t="s">
        <v>13</v>
      </c>
      <c r="D2808" s="3" t="s">
        <v>19</v>
      </c>
      <c r="E2808" s="5" t="s">
        <v>11</v>
      </c>
      <c r="F2808" s="17">
        <v>3.58</v>
      </c>
      <c r="G2808" s="3">
        <v>6</v>
      </c>
      <c r="H2808" s="17">
        <f>Table1[[#This Row],[Unit price]]*Table1[[#This Row],[Quantity]]</f>
        <v>21.48</v>
      </c>
      <c r="I2808" s="29">
        <f>Table1[[#This Row],[Total Revenue]]/$H$5056*100</f>
        <v>2.2789366468874113E-3</v>
      </c>
      <c r="J2808" s="3" t="s">
        <v>15</v>
      </c>
      <c r="K2808" s="4">
        <v>6.3</v>
      </c>
      <c r="M2808"/>
    </row>
    <row r="2809" spans="1:13" x14ac:dyDescent="0.25">
      <c r="A2809" s="2">
        <v>45573</v>
      </c>
      <c r="B2809" s="3" t="s">
        <v>244</v>
      </c>
      <c r="C2809" s="3" t="s">
        <v>13</v>
      </c>
      <c r="D2809" s="3" t="s">
        <v>19</v>
      </c>
      <c r="E2809" s="5" t="s">
        <v>21</v>
      </c>
      <c r="F2809" s="17">
        <v>38.74</v>
      </c>
      <c r="G2809" s="3">
        <v>1</v>
      </c>
      <c r="H2809" s="17">
        <f>Table1[[#This Row],[Unit price]]*Table1[[#This Row],[Quantity]]</f>
        <v>38.74</v>
      </c>
      <c r="I2809" s="29">
        <f>Table1[[#This Row],[Total Revenue]]/$H$5056*100</f>
        <v>4.1101492411740378E-3</v>
      </c>
      <c r="J2809" s="3" t="s">
        <v>15</v>
      </c>
      <c r="K2809" s="4">
        <v>5.9</v>
      </c>
      <c r="M2809"/>
    </row>
    <row r="2810" spans="1:13" x14ac:dyDescent="0.25">
      <c r="A2810" s="2">
        <v>45573</v>
      </c>
      <c r="B2810" s="3" t="s">
        <v>244</v>
      </c>
      <c r="C2810" s="3" t="s">
        <v>13</v>
      </c>
      <c r="D2810" s="3" t="s">
        <v>10</v>
      </c>
      <c r="E2810" s="5" t="s">
        <v>11</v>
      </c>
      <c r="F2810" s="17">
        <v>4.1500000000000004</v>
      </c>
      <c r="G2810" s="3">
        <v>2</v>
      </c>
      <c r="H2810" s="17">
        <f>Table1[[#This Row],[Unit price]]*Table1[[#This Row],[Quantity]]</f>
        <v>8.3000000000000007</v>
      </c>
      <c r="I2810" s="29">
        <f>Table1[[#This Row],[Total Revenue]]/$H$5056*100</f>
        <v>8.8059470061291984E-4</v>
      </c>
      <c r="J2810" s="3" t="s">
        <v>15</v>
      </c>
      <c r="K2810" s="4">
        <v>6.9</v>
      </c>
      <c r="M2810"/>
    </row>
    <row r="2811" spans="1:13" x14ac:dyDescent="0.25">
      <c r="A2811" s="2">
        <v>45573</v>
      </c>
      <c r="B2811" s="3" t="s">
        <v>244</v>
      </c>
      <c r="C2811" s="3" t="s">
        <v>13</v>
      </c>
      <c r="D2811" s="3" t="s">
        <v>19</v>
      </c>
      <c r="E2811" s="5" t="s">
        <v>21</v>
      </c>
      <c r="F2811" s="17">
        <v>31.21</v>
      </c>
      <c r="G2811" s="3">
        <v>2</v>
      </c>
      <c r="H2811" s="17">
        <f>Table1[[#This Row],[Unit price]]*Table1[[#This Row],[Quantity]]</f>
        <v>62.42</v>
      </c>
      <c r="I2811" s="29">
        <f>Table1[[#This Row],[Total Revenue]]/$H$5056*100</f>
        <v>6.6224965315974044E-3</v>
      </c>
      <c r="J2811" s="3" t="s">
        <v>17</v>
      </c>
      <c r="K2811" s="4">
        <v>6.7</v>
      </c>
      <c r="M2811"/>
    </row>
    <row r="2812" spans="1:13" x14ac:dyDescent="0.25">
      <c r="A2812" s="2">
        <v>45573</v>
      </c>
      <c r="B2812" s="3" t="s">
        <v>243</v>
      </c>
      <c r="C2812" s="3" t="s">
        <v>13</v>
      </c>
      <c r="D2812" s="3" t="s">
        <v>19</v>
      </c>
      <c r="E2812" s="5" t="s">
        <v>11</v>
      </c>
      <c r="F2812" s="17">
        <v>4.51</v>
      </c>
      <c r="G2812" s="3">
        <v>7</v>
      </c>
      <c r="H2812" s="17">
        <f>Table1[[#This Row],[Unit price]]*Table1[[#This Row],[Quantity]]</f>
        <v>31.57</v>
      </c>
      <c r="I2812" s="29">
        <f>Table1[[#This Row],[Total Revenue]]/$H$5056*100</f>
        <v>3.3494427347409489E-3</v>
      </c>
      <c r="J2812" s="3" t="s">
        <v>17</v>
      </c>
      <c r="K2812" s="4">
        <v>7.6</v>
      </c>
      <c r="M2812"/>
    </row>
    <row r="2813" spans="1:13" x14ac:dyDescent="0.25">
      <c r="A2813" s="2">
        <v>45573</v>
      </c>
      <c r="B2813" s="3" t="s">
        <v>244</v>
      </c>
      <c r="C2813" s="3" t="s">
        <v>13</v>
      </c>
      <c r="D2813" s="3" t="s">
        <v>10</v>
      </c>
      <c r="E2813" s="5" t="s">
        <v>11</v>
      </c>
      <c r="F2813" s="17">
        <v>5.46</v>
      </c>
      <c r="G2813" s="3">
        <v>3</v>
      </c>
      <c r="H2813" s="17">
        <f>Table1[[#This Row],[Unit price]]*Table1[[#This Row],[Quantity]]</f>
        <v>16.38</v>
      </c>
      <c r="I2813" s="29">
        <f>Table1[[#This Row],[Total Revenue]]/$H$5056*100</f>
        <v>1.7378483368722438E-3</v>
      </c>
      <c r="J2813" s="3" t="s">
        <v>17</v>
      </c>
      <c r="K2813" s="4">
        <v>7</v>
      </c>
      <c r="M2813"/>
    </row>
    <row r="2814" spans="1:13" x14ac:dyDescent="0.25">
      <c r="A2814" s="2">
        <v>45573</v>
      </c>
      <c r="B2814" s="3" t="s">
        <v>244</v>
      </c>
      <c r="C2814" s="3" t="s">
        <v>9</v>
      </c>
      <c r="D2814" s="3" t="s">
        <v>10</v>
      </c>
      <c r="E2814" s="5" t="s">
        <v>11</v>
      </c>
      <c r="F2814" s="17">
        <v>3.14</v>
      </c>
      <c r="G2814" s="3">
        <v>4</v>
      </c>
      <c r="H2814" s="17">
        <f>Table1[[#This Row],[Unit price]]*Table1[[#This Row],[Quantity]]</f>
        <v>12.56</v>
      </c>
      <c r="I2814" s="29">
        <f>Table1[[#This Row],[Total Revenue]]/$H$5056*100</f>
        <v>1.3325625830961773E-3</v>
      </c>
      <c r="J2814" s="3" t="s">
        <v>12</v>
      </c>
      <c r="K2814" s="4">
        <v>6.2</v>
      </c>
      <c r="M2814"/>
    </row>
    <row r="2815" spans="1:13" x14ac:dyDescent="0.25">
      <c r="A2815" s="2">
        <v>45573</v>
      </c>
      <c r="B2815" s="3" t="s">
        <v>243</v>
      </c>
      <c r="C2815" s="3" t="s">
        <v>13</v>
      </c>
      <c r="D2815" s="3" t="s">
        <v>10</v>
      </c>
      <c r="E2815" s="5" t="s">
        <v>18</v>
      </c>
      <c r="F2815" s="17">
        <v>12.21</v>
      </c>
      <c r="G2815" s="3">
        <v>2</v>
      </c>
      <c r="H2815" s="17">
        <f>Table1[[#This Row],[Unit price]]*Table1[[#This Row],[Quantity]]</f>
        <v>24.42</v>
      </c>
      <c r="I2815" s="29">
        <f>Table1[[#This Row],[Total Revenue]]/$H$5056*100</f>
        <v>2.5908581432490963E-3</v>
      </c>
      <c r="J2815" s="3" t="s">
        <v>17</v>
      </c>
      <c r="K2815" s="4">
        <v>5.7</v>
      </c>
      <c r="M2815"/>
    </row>
    <row r="2816" spans="1:13" x14ac:dyDescent="0.25">
      <c r="A2816" s="2">
        <v>45573</v>
      </c>
      <c r="B2816" s="3" t="s">
        <v>245</v>
      </c>
      <c r="C2816" s="3" t="s">
        <v>9</v>
      </c>
      <c r="D2816" s="3" t="s">
        <v>10</v>
      </c>
      <c r="E2816" s="5" t="s">
        <v>11</v>
      </c>
      <c r="F2816" s="17">
        <v>6.6</v>
      </c>
      <c r="G2816" s="3">
        <v>6</v>
      </c>
      <c r="H2816" s="17">
        <f>Table1[[#This Row],[Unit price]]*Table1[[#This Row],[Quantity]]</f>
        <v>39.599999999999994</v>
      </c>
      <c r="I2816" s="29">
        <f>Table1[[#This Row],[Total Revenue]]/$H$5056*100</f>
        <v>4.2013915836471823E-3</v>
      </c>
      <c r="J2816" s="3" t="s">
        <v>12</v>
      </c>
      <c r="K2816" s="4">
        <v>7.2</v>
      </c>
      <c r="M2816"/>
    </row>
    <row r="2817" spans="1:13" x14ac:dyDescent="0.25">
      <c r="A2817" s="2">
        <v>45573</v>
      </c>
      <c r="B2817" s="3" t="s">
        <v>244</v>
      </c>
      <c r="C2817" s="3" t="s">
        <v>13</v>
      </c>
      <c r="D2817" s="3" t="s">
        <v>10</v>
      </c>
      <c r="E2817" s="5" t="s">
        <v>18</v>
      </c>
      <c r="F2817" s="17">
        <v>7.79</v>
      </c>
      <c r="G2817" s="3">
        <v>1</v>
      </c>
      <c r="H2817" s="17">
        <f>Table1[[#This Row],[Unit price]]*Table1[[#This Row],[Quantity]]</f>
        <v>7.79</v>
      </c>
      <c r="I2817" s="29">
        <f>Table1[[#This Row],[Total Revenue]]/$H$5056*100</f>
        <v>8.2648586961140292E-4</v>
      </c>
      <c r="J2817" s="3" t="s">
        <v>17</v>
      </c>
      <c r="K2817" s="4">
        <v>6.5</v>
      </c>
      <c r="M2817"/>
    </row>
    <row r="2818" spans="1:13" x14ac:dyDescent="0.25">
      <c r="A2818" s="2">
        <v>45573</v>
      </c>
      <c r="B2818" s="3" t="s">
        <v>244</v>
      </c>
      <c r="C2818" s="3" t="s">
        <v>13</v>
      </c>
      <c r="D2818" s="3" t="s">
        <v>19</v>
      </c>
      <c r="E2818" s="5" t="s">
        <v>21</v>
      </c>
      <c r="F2818" s="17">
        <v>26.49</v>
      </c>
      <c r="G2818" s="3">
        <v>3</v>
      </c>
      <c r="H2818" s="17">
        <f>Table1[[#This Row],[Unit price]]*Table1[[#This Row],[Quantity]]</f>
        <v>79.47</v>
      </c>
      <c r="I2818" s="29">
        <f>Table1[[#This Row],[Total Revenue]]/$H$5056*100</f>
        <v>8.4314290190010514E-3</v>
      </c>
      <c r="J2818" s="3" t="s">
        <v>17</v>
      </c>
      <c r="K2818" s="4">
        <v>7.2</v>
      </c>
      <c r="M2818"/>
    </row>
    <row r="2819" spans="1:13" x14ac:dyDescent="0.25">
      <c r="A2819" s="2">
        <v>45573</v>
      </c>
      <c r="B2819" s="3" t="s">
        <v>245</v>
      </c>
      <c r="C2819" s="3" t="s">
        <v>13</v>
      </c>
      <c r="D2819" s="3" t="s">
        <v>19</v>
      </c>
      <c r="E2819" s="5" t="s">
        <v>16</v>
      </c>
      <c r="F2819" s="17">
        <v>50.63</v>
      </c>
      <c r="G2819" s="3">
        <v>2</v>
      </c>
      <c r="H2819" s="17">
        <f>Table1[[#This Row],[Unit price]]*Table1[[#This Row],[Quantity]]</f>
        <v>101.26</v>
      </c>
      <c r="I2819" s="29">
        <f>Table1[[#This Row],[Total Revenue]]/$H$5056*100</f>
        <v>1.0743255347477621E-2</v>
      </c>
      <c r="J2819" s="3" t="s">
        <v>17</v>
      </c>
      <c r="K2819" s="4">
        <v>7.3</v>
      </c>
      <c r="M2819"/>
    </row>
    <row r="2820" spans="1:13" x14ac:dyDescent="0.25">
      <c r="A2820" s="2">
        <v>45573</v>
      </c>
      <c r="B2820" s="3" t="s">
        <v>245</v>
      </c>
      <c r="C2820" s="3" t="s">
        <v>13</v>
      </c>
      <c r="D2820" s="3" t="s">
        <v>10</v>
      </c>
      <c r="E2820" s="5" t="s">
        <v>21</v>
      </c>
      <c r="F2820" s="17">
        <v>26.91</v>
      </c>
      <c r="G2820" s="3">
        <v>1</v>
      </c>
      <c r="H2820" s="17">
        <f>Table1[[#This Row],[Unit price]]*Table1[[#This Row],[Quantity]]</f>
        <v>26.91</v>
      </c>
      <c r="I2820" s="29">
        <f>Table1[[#This Row],[Total Revenue]]/$H$5056*100</f>
        <v>2.8550365534329722E-3</v>
      </c>
      <c r="J2820" s="3" t="s">
        <v>15</v>
      </c>
      <c r="K2820" s="4">
        <v>7.2</v>
      </c>
      <c r="M2820"/>
    </row>
    <row r="2821" spans="1:13" x14ac:dyDescent="0.25">
      <c r="A2821" s="2">
        <v>45573</v>
      </c>
      <c r="B2821" s="3" t="s">
        <v>243</v>
      </c>
      <c r="C2821" s="3" t="s">
        <v>13</v>
      </c>
      <c r="D2821" s="3" t="s">
        <v>19</v>
      </c>
      <c r="E2821" s="5" t="s">
        <v>20</v>
      </c>
      <c r="F2821" s="17">
        <v>65.61</v>
      </c>
      <c r="G2821" s="3">
        <v>4</v>
      </c>
      <c r="H2821" s="17">
        <f>Table1[[#This Row],[Unit price]]*Table1[[#This Row],[Quantity]]</f>
        <v>262.44</v>
      </c>
      <c r="I2821" s="29">
        <f>Table1[[#This Row],[Total Revenue]]/$H$5056*100</f>
        <v>2.7843767858898149E-2</v>
      </c>
      <c r="J2821" s="3" t="s">
        <v>15</v>
      </c>
      <c r="K2821" s="4">
        <v>8.6999999999999993</v>
      </c>
      <c r="M2821"/>
    </row>
    <row r="2822" spans="1:13" x14ac:dyDescent="0.25">
      <c r="A2822" s="2">
        <v>45573</v>
      </c>
      <c r="B2822" s="3" t="s">
        <v>245</v>
      </c>
      <c r="C2822" s="3" t="s">
        <v>13</v>
      </c>
      <c r="D2822" s="3" t="s">
        <v>10</v>
      </c>
      <c r="E2822" s="5" t="s">
        <v>11</v>
      </c>
      <c r="F2822" s="17">
        <v>6.96</v>
      </c>
      <c r="G2822" s="3">
        <v>1</v>
      </c>
      <c r="H2822" s="17">
        <f>Table1[[#This Row],[Unit price]]*Table1[[#This Row],[Quantity]]</f>
        <v>6.96</v>
      </c>
      <c r="I2822" s="29">
        <f>Table1[[#This Row],[Total Revenue]]/$H$5056*100</f>
        <v>7.3842639955011091E-4</v>
      </c>
      <c r="J2822" s="3" t="s">
        <v>17</v>
      </c>
      <c r="K2822" s="4">
        <v>7.7</v>
      </c>
      <c r="M2822"/>
    </row>
    <row r="2823" spans="1:13" x14ac:dyDescent="0.25">
      <c r="A2823" s="2">
        <v>45573</v>
      </c>
      <c r="B2823" s="3" t="s">
        <v>244</v>
      </c>
      <c r="C2823" s="3" t="s">
        <v>13</v>
      </c>
      <c r="D2823" s="3" t="s">
        <v>19</v>
      </c>
      <c r="E2823" s="5" t="s">
        <v>21</v>
      </c>
      <c r="F2823" s="17">
        <v>36.68</v>
      </c>
      <c r="G2823" s="3">
        <v>2</v>
      </c>
      <c r="H2823" s="17">
        <f>Table1[[#This Row],[Unit price]]*Table1[[#This Row],[Quantity]]</f>
        <v>73.36</v>
      </c>
      <c r="I2823" s="29">
        <f>Table1[[#This Row],[Total Revenue]]/$H$5056*100</f>
        <v>7.7831840044534691E-3</v>
      </c>
      <c r="J2823" s="3" t="s">
        <v>17</v>
      </c>
      <c r="K2823" s="4">
        <v>6.7</v>
      </c>
      <c r="M2823"/>
    </row>
    <row r="2824" spans="1:13" x14ac:dyDescent="0.25">
      <c r="A2824" s="2">
        <v>45573</v>
      </c>
      <c r="B2824" s="3" t="s">
        <v>245</v>
      </c>
      <c r="C2824" s="3" t="s">
        <v>13</v>
      </c>
      <c r="D2824" s="3" t="s">
        <v>10</v>
      </c>
      <c r="E2824" s="5" t="s">
        <v>20</v>
      </c>
      <c r="F2824" s="17">
        <v>54.82</v>
      </c>
      <c r="G2824" s="3">
        <v>3</v>
      </c>
      <c r="H2824" s="17">
        <f>Table1[[#This Row],[Unit price]]*Table1[[#This Row],[Quantity]]</f>
        <v>164.46</v>
      </c>
      <c r="I2824" s="29">
        <f>Table1[[#This Row],[Total Revenue]]/$H$5056*100</f>
        <v>1.7448506561783227E-2</v>
      </c>
      <c r="J2824" s="3" t="s">
        <v>15</v>
      </c>
      <c r="K2824" s="4">
        <v>5.3</v>
      </c>
      <c r="M2824"/>
    </row>
    <row r="2825" spans="1:13" x14ac:dyDescent="0.25">
      <c r="A2825" s="2">
        <v>45573</v>
      </c>
      <c r="B2825" s="3" t="s">
        <v>245</v>
      </c>
      <c r="C2825" s="3" t="s">
        <v>9</v>
      </c>
      <c r="D2825" s="3" t="s">
        <v>10</v>
      </c>
      <c r="E2825" s="5" t="s">
        <v>11</v>
      </c>
      <c r="F2825" s="17">
        <v>5.59</v>
      </c>
      <c r="G2825" s="3">
        <v>3</v>
      </c>
      <c r="H2825" s="17">
        <f>Table1[[#This Row],[Unit price]]*Table1[[#This Row],[Quantity]]</f>
        <v>16.77</v>
      </c>
      <c r="I2825" s="29">
        <f>Table1[[#This Row],[Total Revenue]]/$H$5056*100</f>
        <v>1.779225678226345E-3</v>
      </c>
      <c r="J2825" s="3" t="s">
        <v>15</v>
      </c>
      <c r="K2825" s="4">
        <v>7.5</v>
      </c>
      <c r="M2825"/>
    </row>
    <row r="2826" spans="1:13" x14ac:dyDescent="0.25">
      <c r="A2826" s="2">
        <v>45604</v>
      </c>
      <c r="B2826" s="3" t="s">
        <v>245</v>
      </c>
      <c r="C2826" s="3" t="s">
        <v>13</v>
      </c>
      <c r="D2826" s="3" t="s">
        <v>19</v>
      </c>
      <c r="E2826" s="5" t="s">
        <v>21</v>
      </c>
      <c r="F2826" s="17">
        <v>29.13</v>
      </c>
      <c r="G2826" s="3">
        <v>3</v>
      </c>
      <c r="H2826" s="17">
        <f>Table1[[#This Row],[Unit price]]*Table1[[#This Row],[Quantity]]</f>
        <v>87.39</v>
      </c>
      <c r="I2826" s="29">
        <f>Table1[[#This Row],[Total Revenue]]/$H$5056*100</f>
        <v>9.2717073357304874E-3</v>
      </c>
      <c r="J2826" s="3" t="s">
        <v>15</v>
      </c>
      <c r="K2826" s="4">
        <v>6</v>
      </c>
      <c r="M2826"/>
    </row>
    <row r="2827" spans="1:13" x14ac:dyDescent="0.25">
      <c r="A2827" s="2">
        <v>45604</v>
      </c>
      <c r="B2827" s="3" t="s">
        <v>243</v>
      </c>
      <c r="C2827" s="3" t="s">
        <v>13</v>
      </c>
      <c r="D2827" s="3" t="s">
        <v>19</v>
      </c>
      <c r="E2827" s="5" t="s">
        <v>11</v>
      </c>
      <c r="F2827" s="17">
        <v>7.58</v>
      </c>
      <c r="G2827" s="3">
        <v>2</v>
      </c>
      <c r="H2827" s="17">
        <f>Table1[[#This Row],[Unit price]]*Table1[[#This Row],[Quantity]]</f>
        <v>15.16</v>
      </c>
      <c r="I2827" s="29">
        <f>Table1[[#This Row],[Total Revenue]]/$H$5056*100</f>
        <v>1.6084115254568511E-3</v>
      </c>
      <c r="J2827" s="3" t="s">
        <v>12</v>
      </c>
      <c r="K2827" s="4">
        <v>7.5</v>
      </c>
      <c r="M2827"/>
    </row>
    <row r="2828" spans="1:13" x14ac:dyDescent="0.25">
      <c r="A2828" s="2">
        <v>45604</v>
      </c>
      <c r="B2828" s="3" t="s">
        <v>244</v>
      </c>
      <c r="C2828" s="3" t="s">
        <v>9</v>
      </c>
      <c r="D2828" s="3" t="s">
        <v>10</v>
      </c>
      <c r="E2828" s="5" t="s">
        <v>11</v>
      </c>
      <c r="F2828" s="17">
        <v>4.7300000000000004</v>
      </c>
      <c r="G2828" s="3">
        <v>1</v>
      </c>
      <c r="H2828" s="17">
        <f>Table1[[#This Row],[Unit price]]*Table1[[#This Row],[Quantity]]</f>
        <v>4.7300000000000004</v>
      </c>
      <c r="I2828" s="29">
        <f>Table1[[#This Row],[Total Revenue]]/$H$5056*100</f>
        <v>5.0183288360230245E-4</v>
      </c>
      <c r="J2828" s="3" t="s">
        <v>12</v>
      </c>
      <c r="K2828" s="4">
        <v>6.7</v>
      </c>
      <c r="M2828"/>
    </row>
    <row r="2829" spans="1:13" x14ac:dyDescent="0.25">
      <c r="A2829" s="2">
        <v>45604</v>
      </c>
      <c r="B2829" s="3" t="s">
        <v>244</v>
      </c>
      <c r="C2829" s="3" t="s">
        <v>9</v>
      </c>
      <c r="D2829" s="3" t="s">
        <v>19</v>
      </c>
      <c r="E2829" s="5" t="s">
        <v>11</v>
      </c>
      <c r="F2829" s="17">
        <v>5.65</v>
      </c>
      <c r="G2829" s="3">
        <v>3</v>
      </c>
      <c r="H2829" s="17">
        <f>Table1[[#This Row],[Unit price]]*Table1[[#This Row],[Quantity]]</f>
        <v>16.950000000000003</v>
      </c>
      <c r="I2829" s="29">
        <f>Table1[[#This Row],[Total Revenue]]/$H$5056*100</f>
        <v>1.7983229126974688E-3</v>
      </c>
      <c r="J2829" s="3" t="s">
        <v>15</v>
      </c>
      <c r="K2829" s="4">
        <v>8.6</v>
      </c>
      <c r="M2829"/>
    </row>
    <row r="2830" spans="1:13" x14ac:dyDescent="0.25">
      <c r="A2830" s="2">
        <v>45604</v>
      </c>
      <c r="B2830" s="3" t="s">
        <v>244</v>
      </c>
      <c r="C2830" s="3" t="s">
        <v>13</v>
      </c>
      <c r="D2830" s="3" t="s">
        <v>10</v>
      </c>
      <c r="E2830" s="5" t="s">
        <v>14</v>
      </c>
      <c r="F2830" s="17">
        <v>93.36</v>
      </c>
      <c r="G2830" s="3">
        <v>2</v>
      </c>
      <c r="H2830" s="17">
        <f>Table1[[#This Row],[Unit price]]*Table1[[#This Row],[Quantity]]</f>
        <v>186.72</v>
      </c>
      <c r="I2830" s="29">
        <f>Table1[[#This Row],[Total Revenue]]/$H$5056*100</f>
        <v>1.981019789137884E-2</v>
      </c>
      <c r="J2830" s="3" t="s">
        <v>17</v>
      </c>
      <c r="K2830" s="4">
        <v>6.8</v>
      </c>
      <c r="M2830"/>
    </row>
    <row r="2831" spans="1:13" x14ac:dyDescent="0.25">
      <c r="A2831" s="2">
        <v>45604</v>
      </c>
      <c r="B2831" s="3" t="s">
        <v>243</v>
      </c>
      <c r="C2831" s="3" t="s">
        <v>9</v>
      </c>
      <c r="D2831" s="3" t="s">
        <v>19</v>
      </c>
      <c r="E2831" s="5" t="s">
        <v>11</v>
      </c>
      <c r="F2831" s="17">
        <v>4.24</v>
      </c>
      <c r="G2831" s="3">
        <v>4</v>
      </c>
      <c r="H2831" s="17">
        <f>Table1[[#This Row],[Unit price]]*Table1[[#This Row],[Quantity]]</f>
        <v>16.96</v>
      </c>
      <c r="I2831" s="29">
        <f>Table1[[#This Row],[Total Revenue]]/$H$5056*100</f>
        <v>1.7993838701680866E-3</v>
      </c>
      <c r="J2831" s="3" t="s">
        <v>15</v>
      </c>
      <c r="K2831" s="4">
        <v>6.9</v>
      </c>
      <c r="M2831"/>
    </row>
    <row r="2832" spans="1:13" x14ac:dyDescent="0.25">
      <c r="A2832" s="2">
        <v>45604</v>
      </c>
      <c r="B2832" s="3" t="s">
        <v>244</v>
      </c>
      <c r="C2832" s="3" t="s">
        <v>9</v>
      </c>
      <c r="D2832" s="3" t="s">
        <v>10</v>
      </c>
      <c r="E2832" s="5" t="s">
        <v>20</v>
      </c>
      <c r="F2832" s="17">
        <v>54.19</v>
      </c>
      <c r="G2832" s="3">
        <v>3</v>
      </c>
      <c r="H2832" s="17">
        <f>Table1[[#This Row],[Unit price]]*Table1[[#This Row],[Quantity]]</f>
        <v>162.57</v>
      </c>
      <c r="I2832" s="29">
        <f>Table1[[#This Row],[Total Revenue]]/$H$5056*100</f>
        <v>1.7247985599836427E-2</v>
      </c>
      <c r="J2832" s="3" t="s">
        <v>17</v>
      </c>
      <c r="K2832" s="4">
        <v>7.5</v>
      </c>
      <c r="M2832"/>
    </row>
    <row r="2833" spans="1:13" x14ac:dyDescent="0.25">
      <c r="A2833" s="2">
        <v>45604</v>
      </c>
      <c r="B2833" s="3" t="s">
        <v>243</v>
      </c>
      <c r="C2833" s="3" t="s">
        <v>13</v>
      </c>
      <c r="D2833" s="3" t="s">
        <v>10</v>
      </c>
      <c r="E2833" s="5" t="s">
        <v>11</v>
      </c>
      <c r="F2833" s="17">
        <v>4.74</v>
      </c>
      <c r="G2833" s="3">
        <v>3</v>
      </c>
      <c r="H2833" s="17">
        <f>Table1[[#This Row],[Unit price]]*Table1[[#This Row],[Quantity]]</f>
        <v>14.22</v>
      </c>
      <c r="I2833" s="29">
        <f>Table1[[#This Row],[Total Revenue]]/$H$5056*100</f>
        <v>1.5086815232187613E-3</v>
      </c>
      <c r="J2833" s="3" t="s">
        <v>17</v>
      </c>
      <c r="K2833" s="4">
        <v>6.3</v>
      </c>
      <c r="M2833"/>
    </row>
    <row r="2834" spans="1:13" x14ac:dyDescent="0.25">
      <c r="A2834" s="2">
        <v>45604</v>
      </c>
      <c r="B2834" s="3" t="s">
        <v>244</v>
      </c>
      <c r="C2834" s="3" t="s">
        <v>13</v>
      </c>
      <c r="D2834" s="3" t="s">
        <v>19</v>
      </c>
      <c r="E2834" s="5" t="s">
        <v>18</v>
      </c>
      <c r="F2834" s="17">
        <v>19.71</v>
      </c>
      <c r="G2834" s="3">
        <v>1</v>
      </c>
      <c r="H2834" s="17">
        <f>Table1[[#This Row],[Unit price]]*Table1[[#This Row],[Quantity]]</f>
        <v>19.71</v>
      </c>
      <c r="I2834" s="29">
        <f>Table1[[#This Row],[Total Revenue]]/$H$5056*100</f>
        <v>2.09114717458803E-3</v>
      </c>
      <c r="J2834" s="3" t="s">
        <v>15</v>
      </c>
      <c r="K2834" s="4">
        <v>7</v>
      </c>
      <c r="M2834"/>
    </row>
    <row r="2835" spans="1:13" x14ac:dyDescent="0.25">
      <c r="A2835" s="2">
        <v>45604</v>
      </c>
      <c r="B2835" s="3" t="s">
        <v>244</v>
      </c>
      <c r="C2835" s="3" t="s">
        <v>13</v>
      </c>
      <c r="D2835" s="3" t="s">
        <v>10</v>
      </c>
      <c r="E2835" s="5" t="s">
        <v>16</v>
      </c>
      <c r="F2835" s="17">
        <v>67.459999999999994</v>
      </c>
      <c r="G2835" s="3">
        <v>2</v>
      </c>
      <c r="H2835" s="17">
        <f>Table1[[#This Row],[Unit price]]*Table1[[#This Row],[Quantity]]</f>
        <v>134.91999999999999</v>
      </c>
      <c r="I2835" s="29">
        <f>Table1[[#This Row],[Total Revenue]]/$H$5056*100</f>
        <v>1.4314438193577724E-2</v>
      </c>
      <c r="J2835" s="3" t="s">
        <v>12</v>
      </c>
      <c r="K2835" s="4">
        <v>6.3</v>
      </c>
      <c r="M2835"/>
    </row>
    <row r="2836" spans="1:13" x14ac:dyDescent="0.25">
      <c r="A2836" s="2">
        <v>45604</v>
      </c>
      <c r="B2836" s="3" t="s">
        <v>244</v>
      </c>
      <c r="C2836" s="3" t="s">
        <v>9</v>
      </c>
      <c r="D2836" s="3" t="s">
        <v>10</v>
      </c>
      <c r="E2836" s="5" t="s">
        <v>11</v>
      </c>
      <c r="F2836" s="17">
        <v>7.24</v>
      </c>
      <c r="G2836" s="3">
        <v>2</v>
      </c>
      <c r="H2836" s="17">
        <f>Table1[[#This Row],[Unit price]]*Table1[[#This Row],[Quantity]]</f>
        <v>14.48</v>
      </c>
      <c r="I2836" s="29">
        <f>Table1[[#This Row],[Total Revenue]]/$H$5056*100</f>
        <v>1.5362664174548286E-3</v>
      </c>
      <c r="J2836" s="3" t="s">
        <v>12</v>
      </c>
      <c r="K2836" s="4">
        <v>8.4</v>
      </c>
      <c r="M2836"/>
    </row>
    <row r="2837" spans="1:13" x14ac:dyDescent="0.25">
      <c r="A2837" s="2">
        <v>45634</v>
      </c>
      <c r="B2837" s="3" t="s">
        <v>245</v>
      </c>
      <c r="C2837" s="3" t="s">
        <v>13</v>
      </c>
      <c r="D2837" s="3" t="s">
        <v>10</v>
      </c>
      <c r="E2837" s="5" t="s">
        <v>11</v>
      </c>
      <c r="F2837" s="17">
        <v>6.3</v>
      </c>
      <c r="G2837" s="3">
        <v>3</v>
      </c>
      <c r="H2837" s="17">
        <f>Table1[[#This Row],[Unit price]]*Table1[[#This Row],[Quantity]]</f>
        <v>18.899999999999999</v>
      </c>
      <c r="I2837" s="29">
        <f>Table1[[#This Row],[Total Revenue]]/$H$5056*100</f>
        <v>2.0052096194679734E-3</v>
      </c>
      <c r="J2837" s="3" t="s">
        <v>17</v>
      </c>
      <c r="K2837" s="4">
        <v>9.6999999999999993</v>
      </c>
      <c r="M2837"/>
    </row>
    <row r="2838" spans="1:13" x14ac:dyDescent="0.25">
      <c r="A2838" s="2">
        <v>45634</v>
      </c>
      <c r="B2838" s="3" t="s">
        <v>243</v>
      </c>
      <c r="C2838" s="3" t="s">
        <v>13</v>
      </c>
      <c r="D2838" s="3" t="s">
        <v>19</v>
      </c>
      <c r="E2838" s="5" t="s">
        <v>11</v>
      </c>
      <c r="F2838" s="17">
        <v>7.27</v>
      </c>
      <c r="G2838" s="3">
        <v>2</v>
      </c>
      <c r="H2838" s="17">
        <f>Table1[[#This Row],[Unit price]]*Table1[[#This Row],[Quantity]]</f>
        <v>14.54</v>
      </c>
      <c r="I2838" s="29">
        <f>Table1[[#This Row],[Total Revenue]]/$H$5056*100</f>
        <v>1.5426321622785365E-3</v>
      </c>
      <c r="J2838" s="3" t="s">
        <v>15</v>
      </c>
      <c r="K2838" s="4">
        <v>6.7</v>
      </c>
      <c r="M2838"/>
    </row>
    <row r="2839" spans="1:13" x14ac:dyDescent="0.25">
      <c r="A2839" s="2">
        <v>45634</v>
      </c>
      <c r="B2839" s="3" t="s">
        <v>243</v>
      </c>
      <c r="C2839" s="3" t="s">
        <v>13</v>
      </c>
      <c r="D2839" s="3" t="s">
        <v>19</v>
      </c>
      <c r="E2839" s="5" t="s">
        <v>14</v>
      </c>
      <c r="F2839" s="17">
        <v>91.82</v>
      </c>
      <c r="G2839" s="3">
        <v>2</v>
      </c>
      <c r="H2839" s="17">
        <f>Table1[[#This Row],[Unit price]]*Table1[[#This Row],[Quantity]]</f>
        <v>183.64</v>
      </c>
      <c r="I2839" s="29">
        <f>Table1[[#This Row],[Total Revenue]]/$H$5056*100</f>
        <v>1.9483422990428503E-2</v>
      </c>
      <c r="J2839" s="3" t="s">
        <v>12</v>
      </c>
      <c r="K2839" s="4">
        <v>6.6</v>
      </c>
      <c r="M2839"/>
    </row>
    <row r="2840" spans="1:13" x14ac:dyDescent="0.25">
      <c r="A2840" s="2">
        <v>45634</v>
      </c>
      <c r="B2840" s="3" t="s">
        <v>244</v>
      </c>
      <c r="C2840" s="3" t="s">
        <v>13</v>
      </c>
      <c r="D2840" s="3" t="s">
        <v>10</v>
      </c>
      <c r="E2840" s="5" t="s">
        <v>11</v>
      </c>
      <c r="F2840" s="17">
        <v>2.39</v>
      </c>
      <c r="G2840" s="3">
        <v>2</v>
      </c>
      <c r="H2840" s="17">
        <f>Table1[[#This Row],[Unit price]]*Table1[[#This Row],[Quantity]]</f>
        <v>4.78</v>
      </c>
      <c r="I2840" s="29">
        <f>Table1[[#This Row],[Total Revenue]]/$H$5056*100</f>
        <v>5.0713767095539233E-4</v>
      </c>
      <c r="J2840" s="3" t="s">
        <v>12</v>
      </c>
      <c r="K2840" s="4">
        <v>8</v>
      </c>
      <c r="M2840"/>
    </row>
    <row r="2841" spans="1:13" x14ac:dyDescent="0.25">
      <c r="A2841" s="2">
        <v>45634</v>
      </c>
      <c r="B2841" s="3" t="s">
        <v>244</v>
      </c>
      <c r="C2841" s="3" t="s">
        <v>13</v>
      </c>
      <c r="D2841" s="3" t="s">
        <v>10</v>
      </c>
      <c r="E2841" s="5" t="s">
        <v>20</v>
      </c>
      <c r="F2841" s="17">
        <v>72.42</v>
      </c>
      <c r="G2841" s="3">
        <v>4</v>
      </c>
      <c r="H2841" s="17">
        <f>Table1[[#This Row],[Unit price]]*Table1[[#This Row],[Quantity]]</f>
        <v>289.68</v>
      </c>
      <c r="I2841" s="29">
        <f>Table1[[#This Row],[Total Revenue]]/$H$5056*100</f>
        <v>3.0733816008861516E-2</v>
      </c>
      <c r="J2841" s="3" t="s">
        <v>15</v>
      </c>
      <c r="K2841" s="4">
        <v>6.9</v>
      </c>
      <c r="M2841"/>
    </row>
    <row r="2842" spans="1:13" x14ac:dyDescent="0.25">
      <c r="A2842" s="2">
        <v>45634</v>
      </c>
      <c r="B2842" s="3" t="s">
        <v>243</v>
      </c>
      <c r="C2842" s="3" t="s">
        <v>13</v>
      </c>
      <c r="D2842" s="3" t="s">
        <v>19</v>
      </c>
      <c r="E2842" s="5" t="s">
        <v>20</v>
      </c>
      <c r="F2842" s="17">
        <v>61.39</v>
      </c>
      <c r="G2842" s="3">
        <v>4</v>
      </c>
      <c r="H2842" s="17">
        <f>Table1[[#This Row],[Unit price]]*Table1[[#This Row],[Quantity]]</f>
        <v>245.56</v>
      </c>
      <c r="I2842" s="29">
        <f>Table1[[#This Row],[Total Revenue]]/$H$5056*100</f>
        <v>2.6052871648495009E-2</v>
      </c>
      <c r="J2842" s="3" t="s">
        <v>12</v>
      </c>
      <c r="K2842" s="4">
        <v>5.8</v>
      </c>
      <c r="M2842"/>
    </row>
    <row r="2843" spans="1:13" x14ac:dyDescent="0.25">
      <c r="A2843" s="2">
        <v>45634</v>
      </c>
      <c r="B2843" s="3" t="s">
        <v>244</v>
      </c>
      <c r="C2843" s="3" t="s">
        <v>13</v>
      </c>
      <c r="D2843" s="3" t="s">
        <v>10</v>
      </c>
      <c r="E2843" s="5" t="s">
        <v>14</v>
      </c>
      <c r="F2843" s="17">
        <v>81.42</v>
      </c>
      <c r="G2843" s="3">
        <v>2</v>
      </c>
      <c r="H2843" s="17">
        <f>Table1[[#This Row],[Unit price]]*Table1[[#This Row],[Quantity]]</f>
        <v>162.84</v>
      </c>
      <c r="I2843" s="29">
        <f>Table1[[#This Row],[Total Revenue]]/$H$5056*100</f>
        <v>1.7276631451543116E-2</v>
      </c>
      <c r="J2843" s="3" t="s">
        <v>12</v>
      </c>
      <c r="K2843" s="4">
        <v>6.1</v>
      </c>
      <c r="M2843"/>
    </row>
    <row r="2844" spans="1:13" x14ac:dyDescent="0.25">
      <c r="A2844" s="2">
        <v>45634</v>
      </c>
      <c r="B2844" s="3" t="s">
        <v>244</v>
      </c>
      <c r="C2844" s="3" t="s">
        <v>13</v>
      </c>
      <c r="D2844" s="3" t="s">
        <v>10</v>
      </c>
      <c r="E2844" s="5" t="s">
        <v>21</v>
      </c>
      <c r="F2844" s="17">
        <v>26.85</v>
      </c>
      <c r="G2844" s="3">
        <v>2</v>
      </c>
      <c r="H2844" s="17">
        <f>Table1[[#This Row],[Unit price]]*Table1[[#This Row],[Quantity]]</f>
        <v>53.7</v>
      </c>
      <c r="I2844" s="29">
        <f>Table1[[#This Row],[Total Revenue]]/$H$5056*100</f>
        <v>5.6973416172185288E-3</v>
      </c>
      <c r="J2844" s="3" t="s">
        <v>17</v>
      </c>
      <c r="K2844" s="4">
        <v>6.6</v>
      </c>
      <c r="M2844"/>
    </row>
    <row r="2845" spans="1:13" x14ac:dyDescent="0.25">
      <c r="A2845" s="2">
        <v>45634</v>
      </c>
      <c r="B2845" s="3" t="s">
        <v>245</v>
      </c>
      <c r="C2845" s="3" t="s">
        <v>13</v>
      </c>
      <c r="D2845" s="3" t="s">
        <v>10</v>
      </c>
      <c r="E2845" s="5" t="s">
        <v>21</v>
      </c>
      <c r="F2845" s="17">
        <v>27.29</v>
      </c>
      <c r="G2845" s="3">
        <v>2</v>
      </c>
      <c r="H2845" s="17">
        <f>Table1[[#This Row],[Unit price]]*Table1[[#This Row],[Quantity]]</f>
        <v>54.58</v>
      </c>
      <c r="I2845" s="29">
        <f>Table1[[#This Row],[Total Revenue]]/$H$5056*100</f>
        <v>5.7907058746329105E-3</v>
      </c>
      <c r="J2845" s="3" t="s">
        <v>17</v>
      </c>
      <c r="K2845" s="4">
        <v>6.7</v>
      </c>
      <c r="M2845"/>
    </row>
    <row r="2846" spans="1:13" x14ac:dyDescent="0.25">
      <c r="A2846" s="3" t="s">
        <v>150</v>
      </c>
      <c r="B2846" s="3" t="s">
        <v>245</v>
      </c>
      <c r="C2846" s="3" t="s">
        <v>13</v>
      </c>
      <c r="D2846" s="3" t="s">
        <v>19</v>
      </c>
      <c r="E2846" s="5" t="s">
        <v>14</v>
      </c>
      <c r="F2846" s="17">
        <v>85.6</v>
      </c>
      <c r="G2846" s="3">
        <v>2</v>
      </c>
      <c r="H2846" s="17">
        <f>Table1[[#This Row],[Unit price]]*Table1[[#This Row],[Quantity]]</f>
        <v>171.2</v>
      </c>
      <c r="I2846" s="29">
        <f>Table1[[#This Row],[Total Revenue]]/$H$5056*100</f>
        <v>1.816359189697974E-2</v>
      </c>
      <c r="J2846" s="3" t="s">
        <v>17</v>
      </c>
      <c r="K2846" s="4">
        <v>5.5</v>
      </c>
      <c r="M2846"/>
    </row>
    <row r="2847" spans="1:13" x14ac:dyDescent="0.25">
      <c r="A2847" s="3" t="s">
        <v>150</v>
      </c>
      <c r="B2847" s="3" t="s">
        <v>243</v>
      </c>
      <c r="C2847" s="3" t="s">
        <v>9</v>
      </c>
      <c r="D2847" s="3" t="s">
        <v>10</v>
      </c>
      <c r="E2847" s="5" t="s">
        <v>11</v>
      </c>
      <c r="F2847" s="17">
        <v>7.82</v>
      </c>
      <c r="G2847" s="3">
        <v>3</v>
      </c>
      <c r="H2847" s="17">
        <f>Table1[[#This Row],[Unit price]]*Table1[[#This Row],[Quantity]]</f>
        <v>23.46</v>
      </c>
      <c r="I2847" s="29">
        <f>Table1[[#This Row],[Total Revenue]]/$H$5056*100</f>
        <v>2.4890062260697707E-3</v>
      </c>
      <c r="J2847" s="3" t="s">
        <v>15</v>
      </c>
      <c r="K2847" s="4">
        <v>7.1</v>
      </c>
      <c r="M2847"/>
    </row>
    <row r="2848" spans="1:13" x14ac:dyDescent="0.25">
      <c r="A2848" s="3" t="s">
        <v>150</v>
      </c>
      <c r="B2848" s="3" t="s">
        <v>244</v>
      </c>
      <c r="C2848" s="3" t="s">
        <v>13</v>
      </c>
      <c r="D2848" s="3" t="s">
        <v>19</v>
      </c>
      <c r="E2848" s="5" t="s">
        <v>21</v>
      </c>
      <c r="F2848" s="17">
        <v>33.1</v>
      </c>
      <c r="G2848" s="3">
        <v>3</v>
      </c>
      <c r="H2848" s="17">
        <f>Table1[[#This Row],[Unit price]]*Table1[[#This Row],[Quantity]]</f>
        <v>99.300000000000011</v>
      </c>
      <c r="I2848" s="29">
        <f>Table1[[#This Row],[Total Revenue]]/$H$5056*100</f>
        <v>1.0535307683236498E-2</v>
      </c>
      <c r="J2848" s="3" t="s">
        <v>12</v>
      </c>
      <c r="K2848" s="4">
        <v>5.8</v>
      </c>
      <c r="M2848"/>
    </row>
    <row r="2849" spans="1:13" x14ac:dyDescent="0.25">
      <c r="A2849" s="3" t="s">
        <v>150</v>
      </c>
      <c r="B2849" s="3" t="s">
        <v>243</v>
      </c>
      <c r="C2849" s="3" t="s">
        <v>13</v>
      </c>
      <c r="D2849" s="3" t="s">
        <v>19</v>
      </c>
      <c r="E2849" s="5" t="s">
        <v>11</v>
      </c>
      <c r="F2849" s="17">
        <v>3.01</v>
      </c>
      <c r="G2849" s="3">
        <v>2</v>
      </c>
      <c r="H2849" s="17">
        <f>Table1[[#This Row],[Unit price]]*Table1[[#This Row],[Quantity]]</f>
        <v>6.02</v>
      </c>
      <c r="I2849" s="29">
        <f>Table1[[#This Row],[Total Revenue]]/$H$5056*100</f>
        <v>6.3869639731202119E-4</v>
      </c>
      <c r="J2849" s="3" t="s">
        <v>15</v>
      </c>
      <c r="K2849" s="4">
        <v>7.4</v>
      </c>
      <c r="M2849"/>
    </row>
    <row r="2850" spans="1:13" x14ac:dyDescent="0.25">
      <c r="A2850" s="3" t="s">
        <v>150</v>
      </c>
      <c r="B2850" s="3" t="s">
        <v>243</v>
      </c>
      <c r="C2850" s="3" t="s">
        <v>13</v>
      </c>
      <c r="D2850" s="3" t="s">
        <v>10</v>
      </c>
      <c r="E2850" s="5" t="s">
        <v>11</v>
      </c>
      <c r="F2850" s="17">
        <v>5.16</v>
      </c>
      <c r="G2850" s="3">
        <v>3</v>
      </c>
      <c r="H2850" s="17">
        <f>Table1[[#This Row],[Unit price]]*Table1[[#This Row],[Quantity]]</f>
        <v>15.48</v>
      </c>
      <c r="I2850" s="29">
        <f>Table1[[#This Row],[Total Revenue]]/$H$5056*100</f>
        <v>1.6423621645166261E-3</v>
      </c>
      <c r="J2850" s="3" t="s">
        <v>12</v>
      </c>
      <c r="K2850" s="4">
        <v>8.8000000000000007</v>
      </c>
      <c r="M2850"/>
    </row>
    <row r="2851" spans="1:13" x14ac:dyDescent="0.25">
      <c r="A2851" s="3" t="s">
        <v>150</v>
      </c>
      <c r="B2851" s="3" t="s">
        <v>244</v>
      </c>
      <c r="C2851" s="3" t="s">
        <v>13</v>
      </c>
      <c r="D2851" s="3" t="s">
        <v>19</v>
      </c>
      <c r="E2851" s="5" t="s">
        <v>11</v>
      </c>
      <c r="F2851" s="17">
        <v>7.64</v>
      </c>
      <c r="G2851" s="3">
        <v>2</v>
      </c>
      <c r="H2851" s="17">
        <f>Table1[[#This Row],[Unit price]]*Table1[[#This Row],[Quantity]]</f>
        <v>15.28</v>
      </c>
      <c r="I2851" s="29">
        <f>Table1[[#This Row],[Total Revenue]]/$H$5056*100</f>
        <v>1.6211430151042666E-3</v>
      </c>
      <c r="J2851" s="3" t="s">
        <v>12</v>
      </c>
      <c r="K2851" s="4">
        <v>7.6</v>
      </c>
      <c r="M2851"/>
    </row>
    <row r="2852" spans="1:13" x14ac:dyDescent="0.25">
      <c r="A2852" s="3" t="s">
        <v>150</v>
      </c>
      <c r="B2852" s="3" t="s">
        <v>245</v>
      </c>
      <c r="C2852" s="3" t="s">
        <v>9</v>
      </c>
      <c r="D2852" s="3" t="s">
        <v>19</v>
      </c>
      <c r="E2852" s="5" t="s">
        <v>11</v>
      </c>
      <c r="F2852" s="17">
        <v>7.36</v>
      </c>
      <c r="G2852" s="3">
        <v>3</v>
      </c>
      <c r="H2852" s="17">
        <f>Table1[[#This Row],[Unit price]]*Table1[[#This Row],[Quantity]]</f>
        <v>22.080000000000002</v>
      </c>
      <c r="I2852" s="29">
        <f>Table1[[#This Row],[Total Revenue]]/$H$5056*100</f>
        <v>2.3425940951244902E-3</v>
      </c>
      <c r="J2852" s="3" t="s">
        <v>15</v>
      </c>
      <c r="K2852" s="4">
        <v>7.4</v>
      </c>
      <c r="M2852"/>
    </row>
    <row r="2853" spans="1:13" x14ac:dyDescent="0.25">
      <c r="A2853" s="3" t="s">
        <v>150</v>
      </c>
      <c r="B2853" s="3" t="s">
        <v>244</v>
      </c>
      <c r="C2853" s="3" t="s">
        <v>13</v>
      </c>
      <c r="D2853" s="3" t="s">
        <v>19</v>
      </c>
      <c r="E2853" s="5" t="s">
        <v>11</v>
      </c>
      <c r="F2853" s="17">
        <v>3.88</v>
      </c>
      <c r="G2853" s="3">
        <v>3</v>
      </c>
      <c r="H2853" s="17">
        <f>Table1[[#This Row],[Unit price]]*Table1[[#This Row],[Quantity]]</f>
        <v>11.64</v>
      </c>
      <c r="I2853" s="29">
        <f>Table1[[#This Row],[Total Revenue]]/$H$5056*100</f>
        <v>1.2349544957993236E-3</v>
      </c>
      <c r="J2853" s="3" t="s">
        <v>12</v>
      </c>
      <c r="K2853" s="4">
        <v>8.1</v>
      </c>
      <c r="M2853"/>
    </row>
    <row r="2854" spans="1:13" x14ac:dyDescent="0.25">
      <c r="A2854" s="3" t="s">
        <v>150</v>
      </c>
      <c r="B2854" s="3" t="s">
        <v>244</v>
      </c>
      <c r="C2854" s="3" t="s">
        <v>9</v>
      </c>
      <c r="D2854" s="3" t="s">
        <v>10</v>
      </c>
      <c r="E2854" s="5" t="s">
        <v>11</v>
      </c>
      <c r="F2854" s="17">
        <v>5.53</v>
      </c>
      <c r="G2854" s="3">
        <v>3</v>
      </c>
      <c r="H2854" s="17">
        <f>Table1[[#This Row],[Unit price]]*Table1[[#This Row],[Quantity]]</f>
        <v>16.59</v>
      </c>
      <c r="I2854" s="29">
        <f>Table1[[#This Row],[Total Revenue]]/$H$5056*100</f>
        <v>1.7601284437552213E-3</v>
      </c>
      <c r="J2854" s="3" t="s">
        <v>17</v>
      </c>
      <c r="K2854" s="4">
        <v>8.6999999999999993</v>
      </c>
      <c r="M2854"/>
    </row>
    <row r="2855" spans="1:13" x14ac:dyDescent="0.25">
      <c r="A2855" s="3" t="s">
        <v>150</v>
      </c>
      <c r="B2855" s="3" t="s">
        <v>244</v>
      </c>
      <c r="C2855" s="3" t="s">
        <v>13</v>
      </c>
      <c r="D2855" s="3" t="s">
        <v>10</v>
      </c>
      <c r="E2855" s="5" t="s">
        <v>16</v>
      </c>
      <c r="F2855" s="17">
        <v>72.39</v>
      </c>
      <c r="G2855" s="3">
        <v>1</v>
      </c>
      <c r="H2855" s="17">
        <f>Table1[[#This Row],[Unit price]]*Table1[[#This Row],[Quantity]]</f>
        <v>72.39</v>
      </c>
      <c r="I2855" s="29">
        <f>Table1[[#This Row],[Total Revenue]]/$H$5056*100</f>
        <v>7.6802711298035245E-3</v>
      </c>
      <c r="J2855" s="3" t="s">
        <v>17</v>
      </c>
      <c r="K2855" s="4">
        <v>5.3</v>
      </c>
      <c r="M2855"/>
    </row>
    <row r="2856" spans="1:13" x14ac:dyDescent="0.25">
      <c r="A2856" s="3" t="s">
        <v>150</v>
      </c>
      <c r="B2856" s="3" t="s">
        <v>244</v>
      </c>
      <c r="C2856" s="3" t="s">
        <v>9</v>
      </c>
      <c r="D2856" s="3" t="s">
        <v>10</v>
      </c>
      <c r="E2856" s="5" t="s">
        <v>18</v>
      </c>
      <c r="F2856" s="17">
        <v>12.38</v>
      </c>
      <c r="G2856" s="3">
        <v>3</v>
      </c>
      <c r="H2856" s="17">
        <f>Table1[[#This Row],[Unit price]]*Table1[[#This Row],[Quantity]]</f>
        <v>37.14</v>
      </c>
      <c r="I2856" s="29">
        <f>Table1[[#This Row],[Total Revenue]]/$H$5056*100</f>
        <v>3.940396045875161E-3</v>
      </c>
      <c r="J2856" s="3" t="s">
        <v>17</v>
      </c>
      <c r="K2856" s="4">
        <v>7.2</v>
      </c>
      <c r="M2856"/>
    </row>
    <row r="2857" spans="1:13" x14ac:dyDescent="0.25">
      <c r="A2857" s="3" t="s">
        <v>150</v>
      </c>
      <c r="B2857" s="3" t="s">
        <v>245</v>
      </c>
      <c r="C2857" s="3" t="s">
        <v>13</v>
      </c>
      <c r="D2857" s="3" t="s">
        <v>10</v>
      </c>
      <c r="E2857" s="5" t="s">
        <v>11</v>
      </c>
      <c r="F2857" s="17">
        <v>6.27</v>
      </c>
      <c r="G2857" s="3">
        <v>2</v>
      </c>
      <c r="H2857" s="17">
        <f>Table1[[#This Row],[Unit price]]*Table1[[#This Row],[Quantity]]</f>
        <v>12.54</v>
      </c>
      <c r="I2857" s="29">
        <f>Table1[[#This Row],[Total Revenue]]/$H$5056*100</f>
        <v>1.3304406681549411E-3</v>
      </c>
      <c r="J2857" s="3" t="s">
        <v>15</v>
      </c>
      <c r="K2857" s="4">
        <v>7.4</v>
      </c>
      <c r="M2857"/>
    </row>
    <row r="2858" spans="1:13" x14ac:dyDescent="0.25">
      <c r="A2858" s="3" t="s">
        <v>150</v>
      </c>
      <c r="B2858" s="3" t="s">
        <v>245</v>
      </c>
      <c r="C2858" s="3" t="s">
        <v>9</v>
      </c>
      <c r="D2858" s="3" t="s">
        <v>10</v>
      </c>
      <c r="E2858" s="5" t="s">
        <v>16</v>
      </c>
      <c r="F2858" s="17">
        <v>67.06</v>
      </c>
      <c r="G2858" s="3">
        <v>1</v>
      </c>
      <c r="H2858" s="17">
        <f>Table1[[#This Row],[Unit price]]*Table1[[#This Row],[Quantity]]</f>
        <v>67.06</v>
      </c>
      <c r="I2858" s="29">
        <f>Table1[[#This Row],[Total Revenue]]/$H$5056*100</f>
        <v>7.1147807979641446E-3</v>
      </c>
      <c r="J2858" s="3" t="s">
        <v>12</v>
      </c>
      <c r="K2858" s="4">
        <v>6.9</v>
      </c>
      <c r="M2858"/>
    </row>
    <row r="2859" spans="1:13" x14ac:dyDescent="0.25">
      <c r="A2859" s="3" t="s">
        <v>150</v>
      </c>
      <c r="B2859" s="3" t="s">
        <v>243</v>
      </c>
      <c r="C2859" s="3" t="s">
        <v>13</v>
      </c>
      <c r="D2859" s="3" t="s">
        <v>19</v>
      </c>
      <c r="E2859" s="5" t="s">
        <v>11</v>
      </c>
      <c r="F2859" s="17">
        <v>7.21</v>
      </c>
      <c r="G2859" s="3">
        <v>6</v>
      </c>
      <c r="H2859" s="17">
        <f>Table1[[#This Row],[Unit price]]*Table1[[#This Row],[Quantity]]</f>
        <v>43.26</v>
      </c>
      <c r="I2859" s="29">
        <f>Table1[[#This Row],[Total Revenue]]/$H$5056*100</f>
        <v>4.5897020178933623E-3</v>
      </c>
      <c r="J2859" s="3" t="s">
        <v>17</v>
      </c>
      <c r="K2859" s="4">
        <v>7.9</v>
      </c>
      <c r="M2859"/>
    </row>
    <row r="2860" spans="1:13" x14ac:dyDescent="0.25">
      <c r="A2860" s="3" t="s">
        <v>151</v>
      </c>
      <c r="B2860" s="3" t="s">
        <v>245</v>
      </c>
      <c r="C2860" s="3" t="s">
        <v>13</v>
      </c>
      <c r="D2860" s="3" t="s">
        <v>19</v>
      </c>
      <c r="E2860" s="5" t="s">
        <v>18</v>
      </c>
      <c r="F2860" s="17">
        <v>17.47</v>
      </c>
      <c r="G2860" s="3">
        <v>1</v>
      </c>
      <c r="H2860" s="17">
        <f>Table1[[#This Row],[Unit price]]*Table1[[#This Row],[Quantity]]</f>
        <v>17.47</v>
      </c>
      <c r="I2860" s="29">
        <f>Table1[[#This Row],[Total Revenue]]/$H$5056*100</f>
        <v>1.8534927011696033E-3</v>
      </c>
      <c r="J2860" s="3" t="s">
        <v>15</v>
      </c>
      <c r="K2860" s="4">
        <v>6.5</v>
      </c>
      <c r="M2860"/>
    </row>
    <row r="2861" spans="1:13" x14ac:dyDescent="0.25">
      <c r="A2861" s="3" t="s">
        <v>151</v>
      </c>
      <c r="B2861" s="3" t="s">
        <v>244</v>
      </c>
      <c r="C2861" s="3" t="s">
        <v>13</v>
      </c>
      <c r="D2861" s="3" t="s">
        <v>10</v>
      </c>
      <c r="E2861" s="5" t="s">
        <v>21</v>
      </c>
      <c r="F2861" s="17">
        <v>32.79</v>
      </c>
      <c r="G2861" s="3">
        <v>1</v>
      </c>
      <c r="H2861" s="17">
        <f>Table1[[#This Row],[Unit price]]*Table1[[#This Row],[Quantity]]</f>
        <v>32.79</v>
      </c>
      <c r="I2861" s="29">
        <f>Table1[[#This Row],[Total Revenue]]/$H$5056*100</f>
        <v>3.4788795461563418E-3</v>
      </c>
      <c r="J2861" s="3" t="s">
        <v>12</v>
      </c>
      <c r="K2861" s="4">
        <v>5.8</v>
      </c>
      <c r="M2861"/>
    </row>
    <row r="2862" spans="1:13" x14ac:dyDescent="0.25">
      <c r="A2862" s="3" t="s">
        <v>151</v>
      </c>
      <c r="B2862" s="3" t="s">
        <v>245</v>
      </c>
      <c r="C2862" s="3" t="s">
        <v>13</v>
      </c>
      <c r="D2862" s="3" t="s">
        <v>19</v>
      </c>
      <c r="E2862" s="5" t="s">
        <v>20</v>
      </c>
      <c r="F2862" s="17">
        <v>52.31</v>
      </c>
      <c r="G2862" s="3">
        <v>2</v>
      </c>
      <c r="H2862" s="17">
        <f>Table1[[#This Row],[Unit price]]*Table1[[#This Row],[Quantity]]</f>
        <v>104.62</v>
      </c>
      <c r="I2862" s="29">
        <f>Table1[[#This Row],[Total Revenue]]/$H$5056*100</f>
        <v>1.1099737057605259E-2</v>
      </c>
      <c r="J2862" s="3" t="s">
        <v>17</v>
      </c>
      <c r="K2862" s="4">
        <v>6.2</v>
      </c>
      <c r="M2862"/>
    </row>
    <row r="2863" spans="1:13" x14ac:dyDescent="0.25">
      <c r="A2863" s="3" t="s">
        <v>151</v>
      </c>
      <c r="B2863" s="3" t="s">
        <v>245</v>
      </c>
      <c r="C2863" s="3" t="s">
        <v>13</v>
      </c>
      <c r="D2863" s="3" t="s">
        <v>19</v>
      </c>
      <c r="E2863" s="5" t="s">
        <v>18</v>
      </c>
      <c r="F2863" s="17">
        <v>14.75</v>
      </c>
      <c r="G2863" s="3">
        <v>1</v>
      </c>
      <c r="H2863" s="17">
        <f>Table1[[#This Row],[Unit price]]*Table1[[#This Row],[Quantity]]</f>
        <v>14.75</v>
      </c>
      <c r="I2863" s="29">
        <f>Table1[[#This Row],[Total Revenue]]/$H$5056*100</f>
        <v>1.5649122691615139E-3</v>
      </c>
      <c r="J2863" s="3" t="s">
        <v>17</v>
      </c>
      <c r="K2863" s="4">
        <v>7.1</v>
      </c>
      <c r="M2863"/>
    </row>
    <row r="2864" spans="1:13" x14ac:dyDescent="0.25">
      <c r="A2864" s="3" t="s">
        <v>151</v>
      </c>
      <c r="B2864" s="3" t="s">
        <v>243</v>
      </c>
      <c r="C2864" s="3" t="s">
        <v>13</v>
      </c>
      <c r="D2864" s="3" t="s">
        <v>10</v>
      </c>
      <c r="E2864" s="5" t="s">
        <v>11</v>
      </c>
      <c r="F2864" s="17">
        <v>6.81</v>
      </c>
      <c r="G2864" s="3">
        <v>2</v>
      </c>
      <c r="H2864" s="17">
        <f>Table1[[#This Row],[Unit price]]*Table1[[#This Row],[Quantity]]</f>
        <v>13.62</v>
      </c>
      <c r="I2864" s="29">
        <f>Table1[[#This Row],[Total Revenue]]/$H$5056*100</f>
        <v>1.4450240749816826E-3</v>
      </c>
      <c r="J2864" s="3" t="s">
        <v>15</v>
      </c>
      <c r="K2864" s="4">
        <v>9.6999999999999993</v>
      </c>
      <c r="M2864"/>
    </row>
    <row r="2865" spans="1:13" x14ac:dyDescent="0.25">
      <c r="A2865" s="3" t="s">
        <v>151</v>
      </c>
      <c r="B2865" s="3" t="s">
        <v>243</v>
      </c>
      <c r="C2865" s="3" t="s">
        <v>9</v>
      </c>
      <c r="D2865" s="3" t="s">
        <v>19</v>
      </c>
      <c r="E2865" s="5" t="s">
        <v>21</v>
      </c>
      <c r="F2865" s="17">
        <v>24.85</v>
      </c>
      <c r="G2865" s="3">
        <v>2</v>
      </c>
      <c r="H2865" s="17">
        <f>Table1[[#This Row],[Unit price]]*Table1[[#This Row],[Quantity]]</f>
        <v>49.7</v>
      </c>
      <c r="I2865" s="29">
        <f>Table1[[#This Row],[Total Revenue]]/$H$5056*100</f>
        <v>5.2729586289713389E-3</v>
      </c>
      <c r="J2865" s="3" t="s">
        <v>15</v>
      </c>
      <c r="K2865" s="4">
        <v>7.9</v>
      </c>
      <c r="M2865"/>
    </row>
    <row r="2866" spans="1:13" x14ac:dyDescent="0.25">
      <c r="A2866" s="3" t="s">
        <v>151</v>
      </c>
      <c r="B2866" s="3" t="s">
        <v>243</v>
      </c>
      <c r="C2866" s="3" t="s">
        <v>9</v>
      </c>
      <c r="D2866" s="3" t="s">
        <v>10</v>
      </c>
      <c r="E2866" s="5" t="s">
        <v>21</v>
      </c>
      <c r="F2866" s="17">
        <v>21.5</v>
      </c>
      <c r="G2866" s="3">
        <v>2</v>
      </c>
      <c r="H2866" s="17">
        <f>Table1[[#This Row],[Unit price]]*Table1[[#This Row],[Quantity]]</f>
        <v>43</v>
      </c>
      <c r="I2866" s="29">
        <f>Table1[[#This Row],[Total Revenue]]/$H$5056*100</f>
        <v>4.5621171236572946E-3</v>
      </c>
      <c r="J2866" s="3" t="s">
        <v>17</v>
      </c>
      <c r="K2866" s="4">
        <v>9.1999999999999993</v>
      </c>
      <c r="M2866"/>
    </row>
    <row r="2867" spans="1:13" x14ac:dyDescent="0.25">
      <c r="A2867" s="3" t="s">
        <v>151</v>
      </c>
      <c r="B2867" s="3" t="s">
        <v>243</v>
      </c>
      <c r="C2867" s="3" t="s">
        <v>9</v>
      </c>
      <c r="D2867" s="3" t="s">
        <v>10</v>
      </c>
      <c r="E2867" s="5" t="s">
        <v>21</v>
      </c>
      <c r="F2867" s="17">
        <v>32.380000000000003</v>
      </c>
      <c r="G2867" s="3">
        <v>4</v>
      </c>
      <c r="H2867" s="17">
        <f>Table1[[#This Row],[Unit price]]*Table1[[#This Row],[Quantity]]</f>
        <v>129.52000000000001</v>
      </c>
      <c r="I2867" s="29">
        <f>Table1[[#This Row],[Total Revenue]]/$H$5056*100</f>
        <v>1.374152115944402E-2</v>
      </c>
      <c r="J2867" s="3" t="s">
        <v>12</v>
      </c>
      <c r="K2867" s="4">
        <v>7</v>
      </c>
      <c r="M2867"/>
    </row>
    <row r="2868" spans="1:13" x14ac:dyDescent="0.25">
      <c r="A2868" s="3" t="s">
        <v>151</v>
      </c>
      <c r="B2868" s="3" t="s">
        <v>243</v>
      </c>
      <c r="C2868" s="3" t="s">
        <v>13</v>
      </c>
      <c r="D2868" s="3" t="s">
        <v>10</v>
      </c>
      <c r="E2868" s="5" t="s">
        <v>18</v>
      </c>
      <c r="F2868" s="17">
        <v>13.13</v>
      </c>
      <c r="G2868" s="3">
        <v>3</v>
      </c>
      <c r="H2868" s="17">
        <f>Table1[[#This Row],[Unit price]]*Table1[[#This Row],[Quantity]]</f>
        <v>39.39</v>
      </c>
      <c r="I2868" s="29">
        <f>Table1[[#This Row],[Total Revenue]]/$H$5056*100</f>
        <v>4.1791114767642055E-3</v>
      </c>
      <c r="J2868" s="3" t="s">
        <v>15</v>
      </c>
      <c r="K2868" s="4">
        <v>8</v>
      </c>
      <c r="M2868"/>
    </row>
    <row r="2869" spans="1:13" x14ac:dyDescent="0.25">
      <c r="A2869" s="3" t="s">
        <v>151</v>
      </c>
      <c r="B2869" s="3" t="s">
        <v>245</v>
      </c>
      <c r="C2869" s="3" t="s">
        <v>13</v>
      </c>
      <c r="D2869" s="3" t="s">
        <v>10</v>
      </c>
      <c r="E2869" s="5" t="s">
        <v>11</v>
      </c>
      <c r="F2869" s="17">
        <v>5.36</v>
      </c>
      <c r="G2869" s="3">
        <v>3</v>
      </c>
      <c r="H2869" s="17">
        <f>Table1[[#This Row],[Unit price]]*Table1[[#This Row],[Quantity]]</f>
        <v>16.080000000000002</v>
      </c>
      <c r="I2869" s="29">
        <f>Table1[[#This Row],[Total Revenue]]/$H$5056*100</f>
        <v>1.7060196127537048E-3</v>
      </c>
      <c r="J2869" s="3" t="s">
        <v>12</v>
      </c>
      <c r="K2869" s="4">
        <v>9</v>
      </c>
      <c r="M2869"/>
    </row>
    <row r="2870" spans="1:13" x14ac:dyDescent="0.25">
      <c r="A2870" s="3" t="s">
        <v>151</v>
      </c>
      <c r="B2870" s="3" t="s">
        <v>245</v>
      </c>
      <c r="C2870" s="3" t="s">
        <v>13</v>
      </c>
      <c r="D2870" s="3" t="s">
        <v>10</v>
      </c>
      <c r="E2870" s="5" t="s">
        <v>11</v>
      </c>
      <c r="F2870" s="17">
        <v>4.7</v>
      </c>
      <c r="G2870" s="3">
        <v>3</v>
      </c>
      <c r="H2870" s="17">
        <f>Table1[[#This Row],[Unit price]]*Table1[[#This Row],[Quantity]]</f>
        <v>14.100000000000001</v>
      </c>
      <c r="I2870" s="29">
        <f>Table1[[#This Row],[Total Revenue]]/$H$5056*100</f>
        <v>1.4959500335713456E-3</v>
      </c>
      <c r="J2870" s="3" t="s">
        <v>12</v>
      </c>
      <c r="K2870" s="4">
        <v>8.1</v>
      </c>
      <c r="M2870"/>
    </row>
    <row r="2871" spans="1:13" x14ac:dyDescent="0.25">
      <c r="A2871" s="3" t="s">
        <v>151</v>
      </c>
      <c r="B2871" s="3" t="s">
        <v>244</v>
      </c>
      <c r="C2871" s="3" t="s">
        <v>13</v>
      </c>
      <c r="D2871" s="3" t="s">
        <v>19</v>
      </c>
      <c r="E2871" s="5" t="s">
        <v>21</v>
      </c>
      <c r="F2871" s="17">
        <v>25.37</v>
      </c>
      <c r="G2871" s="3">
        <v>2</v>
      </c>
      <c r="H2871" s="17">
        <f>Table1[[#This Row],[Unit price]]*Table1[[#This Row],[Quantity]]</f>
        <v>50.74</v>
      </c>
      <c r="I2871" s="29">
        <f>Table1[[#This Row],[Total Revenue]]/$H$5056*100</f>
        <v>5.3832982059156074E-3</v>
      </c>
      <c r="J2871" s="3" t="s">
        <v>15</v>
      </c>
      <c r="K2871" s="4">
        <v>5.6</v>
      </c>
      <c r="M2871"/>
    </row>
    <row r="2872" spans="1:13" x14ac:dyDescent="0.25">
      <c r="A2872" s="3" t="s">
        <v>151</v>
      </c>
      <c r="B2872" s="3" t="s">
        <v>244</v>
      </c>
      <c r="C2872" s="3" t="s">
        <v>9</v>
      </c>
      <c r="D2872" s="3" t="s">
        <v>10</v>
      </c>
      <c r="E2872" s="5" t="s">
        <v>11</v>
      </c>
      <c r="F2872" s="17">
        <v>6.2</v>
      </c>
      <c r="G2872" s="3">
        <v>1</v>
      </c>
      <c r="H2872" s="17">
        <f>Table1[[#This Row],[Unit price]]*Table1[[#This Row],[Quantity]]</f>
        <v>6.2</v>
      </c>
      <c r="I2872" s="29">
        <f>Table1[[#This Row],[Total Revenue]]/$H$5056*100</f>
        <v>6.5779363178314484E-4</v>
      </c>
      <c r="J2872" s="3" t="s">
        <v>15</v>
      </c>
      <c r="K2872" s="4">
        <v>8.6999999999999993</v>
      </c>
      <c r="M2872"/>
    </row>
    <row r="2873" spans="1:13" x14ac:dyDescent="0.25">
      <c r="A2873" s="3" t="s">
        <v>151</v>
      </c>
      <c r="B2873" s="3" t="s">
        <v>243</v>
      </c>
      <c r="C2873" s="3" t="s">
        <v>9</v>
      </c>
      <c r="D2873" s="3" t="s">
        <v>10</v>
      </c>
      <c r="E2873" s="5" t="s">
        <v>20</v>
      </c>
      <c r="F2873" s="17">
        <v>73.55</v>
      </c>
      <c r="G2873" s="3">
        <v>5</v>
      </c>
      <c r="H2873" s="17">
        <f>Table1[[#This Row],[Unit price]]*Table1[[#This Row],[Quantity]]</f>
        <v>367.75</v>
      </c>
      <c r="I2873" s="29">
        <f>Table1[[#This Row],[Total Revenue]]/$H$5056*100</f>
        <v>3.9016710981976052E-2</v>
      </c>
      <c r="J2873" s="3" t="s">
        <v>12</v>
      </c>
      <c r="K2873" s="4">
        <v>7.4</v>
      </c>
      <c r="M2873"/>
    </row>
    <row r="2874" spans="1:13" x14ac:dyDescent="0.25">
      <c r="A2874" s="3" t="s">
        <v>152</v>
      </c>
      <c r="B2874" s="3" t="s">
        <v>245</v>
      </c>
      <c r="C2874" s="3" t="s">
        <v>9</v>
      </c>
      <c r="D2874" s="3" t="s">
        <v>19</v>
      </c>
      <c r="E2874" s="5" t="s">
        <v>11</v>
      </c>
      <c r="F2874" s="17">
        <v>5.99</v>
      </c>
      <c r="G2874" s="3">
        <v>3</v>
      </c>
      <c r="H2874" s="17">
        <f>Table1[[#This Row],[Unit price]]*Table1[[#This Row],[Quantity]]</f>
        <v>17.97</v>
      </c>
      <c r="I2874" s="29">
        <f>Table1[[#This Row],[Total Revenue]]/$H$5056*100</f>
        <v>1.906540574700502E-3</v>
      </c>
      <c r="J2874" s="3" t="s">
        <v>15</v>
      </c>
      <c r="K2874" s="4">
        <v>7.3</v>
      </c>
      <c r="M2874"/>
    </row>
    <row r="2875" spans="1:13" x14ac:dyDescent="0.25">
      <c r="A2875" s="3" t="s">
        <v>152</v>
      </c>
      <c r="B2875" s="3" t="s">
        <v>245</v>
      </c>
      <c r="C2875" s="3" t="s">
        <v>13</v>
      </c>
      <c r="D2875" s="3" t="s">
        <v>10</v>
      </c>
      <c r="E2875" s="5" t="s">
        <v>11</v>
      </c>
      <c r="F2875" s="17">
        <v>4.32</v>
      </c>
      <c r="G2875" s="3">
        <v>5</v>
      </c>
      <c r="H2875" s="17">
        <f>Table1[[#This Row],[Unit price]]*Table1[[#This Row],[Quantity]]</f>
        <v>21.6</v>
      </c>
      <c r="I2875" s="29">
        <f>Table1[[#This Row],[Total Revenue]]/$H$5056*100</f>
        <v>2.2916681365348275E-3</v>
      </c>
      <c r="J2875" s="3" t="s">
        <v>17</v>
      </c>
      <c r="K2875" s="4">
        <v>6.9</v>
      </c>
      <c r="M2875"/>
    </row>
    <row r="2876" spans="1:13" x14ac:dyDescent="0.25">
      <c r="A2876" s="3" t="s">
        <v>152</v>
      </c>
      <c r="B2876" s="3" t="s">
        <v>243</v>
      </c>
      <c r="C2876" s="3" t="s">
        <v>13</v>
      </c>
      <c r="D2876" s="3" t="s">
        <v>10</v>
      </c>
      <c r="E2876" s="5" t="s">
        <v>11</v>
      </c>
      <c r="F2876" s="17">
        <v>7.9</v>
      </c>
      <c r="G2876" s="3">
        <v>1</v>
      </c>
      <c r="H2876" s="17">
        <f>Table1[[#This Row],[Unit price]]*Table1[[#This Row],[Quantity]]</f>
        <v>7.9</v>
      </c>
      <c r="I2876" s="29">
        <f>Table1[[#This Row],[Total Revenue]]/$H$5056*100</f>
        <v>8.3815640178820064E-4</v>
      </c>
      <c r="J2876" s="3" t="s">
        <v>15</v>
      </c>
      <c r="K2876" s="4">
        <v>8.3000000000000007</v>
      </c>
      <c r="M2876"/>
    </row>
    <row r="2877" spans="1:13" x14ac:dyDescent="0.25">
      <c r="A2877" s="3" t="s">
        <v>152</v>
      </c>
      <c r="B2877" s="3" t="s">
        <v>243</v>
      </c>
      <c r="C2877" s="3" t="s">
        <v>9</v>
      </c>
      <c r="D2877" s="3" t="s">
        <v>10</v>
      </c>
      <c r="E2877" s="5" t="s">
        <v>11</v>
      </c>
      <c r="F2877" s="17">
        <v>7.14</v>
      </c>
      <c r="G2877" s="3">
        <v>3</v>
      </c>
      <c r="H2877" s="17">
        <f>Table1[[#This Row],[Unit price]]*Table1[[#This Row],[Quantity]]</f>
        <v>21.419999999999998</v>
      </c>
      <c r="I2877" s="29">
        <f>Table1[[#This Row],[Total Revenue]]/$H$5056*100</f>
        <v>2.272570902063703E-3</v>
      </c>
      <c r="J2877" s="3" t="s">
        <v>17</v>
      </c>
      <c r="K2877" s="4">
        <v>8.4</v>
      </c>
      <c r="M2877"/>
    </row>
    <row r="2878" spans="1:13" x14ac:dyDescent="0.25">
      <c r="A2878" s="3" t="s">
        <v>152</v>
      </c>
      <c r="B2878" s="3" t="s">
        <v>244</v>
      </c>
      <c r="C2878" s="3" t="s">
        <v>13</v>
      </c>
      <c r="D2878" s="3" t="s">
        <v>10</v>
      </c>
      <c r="E2878" s="5" t="s">
        <v>21</v>
      </c>
      <c r="F2878" s="17">
        <v>31.07</v>
      </c>
      <c r="G2878" s="3">
        <v>2</v>
      </c>
      <c r="H2878" s="17">
        <f>Table1[[#This Row],[Unit price]]*Table1[[#This Row],[Quantity]]</f>
        <v>62.14</v>
      </c>
      <c r="I2878" s="29">
        <f>Table1[[#This Row],[Total Revenue]]/$H$5056*100</f>
        <v>6.5927897224201002E-3</v>
      </c>
      <c r="J2878" s="3" t="s">
        <v>15</v>
      </c>
      <c r="K2878" s="4">
        <v>6</v>
      </c>
      <c r="M2878"/>
    </row>
    <row r="2879" spans="1:13" x14ac:dyDescent="0.25">
      <c r="A2879" s="3" t="s">
        <v>152</v>
      </c>
      <c r="B2879" s="3" t="s">
        <v>244</v>
      </c>
      <c r="C2879" s="3" t="s">
        <v>9</v>
      </c>
      <c r="D2879" s="3" t="s">
        <v>10</v>
      </c>
      <c r="E2879" s="5" t="s">
        <v>18</v>
      </c>
      <c r="F2879" s="17">
        <v>13.83</v>
      </c>
      <c r="G2879" s="3">
        <v>3</v>
      </c>
      <c r="H2879" s="17">
        <f>Table1[[#This Row],[Unit price]]*Table1[[#This Row],[Quantity]]</f>
        <v>41.49</v>
      </c>
      <c r="I2879" s="29">
        <f>Table1[[#This Row],[Total Revenue]]/$H$5056*100</f>
        <v>4.4019125455939806E-3</v>
      </c>
      <c r="J2879" s="3" t="s">
        <v>15</v>
      </c>
      <c r="K2879" s="4">
        <v>7.2</v>
      </c>
      <c r="M2879"/>
    </row>
    <row r="2880" spans="1:13" x14ac:dyDescent="0.25">
      <c r="A2880" s="3" t="s">
        <v>152</v>
      </c>
      <c r="B2880" s="3" t="s">
        <v>243</v>
      </c>
      <c r="C2880" s="3" t="s">
        <v>13</v>
      </c>
      <c r="D2880" s="3" t="s">
        <v>10</v>
      </c>
      <c r="E2880" s="5" t="s">
        <v>11</v>
      </c>
      <c r="F2880" s="17">
        <v>6.94</v>
      </c>
      <c r="G2880" s="3">
        <v>2</v>
      </c>
      <c r="H2880" s="17">
        <f>Table1[[#This Row],[Unit price]]*Table1[[#This Row],[Quantity]]</f>
        <v>13.88</v>
      </c>
      <c r="I2880" s="29">
        <f>Table1[[#This Row],[Total Revenue]]/$H$5056*100</f>
        <v>1.4726089692177501E-3</v>
      </c>
      <c r="J2880" s="3" t="s">
        <v>15</v>
      </c>
      <c r="K2880" s="4">
        <v>7.3</v>
      </c>
      <c r="M2880"/>
    </row>
    <row r="2881" spans="1:13" x14ac:dyDescent="0.25">
      <c r="A2881" s="3" t="s">
        <v>152</v>
      </c>
      <c r="B2881" s="3" t="s">
        <v>244</v>
      </c>
      <c r="C2881" s="3" t="s">
        <v>13</v>
      </c>
      <c r="D2881" s="3" t="s">
        <v>19</v>
      </c>
      <c r="E2881" s="5" t="s">
        <v>21</v>
      </c>
      <c r="F2881" s="17">
        <v>30.64</v>
      </c>
      <c r="G2881" s="3">
        <v>1</v>
      </c>
      <c r="H2881" s="17">
        <f>Table1[[#This Row],[Unit price]]*Table1[[#This Row],[Quantity]]</f>
        <v>30.64</v>
      </c>
      <c r="I2881" s="29">
        <f>Table1[[#This Row],[Total Revenue]]/$H$5056*100</f>
        <v>3.2507736899734774E-3</v>
      </c>
      <c r="J2881" s="3" t="s">
        <v>15</v>
      </c>
      <c r="K2881" s="4">
        <v>5.9</v>
      </c>
      <c r="M2881"/>
    </row>
    <row r="2882" spans="1:13" x14ac:dyDescent="0.25">
      <c r="A2882" s="3" t="s">
        <v>152</v>
      </c>
      <c r="B2882" s="3" t="s">
        <v>243</v>
      </c>
      <c r="C2882" s="3" t="s">
        <v>13</v>
      </c>
      <c r="D2882" s="3" t="s">
        <v>10</v>
      </c>
      <c r="E2882" s="5" t="s">
        <v>11</v>
      </c>
      <c r="F2882" s="17">
        <v>7.56</v>
      </c>
      <c r="G2882" s="3">
        <v>2</v>
      </c>
      <c r="H2882" s="17">
        <f>Table1[[#This Row],[Unit price]]*Table1[[#This Row],[Quantity]]</f>
        <v>15.12</v>
      </c>
      <c r="I2882" s="29">
        <f>Table1[[#This Row],[Total Revenue]]/$H$5056*100</f>
        <v>1.6041676955743788E-3</v>
      </c>
      <c r="J2882" s="3" t="s">
        <v>17</v>
      </c>
      <c r="K2882" s="4">
        <v>7.4</v>
      </c>
      <c r="M2882"/>
    </row>
    <row r="2883" spans="1:13" x14ac:dyDescent="0.25">
      <c r="A2883" s="3" t="s">
        <v>153</v>
      </c>
      <c r="B2883" s="3" t="s">
        <v>243</v>
      </c>
      <c r="C2883" s="3" t="s">
        <v>9</v>
      </c>
      <c r="D2883" s="3" t="s">
        <v>19</v>
      </c>
      <c r="E2883" s="5" t="s">
        <v>14</v>
      </c>
      <c r="F2883" s="17">
        <v>94.92</v>
      </c>
      <c r="G2883" s="3">
        <v>1</v>
      </c>
      <c r="H2883" s="17">
        <f>Table1[[#This Row],[Unit price]]*Table1[[#This Row],[Quantity]]</f>
        <v>94.92</v>
      </c>
      <c r="I2883" s="29">
        <f>Table1[[#This Row],[Total Revenue]]/$H$5056*100</f>
        <v>1.0070608311105825E-2</v>
      </c>
      <c r="J2883" s="3" t="s">
        <v>15</v>
      </c>
      <c r="K2883" s="4">
        <v>9.8000000000000007</v>
      </c>
      <c r="M2883"/>
    </row>
    <row r="2884" spans="1:13" x14ac:dyDescent="0.25">
      <c r="A2884" s="3" t="s">
        <v>153</v>
      </c>
      <c r="B2884" s="3" t="s">
        <v>244</v>
      </c>
      <c r="C2884" s="3" t="s">
        <v>13</v>
      </c>
      <c r="D2884" s="3" t="s">
        <v>19</v>
      </c>
      <c r="E2884" s="5" t="s">
        <v>21</v>
      </c>
      <c r="F2884" s="17">
        <v>30.64</v>
      </c>
      <c r="G2884" s="3">
        <v>3</v>
      </c>
      <c r="H2884" s="17">
        <f>Table1[[#This Row],[Unit price]]*Table1[[#This Row],[Quantity]]</f>
        <v>91.92</v>
      </c>
      <c r="I2884" s="29">
        <f>Table1[[#This Row],[Total Revenue]]/$H$5056*100</f>
        <v>9.7523210699204301E-3</v>
      </c>
      <c r="J2884" s="3" t="s">
        <v>12</v>
      </c>
      <c r="K2884" s="4">
        <v>5.6</v>
      </c>
      <c r="M2884"/>
    </row>
    <row r="2885" spans="1:13" x14ac:dyDescent="0.25">
      <c r="A2885" s="3" t="s">
        <v>153</v>
      </c>
      <c r="B2885" s="3" t="s">
        <v>243</v>
      </c>
      <c r="C2885" s="3" t="s">
        <v>9</v>
      </c>
      <c r="D2885" s="3" t="s">
        <v>10</v>
      </c>
      <c r="E2885" s="5" t="s">
        <v>21</v>
      </c>
      <c r="F2885" s="17">
        <v>28.23</v>
      </c>
      <c r="G2885" s="3">
        <v>4</v>
      </c>
      <c r="H2885" s="17">
        <f>Table1[[#This Row],[Unit price]]*Table1[[#This Row],[Quantity]]</f>
        <v>112.92</v>
      </c>
      <c r="I2885" s="29">
        <f>Table1[[#This Row],[Total Revenue]]/$H$5056*100</f>
        <v>1.198033175821818E-2</v>
      </c>
      <c r="J2885" s="3" t="s">
        <v>17</v>
      </c>
      <c r="K2885" s="4">
        <v>8.1999999999999993</v>
      </c>
      <c r="M2885"/>
    </row>
    <row r="2886" spans="1:13" x14ac:dyDescent="0.25">
      <c r="A2886" s="3" t="s">
        <v>153</v>
      </c>
      <c r="B2886" s="3" t="s">
        <v>244</v>
      </c>
      <c r="C2886" s="3" t="s">
        <v>13</v>
      </c>
      <c r="D2886" s="3" t="s">
        <v>10</v>
      </c>
      <c r="E2886" s="5" t="s">
        <v>14</v>
      </c>
      <c r="F2886" s="17">
        <v>96.01</v>
      </c>
      <c r="G2886" s="3">
        <v>1</v>
      </c>
      <c r="H2886" s="17">
        <f>Table1[[#This Row],[Unit price]]*Table1[[#This Row],[Quantity]]</f>
        <v>96.01</v>
      </c>
      <c r="I2886" s="29">
        <f>Table1[[#This Row],[Total Revenue]]/$H$5056*100</f>
        <v>1.0186252675403185E-2</v>
      </c>
      <c r="J2886" s="3" t="s">
        <v>12</v>
      </c>
      <c r="K2886" s="4">
        <v>8.3000000000000007</v>
      </c>
      <c r="M2886"/>
    </row>
    <row r="2887" spans="1:13" x14ac:dyDescent="0.25">
      <c r="A2887" s="3" t="s">
        <v>153</v>
      </c>
      <c r="B2887" s="3" t="s">
        <v>243</v>
      </c>
      <c r="C2887" s="3" t="s">
        <v>13</v>
      </c>
      <c r="D2887" s="3" t="s">
        <v>10</v>
      </c>
      <c r="E2887" s="5" t="s">
        <v>11</v>
      </c>
      <c r="F2887" s="17">
        <v>5.64</v>
      </c>
      <c r="G2887" s="3">
        <v>4</v>
      </c>
      <c r="H2887" s="17">
        <f>Table1[[#This Row],[Unit price]]*Table1[[#This Row],[Quantity]]</f>
        <v>22.56</v>
      </c>
      <c r="I2887" s="29">
        <f>Table1[[#This Row],[Total Revenue]]/$H$5056*100</f>
        <v>2.3935200537141526E-3</v>
      </c>
      <c r="J2887" s="3" t="s">
        <v>12</v>
      </c>
      <c r="K2887" s="4">
        <v>8.5</v>
      </c>
      <c r="M2887"/>
    </row>
    <row r="2888" spans="1:13" x14ac:dyDescent="0.25">
      <c r="A2888" s="3" t="s">
        <v>153</v>
      </c>
      <c r="B2888" s="3" t="s">
        <v>244</v>
      </c>
      <c r="C2888" s="3" t="s">
        <v>9</v>
      </c>
      <c r="D2888" s="3" t="s">
        <v>19</v>
      </c>
      <c r="E2888" s="5" t="s">
        <v>11</v>
      </c>
      <c r="F2888" s="17">
        <v>5.45</v>
      </c>
      <c r="G2888" s="3">
        <v>1</v>
      </c>
      <c r="H2888" s="17">
        <f>Table1[[#This Row],[Unit price]]*Table1[[#This Row],[Quantity]]</f>
        <v>5.45</v>
      </c>
      <c r="I2888" s="29">
        <f>Table1[[#This Row],[Total Revenue]]/$H$5056*100</f>
        <v>5.7822182148679674E-4</v>
      </c>
      <c r="J2888" s="3" t="s">
        <v>17</v>
      </c>
      <c r="K2888" s="4">
        <v>7.3</v>
      </c>
      <c r="M2888"/>
    </row>
    <row r="2889" spans="1:13" x14ac:dyDescent="0.25">
      <c r="A2889" s="3" t="s">
        <v>153</v>
      </c>
      <c r="B2889" s="3" t="s">
        <v>244</v>
      </c>
      <c r="C2889" s="3" t="s">
        <v>13</v>
      </c>
      <c r="D2889" s="3" t="s">
        <v>19</v>
      </c>
      <c r="E2889" s="5" t="s">
        <v>11</v>
      </c>
      <c r="F2889" s="17">
        <v>3.53</v>
      </c>
      <c r="G2889" s="3">
        <v>2</v>
      </c>
      <c r="H2889" s="17">
        <f>Table1[[#This Row],[Unit price]]*Table1[[#This Row],[Quantity]]</f>
        <v>7.06</v>
      </c>
      <c r="I2889" s="29">
        <f>Table1[[#This Row],[Total Revenue]]/$H$5056*100</f>
        <v>7.4903597425629066E-4</v>
      </c>
      <c r="J2889" s="3" t="s">
        <v>15</v>
      </c>
      <c r="K2889" s="4">
        <v>7.4</v>
      </c>
      <c r="M2889"/>
    </row>
    <row r="2890" spans="1:13" x14ac:dyDescent="0.25">
      <c r="A2890" s="3" t="s">
        <v>153</v>
      </c>
      <c r="B2890" s="3" t="s">
        <v>245</v>
      </c>
      <c r="C2890" s="3" t="s">
        <v>13</v>
      </c>
      <c r="D2890" s="3" t="s">
        <v>19</v>
      </c>
      <c r="E2890" s="5" t="s">
        <v>18</v>
      </c>
      <c r="F2890" s="17">
        <v>5.37</v>
      </c>
      <c r="G2890" s="3">
        <v>2</v>
      </c>
      <c r="H2890" s="17">
        <f>Table1[[#This Row],[Unit price]]*Table1[[#This Row],[Quantity]]</f>
        <v>10.74</v>
      </c>
      <c r="I2890" s="29">
        <f>Table1[[#This Row],[Total Revenue]]/$H$5056*100</f>
        <v>1.1394683234437057E-3</v>
      </c>
      <c r="J2890" s="3" t="s">
        <v>15</v>
      </c>
      <c r="K2890" s="4">
        <v>6.8</v>
      </c>
      <c r="M2890"/>
    </row>
    <row r="2891" spans="1:13" x14ac:dyDescent="0.25">
      <c r="A2891" s="3" t="s">
        <v>154</v>
      </c>
      <c r="B2891" s="3" t="s">
        <v>245</v>
      </c>
      <c r="C2891" s="3" t="s">
        <v>13</v>
      </c>
      <c r="D2891" s="3" t="s">
        <v>19</v>
      </c>
      <c r="E2891" s="5" t="s">
        <v>21</v>
      </c>
      <c r="F2891" s="17">
        <v>27.11</v>
      </c>
      <c r="G2891" s="3">
        <v>3</v>
      </c>
      <c r="H2891" s="17">
        <f>Table1[[#This Row],[Unit price]]*Table1[[#This Row],[Quantity]]</f>
        <v>81.33</v>
      </c>
      <c r="I2891" s="29">
        <f>Table1[[#This Row],[Total Revenue]]/$H$5056*100</f>
        <v>8.6287671085359952E-3</v>
      </c>
      <c r="J2891" s="3" t="s">
        <v>15</v>
      </c>
      <c r="K2891" s="4">
        <v>8.1999999999999993</v>
      </c>
      <c r="M2891"/>
    </row>
    <row r="2892" spans="1:13" x14ac:dyDescent="0.25">
      <c r="A2892" s="3" t="s">
        <v>154</v>
      </c>
      <c r="B2892" s="3" t="s">
        <v>244</v>
      </c>
      <c r="C2892" s="3" t="s">
        <v>13</v>
      </c>
      <c r="D2892" s="3" t="s">
        <v>10</v>
      </c>
      <c r="E2892" s="5" t="s">
        <v>11</v>
      </c>
      <c r="F2892" s="17">
        <v>5.62</v>
      </c>
      <c r="G2892" s="3">
        <v>4</v>
      </c>
      <c r="H2892" s="17">
        <f>Table1[[#This Row],[Unit price]]*Table1[[#This Row],[Quantity]]</f>
        <v>22.48</v>
      </c>
      <c r="I2892" s="29">
        <f>Table1[[#This Row],[Total Revenue]]/$H$5056*100</f>
        <v>2.3850323939492088E-3</v>
      </c>
      <c r="J2892" s="3" t="s">
        <v>17</v>
      </c>
      <c r="K2892" s="4">
        <v>7.4</v>
      </c>
      <c r="M2892"/>
    </row>
    <row r="2893" spans="1:13" x14ac:dyDescent="0.25">
      <c r="A2893" s="3" t="s">
        <v>154</v>
      </c>
      <c r="B2893" s="3" t="s">
        <v>245</v>
      </c>
      <c r="C2893" s="3" t="s">
        <v>13</v>
      </c>
      <c r="D2893" s="3" t="s">
        <v>10</v>
      </c>
      <c r="E2893" s="5" t="s">
        <v>11</v>
      </c>
      <c r="F2893" s="17">
        <v>5.68</v>
      </c>
      <c r="G2893" s="3">
        <v>5</v>
      </c>
      <c r="H2893" s="17">
        <f>Table1[[#This Row],[Unit price]]*Table1[[#This Row],[Quantity]]</f>
        <v>28.4</v>
      </c>
      <c r="I2893" s="29">
        <f>Table1[[#This Row],[Total Revenue]]/$H$5056*100</f>
        <v>3.0131192165550502E-3</v>
      </c>
      <c r="J2893" s="3" t="s">
        <v>15</v>
      </c>
      <c r="K2893" s="4">
        <v>5.8</v>
      </c>
      <c r="M2893"/>
    </row>
    <row r="2894" spans="1:13" x14ac:dyDescent="0.25">
      <c r="A2894" s="3" t="s">
        <v>154</v>
      </c>
      <c r="B2894" s="3" t="s">
        <v>245</v>
      </c>
      <c r="C2894" s="3" t="s">
        <v>13</v>
      </c>
      <c r="D2894" s="3" t="s">
        <v>19</v>
      </c>
      <c r="E2894" s="5" t="s">
        <v>16</v>
      </c>
      <c r="F2894" s="17">
        <v>57.42</v>
      </c>
      <c r="G2894" s="3">
        <v>2</v>
      </c>
      <c r="H2894" s="17">
        <f>Table1[[#This Row],[Unit price]]*Table1[[#This Row],[Quantity]]</f>
        <v>114.84</v>
      </c>
      <c r="I2894" s="29">
        <f>Table1[[#This Row],[Total Revenue]]/$H$5056*100</f>
        <v>1.2184035592576831E-2</v>
      </c>
      <c r="J2894" s="3" t="s">
        <v>12</v>
      </c>
      <c r="K2894" s="4">
        <v>6.8</v>
      </c>
      <c r="M2894"/>
    </row>
    <row r="2895" spans="1:13" x14ac:dyDescent="0.25">
      <c r="A2895" s="3" t="s">
        <v>154</v>
      </c>
      <c r="B2895" s="3" t="s">
        <v>244</v>
      </c>
      <c r="C2895" s="3" t="s">
        <v>9</v>
      </c>
      <c r="D2895" s="3" t="s">
        <v>10</v>
      </c>
      <c r="E2895" s="5" t="s">
        <v>21</v>
      </c>
      <c r="F2895" s="17">
        <v>33.9</v>
      </c>
      <c r="G2895" s="3">
        <v>1</v>
      </c>
      <c r="H2895" s="17">
        <f>Table1[[#This Row],[Unit price]]*Table1[[#This Row],[Quantity]]</f>
        <v>33.9</v>
      </c>
      <c r="I2895" s="29">
        <f>Table1[[#This Row],[Total Revenue]]/$H$5056*100</f>
        <v>3.5966458253949367E-3</v>
      </c>
      <c r="J2895" s="3" t="s">
        <v>17</v>
      </c>
      <c r="K2895" s="4">
        <v>7.5</v>
      </c>
      <c r="M2895"/>
    </row>
    <row r="2896" spans="1:13" x14ac:dyDescent="0.25">
      <c r="A2896" s="3" t="s">
        <v>154</v>
      </c>
      <c r="B2896" s="3" t="s">
        <v>244</v>
      </c>
      <c r="C2896" s="3" t="s">
        <v>13</v>
      </c>
      <c r="D2896" s="3" t="s">
        <v>10</v>
      </c>
      <c r="E2896" s="5" t="s">
        <v>11</v>
      </c>
      <c r="F2896" s="17">
        <v>3.83</v>
      </c>
      <c r="G2896" s="3">
        <v>5</v>
      </c>
      <c r="H2896" s="17">
        <f>Table1[[#This Row],[Unit price]]*Table1[[#This Row],[Quantity]]</f>
        <v>19.149999999999999</v>
      </c>
      <c r="I2896" s="29">
        <f>Table1[[#This Row],[Total Revenue]]/$H$5056*100</f>
        <v>2.031733556233423E-3</v>
      </c>
      <c r="J2896" s="3" t="s">
        <v>15</v>
      </c>
      <c r="K2896" s="4">
        <v>6.1</v>
      </c>
      <c r="M2896"/>
    </row>
    <row r="2897" spans="1:13" x14ac:dyDescent="0.25">
      <c r="A2897" s="3" t="s">
        <v>154</v>
      </c>
      <c r="B2897" s="3" t="s">
        <v>244</v>
      </c>
      <c r="C2897" s="3" t="s">
        <v>9</v>
      </c>
      <c r="D2897" s="3" t="s">
        <v>19</v>
      </c>
      <c r="E2897" s="5" t="s">
        <v>21</v>
      </c>
      <c r="F2897" s="17">
        <v>39.619999999999997</v>
      </c>
      <c r="G2897" s="3">
        <v>1</v>
      </c>
      <c r="H2897" s="17">
        <f>Table1[[#This Row],[Unit price]]*Table1[[#This Row],[Quantity]]</f>
        <v>39.619999999999997</v>
      </c>
      <c r="I2897" s="29">
        <f>Table1[[#This Row],[Total Revenue]]/$H$5056*100</f>
        <v>4.2035134985884187E-3</v>
      </c>
      <c r="J2897" s="3" t="s">
        <v>15</v>
      </c>
      <c r="K2897" s="4">
        <v>6.8</v>
      </c>
      <c r="M2897"/>
    </row>
    <row r="2898" spans="1:13" x14ac:dyDescent="0.25">
      <c r="A2898" s="3" t="s">
        <v>154</v>
      </c>
      <c r="B2898" s="3" t="s">
        <v>244</v>
      </c>
      <c r="C2898" s="3" t="s">
        <v>13</v>
      </c>
      <c r="D2898" s="3" t="s">
        <v>19</v>
      </c>
      <c r="E2898" s="5" t="s">
        <v>11</v>
      </c>
      <c r="F2898" s="17">
        <v>5.41</v>
      </c>
      <c r="G2898" s="3">
        <v>2</v>
      </c>
      <c r="H2898" s="17">
        <f>Table1[[#This Row],[Unit price]]*Table1[[#This Row],[Quantity]]</f>
        <v>10.82</v>
      </c>
      <c r="I2898" s="29">
        <f>Table1[[#This Row],[Total Revenue]]/$H$5056*100</f>
        <v>1.1479559832086497E-3</v>
      </c>
      <c r="J2898" s="3" t="s">
        <v>17</v>
      </c>
      <c r="K2898" s="4">
        <v>6.8</v>
      </c>
      <c r="M2898"/>
    </row>
    <row r="2899" spans="1:13" x14ac:dyDescent="0.25">
      <c r="A2899" s="3" t="s">
        <v>154</v>
      </c>
      <c r="B2899" s="3" t="s">
        <v>243</v>
      </c>
      <c r="C2899" s="3" t="s">
        <v>9</v>
      </c>
      <c r="D2899" s="3" t="s">
        <v>10</v>
      </c>
      <c r="E2899" s="5" t="s">
        <v>11</v>
      </c>
      <c r="F2899" s="17">
        <v>7.22</v>
      </c>
      <c r="G2899" s="3">
        <v>4</v>
      </c>
      <c r="H2899" s="17">
        <f>Table1[[#This Row],[Unit price]]*Table1[[#This Row],[Quantity]]</f>
        <v>28.88</v>
      </c>
      <c r="I2899" s="29">
        <f>Table1[[#This Row],[Total Revenue]]/$H$5056*100</f>
        <v>3.0640451751447135E-3</v>
      </c>
      <c r="J2899" s="3" t="s">
        <v>15</v>
      </c>
      <c r="K2899" s="4">
        <v>7.4</v>
      </c>
      <c r="M2899"/>
    </row>
    <row r="2900" spans="1:13" x14ac:dyDescent="0.25">
      <c r="A2900" s="3" t="s">
        <v>155</v>
      </c>
      <c r="B2900" s="3" t="s">
        <v>245</v>
      </c>
      <c r="C2900" s="3" t="s">
        <v>13</v>
      </c>
      <c r="D2900" s="3" t="s">
        <v>19</v>
      </c>
      <c r="E2900" s="5" t="s">
        <v>11</v>
      </c>
      <c r="F2900" s="17">
        <v>5.01</v>
      </c>
      <c r="G2900" s="3">
        <v>3</v>
      </c>
      <c r="H2900" s="17">
        <f>Table1[[#This Row],[Unit price]]*Table1[[#This Row],[Quantity]]</f>
        <v>15.03</v>
      </c>
      <c r="I2900" s="29">
        <f>Table1[[#This Row],[Total Revenue]]/$H$5056*100</f>
        <v>1.5946190783388172E-3</v>
      </c>
      <c r="J2900" s="3" t="s">
        <v>15</v>
      </c>
      <c r="K2900" s="4">
        <v>7.5</v>
      </c>
      <c r="M2900"/>
    </row>
    <row r="2901" spans="1:13" x14ac:dyDescent="0.25">
      <c r="A2901" s="3" t="s">
        <v>155</v>
      </c>
      <c r="B2901" s="3" t="s">
        <v>245</v>
      </c>
      <c r="C2901" s="3" t="s">
        <v>13</v>
      </c>
      <c r="D2901" s="3" t="s">
        <v>19</v>
      </c>
      <c r="E2901" s="5" t="s">
        <v>11</v>
      </c>
      <c r="F2901" s="17">
        <v>5.9</v>
      </c>
      <c r="G2901" s="3">
        <v>4</v>
      </c>
      <c r="H2901" s="17">
        <f>Table1[[#This Row],[Unit price]]*Table1[[#This Row],[Quantity]]</f>
        <v>23.6</v>
      </c>
      <c r="I2901" s="29">
        <f>Table1[[#This Row],[Total Revenue]]/$H$5056*100</f>
        <v>2.5038596306584224E-3</v>
      </c>
      <c r="J2901" s="3" t="s">
        <v>12</v>
      </c>
      <c r="K2901" s="4">
        <v>7.2</v>
      </c>
      <c r="M2901"/>
    </row>
    <row r="2902" spans="1:13" x14ac:dyDescent="0.25">
      <c r="A2902" s="3" t="s">
        <v>155</v>
      </c>
      <c r="B2902" s="3" t="s">
        <v>243</v>
      </c>
      <c r="C2902" s="3" t="s">
        <v>13</v>
      </c>
      <c r="D2902" s="3" t="s">
        <v>19</v>
      </c>
      <c r="E2902" s="5" t="s">
        <v>11</v>
      </c>
      <c r="F2902" s="17">
        <v>6.03</v>
      </c>
      <c r="G2902" s="3">
        <v>5</v>
      </c>
      <c r="H2902" s="17">
        <f>Table1[[#This Row],[Unit price]]*Table1[[#This Row],[Quantity]]</f>
        <v>30.150000000000002</v>
      </c>
      <c r="I2902" s="29">
        <f>Table1[[#This Row],[Total Revenue]]/$H$5056*100</f>
        <v>3.1987867739131965E-3</v>
      </c>
      <c r="J2902" s="3" t="s">
        <v>15</v>
      </c>
      <c r="K2902" s="4">
        <v>8.8000000000000007</v>
      </c>
      <c r="M2902"/>
    </row>
    <row r="2903" spans="1:13" x14ac:dyDescent="0.25">
      <c r="A2903" s="3" t="s">
        <v>155</v>
      </c>
      <c r="B2903" s="3" t="s">
        <v>243</v>
      </c>
      <c r="C2903" s="3" t="s">
        <v>13</v>
      </c>
      <c r="D2903" s="3" t="s">
        <v>19</v>
      </c>
      <c r="E2903" s="5" t="s">
        <v>11</v>
      </c>
      <c r="F2903" s="17">
        <v>6.42</v>
      </c>
      <c r="G2903" s="3">
        <v>1</v>
      </c>
      <c r="H2903" s="17">
        <f>Table1[[#This Row],[Unit price]]*Table1[[#This Row],[Quantity]]</f>
        <v>6.42</v>
      </c>
      <c r="I2903" s="29">
        <f>Table1[[#This Row],[Total Revenue]]/$H$5056*100</f>
        <v>6.8113469613674028E-4</v>
      </c>
      <c r="J2903" s="3" t="s">
        <v>17</v>
      </c>
      <c r="K2903" s="4">
        <v>6.3</v>
      </c>
      <c r="M2903"/>
    </row>
    <row r="2904" spans="1:13" x14ac:dyDescent="0.25">
      <c r="A2904" s="3" t="s">
        <v>155</v>
      </c>
      <c r="B2904" s="3" t="s">
        <v>243</v>
      </c>
      <c r="C2904" s="3" t="s">
        <v>13</v>
      </c>
      <c r="D2904" s="3" t="s">
        <v>19</v>
      </c>
      <c r="E2904" s="5" t="s">
        <v>21</v>
      </c>
      <c r="F2904" s="17">
        <v>29.12</v>
      </c>
      <c r="G2904" s="3">
        <v>3</v>
      </c>
      <c r="H2904" s="17">
        <f>Table1[[#This Row],[Unit price]]*Table1[[#This Row],[Quantity]]</f>
        <v>87.36</v>
      </c>
      <c r="I2904" s="29">
        <f>Table1[[#This Row],[Total Revenue]]/$H$5056*100</f>
        <v>9.2685244633186354E-3</v>
      </c>
      <c r="J2904" s="3" t="s">
        <v>15</v>
      </c>
      <c r="K2904" s="4">
        <v>6.7</v>
      </c>
      <c r="M2904"/>
    </row>
    <row r="2905" spans="1:13" x14ac:dyDescent="0.25">
      <c r="A2905" s="3" t="s">
        <v>155</v>
      </c>
      <c r="B2905" s="3" t="s">
        <v>245</v>
      </c>
      <c r="C2905" s="3" t="s">
        <v>13</v>
      </c>
      <c r="D2905" s="3" t="s">
        <v>19</v>
      </c>
      <c r="E2905" s="5" t="s">
        <v>11</v>
      </c>
      <c r="F2905" s="17">
        <v>2.34</v>
      </c>
      <c r="G2905" s="3">
        <v>4</v>
      </c>
      <c r="H2905" s="17">
        <f>Table1[[#This Row],[Unit price]]*Table1[[#This Row],[Quantity]]</f>
        <v>9.36</v>
      </c>
      <c r="I2905" s="29">
        <f>Table1[[#This Row],[Total Revenue]]/$H$5056*100</f>
        <v>9.9305619249842494E-4</v>
      </c>
      <c r="J2905" s="3" t="s">
        <v>12</v>
      </c>
      <c r="K2905" s="4">
        <v>9</v>
      </c>
      <c r="M2905"/>
    </row>
    <row r="2906" spans="1:13" x14ac:dyDescent="0.25">
      <c r="A2906" s="3" t="s">
        <v>155</v>
      </c>
      <c r="B2906" s="3" t="s">
        <v>244</v>
      </c>
      <c r="C2906" s="3" t="s">
        <v>13</v>
      </c>
      <c r="D2906" s="3" t="s">
        <v>10</v>
      </c>
      <c r="E2906" s="5" t="s">
        <v>11</v>
      </c>
      <c r="F2906" s="17">
        <v>3.43</v>
      </c>
      <c r="G2906" s="3">
        <v>4</v>
      </c>
      <c r="H2906" s="17">
        <f>Table1[[#This Row],[Unit price]]*Table1[[#This Row],[Quantity]]</f>
        <v>13.72</v>
      </c>
      <c r="I2906" s="29">
        <f>Table1[[#This Row],[Total Revenue]]/$H$5056*100</f>
        <v>1.4556336496878625E-3</v>
      </c>
      <c r="J2906" s="3" t="s">
        <v>17</v>
      </c>
      <c r="K2906" s="4">
        <v>8.3000000000000007</v>
      </c>
      <c r="M2906"/>
    </row>
    <row r="2907" spans="1:13" x14ac:dyDescent="0.25">
      <c r="A2907" s="3" t="s">
        <v>155</v>
      </c>
      <c r="B2907" s="3" t="s">
        <v>244</v>
      </c>
      <c r="C2907" s="3" t="s">
        <v>13</v>
      </c>
      <c r="D2907" s="3" t="s">
        <v>19</v>
      </c>
      <c r="E2907" s="5" t="s">
        <v>11</v>
      </c>
      <c r="F2907" s="17">
        <v>6.57</v>
      </c>
      <c r="G2907" s="3">
        <v>2</v>
      </c>
      <c r="H2907" s="17">
        <f>Table1[[#This Row],[Unit price]]*Table1[[#This Row],[Quantity]]</f>
        <v>13.14</v>
      </c>
      <c r="I2907" s="29">
        <f>Table1[[#This Row],[Total Revenue]]/$H$5056*100</f>
        <v>1.3940981163920198E-3</v>
      </c>
      <c r="J2907" s="3" t="s">
        <v>17</v>
      </c>
      <c r="K2907" s="4">
        <v>6.9</v>
      </c>
      <c r="M2907"/>
    </row>
    <row r="2908" spans="1:13" x14ac:dyDescent="0.25">
      <c r="A2908" s="3" t="s">
        <v>155</v>
      </c>
      <c r="B2908" s="3" t="s">
        <v>243</v>
      </c>
      <c r="C2908" s="3" t="s">
        <v>9</v>
      </c>
      <c r="D2908" s="3" t="s">
        <v>10</v>
      </c>
      <c r="E2908" s="5" t="s">
        <v>16</v>
      </c>
      <c r="F2908" s="17">
        <v>73.400000000000006</v>
      </c>
      <c r="G2908" s="3">
        <v>2</v>
      </c>
      <c r="H2908" s="17">
        <f>Table1[[#This Row],[Unit price]]*Table1[[#This Row],[Quantity]]</f>
        <v>146.80000000000001</v>
      </c>
      <c r="I2908" s="29">
        <f>Table1[[#This Row],[Total Revenue]]/$H$5056*100</f>
        <v>1.5574855668671882E-2</v>
      </c>
      <c r="J2908" s="3" t="s">
        <v>12</v>
      </c>
      <c r="K2908" s="4">
        <v>8.6999999999999993</v>
      </c>
      <c r="M2908"/>
    </row>
    <row r="2909" spans="1:13" x14ac:dyDescent="0.25">
      <c r="A2909" s="3" t="s">
        <v>155</v>
      </c>
      <c r="B2909" s="3" t="s">
        <v>243</v>
      </c>
      <c r="C2909" s="3" t="s">
        <v>13</v>
      </c>
      <c r="D2909" s="3" t="s">
        <v>10</v>
      </c>
      <c r="E2909" s="5" t="s">
        <v>18</v>
      </c>
      <c r="F2909" s="17">
        <v>15.82</v>
      </c>
      <c r="G2909" s="3">
        <v>1</v>
      </c>
      <c r="H2909" s="17">
        <f>Table1[[#This Row],[Unit price]]*Table1[[#This Row],[Quantity]]</f>
        <v>15.82</v>
      </c>
      <c r="I2909" s="29">
        <f>Table1[[#This Row],[Total Revenue]]/$H$5056*100</f>
        <v>1.6784347185176374E-3</v>
      </c>
      <c r="J2909" s="3" t="s">
        <v>15</v>
      </c>
      <c r="K2909" s="4">
        <v>8.3000000000000007</v>
      </c>
      <c r="M2909"/>
    </row>
    <row r="2910" spans="1:13" x14ac:dyDescent="0.25">
      <c r="A2910" s="3" t="s">
        <v>155</v>
      </c>
      <c r="B2910" s="3" t="s">
        <v>244</v>
      </c>
      <c r="C2910" s="3" t="s">
        <v>9</v>
      </c>
      <c r="D2910" s="3" t="s">
        <v>10</v>
      </c>
      <c r="E2910" s="5" t="s">
        <v>16</v>
      </c>
      <c r="F2910" s="17">
        <v>58.14</v>
      </c>
      <c r="G2910" s="3">
        <v>2</v>
      </c>
      <c r="H2910" s="17">
        <f>Table1[[#This Row],[Unit price]]*Table1[[#This Row],[Quantity]]</f>
        <v>116.28</v>
      </c>
      <c r="I2910" s="29">
        <f>Table1[[#This Row],[Total Revenue]]/$H$5056*100</f>
        <v>1.2336813468345821E-2</v>
      </c>
      <c r="J2910" s="3" t="s">
        <v>12</v>
      </c>
      <c r="K2910" s="4">
        <v>7.7</v>
      </c>
      <c r="M2910"/>
    </row>
    <row r="2911" spans="1:13" x14ac:dyDescent="0.25">
      <c r="A2911" s="3" t="s">
        <v>156</v>
      </c>
      <c r="B2911" s="3" t="s">
        <v>244</v>
      </c>
      <c r="C2911" s="3" t="s">
        <v>9</v>
      </c>
      <c r="D2911" s="3" t="s">
        <v>19</v>
      </c>
      <c r="E2911" s="5" t="s">
        <v>11</v>
      </c>
      <c r="F2911" s="17">
        <v>6.1</v>
      </c>
      <c r="G2911" s="3">
        <v>1</v>
      </c>
      <c r="H2911" s="17">
        <f>Table1[[#This Row],[Unit price]]*Table1[[#This Row],[Quantity]]</f>
        <v>6.1</v>
      </c>
      <c r="I2911" s="29">
        <f>Table1[[#This Row],[Total Revenue]]/$H$5056*100</f>
        <v>6.4718405707696509E-4</v>
      </c>
      <c r="J2911" s="3" t="s">
        <v>17</v>
      </c>
      <c r="K2911" s="4">
        <v>7.7</v>
      </c>
      <c r="M2911"/>
    </row>
    <row r="2912" spans="1:13" x14ac:dyDescent="0.25">
      <c r="A2912" s="3" t="s">
        <v>156</v>
      </c>
      <c r="B2912" s="3" t="s">
        <v>244</v>
      </c>
      <c r="C2912" s="3" t="s">
        <v>9</v>
      </c>
      <c r="D2912" s="3" t="s">
        <v>10</v>
      </c>
      <c r="E2912" s="5" t="s">
        <v>18</v>
      </c>
      <c r="F2912" s="17">
        <v>6.81</v>
      </c>
      <c r="G2912" s="3">
        <v>2</v>
      </c>
      <c r="H2912" s="17">
        <f>Table1[[#This Row],[Unit price]]*Table1[[#This Row],[Quantity]]</f>
        <v>13.62</v>
      </c>
      <c r="I2912" s="29">
        <f>Table1[[#This Row],[Total Revenue]]/$H$5056*100</f>
        <v>1.4450240749816826E-3</v>
      </c>
      <c r="J2912" s="3" t="s">
        <v>17</v>
      </c>
      <c r="K2912" s="4">
        <v>8.1999999999999993</v>
      </c>
      <c r="M2912"/>
    </row>
    <row r="2913" spans="1:13" x14ac:dyDescent="0.25">
      <c r="A2913" s="3" t="s">
        <v>156</v>
      </c>
      <c r="B2913" s="3" t="s">
        <v>243</v>
      </c>
      <c r="C2913" s="3" t="s">
        <v>13</v>
      </c>
      <c r="D2913" s="3" t="s">
        <v>19</v>
      </c>
      <c r="E2913" s="5" t="s">
        <v>11</v>
      </c>
      <c r="F2913" s="17">
        <v>7.11</v>
      </c>
      <c r="G2913" s="3">
        <v>3</v>
      </c>
      <c r="H2913" s="17">
        <f>Table1[[#This Row],[Unit price]]*Table1[[#This Row],[Quantity]]</f>
        <v>21.330000000000002</v>
      </c>
      <c r="I2913" s="29">
        <f>Table1[[#This Row],[Total Revenue]]/$H$5056*100</f>
        <v>2.2630222848281419E-3</v>
      </c>
      <c r="J2913" s="3" t="s">
        <v>12</v>
      </c>
      <c r="K2913" s="4">
        <v>7.2</v>
      </c>
      <c r="M2913"/>
    </row>
    <row r="2914" spans="1:13" x14ac:dyDescent="0.25">
      <c r="A2914" s="3" t="s">
        <v>156</v>
      </c>
      <c r="B2914" s="3" t="s">
        <v>243</v>
      </c>
      <c r="C2914" s="3" t="s">
        <v>13</v>
      </c>
      <c r="D2914" s="3" t="s">
        <v>19</v>
      </c>
      <c r="E2914" s="5" t="s">
        <v>11</v>
      </c>
      <c r="F2914" s="17">
        <v>4.79</v>
      </c>
      <c r="G2914" s="3">
        <v>3</v>
      </c>
      <c r="H2914" s="17">
        <f>Table1[[#This Row],[Unit price]]*Table1[[#This Row],[Quantity]]</f>
        <v>14.370000000000001</v>
      </c>
      <c r="I2914" s="29">
        <f>Table1[[#This Row],[Total Revenue]]/$H$5056*100</f>
        <v>1.5245958852780309E-3</v>
      </c>
      <c r="J2914" s="3" t="s">
        <v>17</v>
      </c>
      <c r="K2914" s="4">
        <v>6.3</v>
      </c>
      <c r="M2914"/>
    </row>
    <row r="2915" spans="1:13" x14ac:dyDescent="0.25">
      <c r="A2915" s="3" t="s">
        <v>156</v>
      </c>
      <c r="B2915" s="3" t="s">
        <v>244</v>
      </c>
      <c r="C2915" s="3" t="s">
        <v>9</v>
      </c>
      <c r="D2915" s="3" t="s">
        <v>19</v>
      </c>
      <c r="E2915" s="5" t="s">
        <v>21</v>
      </c>
      <c r="F2915" s="17">
        <v>33.200000000000003</v>
      </c>
      <c r="G2915" s="3">
        <v>3</v>
      </c>
      <c r="H2915" s="17">
        <f>Table1[[#This Row],[Unit price]]*Table1[[#This Row],[Quantity]]</f>
        <v>99.600000000000009</v>
      </c>
      <c r="I2915" s="29">
        <f>Table1[[#This Row],[Total Revenue]]/$H$5056*100</f>
        <v>1.0567136407355036E-2</v>
      </c>
      <c r="J2915" s="3" t="s">
        <v>15</v>
      </c>
      <c r="K2915" s="4">
        <v>7.1</v>
      </c>
      <c r="M2915"/>
    </row>
    <row r="2916" spans="1:13" x14ac:dyDescent="0.25">
      <c r="A2916" s="3" t="s">
        <v>156</v>
      </c>
      <c r="B2916" s="3" t="s">
        <v>243</v>
      </c>
      <c r="C2916" s="3" t="s">
        <v>9</v>
      </c>
      <c r="D2916" s="3" t="s">
        <v>19</v>
      </c>
      <c r="E2916" s="5" t="s">
        <v>20</v>
      </c>
      <c r="F2916" s="17">
        <v>69.739999999999995</v>
      </c>
      <c r="G2916" s="3">
        <v>4</v>
      </c>
      <c r="H2916" s="17">
        <f>Table1[[#This Row],[Unit price]]*Table1[[#This Row],[Quantity]]</f>
        <v>278.95999999999998</v>
      </c>
      <c r="I2916" s="29">
        <f>Table1[[#This Row],[Total Revenue]]/$H$5056*100</f>
        <v>2.9596469600359044E-2</v>
      </c>
      <c r="J2916" s="3" t="s">
        <v>12</v>
      </c>
      <c r="K2916" s="4">
        <v>6.9</v>
      </c>
      <c r="M2916"/>
    </row>
    <row r="2917" spans="1:13" x14ac:dyDescent="0.25">
      <c r="A2917" s="3" t="s">
        <v>156</v>
      </c>
      <c r="B2917" s="3" t="s">
        <v>244</v>
      </c>
      <c r="C2917" s="3" t="s">
        <v>13</v>
      </c>
      <c r="D2917" s="3" t="s">
        <v>10</v>
      </c>
      <c r="E2917" s="5" t="s">
        <v>16</v>
      </c>
      <c r="F2917" s="17">
        <v>61.82</v>
      </c>
      <c r="G2917" s="3">
        <v>2</v>
      </c>
      <c r="H2917" s="17">
        <f>Table1[[#This Row],[Unit price]]*Table1[[#This Row],[Quantity]]</f>
        <v>123.64</v>
      </c>
      <c r="I2917" s="29">
        <f>Table1[[#This Row],[Total Revenue]]/$H$5056*100</f>
        <v>1.3117678166720648E-2</v>
      </c>
      <c r="J2917" s="3" t="s">
        <v>12</v>
      </c>
      <c r="K2917" s="4">
        <v>8.6</v>
      </c>
      <c r="M2917"/>
    </row>
    <row r="2918" spans="1:13" x14ac:dyDescent="0.25">
      <c r="A2918" s="3" t="s">
        <v>156</v>
      </c>
      <c r="B2918" s="3" t="s">
        <v>243</v>
      </c>
      <c r="C2918" s="3" t="s">
        <v>13</v>
      </c>
      <c r="D2918" s="3" t="s">
        <v>10</v>
      </c>
      <c r="E2918" s="5" t="s">
        <v>20</v>
      </c>
      <c r="F2918" s="17">
        <v>49.71</v>
      </c>
      <c r="G2918" s="3">
        <v>2</v>
      </c>
      <c r="H2918" s="17">
        <f>Table1[[#This Row],[Unit price]]*Table1[[#This Row],[Quantity]]</f>
        <v>99.42</v>
      </c>
      <c r="I2918" s="29">
        <f>Table1[[#This Row],[Total Revenue]]/$H$5056*100</f>
        <v>1.0548039172883912E-2</v>
      </c>
      <c r="J2918" s="3" t="s">
        <v>17</v>
      </c>
      <c r="K2918" s="4">
        <v>6.9</v>
      </c>
      <c r="M2918"/>
    </row>
    <row r="2919" spans="1:13" x14ac:dyDescent="0.25">
      <c r="A2919" s="3" t="s">
        <v>156</v>
      </c>
      <c r="B2919" s="3" t="s">
        <v>245</v>
      </c>
      <c r="C2919" s="3" t="s">
        <v>13</v>
      </c>
      <c r="D2919" s="3" t="s">
        <v>19</v>
      </c>
      <c r="E2919" s="5" t="s">
        <v>11</v>
      </c>
      <c r="F2919" s="17">
        <v>2.98</v>
      </c>
      <c r="G2919" s="3">
        <v>3</v>
      </c>
      <c r="H2919" s="17">
        <f>Table1[[#This Row],[Unit price]]*Table1[[#This Row],[Quantity]]</f>
        <v>8.94</v>
      </c>
      <c r="I2919" s="29">
        <f>Table1[[#This Row],[Total Revenue]]/$H$5056*100</f>
        <v>9.4849597873247011E-4</v>
      </c>
      <c r="J2919" s="3" t="s">
        <v>15</v>
      </c>
      <c r="K2919" s="4">
        <v>6.1</v>
      </c>
      <c r="M2919"/>
    </row>
    <row r="2920" spans="1:13" x14ac:dyDescent="0.25">
      <c r="A2920" s="3" t="s">
        <v>156</v>
      </c>
      <c r="B2920" s="3" t="s">
        <v>243</v>
      </c>
      <c r="C2920" s="3" t="s">
        <v>13</v>
      </c>
      <c r="D2920" s="3" t="s">
        <v>10</v>
      </c>
      <c r="E2920" s="5" t="s">
        <v>11</v>
      </c>
      <c r="F2920" s="17">
        <v>5.29</v>
      </c>
      <c r="G2920" s="3">
        <v>5</v>
      </c>
      <c r="H2920" s="17">
        <f>Table1[[#This Row],[Unit price]]*Table1[[#This Row],[Quantity]]</f>
        <v>26.45</v>
      </c>
      <c r="I2920" s="29">
        <f>Table1[[#This Row],[Total Revenue]]/$H$5056*100</f>
        <v>2.8062325097845454E-3</v>
      </c>
      <c r="J2920" s="3" t="s">
        <v>17</v>
      </c>
      <c r="K2920" s="4">
        <v>6.6</v>
      </c>
      <c r="M2920"/>
    </row>
    <row r="2921" spans="1:13" x14ac:dyDescent="0.25">
      <c r="A2921" s="3" t="s">
        <v>156</v>
      </c>
      <c r="B2921" s="3" t="s">
        <v>244</v>
      </c>
      <c r="C2921" s="3" t="s">
        <v>9</v>
      </c>
      <c r="D2921" s="3" t="s">
        <v>10</v>
      </c>
      <c r="E2921" s="5" t="s">
        <v>20</v>
      </c>
      <c r="F2921" s="17">
        <v>68.19</v>
      </c>
      <c r="G2921" s="3">
        <v>2</v>
      </c>
      <c r="H2921" s="17">
        <f>Table1[[#This Row],[Unit price]]*Table1[[#This Row],[Quantity]]</f>
        <v>136.38</v>
      </c>
      <c r="I2921" s="29">
        <f>Table1[[#This Row],[Total Revenue]]/$H$5056*100</f>
        <v>1.446933798428795E-2</v>
      </c>
      <c r="J2921" s="3" t="s">
        <v>15</v>
      </c>
      <c r="K2921" s="4">
        <v>6.2</v>
      </c>
      <c r="M2921"/>
    </row>
    <row r="2922" spans="1:13" x14ac:dyDescent="0.25">
      <c r="A2922" s="3" t="s">
        <v>156</v>
      </c>
      <c r="B2922" s="3" t="s">
        <v>243</v>
      </c>
      <c r="C2922" s="3" t="s">
        <v>9</v>
      </c>
      <c r="D2922" s="3" t="s">
        <v>19</v>
      </c>
      <c r="E2922" s="5" t="s">
        <v>11</v>
      </c>
      <c r="F2922" s="17">
        <v>6.49</v>
      </c>
      <c r="G2922" s="3">
        <v>2</v>
      </c>
      <c r="H2922" s="17">
        <f>Table1[[#This Row],[Unit price]]*Table1[[#This Row],[Quantity]]</f>
        <v>12.98</v>
      </c>
      <c r="I2922" s="29">
        <f>Table1[[#This Row],[Total Revenue]]/$H$5056*100</f>
        <v>1.3771227968621324E-3</v>
      </c>
      <c r="J2922" s="3" t="s">
        <v>12</v>
      </c>
      <c r="K2922" s="4">
        <v>9</v>
      </c>
      <c r="M2922"/>
    </row>
    <row r="2923" spans="1:13" x14ac:dyDescent="0.25">
      <c r="A2923" s="3" t="s">
        <v>156</v>
      </c>
      <c r="B2923" s="3" t="s">
        <v>243</v>
      </c>
      <c r="C2923" s="3" t="s">
        <v>9</v>
      </c>
      <c r="D2923" s="3" t="s">
        <v>10</v>
      </c>
      <c r="E2923" s="5" t="s">
        <v>18</v>
      </c>
      <c r="F2923" s="17">
        <v>14.32</v>
      </c>
      <c r="G2923" s="3">
        <v>3</v>
      </c>
      <c r="H2923" s="17">
        <f>Table1[[#This Row],[Unit price]]*Table1[[#This Row],[Quantity]]</f>
        <v>42.96</v>
      </c>
      <c r="I2923" s="29">
        <f>Table1[[#This Row],[Total Revenue]]/$H$5056*100</f>
        <v>4.5578732937748227E-3</v>
      </c>
      <c r="J2923" s="3" t="s">
        <v>15</v>
      </c>
      <c r="K2923" s="4">
        <v>7.4</v>
      </c>
      <c r="M2923"/>
    </row>
    <row r="2924" spans="1:13" x14ac:dyDescent="0.25">
      <c r="A2924" s="3" t="s">
        <v>156</v>
      </c>
      <c r="B2924" s="3" t="s">
        <v>243</v>
      </c>
      <c r="C2924" s="3" t="s">
        <v>9</v>
      </c>
      <c r="D2924" s="3" t="s">
        <v>10</v>
      </c>
      <c r="E2924" s="5" t="s">
        <v>18</v>
      </c>
      <c r="F2924" s="17">
        <v>15.19</v>
      </c>
      <c r="G2924" s="3">
        <v>2</v>
      </c>
      <c r="H2924" s="17">
        <f>Table1[[#This Row],[Unit price]]*Table1[[#This Row],[Quantity]]</f>
        <v>30.38</v>
      </c>
      <c r="I2924" s="29">
        <f>Table1[[#This Row],[Total Revenue]]/$H$5056*100</f>
        <v>3.2231887957374097E-3</v>
      </c>
      <c r="J2924" s="3" t="s">
        <v>12</v>
      </c>
      <c r="K2924" s="4">
        <v>7.5</v>
      </c>
      <c r="M2924"/>
    </row>
    <row r="2925" spans="1:13" x14ac:dyDescent="0.25">
      <c r="A2925" s="3" t="s">
        <v>157</v>
      </c>
      <c r="B2925" s="3" t="s">
        <v>243</v>
      </c>
      <c r="C2925" s="3" t="s">
        <v>9</v>
      </c>
      <c r="D2925" s="3" t="s">
        <v>10</v>
      </c>
      <c r="E2925" s="5" t="s">
        <v>11</v>
      </c>
      <c r="F2925" s="17">
        <v>3.24</v>
      </c>
      <c r="G2925" s="3">
        <v>2</v>
      </c>
      <c r="H2925" s="17">
        <f>Table1[[#This Row],[Unit price]]*Table1[[#This Row],[Quantity]]</f>
        <v>6.48</v>
      </c>
      <c r="I2925" s="29">
        <f>Table1[[#This Row],[Total Revenue]]/$H$5056*100</f>
        <v>6.8750044096044824E-4</v>
      </c>
      <c r="J2925" s="3" t="s">
        <v>12</v>
      </c>
      <c r="K2925" s="4">
        <v>8.3000000000000007</v>
      </c>
      <c r="M2925"/>
    </row>
    <row r="2926" spans="1:13" x14ac:dyDescent="0.25">
      <c r="A2926" s="3" t="s">
        <v>157</v>
      </c>
      <c r="B2926" s="3" t="s">
        <v>243</v>
      </c>
      <c r="C2926" s="3" t="s">
        <v>9</v>
      </c>
      <c r="D2926" s="3" t="s">
        <v>19</v>
      </c>
      <c r="E2926" s="5" t="s">
        <v>11</v>
      </c>
      <c r="F2926" s="17">
        <v>6.69</v>
      </c>
      <c r="G2926" s="3">
        <v>3</v>
      </c>
      <c r="H2926" s="17">
        <f>Table1[[#This Row],[Unit price]]*Table1[[#This Row],[Quantity]]</f>
        <v>20.07</v>
      </c>
      <c r="I2926" s="29">
        <f>Table1[[#This Row],[Total Revenue]]/$H$5056*100</f>
        <v>2.1293416435302771E-3</v>
      </c>
      <c r="J2926" s="3" t="s">
        <v>12</v>
      </c>
      <c r="K2926" s="4">
        <v>7.4</v>
      </c>
      <c r="M2926"/>
    </row>
    <row r="2927" spans="1:13" x14ac:dyDescent="0.25">
      <c r="A2927" s="3" t="s">
        <v>157</v>
      </c>
      <c r="B2927" s="3" t="s">
        <v>243</v>
      </c>
      <c r="C2927" s="3" t="s">
        <v>9</v>
      </c>
      <c r="D2927" s="3" t="s">
        <v>19</v>
      </c>
      <c r="E2927" s="5" t="s">
        <v>11</v>
      </c>
      <c r="F2927" s="17">
        <v>6.78</v>
      </c>
      <c r="G2927" s="3">
        <v>3</v>
      </c>
      <c r="H2927" s="17">
        <f>Table1[[#This Row],[Unit price]]*Table1[[#This Row],[Quantity]]</f>
        <v>20.34</v>
      </c>
      <c r="I2927" s="29">
        <f>Table1[[#This Row],[Total Revenue]]/$H$5056*100</f>
        <v>2.1579874952369622E-3</v>
      </c>
      <c r="J2927" s="3" t="s">
        <v>12</v>
      </c>
      <c r="K2927" s="4">
        <v>8.6999999999999993</v>
      </c>
      <c r="M2927"/>
    </row>
    <row r="2928" spans="1:13" x14ac:dyDescent="0.25">
      <c r="A2928" s="3" t="s">
        <v>157</v>
      </c>
      <c r="B2928" s="3" t="s">
        <v>244</v>
      </c>
      <c r="C2928" s="3" t="s">
        <v>13</v>
      </c>
      <c r="D2928" s="3" t="s">
        <v>19</v>
      </c>
      <c r="E2928" s="5" t="s">
        <v>11</v>
      </c>
      <c r="F2928" s="17">
        <v>2.69</v>
      </c>
      <c r="G2928" s="3">
        <v>1</v>
      </c>
      <c r="H2928" s="17">
        <f>Table1[[#This Row],[Unit price]]*Table1[[#This Row],[Quantity]]</f>
        <v>2.69</v>
      </c>
      <c r="I2928" s="29">
        <f>Table1[[#This Row],[Total Revenue]]/$H$5056*100</f>
        <v>2.853975595962354E-4</v>
      </c>
      <c r="J2928" s="3" t="s">
        <v>15</v>
      </c>
      <c r="K2928" s="4">
        <v>6.8</v>
      </c>
      <c r="M2928"/>
    </row>
    <row r="2929" spans="1:13" x14ac:dyDescent="0.25">
      <c r="A2929" s="3" t="s">
        <v>157</v>
      </c>
      <c r="B2929" s="3" t="s">
        <v>244</v>
      </c>
      <c r="C2929" s="3" t="s">
        <v>9</v>
      </c>
      <c r="D2929" s="3" t="s">
        <v>10</v>
      </c>
      <c r="E2929" s="5" t="s">
        <v>20</v>
      </c>
      <c r="F2929" s="17">
        <v>68.73</v>
      </c>
      <c r="G2929" s="3">
        <v>2</v>
      </c>
      <c r="H2929" s="17">
        <f>Table1[[#This Row],[Unit price]]*Table1[[#This Row],[Quantity]]</f>
        <v>137.46</v>
      </c>
      <c r="I2929" s="29">
        <f>Table1[[#This Row],[Total Revenue]]/$H$5056*100</f>
        <v>1.4583921391114692E-2</v>
      </c>
      <c r="J2929" s="3" t="s">
        <v>12</v>
      </c>
      <c r="K2929" s="4">
        <v>6.6</v>
      </c>
      <c r="M2929"/>
    </row>
    <row r="2930" spans="1:13" x14ac:dyDescent="0.25">
      <c r="A2930" s="3" t="s">
        <v>157</v>
      </c>
      <c r="B2930" s="3" t="s">
        <v>243</v>
      </c>
      <c r="C2930" s="3" t="s">
        <v>13</v>
      </c>
      <c r="D2930" s="3" t="s">
        <v>19</v>
      </c>
      <c r="E2930" s="5" t="s">
        <v>11</v>
      </c>
      <c r="F2930" s="17">
        <v>2.68</v>
      </c>
      <c r="G2930" s="3">
        <v>4</v>
      </c>
      <c r="H2930" s="17">
        <f>Table1[[#This Row],[Unit price]]*Table1[[#This Row],[Quantity]]</f>
        <v>10.72</v>
      </c>
      <c r="I2930" s="29">
        <f>Table1[[#This Row],[Total Revenue]]/$H$5056*100</f>
        <v>1.1373464085024699E-3</v>
      </c>
      <c r="J2930" s="3" t="s">
        <v>15</v>
      </c>
      <c r="K2930" s="4">
        <v>8.1</v>
      </c>
      <c r="M2930"/>
    </row>
    <row r="2931" spans="1:13" x14ac:dyDescent="0.25">
      <c r="A2931" s="3" t="s">
        <v>157</v>
      </c>
      <c r="B2931" s="3" t="s">
        <v>244</v>
      </c>
      <c r="C2931" s="3" t="s">
        <v>13</v>
      </c>
      <c r="D2931" s="3" t="s">
        <v>10</v>
      </c>
      <c r="E2931" s="5" t="s">
        <v>11</v>
      </c>
      <c r="F2931" s="17">
        <v>5.45</v>
      </c>
      <c r="G2931" s="3">
        <v>3</v>
      </c>
      <c r="H2931" s="17">
        <f>Table1[[#This Row],[Unit price]]*Table1[[#This Row],[Quantity]]</f>
        <v>16.350000000000001</v>
      </c>
      <c r="I2931" s="29">
        <f>Table1[[#This Row],[Total Revenue]]/$H$5056*100</f>
        <v>1.7346654644603903E-3</v>
      </c>
      <c r="J2931" s="3" t="s">
        <v>15</v>
      </c>
      <c r="K2931" s="4">
        <v>8.8000000000000007</v>
      </c>
      <c r="M2931"/>
    </row>
    <row r="2932" spans="1:13" x14ac:dyDescent="0.25">
      <c r="A2932" s="3" t="s">
        <v>157</v>
      </c>
      <c r="B2932" s="3" t="s">
        <v>243</v>
      </c>
      <c r="C2932" s="3" t="s">
        <v>13</v>
      </c>
      <c r="D2932" s="3" t="s">
        <v>10</v>
      </c>
      <c r="E2932" s="5" t="s">
        <v>20</v>
      </c>
      <c r="F2932" s="17">
        <v>56.98</v>
      </c>
      <c r="G2932" s="3">
        <v>4</v>
      </c>
      <c r="H2932" s="17">
        <f>Table1[[#This Row],[Unit price]]*Table1[[#This Row],[Quantity]]</f>
        <v>227.92</v>
      </c>
      <c r="I2932" s="29">
        <f>Table1[[#This Row],[Total Revenue]]/$H$5056*100</f>
        <v>2.4181342670324898E-2</v>
      </c>
      <c r="J2932" s="3" t="s">
        <v>12</v>
      </c>
      <c r="K2932" s="4">
        <v>8</v>
      </c>
      <c r="M2932"/>
    </row>
    <row r="2933" spans="1:13" x14ac:dyDescent="0.25">
      <c r="A2933" s="3" t="s">
        <v>157</v>
      </c>
      <c r="B2933" s="3" t="s">
        <v>243</v>
      </c>
      <c r="C2933" s="3" t="s">
        <v>13</v>
      </c>
      <c r="D2933" s="3" t="s">
        <v>10</v>
      </c>
      <c r="E2933" s="5" t="s">
        <v>21</v>
      </c>
      <c r="F2933" s="17">
        <v>16.87</v>
      </c>
      <c r="G2933" s="3">
        <v>3</v>
      </c>
      <c r="H2933" s="17">
        <f>Table1[[#This Row],[Unit price]]*Table1[[#This Row],[Quantity]]</f>
        <v>50.61</v>
      </c>
      <c r="I2933" s="29">
        <f>Table1[[#This Row],[Total Revenue]]/$H$5056*100</f>
        <v>5.3695057587975744E-3</v>
      </c>
      <c r="J2933" s="3" t="s">
        <v>12</v>
      </c>
      <c r="K2933" s="4">
        <v>5.0999999999999996</v>
      </c>
      <c r="M2933"/>
    </row>
    <row r="2934" spans="1:13" x14ac:dyDescent="0.25">
      <c r="A2934" s="3" t="s">
        <v>158</v>
      </c>
      <c r="B2934" s="3" t="s">
        <v>245</v>
      </c>
      <c r="C2934" s="3" t="s">
        <v>9</v>
      </c>
      <c r="D2934" s="3" t="s">
        <v>19</v>
      </c>
      <c r="E2934" s="5" t="s">
        <v>11</v>
      </c>
      <c r="F2934" s="17">
        <v>7.4</v>
      </c>
      <c r="G2934" s="3">
        <v>5</v>
      </c>
      <c r="H2934" s="17">
        <f>Table1[[#This Row],[Unit price]]*Table1[[#This Row],[Quantity]]</f>
        <v>37</v>
      </c>
      <c r="I2934" s="29">
        <f>Table1[[#This Row],[Total Revenue]]/$H$5056*100</f>
        <v>3.9255426412865098E-3</v>
      </c>
      <c r="J2934" s="3" t="s">
        <v>17</v>
      </c>
      <c r="K2934" s="4">
        <v>8.1999999999999993</v>
      </c>
      <c r="M2934"/>
    </row>
    <row r="2935" spans="1:13" x14ac:dyDescent="0.25">
      <c r="A2935" s="3" t="s">
        <v>158</v>
      </c>
      <c r="B2935" s="3" t="s">
        <v>243</v>
      </c>
      <c r="C2935" s="3" t="s">
        <v>13</v>
      </c>
      <c r="D2935" s="3" t="s">
        <v>19</v>
      </c>
      <c r="E2935" s="5" t="s">
        <v>11</v>
      </c>
      <c r="F2935" s="17">
        <v>5.17</v>
      </c>
      <c r="G2935" s="3">
        <v>3</v>
      </c>
      <c r="H2935" s="17">
        <f>Table1[[#This Row],[Unit price]]*Table1[[#This Row],[Quantity]]</f>
        <v>15.51</v>
      </c>
      <c r="I2935" s="29">
        <f>Table1[[#This Row],[Total Revenue]]/$H$5056*100</f>
        <v>1.6455450369284802E-3</v>
      </c>
      <c r="J2935" s="3" t="s">
        <v>15</v>
      </c>
      <c r="K2935" s="4">
        <v>7.7</v>
      </c>
      <c r="M2935"/>
    </row>
    <row r="2936" spans="1:13" x14ac:dyDescent="0.25">
      <c r="A2936" s="3" t="s">
        <v>158</v>
      </c>
      <c r="B2936" s="3" t="s">
        <v>243</v>
      </c>
      <c r="C2936" s="3" t="s">
        <v>13</v>
      </c>
      <c r="D2936" s="3" t="s">
        <v>19</v>
      </c>
      <c r="E2936" s="5" t="s">
        <v>21</v>
      </c>
      <c r="F2936" s="17">
        <v>27.52</v>
      </c>
      <c r="G2936" s="3">
        <v>2</v>
      </c>
      <c r="H2936" s="17">
        <f>Table1[[#This Row],[Unit price]]*Table1[[#This Row],[Quantity]]</f>
        <v>55.04</v>
      </c>
      <c r="I2936" s="29">
        <f>Table1[[#This Row],[Total Revenue]]/$H$5056*100</f>
        <v>5.8395099182813378E-3</v>
      </c>
      <c r="J2936" s="3" t="s">
        <v>17</v>
      </c>
      <c r="K2936" s="4">
        <v>7.3</v>
      </c>
      <c r="M2936"/>
    </row>
    <row r="2937" spans="1:13" x14ac:dyDescent="0.25">
      <c r="A2937" s="3" t="s">
        <v>158</v>
      </c>
      <c r="B2937" s="3" t="s">
        <v>243</v>
      </c>
      <c r="C2937" s="3" t="s">
        <v>9</v>
      </c>
      <c r="D2937" s="3" t="s">
        <v>10</v>
      </c>
      <c r="E2937" s="5" t="s">
        <v>21</v>
      </c>
      <c r="F2937" s="17">
        <v>38.89</v>
      </c>
      <c r="G2937" s="3">
        <v>2</v>
      </c>
      <c r="H2937" s="17">
        <f>Table1[[#This Row],[Unit price]]*Table1[[#This Row],[Quantity]]</f>
        <v>77.78</v>
      </c>
      <c r="I2937" s="29">
        <f>Table1[[#This Row],[Total Revenue]]/$H$5056*100</f>
        <v>8.2521272064666144E-3</v>
      </c>
      <c r="J2937" s="3" t="s">
        <v>17</v>
      </c>
      <c r="K2937" s="4">
        <v>6.9</v>
      </c>
      <c r="M2937"/>
    </row>
    <row r="2938" spans="1:13" x14ac:dyDescent="0.25">
      <c r="A2938" s="3" t="s">
        <v>158</v>
      </c>
      <c r="B2938" s="3" t="s">
        <v>245</v>
      </c>
      <c r="C2938" s="3" t="s">
        <v>13</v>
      </c>
      <c r="D2938" s="3" t="s">
        <v>19</v>
      </c>
      <c r="E2938" s="5" t="s">
        <v>11</v>
      </c>
      <c r="F2938" s="17">
        <v>6.68</v>
      </c>
      <c r="G2938" s="3">
        <v>3</v>
      </c>
      <c r="H2938" s="17">
        <f>Table1[[#This Row],[Unit price]]*Table1[[#This Row],[Quantity]]</f>
        <v>20.04</v>
      </c>
      <c r="I2938" s="29">
        <f>Table1[[#This Row],[Total Revenue]]/$H$5056*100</f>
        <v>2.126158771118423E-3</v>
      </c>
      <c r="J2938" s="3" t="s">
        <v>12</v>
      </c>
      <c r="K2938" s="4">
        <v>6.5</v>
      </c>
      <c r="M2938"/>
    </row>
    <row r="2939" spans="1:13" x14ac:dyDescent="0.25">
      <c r="A2939" s="3" t="s">
        <v>158</v>
      </c>
      <c r="B2939" s="3" t="s">
        <v>245</v>
      </c>
      <c r="C2939" s="3" t="s">
        <v>13</v>
      </c>
      <c r="D2939" s="3" t="s">
        <v>10</v>
      </c>
      <c r="E2939" s="5" t="s">
        <v>11</v>
      </c>
      <c r="F2939" s="17">
        <v>6.38</v>
      </c>
      <c r="G2939" s="3">
        <v>4</v>
      </c>
      <c r="H2939" s="17">
        <f>Table1[[#This Row],[Unit price]]*Table1[[#This Row],[Quantity]]</f>
        <v>25.52</v>
      </c>
      <c r="I2939" s="29">
        <f>Table1[[#This Row],[Total Revenue]]/$H$5056*100</f>
        <v>2.7075634650170735E-3</v>
      </c>
      <c r="J2939" s="3" t="s">
        <v>15</v>
      </c>
      <c r="K2939" s="4">
        <v>6.5</v>
      </c>
      <c r="M2939"/>
    </row>
    <row r="2940" spans="1:13" x14ac:dyDescent="0.25">
      <c r="A2940" s="3" t="s">
        <v>158</v>
      </c>
      <c r="B2940" s="3" t="s">
        <v>244</v>
      </c>
      <c r="C2940" s="3" t="s">
        <v>13</v>
      </c>
      <c r="D2940" s="3" t="s">
        <v>19</v>
      </c>
      <c r="E2940" s="5" t="s">
        <v>11</v>
      </c>
      <c r="F2940" s="17">
        <v>5.13</v>
      </c>
      <c r="G2940" s="3">
        <v>1</v>
      </c>
      <c r="H2940" s="17">
        <f>Table1[[#This Row],[Unit price]]*Table1[[#This Row],[Quantity]]</f>
        <v>5.13</v>
      </c>
      <c r="I2940" s="29">
        <f>Table1[[#This Row],[Total Revenue]]/$H$5056*100</f>
        <v>5.4427118242702144E-4</v>
      </c>
      <c r="J2940" s="3" t="s">
        <v>12</v>
      </c>
      <c r="K2940" s="4">
        <v>7.8</v>
      </c>
      <c r="M2940"/>
    </row>
    <row r="2941" spans="1:13" x14ac:dyDescent="0.25">
      <c r="A2941" s="3" t="s">
        <v>158</v>
      </c>
      <c r="B2941" s="3" t="s">
        <v>244</v>
      </c>
      <c r="C2941" s="3" t="s">
        <v>9</v>
      </c>
      <c r="D2941" s="3" t="s">
        <v>10</v>
      </c>
      <c r="E2941" s="5" t="s">
        <v>21</v>
      </c>
      <c r="F2941" s="17">
        <v>31.79</v>
      </c>
      <c r="G2941" s="3">
        <v>4</v>
      </c>
      <c r="H2941" s="17">
        <f>Table1[[#This Row],[Unit price]]*Table1[[#This Row],[Quantity]]</f>
        <v>127.16</v>
      </c>
      <c r="I2941" s="29">
        <f>Table1[[#This Row],[Total Revenue]]/$H$5056*100</f>
        <v>1.3491135196378177E-2</v>
      </c>
      <c r="J2941" s="3" t="s">
        <v>15</v>
      </c>
      <c r="K2941" s="4">
        <v>6.6</v>
      </c>
      <c r="M2941"/>
    </row>
    <row r="2942" spans="1:13" x14ac:dyDescent="0.25">
      <c r="A2942" s="3" t="s">
        <v>158</v>
      </c>
      <c r="B2942" s="3" t="s">
        <v>243</v>
      </c>
      <c r="C2942" s="3" t="s">
        <v>13</v>
      </c>
      <c r="D2942" s="3" t="s">
        <v>19</v>
      </c>
      <c r="E2942" s="5" t="s">
        <v>11</v>
      </c>
      <c r="F2942" s="17">
        <v>4.8099999999999996</v>
      </c>
      <c r="G2942" s="3">
        <v>2</v>
      </c>
      <c r="H2942" s="17">
        <f>Table1[[#This Row],[Unit price]]*Table1[[#This Row],[Quantity]]</f>
        <v>9.6199999999999992</v>
      </c>
      <c r="I2942" s="29">
        <f>Table1[[#This Row],[Total Revenue]]/$H$5056*100</f>
        <v>1.0206410867344925E-3</v>
      </c>
      <c r="J2942" s="3" t="s">
        <v>12</v>
      </c>
      <c r="K2942" s="4">
        <v>5.9</v>
      </c>
      <c r="M2942"/>
    </row>
    <row r="2943" spans="1:13" x14ac:dyDescent="0.25">
      <c r="A2943" s="3" t="s">
        <v>158</v>
      </c>
      <c r="B2943" s="3" t="s">
        <v>243</v>
      </c>
      <c r="C2943" s="3" t="s">
        <v>9</v>
      </c>
      <c r="D2943" s="3" t="s">
        <v>19</v>
      </c>
      <c r="E2943" s="5" t="s">
        <v>11</v>
      </c>
      <c r="F2943" s="17">
        <v>6.23</v>
      </c>
      <c r="G2943" s="3">
        <v>5</v>
      </c>
      <c r="H2943" s="17">
        <f>Table1[[#This Row],[Unit price]]*Table1[[#This Row],[Quantity]]</f>
        <v>31.150000000000002</v>
      </c>
      <c r="I2943" s="29">
        <f>Table1[[#This Row],[Total Revenue]]/$H$5056*100</f>
        <v>3.3048825209749939E-3</v>
      </c>
      <c r="J2943" s="3" t="s">
        <v>17</v>
      </c>
      <c r="K2943" s="4">
        <v>8.6999999999999993</v>
      </c>
      <c r="M2943"/>
    </row>
    <row r="2944" spans="1:13" x14ac:dyDescent="0.25">
      <c r="A2944" s="3" t="s">
        <v>158</v>
      </c>
      <c r="B2944" s="3" t="s">
        <v>244</v>
      </c>
      <c r="C2944" s="3" t="s">
        <v>13</v>
      </c>
      <c r="D2944" s="3" t="s">
        <v>10</v>
      </c>
      <c r="E2944" s="5" t="s">
        <v>11</v>
      </c>
      <c r="F2944" s="17">
        <v>6.93</v>
      </c>
      <c r="G2944" s="3">
        <v>2</v>
      </c>
      <c r="H2944" s="17">
        <f>Table1[[#This Row],[Unit price]]*Table1[[#This Row],[Quantity]]</f>
        <v>13.86</v>
      </c>
      <c r="I2944" s="29">
        <f>Table1[[#This Row],[Total Revenue]]/$H$5056*100</f>
        <v>1.470487054276514E-3</v>
      </c>
      <c r="J2944" s="3" t="s">
        <v>12</v>
      </c>
      <c r="K2944" s="4">
        <v>7.2</v>
      </c>
      <c r="M2944"/>
    </row>
    <row r="2945" spans="1:13" x14ac:dyDescent="0.25">
      <c r="A2945" s="3" t="s">
        <v>158</v>
      </c>
      <c r="B2945" s="3" t="s">
        <v>245</v>
      </c>
      <c r="C2945" s="3" t="s">
        <v>13</v>
      </c>
      <c r="D2945" s="3" t="s">
        <v>19</v>
      </c>
      <c r="E2945" s="5" t="s">
        <v>11</v>
      </c>
      <c r="F2945" s="17">
        <v>4.08</v>
      </c>
      <c r="G2945" s="3">
        <v>3</v>
      </c>
      <c r="H2945" s="17">
        <f>Table1[[#This Row],[Unit price]]*Table1[[#This Row],[Quantity]]</f>
        <v>12.24</v>
      </c>
      <c r="I2945" s="29">
        <f>Table1[[#This Row],[Total Revenue]]/$H$5056*100</f>
        <v>1.2986119440364021E-3</v>
      </c>
      <c r="J2945" s="3" t="s">
        <v>12</v>
      </c>
      <c r="K2945" s="4">
        <v>7</v>
      </c>
      <c r="M2945"/>
    </row>
    <row r="2946" spans="1:13" x14ac:dyDescent="0.25">
      <c r="A2946" s="3" t="s">
        <v>158</v>
      </c>
      <c r="B2946" s="3" t="s">
        <v>244</v>
      </c>
      <c r="C2946" s="3" t="s">
        <v>13</v>
      </c>
      <c r="D2946" s="3" t="s">
        <v>10</v>
      </c>
      <c r="E2946" s="5" t="s">
        <v>11</v>
      </c>
      <c r="F2946" s="17">
        <v>6.54</v>
      </c>
      <c r="G2946" s="3">
        <v>3</v>
      </c>
      <c r="H2946" s="17">
        <f>Table1[[#This Row],[Unit price]]*Table1[[#This Row],[Quantity]]</f>
        <v>19.62</v>
      </c>
      <c r="I2946" s="29">
        <f>Table1[[#This Row],[Total Revenue]]/$H$5056*100</f>
        <v>2.081598557352468E-3</v>
      </c>
      <c r="J2946" s="3" t="s">
        <v>15</v>
      </c>
      <c r="K2946" s="4">
        <v>8.6999999999999993</v>
      </c>
      <c r="M2946"/>
    </row>
    <row r="2947" spans="1:13" x14ac:dyDescent="0.25">
      <c r="A2947" s="3" t="s">
        <v>158</v>
      </c>
      <c r="B2947" s="3" t="s">
        <v>245</v>
      </c>
      <c r="C2947" s="3" t="s">
        <v>13</v>
      </c>
      <c r="D2947" s="3" t="s">
        <v>10</v>
      </c>
      <c r="E2947" s="5" t="s">
        <v>11</v>
      </c>
      <c r="F2947" s="17">
        <v>6.61</v>
      </c>
      <c r="G2947" s="3">
        <v>2</v>
      </c>
      <c r="H2947" s="17">
        <f>Table1[[#This Row],[Unit price]]*Table1[[#This Row],[Quantity]]</f>
        <v>13.22</v>
      </c>
      <c r="I2947" s="29">
        <f>Table1[[#This Row],[Total Revenue]]/$H$5056*100</f>
        <v>1.4025857761569636E-3</v>
      </c>
      <c r="J2947" s="3" t="s">
        <v>17</v>
      </c>
      <c r="K2947" s="4">
        <v>7.4</v>
      </c>
      <c r="M2947"/>
    </row>
    <row r="2948" spans="1:13" x14ac:dyDescent="0.25">
      <c r="A2948" s="3" t="s">
        <v>159</v>
      </c>
      <c r="B2948" s="3" t="s">
        <v>243</v>
      </c>
      <c r="C2948" s="3" t="s">
        <v>13</v>
      </c>
      <c r="D2948" s="3" t="s">
        <v>19</v>
      </c>
      <c r="E2948" s="5" t="s">
        <v>11</v>
      </c>
      <c r="F2948" s="17">
        <v>5.37</v>
      </c>
      <c r="G2948" s="3">
        <v>2</v>
      </c>
      <c r="H2948" s="17">
        <f>Table1[[#This Row],[Unit price]]*Table1[[#This Row],[Quantity]]</f>
        <v>10.74</v>
      </c>
      <c r="I2948" s="29">
        <f>Table1[[#This Row],[Total Revenue]]/$H$5056*100</f>
        <v>1.1394683234437057E-3</v>
      </c>
      <c r="J2948" s="3" t="s">
        <v>17</v>
      </c>
      <c r="K2948" s="4">
        <v>7.8</v>
      </c>
      <c r="M2948"/>
    </row>
    <row r="2949" spans="1:13" x14ac:dyDescent="0.25">
      <c r="A2949" s="3" t="s">
        <v>159</v>
      </c>
      <c r="B2949" s="3" t="s">
        <v>243</v>
      </c>
      <c r="C2949" s="3" t="s">
        <v>13</v>
      </c>
      <c r="D2949" s="3" t="s">
        <v>19</v>
      </c>
      <c r="E2949" s="5" t="s">
        <v>16</v>
      </c>
      <c r="F2949" s="17">
        <v>69.459999999999994</v>
      </c>
      <c r="G2949" s="3">
        <v>3</v>
      </c>
      <c r="H2949" s="17">
        <f>Table1[[#This Row],[Unit price]]*Table1[[#This Row],[Quantity]]</f>
        <v>208.38</v>
      </c>
      <c r="I2949" s="29">
        <f>Table1[[#This Row],[Total Revenue]]/$H$5056*100</f>
        <v>2.2108231772737373E-2</v>
      </c>
      <c r="J2949" s="3" t="s">
        <v>15</v>
      </c>
      <c r="K2949" s="4">
        <v>6.7</v>
      </c>
      <c r="M2949"/>
    </row>
    <row r="2950" spans="1:13" x14ac:dyDescent="0.25">
      <c r="A2950" s="3" t="s">
        <v>159</v>
      </c>
      <c r="B2950" s="3" t="s">
        <v>243</v>
      </c>
      <c r="C2950" s="3" t="s">
        <v>13</v>
      </c>
      <c r="D2950" s="3" t="s">
        <v>19</v>
      </c>
      <c r="E2950" s="5" t="s">
        <v>11</v>
      </c>
      <c r="F2950" s="17">
        <v>5.98</v>
      </c>
      <c r="G2950" s="3">
        <v>3</v>
      </c>
      <c r="H2950" s="17">
        <f>Table1[[#This Row],[Unit price]]*Table1[[#This Row],[Quantity]]</f>
        <v>17.940000000000001</v>
      </c>
      <c r="I2950" s="29">
        <f>Table1[[#This Row],[Total Revenue]]/$H$5056*100</f>
        <v>1.9033577022886483E-3</v>
      </c>
      <c r="J2950" s="3" t="s">
        <v>15</v>
      </c>
      <c r="K2950" s="4">
        <v>7.5</v>
      </c>
      <c r="M2950"/>
    </row>
    <row r="2951" spans="1:13" x14ac:dyDescent="0.25">
      <c r="A2951" s="3" t="s">
        <v>159</v>
      </c>
      <c r="B2951" s="3" t="s">
        <v>244</v>
      </c>
      <c r="C2951" s="3" t="s">
        <v>13</v>
      </c>
      <c r="D2951" s="3" t="s">
        <v>10</v>
      </c>
      <c r="E2951" s="5" t="s">
        <v>18</v>
      </c>
      <c r="F2951" s="17">
        <v>15.16</v>
      </c>
      <c r="G2951" s="3">
        <v>3</v>
      </c>
      <c r="H2951" s="17">
        <f>Table1[[#This Row],[Unit price]]*Table1[[#This Row],[Quantity]]</f>
        <v>45.480000000000004</v>
      </c>
      <c r="I2951" s="29">
        <f>Table1[[#This Row],[Total Revenue]]/$H$5056*100</f>
        <v>4.8252345763705531E-3</v>
      </c>
      <c r="J2951" s="3" t="s">
        <v>17</v>
      </c>
      <c r="K2951" s="4">
        <v>7.1</v>
      </c>
      <c r="M2951"/>
    </row>
    <row r="2952" spans="1:13" x14ac:dyDescent="0.25">
      <c r="A2952" s="3" t="s">
        <v>159</v>
      </c>
      <c r="B2952" s="3" t="s">
        <v>243</v>
      </c>
      <c r="C2952" s="3" t="s">
        <v>13</v>
      </c>
      <c r="D2952" s="3" t="s">
        <v>10</v>
      </c>
      <c r="E2952" s="5" t="s">
        <v>21</v>
      </c>
      <c r="F2952" s="17">
        <v>28.58</v>
      </c>
      <c r="G2952" s="3">
        <v>4</v>
      </c>
      <c r="H2952" s="17">
        <f>Table1[[#This Row],[Unit price]]*Table1[[#This Row],[Quantity]]</f>
        <v>114.32</v>
      </c>
      <c r="I2952" s="29">
        <f>Table1[[#This Row],[Total Revenue]]/$H$5056*100</f>
        <v>1.2128865804104695E-2</v>
      </c>
      <c r="J2952" s="3" t="s">
        <v>12</v>
      </c>
      <c r="K2952" s="4">
        <v>6.4</v>
      </c>
      <c r="M2952"/>
    </row>
    <row r="2953" spans="1:13" x14ac:dyDescent="0.25">
      <c r="A2953" s="3" t="s">
        <v>159</v>
      </c>
      <c r="B2953" s="3" t="s">
        <v>243</v>
      </c>
      <c r="C2953" s="3" t="s">
        <v>13</v>
      </c>
      <c r="D2953" s="3" t="s">
        <v>19</v>
      </c>
      <c r="E2953" s="5" t="s">
        <v>11</v>
      </c>
      <c r="F2953" s="17">
        <v>6.18</v>
      </c>
      <c r="G2953" s="3">
        <v>1</v>
      </c>
      <c r="H2953" s="17">
        <f>Table1[[#This Row],[Unit price]]*Table1[[#This Row],[Quantity]]</f>
        <v>6.18</v>
      </c>
      <c r="I2953" s="29">
        <f>Table1[[#This Row],[Total Revenue]]/$H$5056*100</f>
        <v>6.5567171684190889E-4</v>
      </c>
      <c r="J2953" s="3" t="s">
        <v>15</v>
      </c>
      <c r="K2953" s="4">
        <v>6.8</v>
      </c>
      <c r="M2953"/>
    </row>
    <row r="2954" spans="1:13" x14ac:dyDescent="0.25">
      <c r="A2954" s="3" t="s">
        <v>159</v>
      </c>
      <c r="B2954" s="3" t="s">
        <v>245</v>
      </c>
      <c r="C2954" s="3" t="s">
        <v>9</v>
      </c>
      <c r="D2954" s="3" t="s">
        <v>19</v>
      </c>
      <c r="E2954" s="5" t="s">
        <v>11</v>
      </c>
      <c r="F2954" s="17">
        <v>7.14</v>
      </c>
      <c r="G2954" s="3">
        <v>6</v>
      </c>
      <c r="H2954" s="17">
        <f>Table1[[#This Row],[Unit price]]*Table1[[#This Row],[Quantity]]</f>
        <v>42.839999999999996</v>
      </c>
      <c r="I2954" s="29">
        <f>Table1[[#This Row],[Total Revenue]]/$H$5056*100</f>
        <v>4.5451418041274061E-3</v>
      </c>
      <c r="J2954" s="3" t="s">
        <v>12</v>
      </c>
      <c r="K2954" s="4">
        <v>6.8</v>
      </c>
      <c r="M2954"/>
    </row>
    <row r="2955" spans="1:13" x14ac:dyDescent="0.25">
      <c r="A2955" s="3" t="s">
        <v>159</v>
      </c>
      <c r="B2955" s="3" t="s">
        <v>244</v>
      </c>
      <c r="C2955" s="3" t="s">
        <v>13</v>
      </c>
      <c r="D2955" s="3" t="s">
        <v>19</v>
      </c>
      <c r="E2955" s="5" t="s">
        <v>21</v>
      </c>
      <c r="F2955" s="17">
        <v>23.92</v>
      </c>
      <c r="G2955" s="3">
        <v>3</v>
      </c>
      <c r="H2955" s="17">
        <f>Table1[[#This Row],[Unit price]]*Table1[[#This Row],[Quantity]]</f>
        <v>71.760000000000005</v>
      </c>
      <c r="I2955" s="29">
        <f>Table1[[#This Row],[Total Revenue]]/$H$5056*100</f>
        <v>7.6134308091545932E-3</v>
      </c>
      <c r="J2955" s="3" t="s">
        <v>15</v>
      </c>
      <c r="K2955" s="4">
        <v>8.8000000000000007</v>
      </c>
      <c r="M2955"/>
    </row>
    <row r="2956" spans="1:13" x14ac:dyDescent="0.25">
      <c r="A2956" s="3" t="s">
        <v>160</v>
      </c>
      <c r="B2956" s="3" t="s">
        <v>243</v>
      </c>
      <c r="C2956" s="3" t="s">
        <v>13</v>
      </c>
      <c r="D2956" s="3" t="s">
        <v>19</v>
      </c>
      <c r="E2956" s="5" t="s">
        <v>11</v>
      </c>
      <c r="F2956" s="17">
        <v>5.53</v>
      </c>
      <c r="G2956" s="3">
        <v>3</v>
      </c>
      <c r="H2956" s="17">
        <f>Table1[[#This Row],[Unit price]]*Table1[[#This Row],[Quantity]]</f>
        <v>16.59</v>
      </c>
      <c r="I2956" s="29">
        <f>Table1[[#This Row],[Total Revenue]]/$H$5056*100</f>
        <v>1.7601284437552213E-3</v>
      </c>
      <c r="J2956" s="3" t="s">
        <v>15</v>
      </c>
      <c r="K2956" s="4">
        <v>5.5</v>
      </c>
      <c r="M2956"/>
    </row>
    <row r="2957" spans="1:13" x14ac:dyDescent="0.25">
      <c r="A2957" s="3" t="s">
        <v>160</v>
      </c>
      <c r="B2957" s="3" t="s">
        <v>245</v>
      </c>
      <c r="C2957" s="3" t="s">
        <v>13</v>
      </c>
      <c r="D2957" s="3" t="s">
        <v>10</v>
      </c>
      <c r="E2957" s="5" t="s">
        <v>11</v>
      </c>
      <c r="F2957" s="17">
        <v>3.55</v>
      </c>
      <c r="G2957" s="3">
        <v>1</v>
      </c>
      <c r="H2957" s="17">
        <f>Table1[[#This Row],[Unit price]]*Table1[[#This Row],[Quantity]]</f>
        <v>3.55</v>
      </c>
      <c r="I2957" s="29">
        <f>Table1[[#This Row],[Total Revenue]]/$H$5056*100</f>
        <v>3.7663990206938128E-4</v>
      </c>
      <c r="J2957" s="3" t="s">
        <v>12</v>
      </c>
      <c r="K2957" s="4">
        <v>7.3</v>
      </c>
      <c r="M2957"/>
    </row>
    <row r="2958" spans="1:13" x14ac:dyDescent="0.25">
      <c r="A2958" s="3" t="s">
        <v>160</v>
      </c>
      <c r="B2958" s="3" t="s">
        <v>243</v>
      </c>
      <c r="C2958" s="3" t="s">
        <v>13</v>
      </c>
      <c r="D2958" s="3" t="s">
        <v>19</v>
      </c>
      <c r="E2958" s="5" t="s">
        <v>11</v>
      </c>
      <c r="F2958" s="17">
        <v>6.1</v>
      </c>
      <c r="G2958" s="3">
        <v>1</v>
      </c>
      <c r="H2958" s="17">
        <f>Table1[[#This Row],[Unit price]]*Table1[[#This Row],[Quantity]]</f>
        <v>6.1</v>
      </c>
      <c r="I2958" s="29">
        <f>Table1[[#This Row],[Total Revenue]]/$H$5056*100</f>
        <v>6.4718405707696509E-4</v>
      </c>
      <c r="J2958" s="3" t="s">
        <v>15</v>
      </c>
      <c r="K2958" s="4">
        <v>7.2</v>
      </c>
      <c r="M2958"/>
    </row>
    <row r="2959" spans="1:13" x14ac:dyDescent="0.25">
      <c r="A2959" s="3" t="s">
        <v>160</v>
      </c>
      <c r="B2959" s="3" t="s">
        <v>244</v>
      </c>
      <c r="C2959" s="3" t="s">
        <v>13</v>
      </c>
      <c r="D2959" s="3" t="s">
        <v>19</v>
      </c>
      <c r="E2959" s="5" t="s">
        <v>21</v>
      </c>
      <c r="F2959" s="17">
        <v>24.15</v>
      </c>
      <c r="G2959" s="3">
        <v>2</v>
      </c>
      <c r="H2959" s="17">
        <f>Table1[[#This Row],[Unit price]]*Table1[[#This Row],[Quantity]]</f>
        <v>48.3</v>
      </c>
      <c r="I2959" s="29">
        <f>Table1[[#This Row],[Total Revenue]]/$H$5056*100</f>
        <v>5.1244245830848216E-3</v>
      </c>
      <c r="J2959" s="3" t="s">
        <v>12</v>
      </c>
      <c r="K2959" s="4">
        <v>8.1</v>
      </c>
      <c r="M2959"/>
    </row>
    <row r="2960" spans="1:13" x14ac:dyDescent="0.25">
      <c r="A2960" s="3" t="s">
        <v>160</v>
      </c>
      <c r="B2960" s="3" t="s">
        <v>244</v>
      </c>
      <c r="C2960" s="3" t="s">
        <v>13</v>
      </c>
      <c r="D2960" s="3" t="s">
        <v>10</v>
      </c>
      <c r="E2960" s="5" t="s">
        <v>18</v>
      </c>
      <c r="F2960" s="17">
        <v>12.93</v>
      </c>
      <c r="G2960" s="3">
        <v>1</v>
      </c>
      <c r="H2960" s="17">
        <f>Table1[[#This Row],[Unit price]]*Table1[[#This Row],[Quantity]]</f>
        <v>12.93</v>
      </c>
      <c r="I2960" s="29">
        <f>Table1[[#This Row],[Total Revenue]]/$H$5056*100</f>
        <v>1.3718180095090423E-3</v>
      </c>
      <c r="J2960" s="3" t="s">
        <v>17</v>
      </c>
      <c r="K2960" s="4">
        <v>8.3000000000000007</v>
      </c>
      <c r="M2960"/>
    </row>
    <row r="2961" spans="1:13" x14ac:dyDescent="0.25">
      <c r="A2961" s="3" t="s">
        <v>160</v>
      </c>
      <c r="B2961" s="3" t="s">
        <v>243</v>
      </c>
      <c r="C2961" s="3" t="s">
        <v>13</v>
      </c>
      <c r="D2961" s="3" t="s">
        <v>10</v>
      </c>
      <c r="E2961" s="5" t="s">
        <v>11</v>
      </c>
      <c r="F2961" s="17">
        <v>2.5</v>
      </c>
      <c r="G2961" s="3">
        <v>3</v>
      </c>
      <c r="H2961" s="17">
        <f>Table1[[#This Row],[Unit price]]*Table1[[#This Row],[Quantity]]</f>
        <v>7.5</v>
      </c>
      <c r="I2961" s="29">
        <f>Table1[[#This Row],[Total Revenue]]/$H$5056*100</f>
        <v>7.9571810296348165E-4</v>
      </c>
      <c r="J2961" s="3" t="s">
        <v>15</v>
      </c>
      <c r="K2961" s="4">
        <v>6.6</v>
      </c>
      <c r="M2961"/>
    </row>
    <row r="2962" spans="1:13" x14ac:dyDescent="0.25">
      <c r="A2962" s="3" t="s">
        <v>160</v>
      </c>
      <c r="B2962" s="3" t="s">
        <v>243</v>
      </c>
      <c r="C2962" s="3" t="s">
        <v>13</v>
      </c>
      <c r="D2962" s="3" t="s">
        <v>19</v>
      </c>
      <c r="E2962" s="5" t="s">
        <v>21</v>
      </c>
      <c r="F2962" s="17">
        <v>32.65</v>
      </c>
      <c r="G2962" s="3">
        <v>3</v>
      </c>
      <c r="H2962" s="17">
        <f>Table1[[#This Row],[Unit price]]*Table1[[#This Row],[Quantity]]</f>
        <v>97.949999999999989</v>
      </c>
      <c r="I2962" s="29">
        <f>Table1[[#This Row],[Total Revenue]]/$H$5056*100</f>
        <v>1.0392078424703069E-2</v>
      </c>
      <c r="J2962" s="3" t="s">
        <v>15</v>
      </c>
      <c r="K2962" s="4">
        <v>4.8</v>
      </c>
      <c r="M2962"/>
    </row>
    <row r="2963" spans="1:13" x14ac:dyDescent="0.25">
      <c r="A2963" s="3" t="s">
        <v>160</v>
      </c>
      <c r="B2963" s="3" t="s">
        <v>244</v>
      </c>
      <c r="C2963" s="3" t="s">
        <v>13</v>
      </c>
      <c r="D2963" s="3" t="s">
        <v>19</v>
      </c>
      <c r="E2963" s="5" t="s">
        <v>11</v>
      </c>
      <c r="F2963" s="17">
        <v>5.1100000000000003</v>
      </c>
      <c r="G2963" s="3">
        <v>2</v>
      </c>
      <c r="H2963" s="17">
        <f>Table1[[#This Row],[Unit price]]*Table1[[#This Row],[Quantity]]</f>
        <v>10.220000000000001</v>
      </c>
      <c r="I2963" s="29">
        <f>Table1[[#This Row],[Total Revenue]]/$H$5056*100</f>
        <v>1.0842985349715712E-3</v>
      </c>
      <c r="J2963" s="3" t="s">
        <v>15</v>
      </c>
      <c r="K2963" s="4">
        <v>8.6</v>
      </c>
      <c r="M2963"/>
    </row>
    <row r="2964" spans="1:13" x14ac:dyDescent="0.25">
      <c r="A2964" s="3" t="s">
        <v>160</v>
      </c>
      <c r="B2964" s="3" t="s">
        <v>243</v>
      </c>
      <c r="C2964" s="3" t="s">
        <v>13</v>
      </c>
      <c r="D2964" s="3" t="s">
        <v>10</v>
      </c>
      <c r="E2964" s="5" t="s">
        <v>16</v>
      </c>
      <c r="F2964" s="17">
        <v>71.900000000000006</v>
      </c>
      <c r="G2964" s="3">
        <v>1</v>
      </c>
      <c r="H2964" s="17">
        <f>Table1[[#This Row],[Unit price]]*Table1[[#This Row],[Quantity]]</f>
        <v>71.900000000000006</v>
      </c>
      <c r="I2964" s="29">
        <f>Table1[[#This Row],[Total Revenue]]/$H$5056*100</f>
        <v>7.6282842137432444E-3</v>
      </c>
      <c r="J2964" s="3" t="s">
        <v>17</v>
      </c>
      <c r="K2964" s="4">
        <v>7.4</v>
      </c>
      <c r="M2964"/>
    </row>
    <row r="2965" spans="1:13" x14ac:dyDescent="0.25">
      <c r="A2965" s="3" t="s">
        <v>160</v>
      </c>
      <c r="B2965" s="3" t="s">
        <v>245</v>
      </c>
      <c r="C2965" s="3" t="s">
        <v>13</v>
      </c>
      <c r="D2965" s="3" t="s">
        <v>19</v>
      </c>
      <c r="E2965" s="5" t="s">
        <v>11</v>
      </c>
      <c r="F2965" s="17">
        <v>6.2</v>
      </c>
      <c r="G2965" s="3">
        <v>3</v>
      </c>
      <c r="H2965" s="17">
        <f>Table1[[#This Row],[Unit price]]*Table1[[#This Row],[Quantity]]</f>
        <v>18.600000000000001</v>
      </c>
      <c r="I2965" s="29">
        <f>Table1[[#This Row],[Total Revenue]]/$H$5056*100</f>
        <v>1.9733808953494346E-3</v>
      </c>
      <c r="J2965" s="3" t="s">
        <v>15</v>
      </c>
      <c r="K2965" s="4">
        <v>7.6</v>
      </c>
      <c r="M2965"/>
    </row>
    <row r="2966" spans="1:13" x14ac:dyDescent="0.25">
      <c r="A2966" s="3" t="s">
        <v>160</v>
      </c>
      <c r="B2966" s="3" t="s">
        <v>243</v>
      </c>
      <c r="C2966" s="3" t="s">
        <v>13</v>
      </c>
      <c r="D2966" s="3" t="s">
        <v>10</v>
      </c>
      <c r="E2966" s="5" t="s">
        <v>21</v>
      </c>
      <c r="F2966" s="17">
        <v>31.26</v>
      </c>
      <c r="G2966" s="3">
        <v>4</v>
      </c>
      <c r="H2966" s="17">
        <f>Table1[[#This Row],[Unit price]]*Table1[[#This Row],[Quantity]]</f>
        <v>125.04</v>
      </c>
      <c r="I2966" s="29">
        <f>Table1[[#This Row],[Total Revenue]]/$H$5056*100</f>
        <v>1.3266212212607167E-2</v>
      </c>
      <c r="J2966" s="3" t="s">
        <v>12</v>
      </c>
      <c r="K2966" s="4">
        <v>7.6</v>
      </c>
      <c r="M2966"/>
    </row>
    <row r="2967" spans="1:13" x14ac:dyDescent="0.25">
      <c r="A2967" s="3" t="s">
        <v>160</v>
      </c>
      <c r="B2967" s="3" t="s">
        <v>245</v>
      </c>
      <c r="C2967" s="3" t="s">
        <v>13</v>
      </c>
      <c r="D2967" s="3" t="s">
        <v>10</v>
      </c>
      <c r="E2967" s="5" t="s">
        <v>11</v>
      </c>
      <c r="F2967" s="17">
        <v>6.08</v>
      </c>
      <c r="G2967" s="3">
        <v>3</v>
      </c>
      <c r="H2967" s="17">
        <f>Table1[[#This Row],[Unit price]]*Table1[[#This Row],[Quantity]]</f>
        <v>18.240000000000002</v>
      </c>
      <c r="I2967" s="29">
        <f>Table1[[#This Row],[Total Revenue]]/$H$5056*100</f>
        <v>1.9351864264071875E-3</v>
      </c>
      <c r="J2967" s="3" t="s">
        <v>12</v>
      </c>
      <c r="K2967" s="4">
        <v>8.6</v>
      </c>
      <c r="M2967"/>
    </row>
    <row r="2968" spans="1:13" x14ac:dyDescent="0.25">
      <c r="A2968" s="3" t="s">
        <v>160</v>
      </c>
      <c r="B2968" s="3" t="s">
        <v>243</v>
      </c>
      <c r="C2968" s="3" t="s">
        <v>13</v>
      </c>
      <c r="D2968" s="3" t="s">
        <v>10</v>
      </c>
      <c r="E2968" s="5" t="s">
        <v>21</v>
      </c>
      <c r="F2968" s="17">
        <v>25.68</v>
      </c>
      <c r="G2968" s="3">
        <v>2</v>
      </c>
      <c r="H2968" s="17">
        <f>Table1[[#This Row],[Unit price]]*Table1[[#This Row],[Quantity]]</f>
        <v>51.36</v>
      </c>
      <c r="I2968" s="29">
        <f>Table1[[#This Row],[Total Revenue]]/$H$5056*100</f>
        <v>5.4490775690939222E-3</v>
      </c>
      <c r="J2968" s="3" t="s">
        <v>15</v>
      </c>
      <c r="K2968" s="4">
        <v>6.7</v>
      </c>
      <c r="M2968"/>
    </row>
    <row r="2969" spans="1:13" x14ac:dyDescent="0.25">
      <c r="A2969" s="3" t="s">
        <v>160</v>
      </c>
      <c r="B2969" s="3" t="s">
        <v>243</v>
      </c>
      <c r="C2969" s="3" t="s">
        <v>13</v>
      </c>
      <c r="D2969" s="3" t="s">
        <v>19</v>
      </c>
      <c r="E2969" s="5" t="s">
        <v>21</v>
      </c>
      <c r="F2969" s="17">
        <v>27.81</v>
      </c>
      <c r="G2969" s="3">
        <v>4</v>
      </c>
      <c r="H2969" s="17">
        <f>Table1[[#This Row],[Unit price]]*Table1[[#This Row],[Quantity]]</f>
        <v>111.24</v>
      </c>
      <c r="I2969" s="29">
        <f>Table1[[#This Row],[Total Revenue]]/$H$5056*100</f>
        <v>1.180209090315436E-2</v>
      </c>
      <c r="J2969" s="3" t="s">
        <v>12</v>
      </c>
      <c r="K2969" s="4">
        <v>7.8</v>
      </c>
      <c r="M2969"/>
    </row>
    <row r="2970" spans="1:13" x14ac:dyDescent="0.25">
      <c r="A2970" s="3" t="s">
        <v>160</v>
      </c>
      <c r="B2970" s="3" t="s">
        <v>244</v>
      </c>
      <c r="C2970" s="3" t="s">
        <v>9</v>
      </c>
      <c r="D2970" s="3" t="s">
        <v>19</v>
      </c>
      <c r="E2970" s="5" t="s">
        <v>21</v>
      </c>
      <c r="F2970" s="17">
        <v>20.39</v>
      </c>
      <c r="G2970" s="3">
        <v>3</v>
      </c>
      <c r="H2970" s="17">
        <f>Table1[[#This Row],[Unit price]]*Table1[[#This Row],[Quantity]]</f>
        <v>61.17</v>
      </c>
      <c r="I2970" s="29">
        <f>Table1[[#This Row],[Total Revenue]]/$H$5056*100</f>
        <v>6.4898768477701556E-3</v>
      </c>
      <c r="J2970" s="3" t="s">
        <v>17</v>
      </c>
      <c r="K2970" s="4">
        <v>7.1</v>
      </c>
      <c r="M2970"/>
    </row>
    <row r="2971" spans="1:13" x14ac:dyDescent="0.25">
      <c r="A2971" s="3" t="s">
        <v>160</v>
      </c>
      <c r="B2971" s="3" t="s">
        <v>243</v>
      </c>
      <c r="C2971" s="3" t="s">
        <v>13</v>
      </c>
      <c r="D2971" s="3" t="s">
        <v>10</v>
      </c>
      <c r="E2971" s="5" t="s">
        <v>21</v>
      </c>
      <c r="F2971" s="17">
        <v>35.090000000000003</v>
      </c>
      <c r="G2971" s="3">
        <v>3</v>
      </c>
      <c r="H2971" s="17">
        <f>Table1[[#This Row],[Unit price]]*Table1[[#This Row],[Quantity]]</f>
        <v>105.27000000000001</v>
      </c>
      <c r="I2971" s="29">
        <f>Table1[[#This Row],[Total Revenue]]/$H$5056*100</f>
        <v>1.116869929319543E-2</v>
      </c>
      <c r="J2971" s="3" t="s">
        <v>12</v>
      </c>
      <c r="K2971" s="4">
        <v>8.6</v>
      </c>
      <c r="M2971"/>
    </row>
    <row r="2972" spans="1:13" x14ac:dyDescent="0.25">
      <c r="A2972" s="3" t="s">
        <v>160</v>
      </c>
      <c r="B2972" s="3" t="s">
        <v>244</v>
      </c>
      <c r="C2972" s="3" t="s">
        <v>9</v>
      </c>
      <c r="D2972" s="3" t="s">
        <v>10</v>
      </c>
      <c r="E2972" s="5" t="s">
        <v>18</v>
      </c>
      <c r="F2972" s="17">
        <v>7.16</v>
      </c>
      <c r="G2972" s="3">
        <v>2</v>
      </c>
      <c r="H2972" s="17">
        <f>Table1[[#This Row],[Unit price]]*Table1[[#This Row],[Quantity]]</f>
        <v>14.32</v>
      </c>
      <c r="I2972" s="29">
        <f>Table1[[#This Row],[Total Revenue]]/$H$5056*100</f>
        <v>1.519291097924941E-3</v>
      </c>
      <c r="J2972" s="3" t="s">
        <v>15</v>
      </c>
      <c r="K2972" s="4">
        <v>4.5999999999999996</v>
      </c>
      <c r="M2972"/>
    </row>
    <row r="2973" spans="1:13" x14ac:dyDescent="0.25">
      <c r="A2973" s="3" t="s">
        <v>161</v>
      </c>
      <c r="B2973" s="3" t="s">
        <v>244</v>
      </c>
      <c r="C2973" s="3" t="s">
        <v>13</v>
      </c>
      <c r="D2973" s="3" t="s">
        <v>10</v>
      </c>
      <c r="E2973" s="5" t="s">
        <v>11</v>
      </c>
      <c r="F2973" s="17">
        <v>6.69</v>
      </c>
      <c r="G2973" s="3">
        <v>5</v>
      </c>
      <c r="H2973" s="17">
        <f>Table1[[#This Row],[Unit price]]*Table1[[#This Row],[Quantity]]</f>
        <v>33.450000000000003</v>
      </c>
      <c r="I2973" s="29">
        <f>Table1[[#This Row],[Total Revenue]]/$H$5056*100</f>
        <v>3.5489027392171285E-3</v>
      </c>
      <c r="J2973" s="3" t="s">
        <v>15</v>
      </c>
      <c r="K2973" s="4">
        <v>7</v>
      </c>
      <c r="M2973"/>
    </row>
    <row r="2974" spans="1:13" x14ac:dyDescent="0.25">
      <c r="A2974" s="3" t="s">
        <v>161</v>
      </c>
      <c r="B2974" s="3" t="s">
        <v>244</v>
      </c>
      <c r="C2974" s="3" t="s">
        <v>9</v>
      </c>
      <c r="D2974" s="3" t="s">
        <v>10</v>
      </c>
      <c r="E2974" s="5" t="s">
        <v>11</v>
      </c>
      <c r="F2974" s="17">
        <v>7.18</v>
      </c>
      <c r="G2974" s="3">
        <v>2</v>
      </c>
      <c r="H2974" s="17">
        <f>Table1[[#This Row],[Unit price]]*Table1[[#This Row],[Quantity]]</f>
        <v>14.36</v>
      </c>
      <c r="I2974" s="29">
        <f>Table1[[#This Row],[Total Revenue]]/$H$5056*100</f>
        <v>1.5235349278074129E-3</v>
      </c>
      <c r="J2974" s="3" t="s">
        <v>17</v>
      </c>
      <c r="K2974" s="4">
        <v>7.6</v>
      </c>
      <c r="M2974"/>
    </row>
    <row r="2975" spans="1:13" x14ac:dyDescent="0.25">
      <c r="A2975" s="3" t="s">
        <v>161</v>
      </c>
      <c r="B2975" s="3" t="s">
        <v>245</v>
      </c>
      <c r="C2975" s="3" t="s">
        <v>13</v>
      </c>
      <c r="D2975" s="3" t="s">
        <v>19</v>
      </c>
      <c r="E2975" s="5" t="s">
        <v>11</v>
      </c>
      <c r="F2975" s="17">
        <v>7.26</v>
      </c>
      <c r="G2975" s="3">
        <v>2</v>
      </c>
      <c r="H2975" s="17">
        <f>Table1[[#This Row],[Unit price]]*Table1[[#This Row],[Quantity]]</f>
        <v>14.52</v>
      </c>
      <c r="I2975" s="29">
        <f>Table1[[#This Row],[Total Revenue]]/$H$5056*100</f>
        <v>1.5405102473373003E-3</v>
      </c>
      <c r="J2975" s="3" t="s">
        <v>17</v>
      </c>
      <c r="K2975" s="4">
        <v>5.9</v>
      </c>
      <c r="M2975"/>
    </row>
    <row r="2976" spans="1:13" x14ac:dyDescent="0.25">
      <c r="A2976" s="3" t="s">
        <v>161</v>
      </c>
      <c r="B2976" s="3" t="s">
        <v>244</v>
      </c>
      <c r="C2976" s="3" t="s">
        <v>13</v>
      </c>
      <c r="D2976" s="3" t="s">
        <v>10</v>
      </c>
      <c r="E2976" s="5" t="s">
        <v>11</v>
      </c>
      <c r="F2976" s="17">
        <v>2.66</v>
      </c>
      <c r="G2976" s="3">
        <v>4</v>
      </c>
      <c r="H2976" s="17">
        <f>Table1[[#This Row],[Unit price]]*Table1[[#This Row],[Quantity]]</f>
        <v>10.64</v>
      </c>
      <c r="I2976" s="29">
        <f>Table1[[#This Row],[Total Revenue]]/$H$5056*100</f>
        <v>1.1288587487375259E-3</v>
      </c>
      <c r="J2976" s="3" t="s">
        <v>15</v>
      </c>
      <c r="K2976" s="4">
        <v>9.6</v>
      </c>
      <c r="M2976"/>
    </row>
    <row r="2977" spans="1:13" x14ac:dyDescent="0.25">
      <c r="A2977" s="3" t="s">
        <v>161</v>
      </c>
      <c r="B2977" s="3" t="s">
        <v>245</v>
      </c>
      <c r="C2977" s="3" t="s">
        <v>13</v>
      </c>
      <c r="D2977" s="3" t="s">
        <v>10</v>
      </c>
      <c r="E2977" s="5" t="s">
        <v>11</v>
      </c>
      <c r="F2977" s="17">
        <v>6.54</v>
      </c>
      <c r="G2977" s="3">
        <v>5</v>
      </c>
      <c r="H2977" s="17">
        <f>Table1[[#This Row],[Unit price]]*Table1[[#This Row],[Quantity]]</f>
        <v>32.700000000000003</v>
      </c>
      <c r="I2977" s="29">
        <f>Table1[[#This Row],[Total Revenue]]/$H$5056*100</f>
        <v>3.4693309289207806E-3</v>
      </c>
      <c r="J2977" s="3" t="s">
        <v>15</v>
      </c>
      <c r="K2977" s="4">
        <v>8.4</v>
      </c>
      <c r="M2977"/>
    </row>
    <row r="2978" spans="1:13" x14ac:dyDescent="0.25">
      <c r="A2978" s="3" t="s">
        <v>161</v>
      </c>
      <c r="B2978" s="3" t="s">
        <v>243</v>
      </c>
      <c r="C2978" s="3" t="s">
        <v>13</v>
      </c>
      <c r="D2978" s="3" t="s">
        <v>19</v>
      </c>
      <c r="E2978" s="5" t="s">
        <v>11</v>
      </c>
      <c r="F2978" s="17">
        <v>6.36</v>
      </c>
      <c r="G2978" s="3">
        <v>4</v>
      </c>
      <c r="H2978" s="17">
        <f>Table1[[#This Row],[Unit price]]*Table1[[#This Row],[Quantity]]</f>
        <v>25.44</v>
      </c>
      <c r="I2978" s="29">
        <f>Table1[[#This Row],[Total Revenue]]/$H$5056*100</f>
        <v>2.6990758052521297E-3</v>
      </c>
      <c r="J2978" s="3" t="s">
        <v>12</v>
      </c>
      <c r="K2978" s="4">
        <v>6.9</v>
      </c>
      <c r="M2978"/>
    </row>
    <row r="2979" spans="1:13" x14ac:dyDescent="0.25">
      <c r="A2979" s="3" t="s">
        <v>161</v>
      </c>
      <c r="B2979" s="3" t="s">
        <v>243</v>
      </c>
      <c r="C2979" s="3" t="s">
        <v>13</v>
      </c>
      <c r="D2979" s="3" t="s">
        <v>10</v>
      </c>
      <c r="E2979" s="5" t="s">
        <v>11</v>
      </c>
      <c r="F2979" s="17">
        <v>7.35</v>
      </c>
      <c r="G2979" s="3">
        <v>4</v>
      </c>
      <c r="H2979" s="17">
        <f>Table1[[#This Row],[Unit price]]*Table1[[#This Row],[Quantity]]</f>
        <v>29.4</v>
      </c>
      <c r="I2979" s="29">
        <f>Table1[[#This Row],[Total Revenue]]/$H$5056*100</f>
        <v>3.1192149636168481E-3</v>
      </c>
      <c r="J2979" s="3" t="s">
        <v>15</v>
      </c>
      <c r="K2979" s="4">
        <v>7</v>
      </c>
      <c r="M2979"/>
    </row>
    <row r="2980" spans="1:13" x14ac:dyDescent="0.25">
      <c r="A2980" s="3" t="s">
        <v>161</v>
      </c>
      <c r="B2980" s="3" t="s">
        <v>243</v>
      </c>
      <c r="C2980" s="3" t="s">
        <v>9</v>
      </c>
      <c r="D2980" s="3" t="s">
        <v>10</v>
      </c>
      <c r="E2980" s="5" t="s">
        <v>20</v>
      </c>
      <c r="F2980" s="17">
        <v>50.65</v>
      </c>
      <c r="G2980" s="3">
        <v>5</v>
      </c>
      <c r="H2980" s="17">
        <f>Table1[[#This Row],[Unit price]]*Table1[[#This Row],[Quantity]]</f>
        <v>253.25</v>
      </c>
      <c r="I2980" s="29">
        <f>Table1[[#This Row],[Total Revenue]]/$H$5056*100</f>
        <v>2.6868747943400231E-2</v>
      </c>
      <c r="J2980" s="3" t="s">
        <v>12</v>
      </c>
      <c r="K2980" s="4">
        <v>6.3</v>
      </c>
      <c r="M2980"/>
    </row>
    <row r="2981" spans="1:13" x14ac:dyDescent="0.25">
      <c r="A2981" s="3" t="s">
        <v>162</v>
      </c>
      <c r="B2981" s="3" t="s">
        <v>245</v>
      </c>
      <c r="C2981" s="3" t="s">
        <v>9</v>
      </c>
      <c r="D2981" s="3" t="s">
        <v>10</v>
      </c>
      <c r="E2981" s="5" t="s">
        <v>11</v>
      </c>
      <c r="F2981" s="17">
        <v>5.54</v>
      </c>
      <c r="G2981" s="3">
        <v>6</v>
      </c>
      <c r="H2981" s="17">
        <f>Table1[[#This Row],[Unit price]]*Table1[[#This Row],[Quantity]]</f>
        <v>33.24</v>
      </c>
      <c r="I2981" s="29">
        <f>Table1[[#This Row],[Total Revenue]]/$H$5056*100</f>
        <v>3.5266226323341508E-3</v>
      </c>
      <c r="J2981" s="3" t="s">
        <v>17</v>
      </c>
      <c r="K2981" s="4">
        <v>7.4</v>
      </c>
      <c r="M2981"/>
    </row>
    <row r="2982" spans="1:13" x14ac:dyDescent="0.25">
      <c r="A2982" s="3" t="s">
        <v>162</v>
      </c>
      <c r="B2982" s="3" t="s">
        <v>243</v>
      </c>
      <c r="C2982" s="3" t="s">
        <v>9</v>
      </c>
      <c r="D2982" s="3" t="s">
        <v>19</v>
      </c>
      <c r="E2982" s="5" t="s">
        <v>14</v>
      </c>
      <c r="F2982" s="17">
        <v>87.26</v>
      </c>
      <c r="G2982" s="3">
        <v>1</v>
      </c>
      <c r="H2982" s="17">
        <f>Table1[[#This Row],[Unit price]]*Table1[[#This Row],[Quantity]]</f>
        <v>87.26</v>
      </c>
      <c r="I2982" s="29">
        <f>Table1[[#This Row],[Total Revenue]]/$H$5056*100</f>
        <v>9.2579148886124552E-3</v>
      </c>
      <c r="J2982" s="3" t="s">
        <v>15</v>
      </c>
      <c r="K2982" s="4">
        <v>5.6</v>
      </c>
      <c r="M2982"/>
    </row>
    <row r="2983" spans="1:13" x14ac:dyDescent="0.25">
      <c r="A2983" s="3" t="s">
        <v>162</v>
      </c>
      <c r="B2983" s="3" t="s">
        <v>243</v>
      </c>
      <c r="C2983" s="3" t="s">
        <v>13</v>
      </c>
      <c r="D2983" s="3" t="s">
        <v>10</v>
      </c>
      <c r="E2983" s="5" t="s">
        <v>11</v>
      </c>
      <c r="F2983" s="17">
        <v>7.17</v>
      </c>
      <c r="G2983" s="3">
        <v>4</v>
      </c>
      <c r="H2983" s="17">
        <f>Table1[[#This Row],[Unit price]]*Table1[[#This Row],[Quantity]]</f>
        <v>28.68</v>
      </c>
      <c r="I2983" s="29">
        <f>Table1[[#This Row],[Total Revenue]]/$H$5056*100</f>
        <v>3.042826025732354E-3</v>
      </c>
      <c r="J2983" s="3" t="s">
        <v>12</v>
      </c>
      <c r="K2983" s="4">
        <v>7.8</v>
      </c>
      <c r="M2983"/>
    </row>
    <row r="2984" spans="1:13" x14ac:dyDescent="0.25">
      <c r="A2984" s="3" t="s">
        <v>162</v>
      </c>
      <c r="B2984" s="3" t="s">
        <v>244</v>
      </c>
      <c r="C2984" s="3" t="s">
        <v>13</v>
      </c>
      <c r="D2984" s="3" t="s">
        <v>10</v>
      </c>
      <c r="E2984" s="5" t="s">
        <v>11</v>
      </c>
      <c r="F2984" s="17">
        <v>7.03</v>
      </c>
      <c r="G2984" s="3">
        <v>3</v>
      </c>
      <c r="H2984" s="17">
        <f>Table1[[#This Row],[Unit price]]*Table1[[#This Row],[Quantity]]</f>
        <v>21.09</v>
      </c>
      <c r="I2984" s="29">
        <f>Table1[[#This Row],[Total Revenue]]/$H$5056*100</f>
        <v>2.2375593055333105E-3</v>
      </c>
      <c r="J2984" s="3" t="s">
        <v>17</v>
      </c>
      <c r="K2984" s="4">
        <v>8.1999999999999993</v>
      </c>
      <c r="M2984"/>
    </row>
    <row r="2985" spans="1:13" x14ac:dyDescent="0.25">
      <c r="A2985" s="3" t="s">
        <v>162</v>
      </c>
      <c r="B2985" s="3" t="s">
        <v>243</v>
      </c>
      <c r="C2985" s="3" t="s">
        <v>13</v>
      </c>
      <c r="D2985" s="3" t="s">
        <v>10</v>
      </c>
      <c r="E2985" s="5" t="s">
        <v>21</v>
      </c>
      <c r="F2985" s="17">
        <v>35.270000000000003</v>
      </c>
      <c r="G2985" s="3">
        <v>1</v>
      </c>
      <c r="H2985" s="17">
        <f>Table1[[#This Row],[Unit price]]*Table1[[#This Row],[Quantity]]</f>
        <v>35.270000000000003</v>
      </c>
      <c r="I2985" s="29">
        <f>Table1[[#This Row],[Total Revenue]]/$H$5056*100</f>
        <v>3.7419969988696004E-3</v>
      </c>
      <c r="J2985" s="3" t="s">
        <v>17</v>
      </c>
      <c r="K2985" s="4">
        <v>6.6</v>
      </c>
      <c r="M2985"/>
    </row>
    <row r="2986" spans="1:13" x14ac:dyDescent="0.25">
      <c r="A2986" s="3" t="s">
        <v>162</v>
      </c>
      <c r="B2986" s="3" t="s">
        <v>245</v>
      </c>
      <c r="C2986" s="3" t="s">
        <v>9</v>
      </c>
      <c r="D2986" s="3" t="s">
        <v>19</v>
      </c>
      <c r="E2986" s="5" t="s">
        <v>11</v>
      </c>
      <c r="F2986" s="17">
        <v>5.12</v>
      </c>
      <c r="G2986" s="3">
        <v>6</v>
      </c>
      <c r="H2986" s="17">
        <f>Table1[[#This Row],[Unit price]]*Table1[[#This Row],[Quantity]]</f>
        <v>30.72</v>
      </c>
      <c r="I2986" s="29">
        <f>Table1[[#This Row],[Total Revenue]]/$H$5056*100</f>
        <v>3.2592613497384212E-3</v>
      </c>
      <c r="J2986" s="3" t="s">
        <v>15</v>
      </c>
      <c r="K2986" s="4">
        <v>7.1</v>
      </c>
      <c r="M2986"/>
    </row>
    <row r="2987" spans="1:13" x14ac:dyDescent="0.25">
      <c r="A2987" s="3" t="s">
        <v>162</v>
      </c>
      <c r="B2987" s="3" t="s">
        <v>244</v>
      </c>
      <c r="C2987" s="3" t="s">
        <v>13</v>
      </c>
      <c r="D2987" s="3" t="s">
        <v>19</v>
      </c>
      <c r="E2987" s="5" t="s">
        <v>18</v>
      </c>
      <c r="F2987" s="17">
        <v>17.43</v>
      </c>
      <c r="G2987" s="3">
        <v>2</v>
      </c>
      <c r="H2987" s="17">
        <f>Table1[[#This Row],[Unit price]]*Table1[[#This Row],[Quantity]]</f>
        <v>34.86</v>
      </c>
      <c r="I2987" s="29">
        <f>Table1[[#This Row],[Total Revenue]]/$H$5056*100</f>
        <v>3.6984977425742627E-3</v>
      </c>
      <c r="J2987" s="3" t="s">
        <v>12</v>
      </c>
      <c r="K2987" s="4">
        <v>7.8</v>
      </c>
      <c r="M2987"/>
    </row>
    <row r="2988" spans="1:13" x14ac:dyDescent="0.25">
      <c r="A2988" s="3" t="s">
        <v>162</v>
      </c>
      <c r="B2988" s="3" t="s">
        <v>243</v>
      </c>
      <c r="C2988" s="3" t="s">
        <v>13</v>
      </c>
      <c r="D2988" s="3" t="s">
        <v>19</v>
      </c>
      <c r="E2988" s="5" t="s">
        <v>11</v>
      </c>
      <c r="F2988" s="17">
        <v>6.13</v>
      </c>
      <c r="G2988" s="3">
        <v>4</v>
      </c>
      <c r="H2988" s="17">
        <f>Table1[[#This Row],[Unit price]]*Table1[[#This Row],[Quantity]]</f>
        <v>24.52</v>
      </c>
      <c r="I2988" s="29">
        <f>Table1[[#This Row],[Total Revenue]]/$H$5056*100</f>
        <v>2.6014677179552761E-3</v>
      </c>
      <c r="J2988" s="3" t="s">
        <v>15</v>
      </c>
      <c r="K2988" s="4">
        <v>8.3000000000000007</v>
      </c>
      <c r="M2988"/>
    </row>
    <row r="2989" spans="1:13" x14ac:dyDescent="0.25">
      <c r="A2989" s="3" t="s">
        <v>162</v>
      </c>
      <c r="B2989" s="3" t="s">
        <v>245</v>
      </c>
      <c r="C2989" s="3" t="s">
        <v>13</v>
      </c>
      <c r="D2989" s="3" t="s">
        <v>10</v>
      </c>
      <c r="E2989" s="5" t="s">
        <v>21</v>
      </c>
      <c r="F2989" s="17">
        <v>36.61</v>
      </c>
      <c r="G2989" s="3">
        <v>2</v>
      </c>
      <c r="H2989" s="17">
        <f>Table1[[#This Row],[Unit price]]*Table1[[#This Row],[Quantity]]</f>
        <v>73.22</v>
      </c>
      <c r="I2989" s="29">
        <f>Table1[[#This Row],[Total Revenue]]/$H$5056*100</f>
        <v>7.768330599864817E-3</v>
      </c>
      <c r="J2989" s="3" t="s">
        <v>12</v>
      </c>
      <c r="K2989" s="4">
        <v>8.6</v>
      </c>
      <c r="M2989"/>
    </row>
    <row r="2990" spans="1:13" x14ac:dyDescent="0.25">
      <c r="A2990" s="3" t="s">
        <v>162</v>
      </c>
      <c r="B2990" s="3" t="s">
        <v>244</v>
      </c>
      <c r="C2990" s="3" t="s">
        <v>13</v>
      </c>
      <c r="D2990" s="3" t="s">
        <v>10</v>
      </c>
      <c r="E2990" s="5" t="s">
        <v>21</v>
      </c>
      <c r="F2990" s="17">
        <v>32.28</v>
      </c>
      <c r="G2990" s="3">
        <v>3</v>
      </c>
      <c r="H2990" s="17">
        <f>Table1[[#This Row],[Unit price]]*Table1[[#This Row],[Quantity]]</f>
        <v>96.84</v>
      </c>
      <c r="I2990" s="29">
        <f>Table1[[#This Row],[Total Revenue]]/$H$5056*100</f>
        <v>1.0274312145464475E-2</v>
      </c>
      <c r="J2990" s="3" t="s">
        <v>15</v>
      </c>
      <c r="K2990" s="4">
        <v>6.6</v>
      </c>
      <c r="M2990"/>
    </row>
    <row r="2991" spans="1:13" x14ac:dyDescent="0.25">
      <c r="A2991" s="3" t="s">
        <v>162</v>
      </c>
      <c r="B2991" s="3" t="s">
        <v>243</v>
      </c>
      <c r="C2991" s="3" t="s">
        <v>13</v>
      </c>
      <c r="D2991" s="3" t="s">
        <v>10</v>
      </c>
      <c r="E2991" s="5" t="s">
        <v>11</v>
      </c>
      <c r="F2991" s="17">
        <v>5.76</v>
      </c>
      <c r="G2991" s="3">
        <v>2</v>
      </c>
      <c r="H2991" s="17">
        <f>Table1[[#This Row],[Unit price]]*Table1[[#This Row],[Quantity]]</f>
        <v>11.52</v>
      </c>
      <c r="I2991" s="29">
        <f>Table1[[#This Row],[Total Revenue]]/$H$5056*100</f>
        <v>1.2222230061519079E-3</v>
      </c>
      <c r="J2991" s="3" t="s">
        <v>17</v>
      </c>
      <c r="K2991" s="4">
        <v>7.3</v>
      </c>
      <c r="M2991"/>
    </row>
    <row r="2992" spans="1:13" x14ac:dyDescent="0.25">
      <c r="A2992" s="3" t="s">
        <v>162</v>
      </c>
      <c r="B2992" s="3" t="s">
        <v>243</v>
      </c>
      <c r="C2992" s="3" t="s">
        <v>9</v>
      </c>
      <c r="D2992" s="3" t="s">
        <v>19</v>
      </c>
      <c r="E2992" s="5" t="s">
        <v>21</v>
      </c>
      <c r="F2992" s="17">
        <v>31.41</v>
      </c>
      <c r="G2992" s="3">
        <v>4</v>
      </c>
      <c r="H2992" s="17">
        <f>Table1[[#This Row],[Unit price]]*Table1[[#This Row],[Quantity]]</f>
        <v>125.64</v>
      </c>
      <c r="I2992" s="29">
        <f>Table1[[#This Row],[Total Revenue]]/$H$5056*100</f>
        <v>1.3329869660844243E-2</v>
      </c>
      <c r="J2992" s="3" t="s">
        <v>15</v>
      </c>
      <c r="K2992" s="4">
        <v>7.4</v>
      </c>
      <c r="M2992"/>
    </row>
    <row r="2993" spans="1:13" x14ac:dyDescent="0.25">
      <c r="A2993" s="3" t="s">
        <v>162</v>
      </c>
      <c r="B2993" s="3" t="s">
        <v>243</v>
      </c>
      <c r="C2993" s="3" t="s">
        <v>9</v>
      </c>
      <c r="D2993" s="3" t="s">
        <v>19</v>
      </c>
      <c r="E2993" s="5" t="s">
        <v>18</v>
      </c>
      <c r="F2993" s="17">
        <v>10.58</v>
      </c>
      <c r="G2993" s="3">
        <v>1</v>
      </c>
      <c r="H2993" s="17">
        <f>Table1[[#This Row],[Unit price]]*Table1[[#This Row],[Quantity]]</f>
        <v>10.58</v>
      </c>
      <c r="I2993" s="29">
        <f>Table1[[#This Row],[Total Revenue]]/$H$5056*100</f>
        <v>1.1224930039138181E-3</v>
      </c>
      <c r="J2993" s="3" t="s">
        <v>17</v>
      </c>
      <c r="K2993" s="4">
        <v>7.3</v>
      </c>
      <c r="M2993"/>
    </row>
    <row r="2994" spans="1:13" x14ac:dyDescent="0.25">
      <c r="A2994" s="3" t="s">
        <v>162</v>
      </c>
      <c r="B2994" s="3" t="s">
        <v>245</v>
      </c>
      <c r="C2994" s="3" t="s">
        <v>9</v>
      </c>
      <c r="D2994" s="3" t="s">
        <v>10</v>
      </c>
      <c r="E2994" s="5" t="s">
        <v>11</v>
      </c>
      <c r="F2994" s="17">
        <v>6.26</v>
      </c>
      <c r="G2994" s="3">
        <v>2</v>
      </c>
      <c r="H2994" s="17">
        <f>Table1[[#This Row],[Unit price]]*Table1[[#This Row],[Quantity]]</f>
        <v>12.52</v>
      </c>
      <c r="I2994" s="29">
        <f>Table1[[#This Row],[Total Revenue]]/$H$5056*100</f>
        <v>1.3283187532137054E-3</v>
      </c>
      <c r="J2994" s="3" t="s">
        <v>17</v>
      </c>
      <c r="K2994" s="4">
        <v>6</v>
      </c>
      <c r="M2994"/>
    </row>
    <row r="2995" spans="1:13" x14ac:dyDescent="0.25">
      <c r="A2995" s="3" t="s">
        <v>162</v>
      </c>
      <c r="B2995" s="3" t="s">
        <v>243</v>
      </c>
      <c r="C2995" s="3" t="s">
        <v>9</v>
      </c>
      <c r="D2995" s="3" t="s">
        <v>19</v>
      </c>
      <c r="E2995" s="5" t="s">
        <v>11</v>
      </c>
      <c r="F2995" s="17">
        <v>6.12</v>
      </c>
      <c r="G2995" s="3">
        <v>1</v>
      </c>
      <c r="H2995" s="17">
        <f>Table1[[#This Row],[Unit price]]*Table1[[#This Row],[Quantity]]</f>
        <v>6.12</v>
      </c>
      <c r="I2995" s="29">
        <f>Table1[[#This Row],[Total Revenue]]/$H$5056*100</f>
        <v>6.4930597201820104E-4</v>
      </c>
      <c r="J2995" s="3" t="s">
        <v>17</v>
      </c>
      <c r="K2995" s="4">
        <v>8.8000000000000007</v>
      </c>
      <c r="M2995"/>
    </row>
    <row r="2996" spans="1:13" x14ac:dyDescent="0.25">
      <c r="A2996" s="3" t="s">
        <v>162</v>
      </c>
      <c r="B2996" s="3" t="s">
        <v>244</v>
      </c>
      <c r="C2996" s="3" t="s">
        <v>13</v>
      </c>
      <c r="D2996" s="3" t="s">
        <v>19</v>
      </c>
      <c r="E2996" s="5" t="s">
        <v>21</v>
      </c>
      <c r="F2996" s="17">
        <v>37.14</v>
      </c>
      <c r="G2996" s="3">
        <v>2</v>
      </c>
      <c r="H2996" s="17">
        <f>Table1[[#This Row],[Unit price]]*Table1[[#This Row],[Quantity]]</f>
        <v>74.28</v>
      </c>
      <c r="I2996" s="29">
        <f>Table1[[#This Row],[Total Revenue]]/$H$5056*100</f>
        <v>7.8807920917503219E-3</v>
      </c>
      <c r="J2996" s="3" t="s">
        <v>12</v>
      </c>
      <c r="K2996" s="4">
        <v>7.2</v>
      </c>
      <c r="M2996"/>
    </row>
    <row r="2997" spans="1:13" x14ac:dyDescent="0.25">
      <c r="A2997" s="3" t="s">
        <v>163</v>
      </c>
      <c r="B2997" s="3" t="s">
        <v>245</v>
      </c>
      <c r="C2997" s="3" t="s">
        <v>13</v>
      </c>
      <c r="D2997" s="3" t="s">
        <v>19</v>
      </c>
      <c r="E2997" s="5" t="s">
        <v>11</v>
      </c>
      <c r="F2997" s="17">
        <v>2.92</v>
      </c>
      <c r="G2997" s="3">
        <v>3</v>
      </c>
      <c r="H2997" s="17">
        <f>Table1[[#This Row],[Unit price]]*Table1[[#This Row],[Quantity]]</f>
        <v>8.76</v>
      </c>
      <c r="I2997" s="29">
        <f>Table1[[#This Row],[Total Revenue]]/$H$5056*100</f>
        <v>9.2939874426134657E-4</v>
      </c>
      <c r="J2997" s="3" t="s">
        <v>17</v>
      </c>
      <c r="K2997" s="4">
        <v>7.9</v>
      </c>
      <c r="M2997"/>
    </row>
    <row r="2998" spans="1:13" x14ac:dyDescent="0.25">
      <c r="A2998" s="3" t="s">
        <v>163</v>
      </c>
      <c r="B2998" s="3" t="s">
        <v>244</v>
      </c>
      <c r="C2998" s="3" t="s">
        <v>13</v>
      </c>
      <c r="D2998" s="3" t="s">
        <v>10</v>
      </c>
      <c r="E2998" s="5" t="s">
        <v>11</v>
      </c>
      <c r="F2998" s="17">
        <v>6.44</v>
      </c>
      <c r="G2998" s="3">
        <v>1</v>
      </c>
      <c r="H2998" s="17">
        <f>Table1[[#This Row],[Unit price]]*Table1[[#This Row],[Quantity]]</f>
        <v>6.44</v>
      </c>
      <c r="I2998" s="29">
        <f>Table1[[#This Row],[Total Revenue]]/$H$5056*100</f>
        <v>6.8325661107797634E-4</v>
      </c>
      <c r="J2998" s="3" t="s">
        <v>15</v>
      </c>
      <c r="K2998" s="4">
        <v>7.7</v>
      </c>
      <c r="M2998"/>
    </row>
    <row r="2999" spans="1:13" x14ac:dyDescent="0.25">
      <c r="A2999" s="3" t="s">
        <v>163</v>
      </c>
      <c r="B2999" s="3" t="s">
        <v>243</v>
      </c>
      <c r="C2999" s="3" t="s">
        <v>13</v>
      </c>
      <c r="D2999" s="3" t="s">
        <v>10</v>
      </c>
      <c r="E2999" s="5" t="s">
        <v>11</v>
      </c>
      <c r="F2999" s="17">
        <v>6.7</v>
      </c>
      <c r="G2999" s="3">
        <v>5</v>
      </c>
      <c r="H2999" s="17">
        <f>Table1[[#This Row],[Unit price]]*Table1[[#This Row],[Quantity]]</f>
        <v>33.5</v>
      </c>
      <c r="I2999" s="29">
        <f>Table1[[#This Row],[Total Revenue]]/$H$5056*100</f>
        <v>3.5542075265702178E-3</v>
      </c>
      <c r="J2999" s="3" t="s">
        <v>15</v>
      </c>
      <c r="K2999" s="4">
        <v>8.1</v>
      </c>
      <c r="M2999"/>
    </row>
    <row r="3000" spans="1:13" x14ac:dyDescent="0.25">
      <c r="A3000" s="3" t="s">
        <v>163</v>
      </c>
      <c r="B3000" s="3" t="s">
        <v>244</v>
      </c>
      <c r="C3000" s="3" t="s">
        <v>13</v>
      </c>
      <c r="D3000" s="3" t="s">
        <v>19</v>
      </c>
      <c r="E3000" s="5" t="s">
        <v>11</v>
      </c>
      <c r="F3000" s="17">
        <v>5.6</v>
      </c>
      <c r="G3000" s="3">
        <v>4</v>
      </c>
      <c r="H3000" s="17">
        <f>Table1[[#This Row],[Unit price]]*Table1[[#This Row],[Quantity]]</f>
        <v>22.4</v>
      </c>
      <c r="I3000" s="29">
        <f>Table1[[#This Row],[Total Revenue]]/$H$5056*100</f>
        <v>2.376544734184265E-3</v>
      </c>
      <c r="J3000" s="3" t="s">
        <v>17</v>
      </c>
      <c r="K3000" s="4">
        <v>8</v>
      </c>
      <c r="M3000"/>
    </row>
    <row r="3001" spans="1:13" x14ac:dyDescent="0.25">
      <c r="A3001" s="3" t="s">
        <v>163</v>
      </c>
      <c r="B3001" s="3" t="s">
        <v>243</v>
      </c>
      <c r="C3001" s="3" t="s">
        <v>13</v>
      </c>
      <c r="D3001" s="3" t="s">
        <v>10</v>
      </c>
      <c r="E3001" s="5" t="s">
        <v>11</v>
      </c>
      <c r="F3001" s="17">
        <v>4.42</v>
      </c>
      <c r="G3001" s="3">
        <v>2</v>
      </c>
      <c r="H3001" s="17">
        <f>Table1[[#This Row],[Unit price]]*Table1[[#This Row],[Quantity]]</f>
        <v>8.84</v>
      </c>
      <c r="I3001" s="29">
        <f>Table1[[#This Row],[Total Revenue]]/$H$5056*100</f>
        <v>9.3788640402629037E-4</v>
      </c>
      <c r="J3001" s="3" t="s">
        <v>12</v>
      </c>
      <c r="K3001" s="4">
        <v>6.8</v>
      </c>
      <c r="M3001"/>
    </row>
    <row r="3002" spans="1:13" x14ac:dyDescent="0.25">
      <c r="A3002" s="3" t="s">
        <v>163</v>
      </c>
      <c r="B3002" s="3" t="s">
        <v>244</v>
      </c>
      <c r="C3002" s="3" t="s">
        <v>13</v>
      </c>
      <c r="D3002" s="3" t="s">
        <v>19</v>
      </c>
      <c r="E3002" s="5" t="s">
        <v>11</v>
      </c>
      <c r="F3002" s="17">
        <v>5.37</v>
      </c>
      <c r="G3002" s="3">
        <v>1</v>
      </c>
      <c r="H3002" s="17">
        <f>Table1[[#This Row],[Unit price]]*Table1[[#This Row],[Quantity]]</f>
        <v>5.37</v>
      </c>
      <c r="I3002" s="29">
        <f>Table1[[#This Row],[Total Revenue]]/$H$5056*100</f>
        <v>5.6973416172185283E-4</v>
      </c>
      <c r="J3002" s="3" t="s">
        <v>17</v>
      </c>
      <c r="K3002" s="4">
        <v>6.2</v>
      </c>
      <c r="M3002"/>
    </row>
    <row r="3003" spans="1:13" x14ac:dyDescent="0.25">
      <c r="A3003" s="3" t="s">
        <v>163</v>
      </c>
      <c r="B3003" s="3" t="s">
        <v>244</v>
      </c>
      <c r="C3003" s="3" t="s">
        <v>9</v>
      </c>
      <c r="D3003" s="3" t="s">
        <v>10</v>
      </c>
      <c r="E3003" s="5" t="s">
        <v>11</v>
      </c>
      <c r="F3003" s="17">
        <v>7.62</v>
      </c>
      <c r="G3003" s="3">
        <v>5</v>
      </c>
      <c r="H3003" s="17">
        <f>Table1[[#This Row],[Unit price]]*Table1[[#This Row],[Quantity]]</f>
        <v>38.1</v>
      </c>
      <c r="I3003" s="29">
        <f>Table1[[#This Row],[Total Revenue]]/$H$5056*100</f>
        <v>4.0422479630544865E-3</v>
      </c>
      <c r="J3003" s="3" t="s">
        <v>15</v>
      </c>
      <c r="K3003" s="4">
        <v>5.9</v>
      </c>
      <c r="M3003"/>
    </row>
    <row r="3004" spans="1:13" x14ac:dyDescent="0.25">
      <c r="A3004" s="3" t="s">
        <v>163</v>
      </c>
      <c r="B3004" s="3" t="s">
        <v>244</v>
      </c>
      <c r="C3004" s="3" t="s">
        <v>13</v>
      </c>
      <c r="D3004" s="3" t="s">
        <v>10</v>
      </c>
      <c r="E3004" s="5" t="s">
        <v>20</v>
      </c>
      <c r="F3004" s="17">
        <v>60.48</v>
      </c>
      <c r="G3004" s="3">
        <v>1</v>
      </c>
      <c r="H3004" s="17">
        <f>Table1[[#This Row],[Unit price]]*Table1[[#This Row],[Quantity]]</f>
        <v>60.48</v>
      </c>
      <c r="I3004" s="29">
        <f>Table1[[#This Row],[Total Revenue]]/$H$5056*100</f>
        <v>6.4166707822975151E-3</v>
      </c>
      <c r="J3004" s="3" t="s">
        <v>15</v>
      </c>
      <c r="K3004" s="4">
        <v>6.7</v>
      </c>
      <c r="M3004"/>
    </row>
    <row r="3005" spans="1:13" x14ac:dyDescent="0.25">
      <c r="A3005" s="3" t="s">
        <v>163</v>
      </c>
      <c r="B3005" s="3" t="s">
        <v>243</v>
      </c>
      <c r="C3005" s="3" t="s">
        <v>13</v>
      </c>
      <c r="D3005" s="3" t="s">
        <v>19</v>
      </c>
      <c r="E3005" s="5" t="s">
        <v>21</v>
      </c>
      <c r="F3005" s="17">
        <v>34.909999999999997</v>
      </c>
      <c r="G3005" s="3">
        <v>1</v>
      </c>
      <c r="H3005" s="17">
        <f>Table1[[#This Row],[Unit price]]*Table1[[#This Row],[Quantity]]</f>
        <v>34.909999999999997</v>
      </c>
      <c r="I3005" s="29">
        <f>Table1[[#This Row],[Total Revenue]]/$H$5056*100</f>
        <v>3.703802529927352E-3</v>
      </c>
      <c r="J3005" s="3" t="s">
        <v>17</v>
      </c>
      <c r="K3005" s="4">
        <v>7.2</v>
      </c>
      <c r="M3005"/>
    </row>
    <row r="3006" spans="1:13" x14ac:dyDescent="0.25">
      <c r="A3006" s="3" t="s">
        <v>163</v>
      </c>
      <c r="B3006" s="3" t="s">
        <v>244</v>
      </c>
      <c r="C3006" s="3" t="s">
        <v>13</v>
      </c>
      <c r="D3006" s="3" t="s">
        <v>19</v>
      </c>
      <c r="E3006" s="5" t="s">
        <v>11</v>
      </c>
      <c r="F3006" s="17">
        <v>6.43</v>
      </c>
      <c r="G3006" s="3">
        <v>2</v>
      </c>
      <c r="H3006" s="17">
        <f>Table1[[#This Row],[Unit price]]*Table1[[#This Row],[Quantity]]</f>
        <v>12.86</v>
      </c>
      <c r="I3006" s="29">
        <f>Table1[[#This Row],[Total Revenue]]/$H$5056*100</f>
        <v>1.3643913072147165E-3</v>
      </c>
      <c r="J3006" s="3" t="s">
        <v>17</v>
      </c>
      <c r="K3006" s="4">
        <v>6.8</v>
      </c>
      <c r="M3006"/>
    </row>
    <row r="3007" spans="1:13" x14ac:dyDescent="0.25">
      <c r="A3007" s="3" t="s">
        <v>163</v>
      </c>
      <c r="B3007" s="3" t="s">
        <v>243</v>
      </c>
      <c r="C3007" s="3" t="s">
        <v>9</v>
      </c>
      <c r="D3007" s="3" t="s">
        <v>10</v>
      </c>
      <c r="E3007" s="5" t="s">
        <v>21</v>
      </c>
      <c r="F3007" s="17">
        <v>36.97</v>
      </c>
      <c r="G3007" s="3">
        <v>1</v>
      </c>
      <c r="H3007" s="17">
        <f>Table1[[#This Row],[Unit price]]*Table1[[#This Row],[Quantity]]</f>
        <v>36.97</v>
      </c>
      <c r="I3007" s="29">
        <f>Table1[[#This Row],[Total Revenue]]/$H$5056*100</f>
        <v>3.9223597688746552E-3</v>
      </c>
      <c r="J3007" s="3" t="s">
        <v>15</v>
      </c>
      <c r="K3007" s="4">
        <v>7.2</v>
      </c>
      <c r="M3007"/>
    </row>
    <row r="3008" spans="1:13" x14ac:dyDescent="0.25">
      <c r="A3008" s="3" t="s">
        <v>163</v>
      </c>
      <c r="B3008" s="3" t="s">
        <v>245</v>
      </c>
      <c r="C3008" s="3" t="s">
        <v>13</v>
      </c>
      <c r="D3008" s="3" t="s">
        <v>19</v>
      </c>
      <c r="E3008" s="5" t="s">
        <v>11</v>
      </c>
      <c r="F3008" s="17">
        <v>5.4</v>
      </c>
      <c r="G3008" s="3">
        <v>4</v>
      </c>
      <c r="H3008" s="17">
        <f>Table1[[#This Row],[Unit price]]*Table1[[#This Row],[Quantity]]</f>
        <v>21.6</v>
      </c>
      <c r="I3008" s="29">
        <f>Table1[[#This Row],[Total Revenue]]/$H$5056*100</f>
        <v>2.2916681365348275E-3</v>
      </c>
      <c r="J3008" s="3" t="s">
        <v>15</v>
      </c>
      <c r="K3008" s="4">
        <v>7</v>
      </c>
      <c r="M3008"/>
    </row>
    <row r="3009" spans="1:13" x14ac:dyDescent="0.25">
      <c r="A3009" s="3" t="s">
        <v>163</v>
      </c>
      <c r="B3009" s="3" t="s">
        <v>244</v>
      </c>
      <c r="C3009" s="3" t="s">
        <v>13</v>
      </c>
      <c r="D3009" s="3" t="s">
        <v>19</v>
      </c>
      <c r="E3009" s="5" t="s">
        <v>21</v>
      </c>
      <c r="F3009" s="17">
        <v>34.299999999999997</v>
      </c>
      <c r="G3009" s="3">
        <v>1</v>
      </c>
      <c r="H3009" s="17">
        <f>Table1[[#This Row],[Unit price]]*Table1[[#This Row],[Quantity]]</f>
        <v>34.299999999999997</v>
      </c>
      <c r="I3009" s="29">
        <f>Table1[[#This Row],[Total Revenue]]/$H$5056*100</f>
        <v>3.6390841242196557E-3</v>
      </c>
      <c r="J3009" s="3" t="s">
        <v>15</v>
      </c>
      <c r="K3009" s="4">
        <v>7.4</v>
      </c>
      <c r="M3009"/>
    </row>
    <row r="3010" spans="1:13" x14ac:dyDescent="0.25">
      <c r="A3010" s="3" t="s">
        <v>163</v>
      </c>
      <c r="B3010" s="3" t="s">
        <v>245</v>
      </c>
      <c r="C3010" s="3" t="s">
        <v>9</v>
      </c>
      <c r="D3010" s="3" t="s">
        <v>19</v>
      </c>
      <c r="E3010" s="5" t="s">
        <v>11</v>
      </c>
      <c r="F3010" s="17">
        <v>5.21</v>
      </c>
      <c r="G3010" s="3">
        <v>2</v>
      </c>
      <c r="H3010" s="17">
        <f>Table1[[#This Row],[Unit price]]*Table1[[#This Row],[Quantity]]</f>
        <v>10.42</v>
      </c>
      <c r="I3010" s="29">
        <f>Table1[[#This Row],[Total Revenue]]/$H$5056*100</f>
        <v>1.1055176843839305E-3</v>
      </c>
      <c r="J3010" s="3" t="s">
        <v>15</v>
      </c>
      <c r="K3010" s="4">
        <v>7.2</v>
      </c>
      <c r="M3010"/>
    </row>
    <row r="3011" spans="1:13" x14ac:dyDescent="0.25">
      <c r="A3011" s="3" t="s">
        <v>163</v>
      </c>
      <c r="B3011" s="3" t="s">
        <v>244</v>
      </c>
      <c r="C3011" s="3" t="s">
        <v>9</v>
      </c>
      <c r="D3011" s="3" t="s">
        <v>19</v>
      </c>
      <c r="E3011" s="5" t="s">
        <v>18</v>
      </c>
      <c r="F3011" s="17">
        <v>13.73</v>
      </c>
      <c r="G3011" s="3">
        <v>3</v>
      </c>
      <c r="H3011" s="17">
        <f>Table1[[#This Row],[Unit price]]*Table1[[#This Row],[Quantity]]</f>
        <v>41.19</v>
      </c>
      <c r="I3011" s="29">
        <f>Table1[[#This Row],[Total Revenue]]/$H$5056*100</f>
        <v>4.3700838214754409E-3</v>
      </c>
      <c r="J3011" s="3" t="s">
        <v>12</v>
      </c>
      <c r="K3011" s="4">
        <v>7.1</v>
      </c>
      <c r="M3011"/>
    </row>
    <row r="3012" spans="1:13" x14ac:dyDescent="0.25">
      <c r="A3012" s="3" t="s">
        <v>163</v>
      </c>
      <c r="B3012" s="3" t="s">
        <v>244</v>
      </c>
      <c r="C3012" s="3" t="s">
        <v>13</v>
      </c>
      <c r="D3012" s="3" t="s">
        <v>19</v>
      </c>
      <c r="E3012" s="5" t="s">
        <v>21</v>
      </c>
      <c r="F3012" s="17">
        <v>22.33</v>
      </c>
      <c r="G3012" s="3">
        <v>3</v>
      </c>
      <c r="H3012" s="17">
        <f>Table1[[#This Row],[Unit price]]*Table1[[#This Row],[Quantity]]</f>
        <v>66.989999999999995</v>
      </c>
      <c r="I3012" s="29">
        <f>Table1[[#This Row],[Total Revenue]]/$H$5056*100</f>
        <v>7.1073540956698182E-3</v>
      </c>
      <c r="J3012" s="3" t="s">
        <v>12</v>
      </c>
      <c r="K3012" s="4">
        <v>6.4</v>
      </c>
      <c r="M3012"/>
    </row>
    <row r="3013" spans="1:13" x14ac:dyDescent="0.25">
      <c r="A3013" s="3" t="s">
        <v>164</v>
      </c>
      <c r="B3013" s="3" t="s">
        <v>244</v>
      </c>
      <c r="C3013" s="3" t="s">
        <v>9</v>
      </c>
      <c r="D3013" s="3" t="s">
        <v>19</v>
      </c>
      <c r="E3013" s="5" t="s">
        <v>21</v>
      </c>
      <c r="F3013" s="17">
        <v>25.22</v>
      </c>
      <c r="G3013" s="3">
        <v>1</v>
      </c>
      <c r="H3013" s="17">
        <f>Table1[[#This Row],[Unit price]]*Table1[[#This Row],[Quantity]]</f>
        <v>25.22</v>
      </c>
      <c r="I3013" s="29">
        <f>Table1[[#This Row],[Total Revenue]]/$H$5056*100</f>
        <v>2.6757347408985343E-3</v>
      </c>
      <c r="J3013" s="3" t="s">
        <v>12</v>
      </c>
      <c r="K3013" s="4">
        <v>6.8</v>
      </c>
      <c r="M3013"/>
    </row>
    <row r="3014" spans="1:13" x14ac:dyDescent="0.25">
      <c r="A3014" s="3" t="s">
        <v>164</v>
      </c>
      <c r="B3014" s="3" t="s">
        <v>243</v>
      </c>
      <c r="C3014" s="3" t="s">
        <v>13</v>
      </c>
      <c r="D3014" s="3" t="s">
        <v>10</v>
      </c>
      <c r="E3014" s="5" t="s">
        <v>11</v>
      </c>
      <c r="F3014" s="17">
        <v>3.85</v>
      </c>
      <c r="G3014" s="3">
        <v>4</v>
      </c>
      <c r="H3014" s="17">
        <f>Table1[[#This Row],[Unit price]]*Table1[[#This Row],[Quantity]]</f>
        <v>15.4</v>
      </c>
      <c r="I3014" s="29">
        <f>Table1[[#This Row],[Total Revenue]]/$H$5056*100</f>
        <v>1.6338745047516823E-3</v>
      </c>
      <c r="J3014" s="3" t="s">
        <v>17</v>
      </c>
      <c r="K3014" s="4">
        <v>7.2</v>
      </c>
      <c r="M3014"/>
    </row>
    <row r="3015" spans="1:13" x14ac:dyDescent="0.25">
      <c r="A3015" s="3" t="s">
        <v>164</v>
      </c>
      <c r="B3015" s="3" t="s">
        <v>244</v>
      </c>
      <c r="C3015" s="3" t="s">
        <v>13</v>
      </c>
      <c r="D3015" s="3" t="s">
        <v>10</v>
      </c>
      <c r="E3015" s="5" t="s">
        <v>11</v>
      </c>
      <c r="F3015" s="17">
        <v>7.1</v>
      </c>
      <c r="G3015" s="3">
        <v>2</v>
      </c>
      <c r="H3015" s="17">
        <f>Table1[[#This Row],[Unit price]]*Table1[[#This Row],[Quantity]]</f>
        <v>14.2</v>
      </c>
      <c r="I3015" s="29">
        <f>Table1[[#This Row],[Total Revenue]]/$H$5056*100</f>
        <v>1.5065596082775251E-3</v>
      </c>
      <c r="J3015" s="3" t="s">
        <v>17</v>
      </c>
      <c r="K3015" s="4">
        <v>7.7</v>
      </c>
      <c r="M3015"/>
    </row>
    <row r="3016" spans="1:13" x14ac:dyDescent="0.25">
      <c r="A3016" s="3" t="s">
        <v>164</v>
      </c>
      <c r="B3016" s="3" t="s">
        <v>243</v>
      </c>
      <c r="C3016" s="3" t="s">
        <v>9</v>
      </c>
      <c r="D3016" s="3" t="s">
        <v>19</v>
      </c>
      <c r="E3016" s="5" t="s">
        <v>21</v>
      </c>
      <c r="F3016" s="17">
        <v>27.63</v>
      </c>
      <c r="G3016" s="3">
        <v>4</v>
      </c>
      <c r="H3016" s="17">
        <f>Table1[[#This Row],[Unit price]]*Table1[[#This Row],[Quantity]]</f>
        <v>110.52</v>
      </c>
      <c r="I3016" s="29">
        <f>Table1[[#This Row],[Total Revenue]]/$H$5056*100</f>
        <v>1.1725701965269866E-2</v>
      </c>
      <c r="J3016" s="3" t="s">
        <v>15</v>
      </c>
      <c r="K3016" s="4">
        <v>7.2</v>
      </c>
      <c r="M3016"/>
    </row>
    <row r="3017" spans="1:13" x14ac:dyDescent="0.25">
      <c r="A3017" s="3" t="s">
        <v>164</v>
      </c>
      <c r="B3017" s="3" t="s">
        <v>245</v>
      </c>
      <c r="C3017" s="3" t="s">
        <v>9</v>
      </c>
      <c r="D3017" s="3" t="s">
        <v>10</v>
      </c>
      <c r="E3017" s="5" t="s">
        <v>21</v>
      </c>
      <c r="F3017" s="17">
        <v>34.46</v>
      </c>
      <c r="G3017" s="3">
        <v>2</v>
      </c>
      <c r="H3017" s="17">
        <f>Table1[[#This Row],[Unit price]]*Table1[[#This Row],[Quantity]]</f>
        <v>68.92</v>
      </c>
      <c r="I3017" s="29">
        <f>Table1[[#This Row],[Total Revenue]]/$H$5056*100</f>
        <v>7.3121188874990875E-3</v>
      </c>
      <c r="J3017" s="3" t="s">
        <v>17</v>
      </c>
      <c r="K3017" s="4">
        <v>6.3</v>
      </c>
      <c r="M3017"/>
    </row>
    <row r="3018" spans="1:13" x14ac:dyDescent="0.25">
      <c r="A3018" s="3" t="s">
        <v>164</v>
      </c>
      <c r="B3018" s="3" t="s">
        <v>243</v>
      </c>
      <c r="C3018" s="3" t="s">
        <v>9</v>
      </c>
      <c r="D3018" s="3" t="s">
        <v>10</v>
      </c>
      <c r="E3018" s="5" t="s">
        <v>11</v>
      </c>
      <c r="F3018" s="17">
        <v>6.5</v>
      </c>
      <c r="G3018" s="3">
        <v>2</v>
      </c>
      <c r="H3018" s="17">
        <f>Table1[[#This Row],[Unit price]]*Table1[[#This Row],[Quantity]]</f>
        <v>13</v>
      </c>
      <c r="I3018" s="29">
        <f>Table1[[#This Row],[Total Revenue]]/$H$5056*100</f>
        <v>1.3792447118033682E-3</v>
      </c>
      <c r="J3018" s="3" t="s">
        <v>15</v>
      </c>
      <c r="K3018" s="4">
        <v>7.3</v>
      </c>
      <c r="M3018"/>
    </row>
    <row r="3019" spans="1:13" x14ac:dyDescent="0.25">
      <c r="A3019" s="3" t="s">
        <v>164</v>
      </c>
      <c r="B3019" s="3" t="s">
        <v>244</v>
      </c>
      <c r="C3019" s="3" t="s">
        <v>13</v>
      </c>
      <c r="D3019" s="3" t="s">
        <v>10</v>
      </c>
      <c r="E3019" s="5" t="s">
        <v>21</v>
      </c>
      <c r="F3019" s="17">
        <v>22.75</v>
      </c>
      <c r="G3019" s="3">
        <v>4</v>
      </c>
      <c r="H3019" s="17">
        <f>Table1[[#This Row],[Unit price]]*Table1[[#This Row],[Quantity]]</f>
        <v>91</v>
      </c>
      <c r="I3019" s="29">
        <f>Table1[[#This Row],[Total Revenue]]/$H$5056*100</f>
        <v>9.6547129826235773E-3</v>
      </c>
      <c r="J3019" s="3" t="s">
        <v>12</v>
      </c>
      <c r="K3019" s="4">
        <v>8.1</v>
      </c>
      <c r="M3019"/>
    </row>
    <row r="3020" spans="1:13" x14ac:dyDescent="0.25">
      <c r="A3020" s="3" t="s">
        <v>164</v>
      </c>
      <c r="B3020" s="3" t="s">
        <v>245</v>
      </c>
      <c r="C3020" s="3" t="s">
        <v>13</v>
      </c>
      <c r="D3020" s="3" t="s">
        <v>10</v>
      </c>
      <c r="E3020" s="5" t="s">
        <v>11</v>
      </c>
      <c r="F3020" s="17">
        <v>5.86</v>
      </c>
      <c r="G3020" s="3">
        <v>4</v>
      </c>
      <c r="H3020" s="17">
        <f>Table1[[#This Row],[Unit price]]*Table1[[#This Row],[Quantity]]</f>
        <v>23.44</v>
      </c>
      <c r="I3020" s="29">
        <f>Table1[[#This Row],[Total Revenue]]/$H$5056*100</f>
        <v>2.4868843111285348E-3</v>
      </c>
      <c r="J3020" s="3" t="s">
        <v>12</v>
      </c>
      <c r="K3020" s="4">
        <v>6.1</v>
      </c>
      <c r="M3020"/>
    </row>
    <row r="3021" spans="1:13" x14ac:dyDescent="0.25">
      <c r="A3021" s="3" t="s">
        <v>164</v>
      </c>
      <c r="B3021" s="3" t="s">
        <v>243</v>
      </c>
      <c r="C3021" s="3" t="s">
        <v>13</v>
      </c>
      <c r="D3021" s="3" t="s">
        <v>19</v>
      </c>
      <c r="E3021" s="5" t="s">
        <v>11</v>
      </c>
      <c r="F3021" s="17">
        <v>3.18</v>
      </c>
      <c r="G3021" s="3">
        <v>4</v>
      </c>
      <c r="H3021" s="17">
        <f>Table1[[#This Row],[Unit price]]*Table1[[#This Row],[Quantity]]</f>
        <v>12.72</v>
      </c>
      <c r="I3021" s="29">
        <f>Table1[[#This Row],[Total Revenue]]/$H$5056*100</f>
        <v>1.3495379026260649E-3</v>
      </c>
      <c r="J3021" s="3" t="s">
        <v>12</v>
      </c>
      <c r="K3021" s="4">
        <v>6</v>
      </c>
      <c r="M3021"/>
    </row>
    <row r="3022" spans="1:13" x14ac:dyDescent="0.25">
      <c r="A3022" s="3" t="s">
        <v>165</v>
      </c>
      <c r="B3022" s="3" t="s">
        <v>244</v>
      </c>
      <c r="C3022" s="3" t="s">
        <v>9</v>
      </c>
      <c r="D3022" s="3" t="s">
        <v>10</v>
      </c>
      <c r="E3022" s="5" t="s">
        <v>11</v>
      </c>
      <c r="F3022" s="17">
        <v>6.77</v>
      </c>
      <c r="G3022" s="3">
        <v>4</v>
      </c>
      <c r="H3022" s="17">
        <f>Table1[[#This Row],[Unit price]]*Table1[[#This Row],[Quantity]]</f>
        <v>27.08</v>
      </c>
      <c r="I3022" s="29">
        <f>Table1[[#This Row],[Total Revenue]]/$H$5056*100</f>
        <v>2.8730728304334776E-3</v>
      </c>
      <c r="J3022" s="3" t="s">
        <v>12</v>
      </c>
      <c r="K3022" s="4">
        <v>6.7</v>
      </c>
      <c r="M3022"/>
    </row>
    <row r="3023" spans="1:13" x14ac:dyDescent="0.25">
      <c r="A3023" s="3" t="s">
        <v>165</v>
      </c>
      <c r="B3023" s="3" t="s">
        <v>244</v>
      </c>
      <c r="C3023" s="3" t="s">
        <v>13</v>
      </c>
      <c r="D3023" s="3" t="s">
        <v>10</v>
      </c>
      <c r="E3023" s="5" t="s">
        <v>11</v>
      </c>
      <c r="F3023" s="17">
        <v>5.74</v>
      </c>
      <c r="G3023" s="3">
        <v>4</v>
      </c>
      <c r="H3023" s="17">
        <f>Table1[[#This Row],[Unit price]]*Table1[[#This Row],[Quantity]]</f>
        <v>22.96</v>
      </c>
      <c r="I3023" s="29">
        <f>Table1[[#This Row],[Total Revenue]]/$H$5056*100</f>
        <v>2.435958352538872E-3</v>
      </c>
      <c r="J3023" s="3" t="s">
        <v>17</v>
      </c>
      <c r="K3023" s="4">
        <v>7.9</v>
      </c>
      <c r="M3023"/>
    </row>
    <row r="3024" spans="1:13" x14ac:dyDescent="0.25">
      <c r="A3024" s="3" t="s">
        <v>165</v>
      </c>
      <c r="B3024" s="3" t="s">
        <v>243</v>
      </c>
      <c r="C3024" s="3" t="s">
        <v>9</v>
      </c>
      <c r="D3024" s="3" t="s">
        <v>10</v>
      </c>
      <c r="E3024" s="5" t="s">
        <v>11</v>
      </c>
      <c r="F3024" s="17">
        <v>3.67</v>
      </c>
      <c r="G3024" s="3">
        <v>3</v>
      </c>
      <c r="H3024" s="17">
        <f>Table1[[#This Row],[Unit price]]*Table1[[#This Row],[Quantity]]</f>
        <v>11.01</v>
      </c>
      <c r="I3024" s="29">
        <f>Table1[[#This Row],[Total Revenue]]/$H$5056*100</f>
        <v>1.168114175150391E-3</v>
      </c>
      <c r="J3024" s="3" t="s">
        <v>17</v>
      </c>
      <c r="K3024" s="4">
        <v>7.4</v>
      </c>
      <c r="M3024"/>
    </row>
    <row r="3025" spans="1:13" x14ac:dyDescent="0.25">
      <c r="A3025" s="3" t="s">
        <v>165</v>
      </c>
      <c r="B3025" s="3" t="s">
        <v>244</v>
      </c>
      <c r="C3025" s="3" t="s">
        <v>9</v>
      </c>
      <c r="D3025" s="3" t="s">
        <v>19</v>
      </c>
      <c r="E3025" s="5" t="s">
        <v>21</v>
      </c>
      <c r="F3025" s="17">
        <v>21.08</v>
      </c>
      <c r="G3025" s="3">
        <v>4</v>
      </c>
      <c r="H3025" s="17">
        <f>Table1[[#This Row],[Unit price]]*Table1[[#This Row],[Quantity]]</f>
        <v>84.32</v>
      </c>
      <c r="I3025" s="29">
        <f>Table1[[#This Row],[Total Revenue]]/$H$5056*100</f>
        <v>8.9459933922507694E-3</v>
      </c>
      <c r="J3025" s="3" t="s">
        <v>12</v>
      </c>
      <c r="K3025" s="4">
        <v>7.7</v>
      </c>
      <c r="M3025"/>
    </row>
    <row r="3026" spans="1:13" x14ac:dyDescent="0.25">
      <c r="A3026" s="3" t="s">
        <v>165</v>
      </c>
      <c r="B3026" s="3" t="s">
        <v>244</v>
      </c>
      <c r="C3026" s="3" t="s">
        <v>13</v>
      </c>
      <c r="D3026" s="3" t="s">
        <v>10</v>
      </c>
      <c r="E3026" s="5" t="s">
        <v>18</v>
      </c>
      <c r="F3026" s="17">
        <v>12.14</v>
      </c>
      <c r="G3026" s="3">
        <v>1</v>
      </c>
      <c r="H3026" s="17">
        <f>Table1[[#This Row],[Unit price]]*Table1[[#This Row],[Quantity]]</f>
        <v>12.14</v>
      </c>
      <c r="I3026" s="29">
        <f>Table1[[#This Row],[Total Revenue]]/$H$5056*100</f>
        <v>1.2880023693302223E-3</v>
      </c>
      <c r="J3026" s="3" t="s">
        <v>15</v>
      </c>
      <c r="K3026" s="4">
        <v>6.4</v>
      </c>
      <c r="M3026"/>
    </row>
    <row r="3027" spans="1:13" x14ac:dyDescent="0.25">
      <c r="A3027" s="3" t="s">
        <v>165</v>
      </c>
      <c r="B3027" s="3" t="s">
        <v>245</v>
      </c>
      <c r="C3027" s="3" t="s">
        <v>9</v>
      </c>
      <c r="D3027" s="3" t="s">
        <v>10</v>
      </c>
      <c r="E3027" s="5" t="s">
        <v>21</v>
      </c>
      <c r="F3027" s="17">
        <v>33.130000000000003</v>
      </c>
      <c r="G3027" s="3">
        <v>2</v>
      </c>
      <c r="H3027" s="17">
        <f>Table1[[#This Row],[Unit price]]*Table1[[#This Row],[Quantity]]</f>
        <v>66.260000000000005</v>
      </c>
      <c r="I3027" s="29">
        <f>Table1[[#This Row],[Total Revenue]]/$H$5056*100</f>
        <v>7.0299042003147067E-3</v>
      </c>
      <c r="J3027" s="3" t="s">
        <v>15</v>
      </c>
      <c r="K3027" s="4">
        <v>7.5</v>
      </c>
      <c r="M3027"/>
    </row>
    <row r="3028" spans="1:13" x14ac:dyDescent="0.25">
      <c r="A3028" s="3" t="s">
        <v>165</v>
      </c>
      <c r="B3028" s="3" t="s">
        <v>245</v>
      </c>
      <c r="C3028" s="3" t="s">
        <v>13</v>
      </c>
      <c r="D3028" s="3" t="s">
        <v>19</v>
      </c>
      <c r="E3028" s="5" t="s">
        <v>18</v>
      </c>
      <c r="F3028" s="17">
        <v>15.15</v>
      </c>
      <c r="G3028" s="3">
        <v>2</v>
      </c>
      <c r="H3028" s="17">
        <f>Table1[[#This Row],[Unit price]]*Table1[[#This Row],[Quantity]]</f>
        <v>30.3</v>
      </c>
      <c r="I3028" s="29">
        <f>Table1[[#This Row],[Total Revenue]]/$H$5056*100</f>
        <v>3.2147011359724659E-3</v>
      </c>
      <c r="J3028" s="3" t="s">
        <v>12</v>
      </c>
      <c r="K3028" s="4">
        <v>6.5</v>
      </c>
      <c r="M3028"/>
    </row>
    <row r="3029" spans="1:13" x14ac:dyDescent="0.25">
      <c r="A3029" s="3" t="s">
        <v>165</v>
      </c>
      <c r="B3029" s="3" t="s">
        <v>245</v>
      </c>
      <c r="C3029" s="3" t="s">
        <v>13</v>
      </c>
      <c r="D3029" s="3" t="s">
        <v>19</v>
      </c>
      <c r="E3029" s="5" t="s">
        <v>11</v>
      </c>
      <c r="F3029" s="17">
        <v>4.49</v>
      </c>
      <c r="G3029" s="3">
        <v>2</v>
      </c>
      <c r="H3029" s="17">
        <f>Table1[[#This Row],[Unit price]]*Table1[[#This Row],[Quantity]]</f>
        <v>8.98</v>
      </c>
      <c r="I3029" s="29">
        <f>Table1[[#This Row],[Total Revenue]]/$H$5056*100</f>
        <v>9.5273980861494212E-4</v>
      </c>
      <c r="J3029" s="3" t="s">
        <v>15</v>
      </c>
      <c r="K3029" s="4">
        <v>8.8000000000000007</v>
      </c>
      <c r="M3029"/>
    </row>
    <row r="3030" spans="1:13" x14ac:dyDescent="0.25">
      <c r="A3030" s="3" t="s">
        <v>165</v>
      </c>
      <c r="B3030" s="3" t="s">
        <v>243</v>
      </c>
      <c r="C3030" s="3" t="s">
        <v>9</v>
      </c>
      <c r="D3030" s="3" t="s">
        <v>19</v>
      </c>
      <c r="E3030" s="5" t="s">
        <v>21</v>
      </c>
      <c r="F3030" s="17">
        <v>36.69</v>
      </c>
      <c r="G3030" s="3">
        <v>3</v>
      </c>
      <c r="H3030" s="17">
        <f>Table1[[#This Row],[Unit price]]*Table1[[#This Row],[Quantity]]</f>
        <v>110.07</v>
      </c>
      <c r="I3030" s="29">
        <f>Table1[[#This Row],[Total Revenue]]/$H$5056*100</f>
        <v>1.1677958879092057E-2</v>
      </c>
      <c r="J3030" s="3" t="s">
        <v>12</v>
      </c>
      <c r="K3030" s="4">
        <v>6.9</v>
      </c>
      <c r="M3030"/>
    </row>
    <row r="3031" spans="1:13" x14ac:dyDescent="0.25">
      <c r="A3031" s="3" t="s">
        <v>165</v>
      </c>
      <c r="B3031" s="3" t="s">
        <v>245</v>
      </c>
      <c r="C3031" s="3" t="s">
        <v>13</v>
      </c>
      <c r="D3031" s="3" t="s">
        <v>19</v>
      </c>
      <c r="E3031" s="5" t="s">
        <v>18</v>
      </c>
      <c r="F3031" s="17">
        <v>13.78</v>
      </c>
      <c r="G3031" s="3">
        <v>2</v>
      </c>
      <c r="H3031" s="17">
        <f>Table1[[#This Row],[Unit price]]*Table1[[#This Row],[Quantity]]</f>
        <v>27.56</v>
      </c>
      <c r="I3031" s="29">
        <f>Table1[[#This Row],[Total Revenue]]/$H$5056*100</f>
        <v>2.9239987890231404E-3</v>
      </c>
      <c r="J3031" s="3" t="s">
        <v>17</v>
      </c>
      <c r="K3031" s="4">
        <v>7</v>
      </c>
      <c r="M3031"/>
    </row>
    <row r="3032" spans="1:13" x14ac:dyDescent="0.25">
      <c r="A3032" s="3" t="s">
        <v>165</v>
      </c>
      <c r="B3032" s="3" t="s">
        <v>243</v>
      </c>
      <c r="C3032" s="3" t="s">
        <v>9</v>
      </c>
      <c r="D3032" s="3" t="s">
        <v>10</v>
      </c>
      <c r="E3032" s="5" t="s">
        <v>21</v>
      </c>
      <c r="F3032" s="17">
        <v>16.260000000000002</v>
      </c>
      <c r="G3032" s="3">
        <v>3</v>
      </c>
      <c r="H3032" s="17">
        <f>Table1[[#This Row],[Unit price]]*Table1[[#This Row],[Quantity]]</f>
        <v>48.78</v>
      </c>
      <c r="I3032" s="29">
        <f>Table1[[#This Row],[Total Revenue]]/$H$5056*100</f>
        <v>5.1753505416744852E-3</v>
      </c>
      <c r="J3032" s="3" t="s">
        <v>17</v>
      </c>
      <c r="K3032" s="4">
        <v>7.9</v>
      </c>
      <c r="M3032"/>
    </row>
    <row r="3033" spans="1:13" x14ac:dyDescent="0.25">
      <c r="A3033" s="3" t="s">
        <v>166</v>
      </c>
      <c r="B3033" s="3" t="s">
        <v>244</v>
      </c>
      <c r="C3033" s="3" t="s">
        <v>13</v>
      </c>
      <c r="D3033" s="3" t="s">
        <v>19</v>
      </c>
      <c r="E3033" s="5" t="s">
        <v>11</v>
      </c>
      <c r="F3033" s="17">
        <v>6.24</v>
      </c>
      <c r="G3033" s="3">
        <v>2</v>
      </c>
      <c r="H3033" s="17">
        <f>Table1[[#This Row],[Unit price]]*Table1[[#This Row],[Quantity]]</f>
        <v>12.48</v>
      </c>
      <c r="I3033" s="29">
        <f>Table1[[#This Row],[Total Revenue]]/$H$5056*100</f>
        <v>1.3240749233312335E-3</v>
      </c>
      <c r="J3033" s="3" t="s">
        <v>15</v>
      </c>
      <c r="K3033" s="4">
        <v>6.4</v>
      </c>
      <c r="M3033"/>
    </row>
    <row r="3034" spans="1:13" x14ac:dyDescent="0.25">
      <c r="A3034" s="3" t="s">
        <v>166</v>
      </c>
      <c r="B3034" s="3" t="s">
        <v>244</v>
      </c>
      <c r="C3034" s="3" t="s">
        <v>13</v>
      </c>
      <c r="D3034" s="3" t="s">
        <v>19</v>
      </c>
      <c r="E3034" s="5" t="s">
        <v>11</v>
      </c>
      <c r="F3034" s="17">
        <v>7.67</v>
      </c>
      <c r="G3034" s="3">
        <v>2</v>
      </c>
      <c r="H3034" s="17">
        <f>Table1[[#This Row],[Unit price]]*Table1[[#This Row],[Quantity]]</f>
        <v>15.34</v>
      </c>
      <c r="I3034" s="29">
        <f>Table1[[#This Row],[Total Revenue]]/$H$5056*100</f>
        <v>1.6275087599279744E-3</v>
      </c>
      <c r="J3034" s="3" t="s">
        <v>12</v>
      </c>
      <c r="K3034" s="4">
        <v>8.6999999999999993</v>
      </c>
      <c r="M3034"/>
    </row>
    <row r="3035" spans="1:13" x14ac:dyDescent="0.25">
      <c r="A3035" s="3" t="s">
        <v>166</v>
      </c>
      <c r="B3035" s="3" t="s">
        <v>245</v>
      </c>
      <c r="C3035" s="3" t="s">
        <v>13</v>
      </c>
      <c r="D3035" s="3" t="s">
        <v>19</v>
      </c>
      <c r="E3035" s="5" t="s">
        <v>11</v>
      </c>
      <c r="F3035" s="17">
        <v>6.7</v>
      </c>
      <c r="G3035" s="3">
        <v>3</v>
      </c>
      <c r="H3035" s="17">
        <f>Table1[[#This Row],[Unit price]]*Table1[[#This Row],[Quantity]]</f>
        <v>20.100000000000001</v>
      </c>
      <c r="I3035" s="29">
        <f>Table1[[#This Row],[Total Revenue]]/$H$5056*100</f>
        <v>2.1325245159421313E-3</v>
      </c>
      <c r="J3035" s="3" t="s">
        <v>15</v>
      </c>
      <c r="K3035" s="4">
        <v>7.2</v>
      </c>
      <c r="M3035"/>
    </row>
    <row r="3036" spans="1:13" x14ac:dyDescent="0.25">
      <c r="A3036" s="3" t="s">
        <v>166</v>
      </c>
      <c r="B3036" s="3" t="s">
        <v>243</v>
      </c>
      <c r="C3036" s="3" t="s">
        <v>13</v>
      </c>
      <c r="D3036" s="3" t="s">
        <v>19</v>
      </c>
      <c r="E3036" s="5" t="s">
        <v>11</v>
      </c>
      <c r="F3036" s="17">
        <v>5.35</v>
      </c>
      <c r="G3036" s="3">
        <v>4</v>
      </c>
      <c r="H3036" s="17">
        <f>Table1[[#This Row],[Unit price]]*Table1[[#This Row],[Quantity]]</f>
        <v>21.4</v>
      </c>
      <c r="I3036" s="29">
        <f>Table1[[#This Row],[Total Revenue]]/$H$5056*100</f>
        <v>2.2704489871224675E-3</v>
      </c>
      <c r="J3036" s="3" t="s">
        <v>17</v>
      </c>
      <c r="K3036" s="4">
        <v>7.7</v>
      </c>
      <c r="M3036"/>
    </row>
    <row r="3037" spans="1:13" x14ac:dyDescent="0.25">
      <c r="A3037" s="3" t="s">
        <v>166</v>
      </c>
      <c r="B3037" s="3" t="s">
        <v>243</v>
      </c>
      <c r="C3037" s="3" t="s">
        <v>13</v>
      </c>
      <c r="D3037" s="3" t="s">
        <v>19</v>
      </c>
      <c r="E3037" s="5" t="s">
        <v>11</v>
      </c>
      <c r="F3037" s="17">
        <v>6.09</v>
      </c>
      <c r="G3037" s="3">
        <v>3</v>
      </c>
      <c r="H3037" s="17">
        <f>Table1[[#This Row],[Unit price]]*Table1[[#This Row],[Quantity]]</f>
        <v>18.27</v>
      </c>
      <c r="I3037" s="29">
        <f>Table1[[#This Row],[Total Revenue]]/$H$5056*100</f>
        <v>1.9383692988190412E-3</v>
      </c>
      <c r="J3037" s="3" t="s">
        <v>17</v>
      </c>
      <c r="K3037" s="4">
        <v>6.4</v>
      </c>
      <c r="M3037"/>
    </row>
    <row r="3038" spans="1:13" x14ac:dyDescent="0.25">
      <c r="A3038" s="3" t="s">
        <v>166</v>
      </c>
      <c r="B3038" s="3" t="s">
        <v>244</v>
      </c>
      <c r="C3038" s="3" t="s">
        <v>13</v>
      </c>
      <c r="D3038" s="3" t="s">
        <v>10</v>
      </c>
      <c r="E3038" s="5" t="s">
        <v>21</v>
      </c>
      <c r="F3038" s="17">
        <v>16.03</v>
      </c>
      <c r="G3038" s="3">
        <v>4</v>
      </c>
      <c r="H3038" s="17">
        <f>Table1[[#This Row],[Unit price]]*Table1[[#This Row],[Quantity]]</f>
        <v>64.12</v>
      </c>
      <c r="I3038" s="29">
        <f>Table1[[#This Row],[Total Revenue]]/$H$5056*100</f>
        <v>6.8028593016024597E-3</v>
      </c>
      <c r="J3038" s="3" t="s">
        <v>17</v>
      </c>
      <c r="K3038" s="4">
        <v>5.7</v>
      </c>
      <c r="M3038"/>
    </row>
    <row r="3039" spans="1:13" x14ac:dyDescent="0.25">
      <c r="A3039" s="3" t="s">
        <v>166</v>
      </c>
      <c r="B3039" s="3" t="s">
        <v>244</v>
      </c>
      <c r="C3039" s="3" t="s">
        <v>13</v>
      </c>
      <c r="D3039" s="3" t="s">
        <v>10</v>
      </c>
      <c r="E3039" s="5" t="s">
        <v>11</v>
      </c>
      <c r="F3039" s="17">
        <v>3.42</v>
      </c>
      <c r="G3039" s="3">
        <v>2</v>
      </c>
      <c r="H3039" s="17">
        <f>Table1[[#This Row],[Unit price]]*Table1[[#This Row],[Quantity]]</f>
        <v>6.84</v>
      </c>
      <c r="I3039" s="29">
        <f>Table1[[#This Row],[Total Revenue]]/$H$5056*100</f>
        <v>7.2569490990269533E-4</v>
      </c>
      <c r="J3039" s="3" t="s">
        <v>17</v>
      </c>
      <c r="K3039" s="4">
        <v>7.5</v>
      </c>
      <c r="M3039"/>
    </row>
    <row r="3040" spans="1:13" x14ac:dyDescent="0.25">
      <c r="A3040" s="3" t="s">
        <v>166</v>
      </c>
      <c r="B3040" s="3" t="s">
        <v>244</v>
      </c>
      <c r="C3040" s="3" t="s">
        <v>13</v>
      </c>
      <c r="D3040" s="3" t="s">
        <v>10</v>
      </c>
      <c r="E3040" s="5" t="s">
        <v>11</v>
      </c>
      <c r="F3040" s="17">
        <v>6.33</v>
      </c>
      <c r="G3040" s="3">
        <v>2</v>
      </c>
      <c r="H3040" s="17">
        <f>Table1[[#This Row],[Unit price]]*Table1[[#This Row],[Quantity]]</f>
        <v>12.66</v>
      </c>
      <c r="I3040" s="29">
        <f>Table1[[#This Row],[Total Revenue]]/$H$5056*100</f>
        <v>1.343172157802357E-3</v>
      </c>
      <c r="J3040" s="3" t="s">
        <v>15</v>
      </c>
      <c r="K3040" s="4">
        <v>7.6</v>
      </c>
      <c r="M3040"/>
    </row>
    <row r="3041" spans="1:13" x14ac:dyDescent="0.25">
      <c r="A3041" s="3" t="s">
        <v>166</v>
      </c>
      <c r="B3041" s="3" t="s">
        <v>245</v>
      </c>
      <c r="C3041" s="3" t="s">
        <v>9</v>
      </c>
      <c r="D3041" s="3" t="s">
        <v>10</v>
      </c>
      <c r="E3041" s="5" t="s">
        <v>11</v>
      </c>
      <c r="F3041" s="17">
        <v>6.91</v>
      </c>
      <c r="G3041" s="3">
        <v>3</v>
      </c>
      <c r="H3041" s="17">
        <f>Table1[[#This Row],[Unit price]]*Table1[[#This Row],[Quantity]]</f>
        <v>20.73</v>
      </c>
      <c r="I3041" s="29">
        <f>Table1[[#This Row],[Total Revenue]]/$H$5056*100</f>
        <v>2.1993648365910634E-3</v>
      </c>
      <c r="J3041" s="3" t="s">
        <v>15</v>
      </c>
      <c r="K3041" s="4">
        <v>8.8000000000000007</v>
      </c>
      <c r="M3041"/>
    </row>
    <row r="3042" spans="1:13" x14ac:dyDescent="0.25">
      <c r="A3042" s="3" t="s">
        <v>166</v>
      </c>
      <c r="B3042" s="3" t="s">
        <v>245</v>
      </c>
      <c r="C3042" s="3" t="s">
        <v>13</v>
      </c>
      <c r="D3042" s="3" t="s">
        <v>19</v>
      </c>
      <c r="E3042" s="5" t="s">
        <v>11</v>
      </c>
      <c r="F3042" s="17">
        <v>7.1</v>
      </c>
      <c r="G3042" s="3">
        <v>1</v>
      </c>
      <c r="H3042" s="17">
        <f>Table1[[#This Row],[Unit price]]*Table1[[#This Row],[Quantity]]</f>
        <v>7.1</v>
      </c>
      <c r="I3042" s="29">
        <f>Table1[[#This Row],[Total Revenue]]/$H$5056*100</f>
        <v>7.5327980413876256E-4</v>
      </c>
      <c r="J3042" s="3" t="s">
        <v>17</v>
      </c>
      <c r="K3042" s="4">
        <v>7.2</v>
      </c>
      <c r="M3042"/>
    </row>
    <row r="3043" spans="1:13" x14ac:dyDescent="0.25">
      <c r="A3043" s="3" t="s">
        <v>166</v>
      </c>
      <c r="B3043" s="3" t="s">
        <v>244</v>
      </c>
      <c r="C3043" s="3" t="s">
        <v>13</v>
      </c>
      <c r="D3043" s="3" t="s">
        <v>10</v>
      </c>
      <c r="E3043" s="5" t="s">
        <v>21</v>
      </c>
      <c r="F3043" s="17">
        <v>25.95</v>
      </c>
      <c r="G3043" s="3">
        <v>3</v>
      </c>
      <c r="H3043" s="17">
        <f>Table1[[#This Row],[Unit price]]*Table1[[#This Row],[Quantity]]</f>
        <v>77.849999999999994</v>
      </c>
      <c r="I3043" s="29">
        <f>Table1[[#This Row],[Total Revenue]]/$H$5056*100</f>
        <v>8.2595539087609391E-3</v>
      </c>
      <c r="J3043" s="3" t="s">
        <v>15</v>
      </c>
      <c r="K3043" s="4">
        <v>8.1999999999999993</v>
      </c>
      <c r="M3043"/>
    </row>
    <row r="3044" spans="1:13" x14ac:dyDescent="0.25">
      <c r="A3044" s="3" t="s">
        <v>167</v>
      </c>
      <c r="B3044" s="3" t="s">
        <v>244</v>
      </c>
      <c r="C3044" s="3" t="s">
        <v>13</v>
      </c>
      <c r="D3044" s="3" t="s">
        <v>19</v>
      </c>
      <c r="E3044" s="5" t="s">
        <v>11</v>
      </c>
      <c r="F3044" s="17">
        <v>4.91</v>
      </c>
      <c r="G3044" s="3">
        <v>1</v>
      </c>
      <c r="H3044" s="17">
        <f>Table1[[#This Row],[Unit price]]*Table1[[#This Row],[Quantity]]</f>
        <v>4.91</v>
      </c>
      <c r="I3044" s="29">
        <f>Table1[[#This Row],[Total Revenue]]/$H$5056*100</f>
        <v>5.20930118073426E-4</v>
      </c>
      <c r="J3044" s="3" t="s">
        <v>12</v>
      </c>
      <c r="K3044" s="4">
        <v>9.3000000000000007</v>
      </c>
      <c r="M3044"/>
    </row>
    <row r="3045" spans="1:13" x14ac:dyDescent="0.25">
      <c r="A3045" s="3" t="s">
        <v>167</v>
      </c>
      <c r="B3045" s="3" t="s">
        <v>243</v>
      </c>
      <c r="C3045" s="3" t="s">
        <v>13</v>
      </c>
      <c r="D3045" s="3" t="s">
        <v>19</v>
      </c>
      <c r="E3045" s="5" t="s">
        <v>11</v>
      </c>
      <c r="F3045" s="17">
        <v>5.94</v>
      </c>
      <c r="G3045" s="3">
        <v>2</v>
      </c>
      <c r="H3045" s="17">
        <f>Table1[[#This Row],[Unit price]]*Table1[[#This Row],[Quantity]]</f>
        <v>11.88</v>
      </c>
      <c r="I3045" s="29">
        <f>Table1[[#This Row],[Total Revenue]]/$H$5056*100</f>
        <v>1.260417475094155E-3</v>
      </c>
      <c r="J3045" s="3" t="s">
        <v>12</v>
      </c>
      <c r="K3045" s="4">
        <v>8.1999999999999993</v>
      </c>
      <c r="M3045"/>
    </row>
    <row r="3046" spans="1:13" x14ac:dyDescent="0.25">
      <c r="A3046" s="3" t="s">
        <v>167</v>
      </c>
      <c r="B3046" s="3" t="s">
        <v>244</v>
      </c>
      <c r="C3046" s="3" t="s">
        <v>9</v>
      </c>
      <c r="D3046" s="3" t="s">
        <v>10</v>
      </c>
      <c r="E3046" s="5" t="s">
        <v>11</v>
      </c>
      <c r="F3046" s="17">
        <v>3.95</v>
      </c>
      <c r="G3046" s="3">
        <v>2</v>
      </c>
      <c r="H3046" s="17">
        <f>Table1[[#This Row],[Unit price]]*Table1[[#This Row],[Quantity]]</f>
        <v>7.9</v>
      </c>
      <c r="I3046" s="29">
        <f>Table1[[#This Row],[Total Revenue]]/$H$5056*100</f>
        <v>8.3815640178820064E-4</v>
      </c>
      <c r="J3046" s="3" t="s">
        <v>15</v>
      </c>
      <c r="K3046" s="4">
        <v>6.6</v>
      </c>
      <c r="M3046"/>
    </row>
    <row r="3047" spans="1:13" x14ac:dyDescent="0.25">
      <c r="A3047" s="3" t="s">
        <v>167</v>
      </c>
      <c r="B3047" s="3" t="s">
        <v>244</v>
      </c>
      <c r="C3047" s="3" t="s">
        <v>13</v>
      </c>
      <c r="D3047" s="3" t="s">
        <v>19</v>
      </c>
      <c r="E3047" s="5" t="s">
        <v>11</v>
      </c>
      <c r="F3047" s="17">
        <v>6.83</v>
      </c>
      <c r="G3047" s="3">
        <v>4</v>
      </c>
      <c r="H3047" s="17">
        <f>Table1[[#This Row],[Unit price]]*Table1[[#This Row],[Quantity]]</f>
        <v>27.32</v>
      </c>
      <c r="I3047" s="29">
        <f>Table1[[#This Row],[Total Revenue]]/$H$5056*100</f>
        <v>2.8985358097283094E-3</v>
      </c>
      <c r="J3047" s="3" t="s">
        <v>17</v>
      </c>
      <c r="K3047" s="4">
        <v>7.7</v>
      </c>
      <c r="M3047"/>
    </row>
    <row r="3048" spans="1:13" x14ac:dyDescent="0.25">
      <c r="A3048" s="3" t="s">
        <v>167</v>
      </c>
      <c r="B3048" s="3" t="s">
        <v>245</v>
      </c>
      <c r="C3048" s="3" t="s">
        <v>9</v>
      </c>
      <c r="D3048" s="3" t="s">
        <v>19</v>
      </c>
      <c r="E3048" s="5" t="s">
        <v>11</v>
      </c>
      <c r="F3048" s="17">
        <v>7.58</v>
      </c>
      <c r="G3048" s="3">
        <v>3</v>
      </c>
      <c r="H3048" s="17">
        <f>Table1[[#This Row],[Unit price]]*Table1[[#This Row],[Quantity]]</f>
        <v>22.740000000000002</v>
      </c>
      <c r="I3048" s="29">
        <f>Table1[[#This Row],[Total Revenue]]/$H$5056*100</f>
        <v>2.4126172881852766E-3</v>
      </c>
      <c r="J3048" s="3" t="s">
        <v>15</v>
      </c>
      <c r="K3048" s="4">
        <v>8.5</v>
      </c>
      <c r="M3048"/>
    </row>
    <row r="3049" spans="1:13" x14ac:dyDescent="0.25">
      <c r="A3049" s="3" t="s">
        <v>167</v>
      </c>
      <c r="B3049" s="3" t="s">
        <v>245</v>
      </c>
      <c r="C3049" s="3" t="s">
        <v>9</v>
      </c>
      <c r="D3049" s="3" t="s">
        <v>10</v>
      </c>
      <c r="E3049" s="5" t="s">
        <v>18</v>
      </c>
      <c r="F3049" s="17">
        <v>11.54</v>
      </c>
      <c r="G3049" s="3">
        <v>1</v>
      </c>
      <c r="H3049" s="17">
        <f>Table1[[#This Row],[Unit price]]*Table1[[#This Row],[Quantity]]</f>
        <v>11.54</v>
      </c>
      <c r="I3049" s="29">
        <f>Table1[[#This Row],[Total Revenue]]/$H$5056*100</f>
        <v>1.2243449210931436E-3</v>
      </c>
      <c r="J3049" s="3" t="s">
        <v>12</v>
      </c>
      <c r="K3049" s="4">
        <v>7.3</v>
      </c>
      <c r="M3049"/>
    </row>
    <row r="3050" spans="1:13" x14ac:dyDescent="0.25">
      <c r="A3050" s="3" t="s">
        <v>167</v>
      </c>
      <c r="B3050" s="3" t="s">
        <v>244</v>
      </c>
      <c r="C3050" s="3" t="s">
        <v>13</v>
      </c>
      <c r="D3050" s="3" t="s">
        <v>10</v>
      </c>
      <c r="E3050" s="5" t="s">
        <v>21</v>
      </c>
      <c r="F3050" s="17">
        <v>24.78</v>
      </c>
      <c r="G3050" s="3">
        <v>2</v>
      </c>
      <c r="H3050" s="17">
        <f>Table1[[#This Row],[Unit price]]*Table1[[#This Row],[Quantity]]</f>
        <v>49.56</v>
      </c>
      <c r="I3050" s="29">
        <f>Table1[[#This Row],[Total Revenue]]/$H$5056*100</f>
        <v>5.2581052243826868E-3</v>
      </c>
      <c r="J3050" s="3" t="s">
        <v>12</v>
      </c>
      <c r="K3050" s="4">
        <v>6</v>
      </c>
      <c r="M3050"/>
    </row>
    <row r="3051" spans="1:13" x14ac:dyDescent="0.25">
      <c r="A3051" s="3" t="s">
        <v>167</v>
      </c>
      <c r="B3051" s="3" t="s">
        <v>245</v>
      </c>
      <c r="C3051" s="3" t="s">
        <v>13</v>
      </c>
      <c r="D3051" s="3" t="s">
        <v>19</v>
      </c>
      <c r="E3051" s="5" t="s">
        <v>14</v>
      </c>
      <c r="F3051" s="17">
        <v>94.77</v>
      </c>
      <c r="G3051" s="3">
        <v>1</v>
      </c>
      <c r="H3051" s="17">
        <f>Table1[[#This Row],[Unit price]]*Table1[[#This Row],[Quantity]]</f>
        <v>94.77</v>
      </c>
      <c r="I3051" s="29">
        <f>Table1[[#This Row],[Total Revenue]]/$H$5056*100</f>
        <v>1.0054693949046553E-2</v>
      </c>
      <c r="J3051" s="3" t="s">
        <v>17</v>
      </c>
      <c r="K3051" s="4">
        <v>7.6</v>
      </c>
      <c r="M3051"/>
    </row>
    <row r="3052" spans="1:13" x14ac:dyDescent="0.25">
      <c r="A3052" s="3" t="s">
        <v>168</v>
      </c>
      <c r="B3052" s="3" t="s">
        <v>245</v>
      </c>
      <c r="C3052" s="3" t="s">
        <v>13</v>
      </c>
      <c r="D3052" s="3" t="s">
        <v>10</v>
      </c>
      <c r="E3052" s="5" t="s">
        <v>20</v>
      </c>
      <c r="F3052" s="17">
        <v>69.239999999999995</v>
      </c>
      <c r="G3052" s="3">
        <v>2</v>
      </c>
      <c r="H3052" s="17">
        <f>Table1[[#This Row],[Unit price]]*Table1[[#This Row],[Quantity]]</f>
        <v>138.47999999999999</v>
      </c>
      <c r="I3052" s="29">
        <f>Table1[[#This Row],[Total Revenue]]/$H$5056*100</f>
        <v>1.4692139053117725E-2</v>
      </c>
      <c r="J3052" s="3" t="s">
        <v>17</v>
      </c>
      <c r="K3052" s="4">
        <v>7.7</v>
      </c>
      <c r="M3052"/>
    </row>
    <row r="3053" spans="1:13" x14ac:dyDescent="0.25">
      <c r="A3053" s="2">
        <v>45300</v>
      </c>
      <c r="B3053" s="3" t="s">
        <v>244</v>
      </c>
      <c r="C3053" s="3" t="s">
        <v>9</v>
      </c>
      <c r="D3053" s="3" t="s">
        <v>10</v>
      </c>
      <c r="E3053" s="5" t="s">
        <v>20</v>
      </c>
      <c r="F3053" s="17">
        <v>44.19</v>
      </c>
      <c r="G3053" s="3">
        <v>2</v>
      </c>
      <c r="H3053" s="17">
        <f>Table1[[#This Row],[Unit price]]*Table1[[#This Row],[Quantity]]</f>
        <v>88.38</v>
      </c>
      <c r="I3053" s="29">
        <f>Table1[[#This Row],[Total Revenue]]/$H$5056*100</f>
        <v>9.3767421253216666E-3</v>
      </c>
      <c r="J3053" s="3" t="s">
        <v>17</v>
      </c>
      <c r="K3053" s="4">
        <v>5.5</v>
      </c>
      <c r="M3053"/>
    </row>
    <row r="3054" spans="1:13" x14ac:dyDescent="0.25">
      <c r="A3054" s="2">
        <v>45300</v>
      </c>
      <c r="B3054" s="3" t="s">
        <v>244</v>
      </c>
      <c r="C3054" s="3" t="s">
        <v>9</v>
      </c>
      <c r="D3054" s="3" t="s">
        <v>10</v>
      </c>
      <c r="E3054" s="5" t="s">
        <v>16</v>
      </c>
      <c r="F3054" s="17">
        <v>52.81</v>
      </c>
      <c r="G3054" s="3">
        <v>4</v>
      </c>
      <c r="H3054" s="17">
        <f>Table1[[#This Row],[Unit price]]*Table1[[#This Row],[Quantity]]</f>
        <v>211.24</v>
      </c>
      <c r="I3054" s="29">
        <f>Table1[[#This Row],[Total Revenue]]/$H$5056*100</f>
        <v>2.2411665609334119E-2</v>
      </c>
      <c r="J3054" s="3" t="s">
        <v>12</v>
      </c>
      <c r="K3054" s="4">
        <v>9.5</v>
      </c>
      <c r="M3054"/>
    </row>
    <row r="3055" spans="1:13" x14ac:dyDescent="0.25">
      <c r="A3055" s="2">
        <v>45300</v>
      </c>
      <c r="B3055" s="3" t="s">
        <v>244</v>
      </c>
      <c r="C3055" s="3" t="s">
        <v>9</v>
      </c>
      <c r="D3055" s="3" t="s">
        <v>10</v>
      </c>
      <c r="E3055" s="5" t="s">
        <v>11</v>
      </c>
      <c r="F3055" s="17">
        <v>9.66</v>
      </c>
      <c r="G3055" s="3">
        <v>1</v>
      </c>
      <c r="H3055" s="17">
        <f>Table1[[#This Row],[Unit price]]*Table1[[#This Row],[Quantity]]</f>
        <v>9.66</v>
      </c>
      <c r="I3055" s="29">
        <f>Table1[[#This Row],[Total Revenue]]/$H$5056*100</f>
        <v>1.0248849166169644E-3</v>
      </c>
      <c r="J3055" s="3" t="s">
        <v>17</v>
      </c>
      <c r="K3055" s="4">
        <v>8</v>
      </c>
      <c r="M3055"/>
    </row>
    <row r="3056" spans="1:13" x14ac:dyDescent="0.25">
      <c r="A3056" s="2">
        <v>45300</v>
      </c>
      <c r="B3056" s="3" t="s">
        <v>243</v>
      </c>
      <c r="C3056" s="3" t="s">
        <v>9</v>
      </c>
      <c r="D3056" s="3" t="s">
        <v>10</v>
      </c>
      <c r="E3056" s="5" t="s">
        <v>11</v>
      </c>
      <c r="F3056" s="17">
        <v>14.44</v>
      </c>
      <c r="G3056" s="3">
        <v>6</v>
      </c>
      <c r="H3056" s="17">
        <f>Table1[[#This Row],[Unit price]]*Table1[[#This Row],[Quantity]]</f>
        <v>86.64</v>
      </c>
      <c r="I3056" s="29">
        <f>Table1[[#This Row],[Total Revenue]]/$H$5056*100</f>
        <v>9.1921355254341395E-3</v>
      </c>
      <c r="J3056" s="3" t="s">
        <v>15</v>
      </c>
      <c r="K3056" s="4">
        <v>7.1</v>
      </c>
      <c r="M3056"/>
    </row>
    <row r="3057" spans="1:13" x14ac:dyDescent="0.25">
      <c r="A3057" s="2">
        <v>45300</v>
      </c>
      <c r="B3057" s="3" t="s">
        <v>243</v>
      </c>
      <c r="C3057" s="3" t="s">
        <v>13</v>
      </c>
      <c r="D3057" s="3" t="s">
        <v>10</v>
      </c>
      <c r="E3057" s="5" t="s">
        <v>21</v>
      </c>
      <c r="F3057" s="17">
        <v>35.18</v>
      </c>
      <c r="G3057" s="3">
        <v>8</v>
      </c>
      <c r="H3057" s="17">
        <f>Table1[[#This Row],[Unit price]]*Table1[[#This Row],[Quantity]]</f>
        <v>281.44</v>
      </c>
      <c r="I3057" s="29">
        <f>Table1[[#This Row],[Total Revenue]]/$H$5056*100</f>
        <v>2.9859587053072303E-2</v>
      </c>
      <c r="J3057" s="3" t="s">
        <v>12</v>
      </c>
      <c r="K3057" s="4">
        <v>4.0999999999999996</v>
      </c>
      <c r="M3057"/>
    </row>
    <row r="3058" spans="1:13" x14ac:dyDescent="0.25">
      <c r="A3058" s="2">
        <v>45300</v>
      </c>
      <c r="B3058" s="3" t="s">
        <v>243</v>
      </c>
      <c r="C3058" s="3" t="s">
        <v>13</v>
      </c>
      <c r="D3058" s="3" t="s">
        <v>10</v>
      </c>
      <c r="E3058" s="5" t="s">
        <v>14</v>
      </c>
      <c r="F3058" s="17">
        <v>91.72</v>
      </c>
      <c r="G3058" s="3">
        <v>6</v>
      </c>
      <c r="H3058" s="17">
        <f>Table1[[#This Row],[Unit price]]*Table1[[#This Row],[Quantity]]</f>
        <v>550.31999999999994</v>
      </c>
      <c r="I3058" s="29">
        <f>Table1[[#This Row],[Total Revenue]]/$H$5056*100</f>
        <v>5.8386611523048429E-2</v>
      </c>
      <c r="J3058" s="3" t="s">
        <v>12</v>
      </c>
      <c r="K3058" s="4">
        <v>4.0999999999999996</v>
      </c>
      <c r="M3058"/>
    </row>
    <row r="3059" spans="1:13" x14ac:dyDescent="0.25">
      <c r="A3059" s="2">
        <v>45300</v>
      </c>
      <c r="B3059" s="3" t="s">
        <v>244</v>
      </c>
      <c r="C3059" s="3" t="s">
        <v>13</v>
      </c>
      <c r="D3059" s="3" t="s">
        <v>19</v>
      </c>
      <c r="E3059" s="5" t="s">
        <v>18</v>
      </c>
      <c r="F3059" s="17">
        <v>24.7</v>
      </c>
      <c r="G3059" s="3">
        <v>4</v>
      </c>
      <c r="H3059" s="17">
        <f>Table1[[#This Row],[Unit price]]*Table1[[#This Row],[Quantity]]</f>
        <v>98.8</v>
      </c>
      <c r="I3059" s="29">
        <f>Table1[[#This Row],[Total Revenue]]/$H$5056*100</f>
        <v>1.0482259809705598E-2</v>
      </c>
      <c r="J3059" s="3" t="s">
        <v>17</v>
      </c>
      <c r="K3059" s="4">
        <v>3.4</v>
      </c>
      <c r="M3059"/>
    </row>
    <row r="3060" spans="1:13" x14ac:dyDescent="0.25">
      <c r="A3060" s="2">
        <v>45300</v>
      </c>
      <c r="B3060" s="3" t="s">
        <v>243</v>
      </c>
      <c r="C3060" s="3" t="s">
        <v>9</v>
      </c>
      <c r="D3060" s="3" t="s">
        <v>10</v>
      </c>
      <c r="E3060" s="5" t="s">
        <v>21</v>
      </c>
      <c r="F3060" s="17">
        <v>23.88</v>
      </c>
      <c r="G3060" s="3">
        <v>5</v>
      </c>
      <c r="H3060" s="17">
        <f>Table1[[#This Row],[Unit price]]*Table1[[#This Row],[Quantity]]</f>
        <v>119.39999999999999</v>
      </c>
      <c r="I3060" s="29">
        <f>Table1[[#This Row],[Total Revenue]]/$H$5056*100</f>
        <v>1.2667832199178625E-2</v>
      </c>
      <c r="J3060" s="3" t="s">
        <v>17</v>
      </c>
      <c r="K3060" s="4">
        <v>8.9</v>
      </c>
      <c r="M3060"/>
    </row>
    <row r="3061" spans="1:13" x14ac:dyDescent="0.25">
      <c r="A3061" s="2">
        <v>45300</v>
      </c>
      <c r="B3061" s="3" t="s">
        <v>244</v>
      </c>
      <c r="C3061" s="3" t="s">
        <v>13</v>
      </c>
      <c r="D3061" s="3" t="s">
        <v>19</v>
      </c>
      <c r="E3061" s="5" t="s">
        <v>20</v>
      </c>
      <c r="F3061" s="17">
        <v>47.34</v>
      </c>
      <c r="G3061" s="3">
        <v>8</v>
      </c>
      <c r="H3061" s="17">
        <f>Table1[[#This Row],[Unit price]]*Table1[[#This Row],[Quantity]]</f>
        <v>378.72</v>
      </c>
      <c r="I3061" s="29">
        <f>Table1[[#This Row],[Total Revenue]]/$H$5056*100</f>
        <v>4.0180581327243975E-2</v>
      </c>
      <c r="J3061" s="3" t="s">
        <v>12</v>
      </c>
      <c r="K3061" s="4">
        <v>7.1</v>
      </c>
      <c r="M3061"/>
    </row>
    <row r="3062" spans="1:13" x14ac:dyDescent="0.25">
      <c r="A3062" s="2">
        <v>45300</v>
      </c>
      <c r="B3062" s="3" t="s">
        <v>243</v>
      </c>
      <c r="C3062" s="3" t="s">
        <v>13</v>
      </c>
      <c r="D3062" s="3" t="s">
        <v>19</v>
      </c>
      <c r="E3062" s="5" t="s">
        <v>14</v>
      </c>
      <c r="F3062" s="17">
        <v>95.97</v>
      </c>
      <c r="G3062" s="3">
        <v>1</v>
      </c>
      <c r="H3062" s="17">
        <f>Table1[[#This Row],[Unit price]]*Table1[[#This Row],[Quantity]]</f>
        <v>95.97</v>
      </c>
      <c r="I3062" s="29">
        <f>Table1[[#This Row],[Total Revenue]]/$H$5056*100</f>
        <v>1.018200884552071E-2</v>
      </c>
      <c r="J3062" s="3" t="s">
        <v>15</v>
      </c>
      <c r="K3062" s="4">
        <v>7.8</v>
      </c>
      <c r="M3062"/>
    </row>
    <row r="3063" spans="1:13" x14ac:dyDescent="0.25">
      <c r="A3063" s="2">
        <v>45300</v>
      </c>
      <c r="B3063" s="3" t="s">
        <v>244</v>
      </c>
      <c r="C3063" s="3" t="s">
        <v>9</v>
      </c>
      <c r="D3063" s="3" t="s">
        <v>10</v>
      </c>
      <c r="E3063" s="5" t="s">
        <v>11</v>
      </c>
      <c r="F3063" s="17">
        <v>13.87</v>
      </c>
      <c r="G3063" s="3">
        <v>10</v>
      </c>
      <c r="H3063" s="17">
        <f>Table1[[#This Row],[Unit price]]*Table1[[#This Row],[Quantity]]</f>
        <v>138.69999999999999</v>
      </c>
      <c r="I3063" s="29">
        <f>Table1[[#This Row],[Total Revenue]]/$H$5056*100</f>
        <v>1.471548011747132E-2</v>
      </c>
      <c r="J3063" s="3" t="s">
        <v>17</v>
      </c>
      <c r="K3063" s="4">
        <v>3.1</v>
      </c>
      <c r="M3063"/>
    </row>
    <row r="3064" spans="1:13" x14ac:dyDescent="0.25">
      <c r="A3064" s="2">
        <v>45300</v>
      </c>
      <c r="B3064" s="3" t="s">
        <v>243</v>
      </c>
      <c r="C3064" s="3" t="s">
        <v>13</v>
      </c>
      <c r="D3064" s="3" t="s">
        <v>10</v>
      </c>
      <c r="E3064" s="5" t="s">
        <v>11</v>
      </c>
      <c r="F3064" s="17">
        <v>10.36</v>
      </c>
      <c r="G3064" s="3">
        <v>3</v>
      </c>
      <c r="H3064" s="17">
        <f>Table1[[#This Row],[Unit price]]*Table1[[#This Row],[Quantity]]</f>
        <v>31.08</v>
      </c>
      <c r="I3064" s="29">
        <f>Table1[[#This Row],[Total Revenue]]/$H$5056*100</f>
        <v>3.2974558186806679E-3</v>
      </c>
      <c r="J3064" s="3" t="s">
        <v>15</v>
      </c>
      <c r="K3064" s="4">
        <v>9.6</v>
      </c>
      <c r="M3064"/>
    </row>
    <row r="3065" spans="1:13" x14ac:dyDescent="0.25">
      <c r="A3065" s="2">
        <v>45300</v>
      </c>
      <c r="B3065" s="3" t="s">
        <v>243</v>
      </c>
      <c r="C3065" s="3" t="s">
        <v>13</v>
      </c>
      <c r="D3065" s="3" t="s">
        <v>10</v>
      </c>
      <c r="E3065" s="5" t="s">
        <v>11</v>
      </c>
      <c r="F3065" s="17">
        <v>7.57</v>
      </c>
      <c r="G3065" s="3">
        <v>10</v>
      </c>
      <c r="H3065" s="17">
        <f>Table1[[#This Row],[Unit price]]*Table1[[#This Row],[Quantity]]</f>
        <v>75.7</v>
      </c>
      <c r="I3065" s="29">
        <f>Table1[[#This Row],[Total Revenue]]/$H$5056*100</f>
        <v>8.0314480525780756E-3</v>
      </c>
      <c r="J3065" s="3" t="s">
        <v>12</v>
      </c>
      <c r="K3065" s="4">
        <v>8.6999999999999993</v>
      </c>
      <c r="M3065"/>
    </row>
    <row r="3066" spans="1:13" x14ac:dyDescent="0.25">
      <c r="A3066" s="2">
        <v>45300</v>
      </c>
      <c r="B3066" s="3" t="s">
        <v>245</v>
      </c>
      <c r="C3066" s="3" t="s">
        <v>9</v>
      </c>
      <c r="D3066" s="3" t="s">
        <v>10</v>
      </c>
      <c r="E3066" s="5" t="s">
        <v>11</v>
      </c>
      <c r="F3066" s="17">
        <v>2.61</v>
      </c>
      <c r="G3066" s="3">
        <v>2</v>
      </c>
      <c r="H3066" s="17">
        <f>Table1[[#This Row],[Unit price]]*Table1[[#This Row],[Quantity]]</f>
        <v>5.22</v>
      </c>
      <c r="I3066" s="29">
        <f>Table1[[#This Row],[Total Revenue]]/$H$5056*100</f>
        <v>5.5381979966258321E-4</v>
      </c>
      <c r="J3066" s="3" t="s">
        <v>15</v>
      </c>
      <c r="K3066" s="4">
        <v>4.4000000000000004</v>
      </c>
      <c r="M3066"/>
    </row>
    <row r="3067" spans="1:13" x14ac:dyDescent="0.25">
      <c r="A3067" s="2">
        <v>45300</v>
      </c>
      <c r="B3067" s="3" t="s">
        <v>245</v>
      </c>
      <c r="C3067" s="3" t="s">
        <v>9</v>
      </c>
      <c r="D3067" s="3" t="s">
        <v>19</v>
      </c>
      <c r="E3067" s="5" t="s">
        <v>11</v>
      </c>
      <c r="F3067" s="17">
        <v>9.75</v>
      </c>
      <c r="G3067" s="3">
        <v>8</v>
      </c>
      <c r="H3067" s="17">
        <f>Table1[[#This Row],[Unit price]]*Table1[[#This Row],[Quantity]]</f>
        <v>78</v>
      </c>
      <c r="I3067" s="29">
        <f>Table1[[#This Row],[Total Revenue]]/$H$5056*100</f>
        <v>8.2754682708202094E-3</v>
      </c>
      <c r="J3067" s="3" t="s">
        <v>12</v>
      </c>
      <c r="K3067" s="4">
        <v>4.2</v>
      </c>
      <c r="M3067"/>
    </row>
    <row r="3068" spans="1:13" x14ac:dyDescent="0.25">
      <c r="A3068" s="2">
        <v>45300</v>
      </c>
      <c r="B3068" s="3" t="s">
        <v>245</v>
      </c>
      <c r="C3068" s="3" t="s">
        <v>13</v>
      </c>
      <c r="D3068" s="3" t="s">
        <v>19</v>
      </c>
      <c r="E3068" s="5" t="s">
        <v>14</v>
      </c>
      <c r="F3068" s="17">
        <v>82.17</v>
      </c>
      <c r="G3068" s="3">
        <v>9</v>
      </c>
      <c r="H3068" s="17">
        <f>Table1[[#This Row],[Unit price]]*Table1[[#This Row],[Quantity]]</f>
        <v>739.53</v>
      </c>
      <c r="I3068" s="29">
        <f>Table1[[#This Row],[Total Revenue]]/$H$5056*100</f>
        <v>7.8460987824611139E-2</v>
      </c>
      <c r="J3068" s="3" t="s">
        <v>17</v>
      </c>
      <c r="K3068" s="4">
        <v>4.2</v>
      </c>
      <c r="M3068"/>
    </row>
    <row r="3069" spans="1:13" x14ac:dyDescent="0.25">
      <c r="A3069" s="2">
        <v>45300</v>
      </c>
      <c r="B3069" s="3" t="s">
        <v>243</v>
      </c>
      <c r="C3069" s="3" t="s">
        <v>13</v>
      </c>
      <c r="D3069" s="3" t="s">
        <v>10</v>
      </c>
      <c r="E3069" s="5" t="s">
        <v>18</v>
      </c>
      <c r="F3069" s="17">
        <v>14.07</v>
      </c>
      <c r="G3069" s="3">
        <v>5</v>
      </c>
      <c r="H3069" s="17">
        <f>Table1[[#This Row],[Unit price]]*Table1[[#This Row],[Quantity]]</f>
        <v>70.349999999999994</v>
      </c>
      <c r="I3069" s="29">
        <f>Table1[[#This Row],[Total Revenue]]/$H$5056*100</f>
        <v>7.4638358057974568E-3</v>
      </c>
      <c r="J3069" s="3" t="s">
        <v>17</v>
      </c>
      <c r="K3069" s="4">
        <v>5.0999999999999996</v>
      </c>
      <c r="M3069"/>
    </row>
    <row r="3070" spans="1:13" x14ac:dyDescent="0.25">
      <c r="A3070" s="2">
        <v>45300</v>
      </c>
      <c r="B3070" s="3" t="s">
        <v>243</v>
      </c>
      <c r="C3070" s="3" t="s">
        <v>13</v>
      </c>
      <c r="D3070" s="3" t="s">
        <v>19</v>
      </c>
      <c r="E3070" s="5" t="s">
        <v>18</v>
      </c>
      <c r="F3070" s="17">
        <v>10.97</v>
      </c>
      <c r="G3070" s="3">
        <v>9</v>
      </c>
      <c r="H3070" s="17">
        <f>Table1[[#This Row],[Unit price]]*Table1[[#This Row],[Quantity]]</f>
        <v>98.73</v>
      </c>
      <c r="I3070" s="29">
        <f>Table1[[#This Row],[Total Revenue]]/$H$5056*100</f>
        <v>1.0474833107411272E-2</v>
      </c>
      <c r="J3070" s="3" t="s">
        <v>12</v>
      </c>
      <c r="K3070" s="4">
        <v>6.6</v>
      </c>
      <c r="M3070"/>
    </row>
    <row r="3071" spans="1:13" x14ac:dyDescent="0.25">
      <c r="A3071" s="2">
        <v>45300</v>
      </c>
      <c r="B3071" s="3" t="s">
        <v>245</v>
      </c>
      <c r="C3071" s="3" t="s">
        <v>13</v>
      </c>
      <c r="D3071" s="3" t="s">
        <v>19</v>
      </c>
      <c r="E3071" s="5" t="s">
        <v>11</v>
      </c>
      <c r="F3071" s="17">
        <v>8.35</v>
      </c>
      <c r="G3071" s="3">
        <v>2</v>
      </c>
      <c r="H3071" s="17">
        <f>Table1[[#This Row],[Unit price]]*Table1[[#This Row],[Quantity]]</f>
        <v>16.7</v>
      </c>
      <c r="I3071" s="29">
        <f>Table1[[#This Row],[Total Revenue]]/$H$5056*100</f>
        <v>1.771798975932019E-3</v>
      </c>
      <c r="J3071" s="3" t="s">
        <v>17</v>
      </c>
      <c r="K3071" s="4">
        <v>5.9</v>
      </c>
      <c r="M3071"/>
    </row>
    <row r="3072" spans="1:13" x14ac:dyDescent="0.25">
      <c r="A3072" s="2">
        <v>45300</v>
      </c>
      <c r="B3072" s="3" t="s">
        <v>245</v>
      </c>
      <c r="C3072" s="3" t="s">
        <v>9</v>
      </c>
      <c r="D3072" s="3" t="s">
        <v>10</v>
      </c>
      <c r="E3072" s="5" t="s">
        <v>16</v>
      </c>
      <c r="F3072" s="17">
        <v>57.23</v>
      </c>
      <c r="G3072" s="3">
        <v>10</v>
      </c>
      <c r="H3072" s="17">
        <f>Table1[[#This Row],[Unit price]]*Table1[[#This Row],[Quantity]]</f>
        <v>572.29999999999995</v>
      </c>
      <c r="I3072" s="29">
        <f>Table1[[#This Row],[Total Revenue]]/$H$5056*100</f>
        <v>6.0718596043466737E-2</v>
      </c>
      <c r="J3072" s="3" t="s">
        <v>17</v>
      </c>
      <c r="K3072" s="4">
        <v>5</v>
      </c>
      <c r="M3072"/>
    </row>
    <row r="3073" spans="1:13" x14ac:dyDescent="0.25">
      <c r="A3073" s="2">
        <v>45300</v>
      </c>
      <c r="B3073" s="3" t="s">
        <v>243</v>
      </c>
      <c r="C3073" s="3" t="s">
        <v>13</v>
      </c>
      <c r="D3073" s="3" t="s">
        <v>19</v>
      </c>
      <c r="E3073" s="5" t="s">
        <v>11</v>
      </c>
      <c r="F3073" s="17">
        <v>8.93</v>
      </c>
      <c r="G3073" s="3">
        <v>3</v>
      </c>
      <c r="H3073" s="17">
        <f>Table1[[#This Row],[Unit price]]*Table1[[#This Row],[Quantity]]</f>
        <v>26.79</v>
      </c>
      <c r="I3073" s="29">
        <f>Table1[[#This Row],[Total Revenue]]/$H$5056*100</f>
        <v>2.8423050637855565E-3</v>
      </c>
      <c r="J3073" s="3" t="s">
        <v>15</v>
      </c>
      <c r="K3073" s="4">
        <v>7.2</v>
      </c>
      <c r="M3073"/>
    </row>
    <row r="3074" spans="1:13" x14ac:dyDescent="0.25">
      <c r="A3074" s="2">
        <v>45300</v>
      </c>
      <c r="B3074" s="3" t="s">
        <v>243</v>
      </c>
      <c r="C3074" s="3" t="s">
        <v>13</v>
      </c>
      <c r="D3074" s="3" t="s">
        <v>10</v>
      </c>
      <c r="E3074" s="5" t="s">
        <v>21</v>
      </c>
      <c r="F3074" s="17">
        <v>30.16</v>
      </c>
      <c r="G3074" s="3">
        <v>4</v>
      </c>
      <c r="H3074" s="17">
        <f>Table1[[#This Row],[Unit price]]*Table1[[#This Row],[Quantity]]</f>
        <v>120.64</v>
      </c>
      <c r="I3074" s="29">
        <f>Table1[[#This Row],[Total Revenue]]/$H$5056*100</f>
        <v>1.2799390925535257E-2</v>
      </c>
      <c r="J3074" s="3" t="s">
        <v>17</v>
      </c>
      <c r="K3074" s="4">
        <v>3.9</v>
      </c>
      <c r="M3074"/>
    </row>
    <row r="3075" spans="1:13" x14ac:dyDescent="0.25">
      <c r="A3075" s="2">
        <v>45300</v>
      </c>
      <c r="B3075" s="3" t="s">
        <v>245</v>
      </c>
      <c r="C3075" s="3" t="s">
        <v>9</v>
      </c>
      <c r="D3075" s="3" t="s">
        <v>10</v>
      </c>
      <c r="E3075" s="5" t="s">
        <v>18</v>
      </c>
      <c r="F3075" s="17">
        <v>18.43</v>
      </c>
      <c r="G3075" s="3">
        <v>6</v>
      </c>
      <c r="H3075" s="17">
        <f>Table1[[#This Row],[Unit price]]*Table1[[#This Row],[Quantity]]</f>
        <v>110.58</v>
      </c>
      <c r="I3075" s="29">
        <f>Table1[[#This Row],[Total Revenue]]/$H$5056*100</f>
        <v>1.1732067710093575E-2</v>
      </c>
      <c r="J3075" s="3" t="s">
        <v>12</v>
      </c>
      <c r="K3075" s="4">
        <v>5</v>
      </c>
      <c r="M3075"/>
    </row>
    <row r="3076" spans="1:13" x14ac:dyDescent="0.25">
      <c r="A3076" s="2">
        <v>45331</v>
      </c>
      <c r="B3076" s="3" t="s">
        <v>244</v>
      </c>
      <c r="C3076" s="3" t="s">
        <v>9</v>
      </c>
      <c r="D3076" s="3" t="s">
        <v>19</v>
      </c>
      <c r="E3076" s="5" t="s">
        <v>21</v>
      </c>
      <c r="F3076" s="17">
        <v>15.53</v>
      </c>
      <c r="G3076" s="3">
        <v>9</v>
      </c>
      <c r="H3076" s="17">
        <f>Table1[[#This Row],[Unit price]]*Table1[[#This Row],[Quantity]]</f>
        <v>139.76999999999998</v>
      </c>
      <c r="I3076" s="29">
        <f>Table1[[#This Row],[Total Revenue]]/$H$5056*100</f>
        <v>1.4829002566827442E-2</v>
      </c>
      <c r="J3076" s="3" t="s">
        <v>15</v>
      </c>
      <c r="K3076" s="4">
        <v>5.5</v>
      </c>
      <c r="M3076"/>
    </row>
    <row r="3077" spans="1:13" x14ac:dyDescent="0.25">
      <c r="A3077" s="2">
        <v>45331</v>
      </c>
      <c r="B3077" s="3" t="s">
        <v>244</v>
      </c>
      <c r="C3077" s="3" t="s">
        <v>9</v>
      </c>
      <c r="D3077" s="3" t="s">
        <v>19</v>
      </c>
      <c r="E3077" s="5" t="s">
        <v>11</v>
      </c>
      <c r="F3077" s="17">
        <v>13.77</v>
      </c>
      <c r="G3077" s="3">
        <v>6</v>
      </c>
      <c r="H3077" s="17">
        <f>Table1[[#This Row],[Unit price]]*Table1[[#This Row],[Quantity]]</f>
        <v>82.62</v>
      </c>
      <c r="I3077" s="29">
        <f>Table1[[#This Row],[Total Revenue]]/$H$5056*100</f>
        <v>8.765630622245715E-3</v>
      </c>
      <c r="J3077" s="3" t="s">
        <v>15</v>
      </c>
      <c r="K3077" s="4">
        <v>6.1</v>
      </c>
      <c r="M3077"/>
    </row>
    <row r="3078" spans="1:13" x14ac:dyDescent="0.25">
      <c r="A3078" s="2">
        <v>45331</v>
      </c>
      <c r="B3078" s="3" t="s">
        <v>245</v>
      </c>
      <c r="C3078" s="3" t="s">
        <v>13</v>
      </c>
      <c r="D3078" s="3" t="s">
        <v>19</v>
      </c>
      <c r="E3078" s="5" t="s">
        <v>11</v>
      </c>
      <c r="F3078" s="17">
        <v>11.4</v>
      </c>
      <c r="G3078" s="3">
        <v>10</v>
      </c>
      <c r="H3078" s="17">
        <f>Table1[[#This Row],[Unit price]]*Table1[[#This Row],[Quantity]]</f>
        <v>114</v>
      </c>
      <c r="I3078" s="29">
        <f>Table1[[#This Row],[Total Revenue]]/$H$5056*100</f>
        <v>1.209491516504492E-2</v>
      </c>
      <c r="J3078" s="3" t="s">
        <v>12</v>
      </c>
      <c r="K3078" s="4">
        <v>8.3000000000000007</v>
      </c>
      <c r="M3078"/>
    </row>
    <row r="3079" spans="1:13" x14ac:dyDescent="0.25">
      <c r="A3079" s="2">
        <v>45331</v>
      </c>
      <c r="B3079" s="3" t="s">
        <v>243</v>
      </c>
      <c r="C3079" s="3" t="s">
        <v>9</v>
      </c>
      <c r="D3079" s="3" t="s">
        <v>10</v>
      </c>
      <c r="E3079" s="5" t="s">
        <v>11</v>
      </c>
      <c r="F3079" s="17">
        <v>3.26</v>
      </c>
      <c r="G3079" s="3">
        <v>7</v>
      </c>
      <c r="H3079" s="17">
        <f>Table1[[#This Row],[Unit price]]*Table1[[#This Row],[Quantity]]</f>
        <v>22.82</v>
      </c>
      <c r="I3079" s="29">
        <f>Table1[[#This Row],[Total Revenue]]/$H$5056*100</f>
        <v>2.4211049479502204E-3</v>
      </c>
      <c r="J3079" s="3" t="s">
        <v>12</v>
      </c>
      <c r="K3079" s="4">
        <v>4.4000000000000004</v>
      </c>
      <c r="M3079"/>
    </row>
    <row r="3080" spans="1:13" x14ac:dyDescent="0.25">
      <c r="A3080" s="2">
        <v>45331</v>
      </c>
      <c r="B3080" s="3" t="s">
        <v>245</v>
      </c>
      <c r="C3080" s="3" t="s">
        <v>13</v>
      </c>
      <c r="D3080" s="3" t="s">
        <v>19</v>
      </c>
      <c r="E3080" s="5" t="s">
        <v>21</v>
      </c>
      <c r="F3080" s="17">
        <v>39.6</v>
      </c>
      <c r="G3080" s="3">
        <v>2</v>
      </c>
      <c r="H3080" s="17">
        <f>Table1[[#This Row],[Unit price]]*Table1[[#This Row],[Quantity]]</f>
        <v>79.2</v>
      </c>
      <c r="I3080" s="29">
        <f>Table1[[#This Row],[Total Revenue]]/$H$5056*100</f>
        <v>8.4027831672943663E-3</v>
      </c>
      <c r="J3080" s="3" t="s">
        <v>15</v>
      </c>
      <c r="K3080" s="4">
        <v>6.5</v>
      </c>
      <c r="M3080"/>
    </row>
    <row r="3081" spans="1:13" x14ac:dyDescent="0.25">
      <c r="A3081" s="2">
        <v>45331</v>
      </c>
      <c r="B3081" s="3" t="s">
        <v>245</v>
      </c>
      <c r="C3081" s="3" t="s">
        <v>9</v>
      </c>
      <c r="D3081" s="3" t="s">
        <v>19</v>
      </c>
      <c r="E3081" s="5" t="s">
        <v>18</v>
      </c>
      <c r="F3081" s="17">
        <v>8.8000000000000007</v>
      </c>
      <c r="G3081" s="3">
        <v>8</v>
      </c>
      <c r="H3081" s="17">
        <f>Table1[[#This Row],[Unit price]]*Table1[[#This Row],[Quantity]]</f>
        <v>70.400000000000006</v>
      </c>
      <c r="I3081" s="29">
        <f>Table1[[#This Row],[Total Revenue]]/$H$5056*100</f>
        <v>7.4691405931505486E-3</v>
      </c>
      <c r="J3081" s="3" t="s">
        <v>15</v>
      </c>
      <c r="K3081" s="4">
        <v>7</v>
      </c>
      <c r="M3081"/>
    </row>
    <row r="3082" spans="1:13" x14ac:dyDescent="0.25">
      <c r="A3082" s="2">
        <v>45331</v>
      </c>
      <c r="B3082" s="3" t="s">
        <v>243</v>
      </c>
      <c r="C3082" s="3" t="s">
        <v>13</v>
      </c>
      <c r="D3082" s="3" t="s">
        <v>19</v>
      </c>
      <c r="E3082" s="5" t="s">
        <v>11</v>
      </c>
      <c r="F3082" s="17">
        <v>13.2</v>
      </c>
      <c r="G3082" s="3">
        <v>9</v>
      </c>
      <c r="H3082" s="17">
        <f>Table1[[#This Row],[Unit price]]*Table1[[#This Row],[Quantity]]</f>
        <v>118.8</v>
      </c>
      <c r="I3082" s="29">
        <f>Table1[[#This Row],[Total Revenue]]/$H$5056*100</f>
        <v>1.260417475094155E-2</v>
      </c>
      <c r="J3082" s="3" t="s">
        <v>15</v>
      </c>
      <c r="K3082" s="4">
        <v>3.3</v>
      </c>
      <c r="M3082"/>
    </row>
    <row r="3083" spans="1:13" x14ac:dyDescent="0.25">
      <c r="A3083" s="2">
        <v>45331</v>
      </c>
      <c r="B3083" s="3" t="s">
        <v>243</v>
      </c>
      <c r="C3083" s="3" t="s">
        <v>13</v>
      </c>
      <c r="D3083" s="3" t="s">
        <v>19</v>
      </c>
      <c r="E3083" s="5" t="s">
        <v>20</v>
      </c>
      <c r="F3083" s="17">
        <v>67.790000000000006</v>
      </c>
      <c r="G3083" s="3">
        <v>4</v>
      </c>
      <c r="H3083" s="17">
        <f>Table1[[#This Row],[Unit price]]*Table1[[#This Row],[Quantity]]</f>
        <v>271.16000000000003</v>
      </c>
      <c r="I3083" s="29">
        <f>Table1[[#This Row],[Total Revenue]]/$H$5056*100</f>
        <v>2.8768922773277028E-2</v>
      </c>
      <c r="J3083" s="3" t="s">
        <v>15</v>
      </c>
      <c r="K3083" s="4">
        <v>7.1</v>
      </c>
      <c r="M3083"/>
    </row>
    <row r="3084" spans="1:13" x14ac:dyDescent="0.25">
      <c r="A3084" s="2">
        <v>45331</v>
      </c>
      <c r="B3084" s="3" t="s">
        <v>244</v>
      </c>
      <c r="C3084" s="3" t="s">
        <v>13</v>
      </c>
      <c r="D3084" s="3" t="s">
        <v>10</v>
      </c>
      <c r="E3084" s="5" t="s">
        <v>21</v>
      </c>
      <c r="F3084" s="17">
        <v>19.12</v>
      </c>
      <c r="G3084" s="3">
        <v>1</v>
      </c>
      <c r="H3084" s="17">
        <f>Table1[[#This Row],[Unit price]]*Table1[[#This Row],[Quantity]]</f>
        <v>19.12</v>
      </c>
      <c r="I3084" s="29">
        <f>Table1[[#This Row],[Total Revenue]]/$H$5056*100</f>
        <v>2.0285506838215693E-3</v>
      </c>
      <c r="J3084" s="3" t="s">
        <v>17</v>
      </c>
      <c r="K3084" s="4">
        <v>4.2</v>
      </c>
      <c r="M3084"/>
    </row>
    <row r="3085" spans="1:13" x14ac:dyDescent="0.25">
      <c r="A3085" s="2">
        <v>45331</v>
      </c>
      <c r="B3085" s="3" t="s">
        <v>245</v>
      </c>
      <c r="C3085" s="3" t="s">
        <v>9</v>
      </c>
      <c r="D3085" s="3" t="s">
        <v>10</v>
      </c>
      <c r="E3085" s="5" t="s">
        <v>11</v>
      </c>
      <c r="F3085" s="17">
        <v>11.06</v>
      </c>
      <c r="G3085" s="3">
        <v>9</v>
      </c>
      <c r="H3085" s="17">
        <f>Table1[[#This Row],[Unit price]]*Table1[[#This Row],[Quantity]]</f>
        <v>99.54</v>
      </c>
      <c r="I3085" s="29">
        <f>Table1[[#This Row],[Total Revenue]]/$H$5056*100</f>
        <v>1.0560770662531329E-2</v>
      </c>
      <c r="J3085" s="3" t="s">
        <v>17</v>
      </c>
      <c r="K3085" s="4">
        <v>3.4</v>
      </c>
      <c r="M3085"/>
    </row>
    <row r="3086" spans="1:13" x14ac:dyDescent="0.25">
      <c r="A3086" s="2">
        <v>45331</v>
      </c>
      <c r="B3086" s="3" t="s">
        <v>244</v>
      </c>
      <c r="C3086" s="3" t="s">
        <v>13</v>
      </c>
      <c r="D3086" s="3" t="s">
        <v>19</v>
      </c>
      <c r="E3086" s="5" t="s">
        <v>21</v>
      </c>
      <c r="F3086" s="17">
        <v>29.48</v>
      </c>
      <c r="G3086" s="3">
        <v>9</v>
      </c>
      <c r="H3086" s="17">
        <f>Table1[[#This Row],[Unit price]]*Table1[[#This Row],[Quantity]]</f>
        <v>265.32</v>
      </c>
      <c r="I3086" s="29">
        <f>Table1[[#This Row],[Total Revenue]]/$H$5056*100</f>
        <v>2.8149323610436129E-2</v>
      </c>
      <c r="J3086" s="3" t="s">
        <v>15</v>
      </c>
      <c r="K3086" s="4">
        <v>9.5</v>
      </c>
      <c r="M3086"/>
    </row>
    <row r="3087" spans="1:13" x14ac:dyDescent="0.25">
      <c r="A3087" s="2">
        <v>45331</v>
      </c>
      <c r="B3087" s="3" t="s">
        <v>244</v>
      </c>
      <c r="C3087" s="3" t="s">
        <v>13</v>
      </c>
      <c r="D3087" s="3" t="s">
        <v>10</v>
      </c>
      <c r="E3087" s="5" t="s">
        <v>11</v>
      </c>
      <c r="F3087" s="17">
        <v>13.09</v>
      </c>
      <c r="G3087" s="3">
        <v>3</v>
      </c>
      <c r="H3087" s="17">
        <f>Table1[[#This Row],[Unit price]]*Table1[[#This Row],[Quantity]]</f>
        <v>39.269999999999996</v>
      </c>
      <c r="I3087" s="29">
        <f>Table1[[#This Row],[Total Revenue]]/$H$5056*100</f>
        <v>4.1663799871167898E-3</v>
      </c>
      <c r="J3087" s="3" t="s">
        <v>15</v>
      </c>
      <c r="K3087" s="4">
        <v>9.6</v>
      </c>
      <c r="M3087"/>
    </row>
    <row r="3088" spans="1:13" x14ac:dyDescent="0.25">
      <c r="A3088" s="2">
        <v>45331</v>
      </c>
      <c r="B3088" s="3" t="s">
        <v>245</v>
      </c>
      <c r="C3088" s="3" t="s">
        <v>13</v>
      </c>
      <c r="D3088" s="3" t="s">
        <v>19</v>
      </c>
      <c r="E3088" s="5" t="s">
        <v>21</v>
      </c>
      <c r="F3088" s="17">
        <v>31.88</v>
      </c>
      <c r="G3088" s="3">
        <v>4</v>
      </c>
      <c r="H3088" s="17">
        <f>Table1[[#This Row],[Unit price]]*Table1[[#This Row],[Quantity]]</f>
        <v>127.52</v>
      </c>
      <c r="I3088" s="29">
        <f>Table1[[#This Row],[Total Revenue]]/$H$5056*100</f>
        <v>1.3529329665320423E-2</v>
      </c>
      <c r="J3088" s="3" t="s">
        <v>12</v>
      </c>
      <c r="K3088" s="4">
        <v>8.5</v>
      </c>
      <c r="M3088"/>
    </row>
    <row r="3089" spans="1:13" x14ac:dyDescent="0.25">
      <c r="A3089" s="2">
        <v>45331</v>
      </c>
      <c r="B3089" s="3" t="s">
        <v>243</v>
      </c>
      <c r="C3089" s="3" t="s">
        <v>13</v>
      </c>
      <c r="D3089" s="3" t="s">
        <v>19</v>
      </c>
      <c r="E3089" s="5" t="s">
        <v>14</v>
      </c>
      <c r="F3089" s="17">
        <v>87.94</v>
      </c>
      <c r="G3089" s="3">
        <v>10</v>
      </c>
      <c r="H3089" s="17">
        <f>Table1[[#This Row],[Unit price]]*Table1[[#This Row],[Quantity]]</f>
        <v>879.4</v>
      </c>
      <c r="I3089" s="29">
        <f>Table1[[#This Row],[Total Revenue]]/$H$5056*100</f>
        <v>9.3300599966144773E-2</v>
      </c>
      <c r="J3089" s="3" t="s">
        <v>12</v>
      </c>
      <c r="K3089" s="4">
        <v>5.0999999999999996</v>
      </c>
      <c r="M3089"/>
    </row>
    <row r="3090" spans="1:13" x14ac:dyDescent="0.25">
      <c r="A3090" s="2">
        <v>45331</v>
      </c>
      <c r="B3090" s="3" t="s">
        <v>244</v>
      </c>
      <c r="C3090" s="3" t="s">
        <v>9</v>
      </c>
      <c r="D3090" s="3" t="s">
        <v>10</v>
      </c>
      <c r="E3090" s="5" t="s">
        <v>11</v>
      </c>
      <c r="F3090" s="17">
        <v>7.15</v>
      </c>
      <c r="G3090" s="3">
        <v>5</v>
      </c>
      <c r="H3090" s="17">
        <f>Table1[[#This Row],[Unit price]]*Table1[[#This Row],[Quantity]]</f>
        <v>35.75</v>
      </c>
      <c r="I3090" s="29">
        <f>Table1[[#This Row],[Total Revenue]]/$H$5056*100</f>
        <v>3.7929229574592627E-3</v>
      </c>
      <c r="J3090" s="3" t="s">
        <v>12</v>
      </c>
      <c r="K3090" s="4">
        <v>3.7</v>
      </c>
      <c r="M3090"/>
    </row>
    <row r="3091" spans="1:13" x14ac:dyDescent="0.25">
      <c r="A3091" s="2">
        <v>45331</v>
      </c>
      <c r="B3091" s="3" t="s">
        <v>245</v>
      </c>
      <c r="C3091" s="3" t="s">
        <v>13</v>
      </c>
      <c r="D3091" s="3" t="s">
        <v>19</v>
      </c>
      <c r="E3091" s="5" t="s">
        <v>14</v>
      </c>
      <c r="F3091" s="17">
        <v>98.92</v>
      </c>
      <c r="G3091" s="3">
        <v>2</v>
      </c>
      <c r="H3091" s="17">
        <f>Table1[[#This Row],[Unit price]]*Table1[[#This Row],[Quantity]]</f>
        <v>197.84</v>
      </c>
      <c r="I3091" s="29">
        <f>Table1[[#This Row],[Total Revenue]]/$H$5056*100</f>
        <v>2.098998259870603E-2</v>
      </c>
      <c r="J3091" s="3" t="s">
        <v>15</v>
      </c>
      <c r="K3091" s="4">
        <v>7.7</v>
      </c>
      <c r="M3091"/>
    </row>
    <row r="3092" spans="1:13" x14ac:dyDescent="0.25">
      <c r="A3092" s="2">
        <v>45331</v>
      </c>
      <c r="B3092" s="3" t="s">
        <v>244</v>
      </c>
      <c r="C3092" s="3" t="s">
        <v>13</v>
      </c>
      <c r="D3092" s="3" t="s">
        <v>10</v>
      </c>
      <c r="E3092" s="5" t="s">
        <v>11</v>
      </c>
      <c r="F3092" s="17">
        <v>13.43</v>
      </c>
      <c r="G3092" s="3">
        <v>6</v>
      </c>
      <c r="H3092" s="17">
        <f>Table1[[#This Row],[Unit price]]*Table1[[#This Row],[Quantity]]</f>
        <v>80.58</v>
      </c>
      <c r="I3092" s="29">
        <f>Table1[[#This Row],[Total Revenue]]/$H$5056*100</f>
        <v>8.5491952982396473E-3</v>
      </c>
      <c r="J3092" s="3" t="s">
        <v>15</v>
      </c>
      <c r="K3092" s="4">
        <v>6</v>
      </c>
      <c r="M3092"/>
    </row>
    <row r="3093" spans="1:13" x14ac:dyDescent="0.25">
      <c r="A3093" s="2">
        <v>45331</v>
      </c>
      <c r="B3093" s="3" t="s">
        <v>243</v>
      </c>
      <c r="C3093" s="3" t="s">
        <v>13</v>
      </c>
      <c r="D3093" s="3" t="s">
        <v>10</v>
      </c>
      <c r="E3093" s="5" t="s">
        <v>21</v>
      </c>
      <c r="F3093" s="17">
        <v>39.68</v>
      </c>
      <c r="G3093" s="3">
        <v>9</v>
      </c>
      <c r="H3093" s="17">
        <f>Table1[[#This Row],[Unit price]]*Table1[[#This Row],[Quantity]]</f>
        <v>357.12</v>
      </c>
      <c r="I3093" s="29">
        <f>Table1[[#This Row],[Total Revenue]]/$H$5056*100</f>
        <v>3.7888913190709139E-2</v>
      </c>
      <c r="J3093" s="3" t="s">
        <v>15</v>
      </c>
      <c r="K3093" s="4">
        <v>3.8</v>
      </c>
      <c r="M3093"/>
    </row>
    <row r="3094" spans="1:13" x14ac:dyDescent="0.25">
      <c r="A3094" s="2">
        <v>45360</v>
      </c>
      <c r="B3094" s="3" t="s">
        <v>244</v>
      </c>
      <c r="C3094" s="3" t="s">
        <v>13</v>
      </c>
      <c r="D3094" s="3" t="s">
        <v>19</v>
      </c>
      <c r="E3094" s="5" t="s">
        <v>16</v>
      </c>
      <c r="F3094" s="17">
        <v>54.03</v>
      </c>
      <c r="G3094" s="3">
        <v>2</v>
      </c>
      <c r="H3094" s="17">
        <f>Table1[[#This Row],[Unit price]]*Table1[[#This Row],[Quantity]]</f>
        <v>108.06</v>
      </c>
      <c r="I3094" s="29">
        <f>Table1[[#This Row],[Total Revenue]]/$H$5056*100</f>
        <v>1.1464706427497844E-2</v>
      </c>
      <c r="J3094" s="3" t="s">
        <v>17</v>
      </c>
      <c r="K3094" s="4">
        <v>6.4</v>
      </c>
      <c r="M3094"/>
    </row>
    <row r="3095" spans="1:13" x14ac:dyDescent="0.25">
      <c r="A3095" s="2">
        <v>45360</v>
      </c>
      <c r="B3095" s="3" t="s">
        <v>244</v>
      </c>
      <c r="C3095" s="3" t="s">
        <v>13</v>
      </c>
      <c r="D3095" s="3" t="s">
        <v>10</v>
      </c>
      <c r="E3095" s="5" t="s">
        <v>18</v>
      </c>
      <c r="F3095" s="17">
        <v>19.350000000000001</v>
      </c>
      <c r="G3095" s="3">
        <v>4</v>
      </c>
      <c r="H3095" s="17">
        <f>Table1[[#This Row],[Unit price]]*Table1[[#This Row],[Quantity]]</f>
        <v>77.400000000000006</v>
      </c>
      <c r="I3095" s="29">
        <f>Table1[[#This Row],[Total Revenue]]/$H$5056*100</f>
        <v>8.21181082258313E-3</v>
      </c>
      <c r="J3095" s="3" t="s">
        <v>17</v>
      </c>
      <c r="K3095" s="4">
        <v>3.2</v>
      </c>
      <c r="M3095"/>
    </row>
    <row r="3096" spans="1:13" x14ac:dyDescent="0.25">
      <c r="A3096" s="2">
        <v>45360</v>
      </c>
      <c r="B3096" s="3" t="s">
        <v>243</v>
      </c>
      <c r="C3096" s="3" t="s">
        <v>13</v>
      </c>
      <c r="D3096" s="3" t="s">
        <v>10</v>
      </c>
      <c r="E3096" s="5" t="s">
        <v>16</v>
      </c>
      <c r="F3096" s="17">
        <v>75.38</v>
      </c>
      <c r="G3096" s="3">
        <v>2</v>
      </c>
      <c r="H3096" s="17">
        <f>Table1[[#This Row],[Unit price]]*Table1[[#This Row],[Quantity]]</f>
        <v>150.76</v>
      </c>
      <c r="I3096" s="29">
        <f>Table1[[#This Row],[Total Revenue]]/$H$5056*100</f>
        <v>1.5994994827036597E-2</v>
      </c>
      <c r="J3096" s="3" t="s">
        <v>12</v>
      </c>
      <c r="K3096" s="4">
        <v>9.1999999999999993</v>
      </c>
      <c r="M3096"/>
    </row>
    <row r="3097" spans="1:13" x14ac:dyDescent="0.25">
      <c r="A3097" s="2">
        <v>45360</v>
      </c>
      <c r="B3097" s="3" t="s">
        <v>244</v>
      </c>
      <c r="C3097" s="3" t="s">
        <v>13</v>
      </c>
      <c r="D3097" s="3" t="s">
        <v>10</v>
      </c>
      <c r="E3097" s="5" t="s">
        <v>16</v>
      </c>
      <c r="F3097" s="17">
        <v>69.11</v>
      </c>
      <c r="G3097" s="3">
        <v>5</v>
      </c>
      <c r="H3097" s="17">
        <f>Table1[[#This Row],[Unit price]]*Table1[[#This Row],[Quantity]]</f>
        <v>345.55</v>
      </c>
      <c r="I3097" s="29">
        <f>Table1[[#This Row],[Total Revenue]]/$H$5056*100</f>
        <v>3.6661385397204149E-2</v>
      </c>
      <c r="J3097" s="3" t="s">
        <v>15</v>
      </c>
      <c r="K3097" s="4">
        <v>4.8</v>
      </c>
      <c r="M3097"/>
    </row>
    <row r="3098" spans="1:13" x14ac:dyDescent="0.25">
      <c r="A3098" s="2">
        <v>45360</v>
      </c>
      <c r="B3098" s="3" t="s">
        <v>245</v>
      </c>
      <c r="C3098" s="3" t="s">
        <v>9</v>
      </c>
      <c r="D3098" s="3" t="s">
        <v>19</v>
      </c>
      <c r="E3098" s="5" t="s">
        <v>21</v>
      </c>
      <c r="F3098" s="17">
        <v>38.630000000000003</v>
      </c>
      <c r="G3098" s="3">
        <v>3</v>
      </c>
      <c r="H3098" s="17">
        <f>Table1[[#This Row],[Unit price]]*Table1[[#This Row],[Quantity]]</f>
        <v>115.89000000000001</v>
      </c>
      <c r="I3098" s="29">
        <f>Table1[[#This Row],[Total Revenue]]/$H$5056*100</f>
        <v>1.2295436126991721E-2</v>
      </c>
      <c r="J3098" s="3" t="s">
        <v>12</v>
      </c>
      <c r="K3098" s="4">
        <v>7.5</v>
      </c>
      <c r="M3098"/>
    </row>
    <row r="3099" spans="1:13" x14ac:dyDescent="0.25">
      <c r="A3099" s="2">
        <v>45360</v>
      </c>
      <c r="B3099" s="3" t="s">
        <v>243</v>
      </c>
      <c r="C3099" s="3" t="s">
        <v>13</v>
      </c>
      <c r="D3099" s="3" t="s">
        <v>19</v>
      </c>
      <c r="E3099" s="5" t="s">
        <v>16</v>
      </c>
      <c r="F3099" s="17">
        <v>51.25</v>
      </c>
      <c r="G3099" s="3">
        <v>6</v>
      </c>
      <c r="H3099" s="17">
        <f>Table1[[#This Row],[Unit price]]*Table1[[#This Row],[Quantity]]</f>
        <v>307.5</v>
      </c>
      <c r="I3099" s="29">
        <f>Table1[[#This Row],[Total Revenue]]/$H$5056*100</f>
        <v>3.262444222150275E-2</v>
      </c>
      <c r="J3099" s="3" t="s">
        <v>17</v>
      </c>
      <c r="K3099" s="4">
        <v>5.0999999999999996</v>
      </c>
      <c r="M3099"/>
    </row>
    <row r="3100" spans="1:13" x14ac:dyDescent="0.25">
      <c r="A3100" s="2">
        <v>45360</v>
      </c>
      <c r="B3100" s="3" t="s">
        <v>245</v>
      </c>
      <c r="C3100" s="3" t="s">
        <v>9</v>
      </c>
      <c r="D3100" s="3" t="s">
        <v>10</v>
      </c>
      <c r="E3100" s="5" t="s">
        <v>18</v>
      </c>
      <c r="F3100" s="17">
        <v>9.99</v>
      </c>
      <c r="G3100" s="3">
        <v>2</v>
      </c>
      <c r="H3100" s="17">
        <f>Table1[[#This Row],[Unit price]]*Table1[[#This Row],[Quantity]]</f>
        <v>19.98</v>
      </c>
      <c r="I3100" s="29">
        <f>Table1[[#This Row],[Total Revenue]]/$H$5056*100</f>
        <v>2.1197930262947151E-3</v>
      </c>
      <c r="J3100" s="3" t="s">
        <v>12</v>
      </c>
      <c r="K3100" s="4">
        <v>6.5</v>
      </c>
      <c r="M3100"/>
    </row>
    <row r="3101" spans="1:13" x14ac:dyDescent="0.25">
      <c r="A3101" s="2">
        <v>45360</v>
      </c>
      <c r="B3101" s="3" t="s">
        <v>245</v>
      </c>
      <c r="C3101" s="3" t="s">
        <v>13</v>
      </c>
      <c r="D3101" s="3" t="s">
        <v>19</v>
      </c>
      <c r="E3101" s="5" t="s">
        <v>20</v>
      </c>
      <c r="F3101" s="17">
        <v>47.1</v>
      </c>
      <c r="G3101" s="3">
        <v>3</v>
      </c>
      <c r="H3101" s="17">
        <f>Table1[[#This Row],[Unit price]]*Table1[[#This Row],[Quantity]]</f>
        <v>141.30000000000001</v>
      </c>
      <c r="I3101" s="29">
        <f>Table1[[#This Row],[Total Revenue]]/$H$5056*100</f>
        <v>1.4991329059831996E-2</v>
      </c>
      <c r="J3101" s="3" t="s">
        <v>17</v>
      </c>
      <c r="K3101" s="4">
        <v>6.7</v>
      </c>
      <c r="M3101"/>
    </row>
    <row r="3102" spans="1:13" x14ac:dyDescent="0.25">
      <c r="A3102" s="2">
        <v>45360</v>
      </c>
      <c r="B3102" s="3" t="s">
        <v>245</v>
      </c>
      <c r="C3102" s="3" t="s">
        <v>9</v>
      </c>
      <c r="D3102" s="3" t="s">
        <v>19</v>
      </c>
      <c r="E3102" s="5" t="s">
        <v>16</v>
      </c>
      <c r="F3102" s="17">
        <v>77.73</v>
      </c>
      <c r="G3102" s="3">
        <v>7</v>
      </c>
      <c r="H3102" s="17">
        <f>Table1[[#This Row],[Unit price]]*Table1[[#This Row],[Quantity]]</f>
        <v>544.11</v>
      </c>
      <c r="I3102" s="29">
        <f>Table1[[#This Row],[Total Revenue]]/$H$5056*100</f>
        <v>5.7727756933794665E-2</v>
      </c>
      <c r="J3102" s="3" t="s">
        <v>17</v>
      </c>
      <c r="K3102" s="4">
        <v>4.3</v>
      </c>
      <c r="M3102"/>
    </row>
    <row r="3103" spans="1:13" x14ac:dyDescent="0.25">
      <c r="A3103" s="2">
        <v>45360</v>
      </c>
      <c r="B3103" s="3" t="s">
        <v>245</v>
      </c>
      <c r="C3103" s="3" t="s">
        <v>9</v>
      </c>
      <c r="D3103" s="3" t="s">
        <v>10</v>
      </c>
      <c r="E3103" s="5" t="s">
        <v>16</v>
      </c>
      <c r="F3103" s="17">
        <v>71.040000000000006</v>
      </c>
      <c r="G3103" s="3">
        <v>7</v>
      </c>
      <c r="H3103" s="17">
        <f>Table1[[#This Row],[Unit price]]*Table1[[#This Row],[Quantity]]</f>
        <v>497.28000000000003</v>
      </c>
      <c r="I3103" s="29">
        <f>Table1[[#This Row],[Total Revenue]]/$H$5056*100</f>
        <v>5.2759293098890686E-2</v>
      </c>
      <c r="J3103" s="3" t="s">
        <v>17</v>
      </c>
      <c r="K3103" s="4">
        <v>9.6</v>
      </c>
      <c r="M3103"/>
    </row>
    <row r="3104" spans="1:13" x14ac:dyDescent="0.25">
      <c r="A3104" s="2">
        <v>45360</v>
      </c>
      <c r="B3104" s="3" t="s">
        <v>244</v>
      </c>
      <c r="C3104" s="3" t="s">
        <v>9</v>
      </c>
      <c r="D3104" s="3" t="s">
        <v>10</v>
      </c>
      <c r="E3104" s="5" t="s">
        <v>16</v>
      </c>
      <c r="F3104" s="17">
        <v>74.62</v>
      </c>
      <c r="G3104" s="3">
        <v>4</v>
      </c>
      <c r="H3104" s="17">
        <f>Table1[[#This Row],[Unit price]]*Table1[[#This Row],[Quantity]]</f>
        <v>298.48</v>
      </c>
      <c r="I3104" s="29">
        <f>Table1[[#This Row],[Total Revenue]]/$H$5056*100</f>
        <v>3.1667458583005341E-2</v>
      </c>
      <c r="J3104" s="3" t="s">
        <v>15</v>
      </c>
      <c r="K3104" s="4">
        <v>8.3000000000000007</v>
      </c>
      <c r="M3104"/>
    </row>
    <row r="3105" spans="1:13" x14ac:dyDescent="0.25">
      <c r="A3105" s="2">
        <v>45360</v>
      </c>
      <c r="B3105" s="3" t="s">
        <v>243</v>
      </c>
      <c r="C3105" s="3" t="s">
        <v>13</v>
      </c>
      <c r="D3105" s="3" t="s">
        <v>10</v>
      </c>
      <c r="E3105" s="5" t="s">
        <v>20</v>
      </c>
      <c r="F3105" s="17">
        <v>69.010000000000005</v>
      </c>
      <c r="G3105" s="3">
        <v>5</v>
      </c>
      <c r="H3105" s="17">
        <f>Table1[[#This Row],[Unit price]]*Table1[[#This Row],[Quantity]]</f>
        <v>345.05</v>
      </c>
      <c r="I3105" s="29">
        <f>Table1[[#This Row],[Total Revenue]]/$H$5056*100</f>
        <v>3.6608337523673248E-2</v>
      </c>
      <c r="J3105" s="3" t="s">
        <v>12</v>
      </c>
      <c r="K3105" s="4">
        <v>9.4</v>
      </c>
      <c r="M3105"/>
    </row>
    <row r="3106" spans="1:13" x14ac:dyDescent="0.25">
      <c r="A3106" s="2">
        <v>45360</v>
      </c>
      <c r="B3106" s="3" t="s">
        <v>245</v>
      </c>
      <c r="C3106" s="3" t="s">
        <v>13</v>
      </c>
      <c r="D3106" s="3" t="s">
        <v>10</v>
      </c>
      <c r="E3106" s="5" t="s">
        <v>21</v>
      </c>
      <c r="F3106" s="17">
        <v>17.88</v>
      </c>
      <c r="G3106" s="3">
        <v>5</v>
      </c>
      <c r="H3106" s="17">
        <f>Table1[[#This Row],[Unit price]]*Table1[[#This Row],[Quantity]]</f>
        <v>89.399999999999991</v>
      </c>
      <c r="I3106" s="29">
        <f>Table1[[#This Row],[Total Revenue]]/$H$5056*100</f>
        <v>9.4849597873246996E-3</v>
      </c>
      <c r="J3106" s="3" t="s">
        <v>15</v>
      </c>
      <c r="K3106" s="4">
        <v>9.1</v>
      </c>
      <c r="M3106"/>
    </row>
    <row r="3107" spans="1:13" x14ac:dyDescent="0.25">
      <c r="A3107" s="2">
        <v>45360</v>
      </c>
      <c r="B3107" s="3" t="s">
        <v>244</v>
      </c>
      <c r="C3107" s="3" t="s">
        <v>13</v>
      </c>
      <c r="D3107" s="3" t="s">
        <v>19</v>
      </c>
      <c r="E3107" s="5" t="s">
        <v>14</v>
      </c>
      <c r="F3107" s="17">
        <v>86.55</v>
      </c>
      <c r="G3107" s="3">
        <v>6</v>
      </c>
      <c r="H3107" s="17">
        <f>Table1[[#This Row],[Unit price]]*Table1[[#This Row],[Quantity]]</f>
        <v>519.29999999999995</v>
      </c>
      <c r="I3107" s="29">
        <f>Table1[[#This Row],[Total Revenue]]/$H$5056*100</f>
        <v>5.509552144919147E-2</v>
      </c>
      <c r="J3107" s="3" t="s">
        <v>12</v>
      </c>
      <c r="K3107" s="4">
        <v>7.1</v>
      </c>
      <c r="M3107"/>
    </row>
    <row r="3108" spans="1:13" x14ac:dyDescent="0.25">
      <c r="A3108" s="2">
        <v>45360</v>
      </c>
      <c r="B3108" s="3" t="s">
        <v>244</v>
      </c>
      <c r="C3108" s="3" t="s">
        <v>9</v>
      </c>
      <c r="D3108" s="3" t="s">
        <v>19</v>
      </c>
      <c r="E3108" s="5" t="s">
        <v>14</v>
      </c>
      <c r="F3108" s="17">
        <v>93.43</v>
      </c>
      <c r="G3108" s="3">
        <v>1</v>
      </c>
      <c r="H3108" s="17">
        <f>Table1[[#This Row],[Unit price]]*Table1[[#This Row],[Quantity]]</f>
        <v>93.43</v>
      </c>
      <c r="I3108" s="29">
        <f>Table1[[#This Row],[Total Revenue]]/$H$5056*100</f>
        <v>9.9125256479837467E-3</v>
      </c>
      <c r="J3108" s="3" t="s">
        <v>12</v>
      </c>
      <c r="K3108" s="4">
        <v>9.3000000000000007</v>
      </c>
      <c r="M3108"/>
    </row>
    <row r="3109" spans="1:13" x14ac:dyDescent="0.25">
      <c r="A3109" s="2">
        <v>45360</v>
      </c>
      <c r="B3109" s="3" t="s">
        <v>245</v>
      </c>
      <c r="C3109" s="3" t="s">
        <v>9</v>
      </c>
      <c r="D3109" s="3" t="s">
        <v>19</v>
      </c>
      <c r="E3109" s="5" t="s">
        <v>16</v>
      </c>
      <c r="F3109" s="17">
        <v>52.1</v>
      </c>
      <c r="G3109" s="3">
        <v>6</v>
      </c>
      <c r="H3109" s="17">
        <f>Table1[[#This Row],[Unit price]]*Table1[[#This Row],[Quantity]]</f>
        <v>312.60000000000002</v>
      </c>
      <c r="I3109" s="29">
        <f>Table1[[#This Row],[Total Revenue]]/$H$5056*100</f>
        <v>3.3165530531517919E-2</v>
      </c>
      <c r="J3109" s="3" t="s">
        <v>12</v>
      </c>
      <c r="K3109" s="4">
        <v>3.6</v>
      </c>
      <c r="M3109"/>
    </row>
    <row r="3110" spans="1:13" x14ac:dyDescent="0.25">
      <c r="A3110" s="2">
        <v>45360</v>
      </c>
      <c r="B3110" s="3" t="s">
        <v>244</v>
      </c>
      <c r="C3110" s="3" t="s">
        <v>13</v>
      </c>
      <c r="D3110" s="3" t="s">
        <v>10</v>
      </c>
      <c r="E3110" s="5" t="s">
        <v>20</v>
      </c>
      <c r="F3110" s="17">
        <v>60.01</v>
      </c>
      <c r="G3110" s="3">
        <v>6</v>
      </c>
      <c r="H3110" s="17">
        <f>Table1[[#This Row],[Unit price]]*Table1[[#This Row],[Quantity]]</f>
        <v>360.06</v>
      </c>
      <c r="I3110" s="29">
        <f>Table1[[#This Row],[Total Revenue]]/$H$5056*100</f>
        <v>3.8200834687070827E-2</v>
      </c>
      <c r="J3110" s="3" t="s">
        <v>12</v>
      </c>
      <c r="K3110" s="4">
        <v>4.3</v>
      </c>
      <c r="M3110"/>
    </row>
    <row r="3111" spans="1:13" x14ac:dyDescent="0.25">
      <c r="A3111" s="2">
        <v>45360</v>
      </c>
      <c r="B3111" s="3" t="s">
        <v>244</v>
      </c>
      <c r="C3111" s="3" t="s">
        <v>13</v>
      </c>
      <c r="D3111" s="3" t="s">
        <v>10</v>
      </c>
      <c r="E3111" s="5" t="s">
        <v>11</v>
      </c>
      <c r="F3111" s="17">
        <v>6.93</v>
      </c>
      <c r="G3111" s="3">
        <v>3</v>
      </c>
      <c r="H3111" s="17">
        <f>Table1[[#This Row],[Unit price]]*Table1[[#This Row],[Quantity]]</f>
        <v>20.79</v>
      </c>
      <c r="I3111" s="29">
        <f>Table1[[#This Row],[Total Revenue]]/$H$5056*100</f>
        <v>2.2057305814147709E-3</v>
      </c>
      <c r="J3111" s="3" t="s">
        <v>12</v>
      </c>
      <c r="K3111" s="4">
        <v>3.3</v>
      </c>
      <c r="M3111"/>
    </row>
    <row r="3112" spans="1:13" x14ac:dyDescent="0.25">
      <c r="A3112" s="2">
        <v>45391</v>
      </c>
      <c r="B3112" s="3" t="s">
        <v>243</v>
      </c>
      <c r="C3112" s="3" t="s">
        <v>9</v>
      </c>
      <c r="D3112" s="3" t="s">
        <v>19</v>
      </c>
      <c r="E3112" s="5" t="s">
        <v>11</v>
      </c>
      <c r="F3112" s="17">
        <v>4.7300000000000004</v>
      </c>
      <c r="G3112" s="3">
        <v>10</v>
      </c>
      <c r="H3112" s="17">
        <f>Table1[[#This Row],[Unit price]]*Table1[[#This Row],[Quantity]]</f>
        <v>47.300000000000004</v>
      </c>
      <c r="I3112" s="29">
        <f>Table1[[#This Row],[Total Revenue]]/$H$5056*100</f>
        <v>5.018328836023025E-3</v>
      </c>
      <c r="J3112" s="3" t="s">
        <v>12</v>
      </c>
      <c r="K3112" s="4">
        <v>5.2</v>
      </c>
      <c r="M3112"/>
    </row>
    <row r="3113" spans="1:13" x14ac:dyDescent="0.25">
      <c r="A3113" s="2">
        <v>45391</v>
      </c>
      <c r="B3113" s="3" t="s">
        <v>243</v>
      </c>
      <c r="C3113" s="3" t="s">
        <v>13</v>
      </c>
      <c r="D3113" s="3" t="s">
        <v>19</v>
      </c>
      <c r="E3113" s="5" t="s">
        <v>11</v>
      </c>
      <c r="F3113" s="17">
        <v>12.32</v>
      </c>
      <c r="G3113" s="3">
        <v>3</v>
      </c>
      <c r="H3113" s="17">
        <f>Table1[[#This Row],[Unit price]]*Table1[[#This Row],[Quantity]]</f>
        <v>36.96</v>
      </c>
      <c r="I3113" s="29">
        <f>Table1[[#This Row],[Total Revenue]]/$H$5056*100</f>
        <v>3.9212988114040379E-3</v>
      </c>
      <c r="J3113" s="3" t="s">
        <v>17</v>
      </c>
      <c r="K3113" s="4">
        <v>5.6</v>
      </c>
      <c r="M3113"/>
    </row>
    <row r="3114" spans="1:13" x14ac:dyDescent="0.25">
      <c r="A3114" s="2">
        <v>45391</v>
      </c>
      <c r="B3114" s="3" t="s">
        <v>245</v>
      </c>
      <c r="C3114" s="3" t="s">
        <v>9</v>
      </c>
      <c r="D3114" s="3" t="s">
        <v>10</v>
      </c>
      <c r="E3114" s="5" t="s">
        <v>11</v>
      </c>
      <c r="F3114" s="17">
        <v>14.38</v>
      </c>
      <c r="G3114" s="3">
        <v>4</v>
      </c>
      <c r="H3114" s="17">
        <f>Table1[[#This Row],[Unit price]]*Table1[[#This Row],[Quantity]]</f>
        <v>57.52</v>
      </c>
      <c r="I3114" s="29">
        <f>Table1[[#This Row],[Total Revenue]]/$H$5056*100</f>
        <v>6.1026273709945955E-3</v>
      </c>
      <c r="J3114" s="3" t="s">
        <v>17</v>
      </c>
      <c r="K3114" s="4">
        <v>4.8</v>
      </c>
      <c r="M3114"/>
    </row>
    <row r="3115" spans="1:13" x14ac:dyDescent="0.25">
      <c r="A3115" s="2">
        <v>45391</v>
      </c>
      <c r="B3115" s="3" t="s">
        <v>244</v>
      </c>
      <c r="C3115" s="3" t="s">
        <v>9</v>
      </c>
      <c r="D3115" s="3" t="s">
        <v>19</v>
      </c>
      <c r="E3115" s="5" t="s">
        <v>11</v>
      </c>
      <c r="F3115" s="17">
        <v>14.79</v>
      </c>
      <c r="G3115" s="3">
        <v>10</v>
      </c>
      <c r="H3115" s="17">
        <f>Table1[[#This Row],[Unit price]]*Table1[[#This Row],[Quantity]]</f>
        <v>147.89999999999998</v>
      </c>
      <c r="I3115" s="29">
        <f>Table1[[#This Row],[Total Revenue]]/$H$5056*100</f>
        <v>1.5691560990439855E-2</v>
      </c>
      <c r="J3115" s="3" t="s">
        <v>17</v>
      </c>
      <c r="K3115" s="4">
        <v>8.6</v>
      </c>
      <c r="M3115"/>
    </row>
    <row r="3116" spans="1:13" x14ac:dyDescent="0.25">
      <c r="A3116" s="2">
        <v>45391</v>
      </c>
      <c r="B3116" s="3" t="s">
        <v>243</v>
      </c>
      <c r="C3116" s="3" t="s">
        <v>13</v>
      </c>
      <c r="D3116" s="3" t="s">
        <v>19</v>
      </c>
      <c r="E3116" s="5" t="s">
        <v>11</v>
      </c>
      <c r="F3116" s="17">
        <v>6.99</v>
      </c>
      <c r="G3116" s="3">
        <v>7</v>
      </c>
      <c r="H3116" s="17">
        <f>Table1[[#This Row],[Unit price]]*Table1[[#This Row],[Quantity]]</f>
        <v>48.93</v>
      </c>
      <c r="I3116" s="29">
        <f>Table1[[#This Row],[Total Revenue]]/$H$5056*100</f>
        <v>5.1912649037337538E-3</v>
      </c>
      <c r="J3116" s="3" t="s">
        <v>15</v>
      </c>
      <c r="K3116" s="4">
        <v>5.4</v>
      </c>
      <c r="M3116"/>
    </row>
    <row r="3117" spans="1:13" x14ac:dyDescent="0.25">
      <c r="A3117" s="2">
        <v>45391</v>
      </c>
      <c r="B3117" s="3" t="s">
        <v>244</v>
      </c>
      <c r="C3117" s="3" t="s">
        <v>13</v>
      </c>
      <c r="D3117" s="3" t="s">
        <v>19</v>
      </c>
      <c r="E3117" s="5" t="s">
        <v>20</v>
      </c>
      <c r="F3117" s="17">
        <v>46.57</v>
      </c>
      <c r="G3117" s="3">
        <v>9</v>
      </c>
      <c r="H3117" s="17">
        <f>Table1[[#This Row],[Unit price]]*Table1[[#This Row],[Quantity]]</f>
        <v>419.13</v>
      </c>
      <c r="I3117" s="29">
        <f>Table1[[#This Row],[Total Revenue]]/$H$5056*100</f>
        <v>4.4467910466011208E-2</v>
      </c>
      <c r="J3117" s="3" t="s">
        <v>12</v>
      </c>
      <c r="K3117" s="4">
        <v>4.9000000000000004</v>
      </c>
      <c r="M3117"/>
    </row>
    <row r="3118" spans="1:13" x14ac:dyDescent="0.25">
      <c r="A3118" s="2">
        <v>45391</v>
      </c>
      <c r="B3118" s="3" t="s">
        <v>245</v>
      </c>
      <c r="C3118" s="3" t="s">
        <v>13</v>
      </c>
      <c r="D3118" s="3" t="s">
        <v>19</v>
      </c>
      <c r="E3118" s="5" t="s">
        <v>20</v>
      </c>
      <c r="F3118" s="17">
        <v>64.040000000000006</v>
      </c>
      <c r="G3118" s="3">
        <v>9</v>
      </c>
      <c r="H3118" s="17">
        <f>Table1[[#This Row],[Unit price]]*Table1[[#This Row],[Quantity]]</f>
        <v>576.36</v>
      </c>
      <c r="I3118" s="29">
        <f>Table1[[#This Row],[Total Revenue]]/$H$5056*100</f>
        <v>6.1149344776537641E-2</v>
      </c>
      <c r="J3118" s="3" t="s">
        <v>17</v>
      </c>
      <c r="K3118" s="4">
        <v>6.7</v>
      </c>
      <c r="M3118"/>
    </row>
    <row r="3119" spans="1:13" x14ac:dyDescent="0.25">
      <c r="A3119" s="2">
        <v>45391</v>
      </c>
      <c r="B3119" s="3" t="s">
        <v>245</v>
      </c>
      <c r="C3119" s="3" t="s">
        <v>13</v>
      </c>
      <c r="D3119" s="3" t="s">
        <v>10</v>
      </c>
      <c r="E3119" s="5" t="s">
        <v>20</v>
      </c>
      <c r="F3119" s="17">
        <v>61.58</v>
      </c>
      <c r="G3119" s="3">
        <v>9</v>
      </c>
      <c r="H3119" s="17">
        <f>Table1[[#This Row],[Unit price]]*Table1[[#This Row],[Quantity]]</f>
        <v>554.22</v>
      </c>
      <c r="I3119" s="29">
        <f>Table1[[#This Row],[Total Revenue]]/$H$5056*100</f>
        <v>5.8800384936589435E-2</v>
      </c>
      <c r="J3119" s="3" t="s">
        <v>12</v>
      </c>
      <c r="K3119" s="4">
        <v>4</v>
      </c>
      <c r="M3119"/>
    </row>
    <row r="3120" spans="1:13" x14ac:dyDescent="0.25">
      <c r="A3120" s="2">
        <v>45391</v>
      </c>
      <c r="B3120" s="3" t="s">
        <v>243</v>
      </c>
      <c r="C3120" s="3" t="s">
        <v>13</v>
      </c>
      <c r="D3120" s="3" t="s">
        <v>19</v>
      </c>
      <c r="E3120" s="5" t="s">
        <v>14</v>
      </c>
      <c r="F3120" s="17">
        <v>89</v>
      </c>
      <c r="G3120" s="3">
        <v>5</v>
      </c>
      <c r="H3120" s="17">
        <f>Table1[[#This Row],[Unit price]]*Table1[[#This Row],[Quantity]]</f>
        <v>445</v>
      </c>
      <c r="I3120" s="29">
        <f>Table1[[#This Row],[Total Revenue]]/$H$5056*100</f>
        <v>4.7212607442499908E-2</v>
      </c>
      <c r="J3120" s="3" t="s">
        <v>17</v>
      </c>
      <c r="K3120" s="4">
        <v>8.5</v>
      </c>
      <c r="M3120"/>
    </row>
    <row r="3121" spans="1:13" x14ac:dyDescent="0.25">
      <c r="A3121" s="2">
        <v>45391</v>
      </c>
      <c r="B3121" s="3" t="s">
        <v>244</v>
      </c>
      <c r="C3121" s="3" t="s">
        <v>13</v>
      </c>
      <c r="D3121" s="3" t="s">
        <v>10</v>
      </c>
      <c r="E3121" s="5" t="s">
        <v>16</v>
      </c>
      <c r="F3121" s="17">
        <v>58.24</v>
      </c>
      <c r="G3121" s="3">
        <v>2</v>
      </c>
      <c r="H3121" s="17">
        <f>Table1[[#This Row],[Unit price]]*Table1[[#This Row],[Quantity]]</f>
        <v>116.48</v>
      </c>
      <c r="I3121" s="29">
        <f>Table1[[#This Row],[Total Revenue]]/$H$5056*100</f>
        <v>1.2358032617758181E-2</v>
      </c>
      <c r="J3121" s="3" t="s">
        <v>17</v>
      </c>
      <c r="K3121" s="4">
        <v>3.5</v>
      </c>
      <c r="M3121"/>
    </row>
    <row r="3122" spans="1:13" x14ac:dyDescent="0.25">
      <c r="A3122" s="2">
        <v>45391</v>
      </c>
      <c r="B3122" s="3" t="s">
        <v>243</v>
      </c>
      <c r="C3122" s="3" t="s">
        <v>9</v>
      </c>
      <c r="D3122" s="3" t="s">
        <v>19</v>
      </c>
      <c r="E3122" s="5" t="s">
        <v>11</v>
      </c>
      <c r="F3122" s="17">
        <v>5.01</v>
      </c>
      <c r="G3122" s="3">
        <v>3</v>
      </c>
      <c r="H3122" s="17">
        <f>Table1[[#This Row],[Unit price]]*Table1[[#This Row],[Quantity]]</f>
        <v>15.03</v>
      </c>
      <c r="I3122" s="29">
        <f>Table1[[#This Row],[Total Revenue]]/$H$5056*100</f>
        <v>1.5946190783388172E-3</v>
      </c>
      <c r="J3122" s="3" t="s">
        <v>17</v>
      </c>
      <c r="K3122" s="4">
        <v>9.6999999999999993</v>
      </c>
      <c r="M3122"/>
    </row>
    <row r="3123" spans="1:13" x14ac:dyDescent="0.25">
      <c r="A3123" s="2">
        <v>45391</v>
      </c>
      <c r="B3123" s="3" t="s">
        <v>243</v>
      </c>
      <c r="C3123" s="3" t="s">
        <v>13</v>
      </c>
      <c r="D3123" s="3" t="s">
        <v>10</v>
      </c>
      <c r="E3123" s="5" t="s">
        <v>11</v>
      </c>
      <c r="F3123" s="17">
        <v>4.6900000000000004</v>
      </c>
      <c r="G3123" s="3">
        <v>7</v>
      </c>
      <c r="H3123" s="17">
        <f>Table1[[#This Row],[Unit price]]*Table1[[#This Row],[Quantity]]</f>
        <v>32.830000000000005</v>
      </c>
      <c r="I3123" s="29">
        <f>Table1[[#This Row],[Total Revenue]]/$H$5056*100</f>
        <v>3.4831233760388141E-3</v>
      </c>
      <c r="J3123" s="3" t="s">
        <v>12</v>
      </c>
      <c r="K3123" s="4">
        <v>8.3000000000000007</v>
      </c>
      <c r="M3123"/>
    </row>
    <row r="3124" spans="1:13" x14ac:dyDescent="0.25">
      <c r="A3124" s="2">
        <v>45391</v>
      </c>
      <c r="B3124" s="3" t="s">
        <v>245</v>
      </c>
      <c r="C3124" s="3" t="s">
        <v>13</v>
      </c>
      <c r="D3124" s="3" t="s">
        <v>19</v>
      </c>
      <c r="E3124" s="5" t="s">
        <v>18</v>
      </c>
      <c r="F3124" s="17">
        <v>20.309999999999999</v>
      </c>
      <c r="G3124" s="3">
        <v>7</v>
      </c>
      <c r="H3124" s="17">
        <f>Table1[[#This Row],[Unit price]]*Table1[[#This Row],[Quantity]]</f>
        <v>142.16999999999999</v>
      </c>
      <c r="I3124" s="29">
        <f>Table1[[#This Row],[Total Revenue]]/$H$5056*100</f>
        <v>1.5083632359775756E-2</v>
      </c>
      <c r="J3124" s="3" t="s">
        <v>12</v>
      </c>
      <c r="K3124" s="4">
        <v>4.4000000000000004</v>
      </c>
      <c r="M3124"/>
    </row>
    <row r="3125" spans="1:13" x14ac:dyDescent="0.25">
      <c r="A3125" s="2">
        <v>45391</v>
      </c>
      <c r="B3125" s="3" t="s">
        <v>244</v>
      </c>
      <c r="C3125" s="3" t="s">
        <v>13</v>
      </c>
      <c r="D3125" s="3" t="s">
        <v>10</v>
      </c>
      <c r="E3125" s="5" t="s">
        <v>14</v>
      </c>
      <c r="F3125" s="17">
        <v>98.07</v>
      </c>
      <c r="G3125" s="3">
        <v>7</v>
      </c>
      <c r="H3125" s="17">
        <f>Table1[[#This Row],[Unit price]]*Table1[[#This Row],[Quantity]]</f>
        <v>686.49</v>
      </c>
      <c r="I3125" s="29">
        <f>Table1[[#This Row],[Total Revenue]]/$H$5056*100</f>
        <v>7.283366940045341E-2</v>
      </c>
      <c r="J3125" s="3" t="s">
        <v>12</v>
      </c>
      <c r="K3125" s="4">
        <v>3</v>
      </c>
      <c r="M3125"/>
    </row>
    <row r="3126" spans="1:13" x14ac:dyDescent="0.25">
      <c r="A3126" s="2">
        <v>45391</v>
      </c>
      <c r="B3126" s="3" t="s">
        <v>245</v>
      </c>
      <c r="C3126" s="3" t="s">
        <v>13</v>
      </c>
      <c r="D3126" s="3" t="s">
        <v>19</v>
      </c>
      <c r="E3126" s="5" t="s">
        <v>18</v>
      </c>
      <c r="F3126" s="17">
        <v>10.46</v>
      </c>
      <c r="G3126" s="3">
        <v>8</v>
      </c>
      <c r="H3126" s="17">
        <f>Table1[[#This Row],[Unit price]]*Table1[[#This Row],[Quantity]]</f>
        <v>83.68</v>
      </c>
      <c r="I3126" s="29">
        <f>Table1[[#This Row],[Total Revenue]]/$H$5056*100</f>
        <v>8.878092114131219E-3</v>
      </c>
      <c r="J3126" s="3" t="s">
        <v>15</v>
      </c>
      <c r="K3126" s="4">
        <v>8.5</v>
      </c>
      <c r="M3126"/>
    </row>
    <row r="3127" spans="1:13" x14ac:dyDescent="0.25">
      <c r="A3127" s="2">
        <v>45391</v>
      </c>
      <c r="B3127" s="3" t="s">
        <v>245</v>
      </c>
      <c r="C3127" s="3" t="s">
        <v>13</v>
      </c>
      <c r="D3127" s="3" t="s">
        <v>10</v>
      </c>
      <c r="E3127" s="5" t="s">
        <v>11</v>
      </c>
      <c r="F3127" s="17">
        <v>12.93</v>
      </c>
      <c r="G3127" s="3">
        <v>3</v>
      </c>
      <c r="H3127" s="17">
        <f>Table1[[#This Row],[Unit price]]*Table1[[#This Row],[Quantity]]</f>
        <v>38.79</v>
      </c>
      <c r="I3127" s="29">
        <f>Table1[[#This Row],[Total Revenue]]/$H$5056*100</f>
        <v>4.115454028527127E-3</v>
      </c>
      <c r="J3127" s="3" t="s">
        <v>17</v>
      </c>
      <c r="K3127" s="4">
        <v>7.8</v>
      </c>
      <c r="M3127"/>
    </row>
    <row r="3128" spans="1:13" x14ac:dyDescent="0.25">
      <c r="A3128" s="2">
        <v>45391</v>
      </c>
      <c r="B3128" s="3" t="s">
        <v>245</v>
      </c>
      <c r="C3128" s="3" t="s">
        <v>9</v>
      </c>
      <c r="D3128" s="3" t="s">
        <v>19</v>
      </c>
      <c r="E3128" s="5" t="s">
        <v>21</v>
      </c>
      <c r="F3128" s="17">
        <v>25.72</v>
      </c>
      <c r="G3128" s="3">
        <v>8</v>
      </c>
      <c r="H3128" s="17">
        <f>Table1[[#This Row],[Unit price]]*Table1[[#This Row],[Quantity]]</f>
        <v>205.76</v>
      </c>
      <c r="I3128" s="29">
        <f>Table1[[#This Row],[Total Revenue]]/$H$5056*100</f>
        <v>2.1830260915435464E-2</v>
      </c>
      <c r="J3128" s="3" t="s">
        <v>15</v>
      </c>
      <c r="K3128" s="4">
        <v>8</v>
      </c>
      <c r="M3128"/>
    </row>
    <row r="3129" spans="1:13" x14ac:dyDescent="0.25">
      <c r="A3129" s="2">
        <v>45391</v>
      </c>
      <c r="B3129" s="3" t="s">
        <v>244</v>
      </c>
      <c r="C3129" s="3" t="s">
        <v>9</v>
      </c>
      <c r="D3129" s="3" t="s">
        <v>10</v>
      </c>
      <c r="E3129" s="5" t="s">
        <v>11</v>
      </c>
      <c r="F3129" s="17">
        <v>11.9</v>
      </c>
      <c r="G3129" s="3">
        <v>7</v>
      </c>
      <c r="H3129" s="17">
        <f>Table1[[#This Row],[Unit price]]*Table1[[#This Row],[Quantity]]</f>
        <v>83.3</v>
      </c>
      <c r="I3129" s="29">
        <f>Table1[[#This Row],[Total Revenue]]/$H$5056*100</f>
        <v>8.8377757302477364E-3</v>
      </c>
      <c r="J3129" s="3" t="s">
        <v>15</v>
      </c>
      <c r="K3129" s="4">
        <v>8.1999999999999993</v>
      </c>
      <c r="M3129"/>
    </row>
    <row r="3130" spans="1:13" x14ac:dyDescent="0.25">
      <c r="A3130" s="2">
        <v>45391</v>
      </c>
      <c r="B3130" s="3" t="s">
        <v>243</v>
      </c>
      <c r="C3130" s="3" t="s">
        <v>13</v>
      </c>
      <c r="D3130" s="3" t="s">
        <v>19</v>
      </c>
      <c r="E3130" s="5" t="s">
        <v>14</v>
      </c>
      <c r="F3130" s="17">
        <v>94.19</v>
      </c>
      <c r="G3130" s="3">
        <v>1</v>
      </c>
      <c r="H3130" s="17">
        <f>Table1[[#This Row],[Unit price]]*Table1[[#This Row],[Quantity]]</f>
        <v>94.19</v>
      </c>
      <c r="I3130" s="29">
        <f>Table1[[#This Row],[Total Revenue]]/$H$5056*100</f>
        <v>9.9931584157507119E-3</v>
      </c>
      <c r="J3130" s="3" t="s">
        <v>17</v>
      </c>
      <c r="K3130" s="4">
        <v>3.5</v>
      </c>
      <c r="M3130"/>
    </row>
    <row r="3131" spans="1:13" x14ac:dyDescent="0.25">
      <c r="A3131" s="2">
        <v>45391</v>
      </c>
      <c r="B3131" s="3" t="s">
        <v>243</v>
      </c>
      <c r="C3131" s="3" t="s">
        <v>13</v>
      </c>
      <c r="D3131" s="3" t="s">
        <v>19</v>
      </c>
      <c r="E3131" s="5" t="s">
        <v>11</v>
      </c>
      <c r="F3131" s="17">
        <v>14.34</v>
      </c>
      <c r="G3131" s="3">
        <v>4</v>
      </c>
      <c r="H3131" s="17">
        <f>Table1[[#This Row],[Unit price]]*Table1[[#This Row],[Quantity]]</f>
        <v>57.36</v>
      </c>
      <c r="I3131" s="29">
        <f>Table1[[#This Row],[Total Revenue]]/$H$5056*100</f>
        <v>6.0856520514647079E-3</v>
      </c>
      <c r="J3131" s="3" t="s">
        <v>17</v>
      </c>
      <c r="K3131" s="4">
        <v>5.4</v>
      </c>
      <c r="M3131"/>
    </row>
    <row r="3132" spans="1:13" x14ac:dyDescent="0.25">
      <c r="A3132" s="2">
        <v>45391</v>
      </c>
      <c r="B3132" s="3" t="s">
        <v>244</v>
      </c>
      <c r="C3132" s="3" t="s">
        <v>13</v>
      </c>
      <c r="D3132" s="3" t="s">
        <v>10</v>
      </c>
      <c r="E3132" s="5" t="s">
        <v>20</v>
      </c>
      <c r="F3132" s="17">
        <v>56.92</v>
      </c>
      <c r="G3132" s="3">
        <v>4</v>
      </c>
      <c r="H3132" s="17">
        <f>Table1[[#This Row],[Unit price]]*Table1[[#This Row],[Quantity]]</f>
        <v>227.68</v>
      </c>
      <c r="I3132" s="29">
        <f>Table1[[#This Row],[Total Revenue]]/$H$5056*100</f>
        <v>2.4155879691030068E-2</v>
      </c>
      <c r="J3132" s="3" t="s">
        <v>12</v>
      </c>
      <c r="K3132" s="4">
        <v>3.8</v>
      </c>
      <c r="M3132"/>
    </row>
    <row r="3133" spans="1:13" x14ac:dyDescent="0.25">
      <c r="A3133" s="2">
        <v>45391</v>
      </c>
      <c r="B3133" s="3" t="s">
        <v>243</v>
      </c>
      <c r="C3133" s="3" t="s">
        <v>13</v>
      </c>
      <c r="D3133" s="3" t="s">
        <v>19</v>
      </c>
      <c r="E3133" s="5" t="s">
        <v>11</v>
      </c>
      <c r="F3133" s="17">
        <v>4.13</v>
      </c>
      <c r="G3133" s="3">
        <v>5</v>
      </c>
      <c r="H3133" s="17">
        <f>Table1[[#This Row],[Unit price]]*Table1[[#This Row],[Quantity]]</f>
        <v>20.65</v>
      </c>
      <c r="I3133" s="29">
        <f>Table1[[#This Row],[Total Revenue]]/$H$5056*100</f>
        <v>2.1908771768261192E-3</v>
      </c>
      <c r="J3133" s="3" t="s">
        <v>15</v>
      </c>
      <c r="K3133" s="4">
        <v>8.9</v>
      </c>
      <c r="M3133"/>
    </row>
    <row r="3134" spans="1:13" x14ac:dyDescent="0.25">
      <c r="A3134" s="2">
        <v>45391</v>
      </c>
      <c r="B3134" s="3" t="s">
        <v>244</v>
      </c>
      <c r="C3134" s="3" t="s">
        <v>9</v>
      </c>
      <c r="D3134" s="3" t="s">
        <v>10</v>
      </c>
      <c r="E3134" s="5" t="s">
        <v>11</v>
      </c>
      <c r="F3134" s="17">
        <v>11.3</v>
      </c>
      <c r="G3134" s="3">
        <v>2</v>
      </c>
      <c r="H3134" s="17">
        <f>Table1[[#This Row],[Unit price]]*Table1[[#This Row],[Quantity]]</f>
        <v>22.6</v>
      </c>
      <c r="I3134" s="29">
        <f>Table1[[#This Row],[Total Revenue]]/$H$5056*100</f>
        <v>2.3977638835966249E-3</v>
      </c>
      <c r="J3134" s="3" t="s">
        <v>12</v>
      </c>
      <c r="K3134" s="4">
        <v>7.2</v>
      </c>
      <c r="M3134"/>
    </row>
    <row r="3135" spans="1:13" x14ac:dyDescent="0.25">
      <c r="A3135" s="2">
        <v>45421</v>
      </c>
      <c r="B3135" s="3" t="s">
        <v>244</v>
      </c>
      <c r="C3135" s="3" t="s">
        <v>13</v>
      </c>
      <c r="D3135" s="3" t="s">
        <v>10</v>
      </c>
      <c r="E3135" s="5" t="s">
        <v>16</v>
      </c>
      <c r="F3135" s="17">
        <v>68.010000000000005</v>
      </c>
      <c r="G3135" s="3">
        <v>2</v>
      </c>
      <c r="H3135" s="17">
        <f>Table1[[#This Row],[Unit price]]*Table1[[#This Row],[Quantity]]</f>
        <v>136.02000000000001</v>
      </c>
      <c r="I3135" s="29">
        <f>Table1[[#This Row],[Total Revenue]]/$H$5056*100</f>
        <v>1.4431143515345704E-2</v>
      </c>
      <c r="J3135" s="3" t="s">
        <v>17</v>
      </c>
      <c r="K3135" s="4">
        <v>5.3</v>
      </c>
      <c r="M3135"/>
    </row>
    <row r="3136" spans="1:13" x14ac:dyDescent="0.25">
      <c r="A3136" s="2">
        <v>45421</v>
      </c>
      <c r="B3136" s="3" t="s">
        <v>244</v>
      </c>
      <c r="C3136" s="3" t="s">
        <v>13</v>
      </c>
      <c r="D3136" s="3" t="s">
        <v>10</v>
      </c>
      <c r="E3136" s="5" t="s">
        <v>20</v>
      </c>
      <c r="F3136" s="17">
        <v>42.07</v>
      </c>
      <c r="G3136" s="3">
        <v>6</v>
      </c>
      <c r="H3136" s="17">
        <f>Table1[[#This Row],[Unit price]]*Table1[[#This Row],[Quantity]]</f>
        <v>252.42000000000002</v>
      </c>
      <c r="I3136" s="29">
        <f>Table1[[#This Row],[Total Revenue]]/$H$5056*100</f>
        <v>2.6780688473338941E-2</v>
      </c>
      <c r="J3136" s="3" t="s">
        <v>15</v>
      </c>
      <c r="K3136" s="4">
        <v>3.4</v>
      </c>
      <c r="M3136"/>
    </row>
    <row r="3137" spans="1:13" x14ac:dyDescent="0.25">
      <c r="A3137" s="2">
        <v>45421</v>
      </c>
      <c r="B3137" s="3" t="s">
        <v>243</v>
      </c>
      <c r="C3137" s="3" t="s">
        <v>13</v>
      </c>
      <c r="D3137" s="3" t="s">
        <v>10</v>
      </c>
      <c r="E3137" s="5" t="s">
        <v>21</v>
      </c>
      <c r="F3137" s="17">
        <v>30.89</v>
      </c>
      <c r="G3137" s="3">
        <v>8</v>
      </c>
      <c r="H3137" s="17">
        <f>Table1[[#This Row],[Unit price]]*Table1[[#This Row],[Quantity]]</f>
        <v>247.12</v>
      </c>
      <c r="I3137" s="29">
        <f>Table1[[#This Row],[Total Revenue]]/$H$5056*100</f>
        <v>2.6218381013911413E-2</v>
      </c>
      <c r="J3137" s="3" t="s">
        <v>17</v>
      </c>
      <c r="K3137" s="4">
        <v>5.0999999999999996</v>
      </c>
      <c r="M3137"/>
    </row>
    <row r="3138" spans="1:13" x14ac:dyDescent="0.25">
      <c r="A3138" s="2">
        <v>45421</v>
      </c>
      <c r="B3138" s="3" t="s">
        <v>245</v>
      </c>
      <c r="C3138" s="3" t="s">
        <v>13</v>
      </c>
      <c r="D3138" s="3" t="s">
        <v>10</v>
      </c>
      <c r="E3138" s="5" t="s">
        <v>21</v>
      </c>
      <c r="F3138" s="17">
        <v>37.99</v>
      </c>
      <c r="G3138" s="3">
        <v>8</v>
      </c>
      <c r="H3138" s="17">
        <f>Table1[[#This Row],[Unit price]]*Table1[[#This Row],[Quantity]]</f>
        <v>303.92</v>
      </c>
      <c r="I3138" s="29">
        <f>Table1[[#This Row],[Total Revenue]]/$H$5056*100</f>
        <v>3.2244619447021512E-2</v>
      </c>
      <c r="J3138" s="3" t="s">
        <v>12</v>
      </c>
      <c r="K3138" s="4">
        <v>5.2</v>
      </c>
      <c r="M3138"/>
    </row>
    <row r="3139" spans="1:13" x14ac:dyDescent="0.25">
      <c r="A3139" s="2">
        <v>45421</v>
      </c>
      <c r="B3139" s="3" t="s">
        <v>243</v>
      </c>
      <c r="C3139" s="3" t="s">
        <v>13</v>
      </c>
      <c r="D3139" s="3" t="s">
        <v>10</v>
      </c>
      <c r="E3139" s="5" t="s">
        <v>16</v>
      </c>
      <c r="F3139" s="17">
        <v>74.92</v>
      </c>
      <c r="G3139" s="3">
        <v>2</v>
      </c>
      <c r="H3139" s="17">
        <f>Table1[[#This Row],[Unit price]]*Table1[[#This Row],[Quantity]]</f>
        <v>149.84</v>
      </c>
      <c r="I3139" s="29">
        <f>Table1[[#This Row],[Total Revenue]]/$H$5056*100</f>
        <v>1.5897386739739745E-2</v>
      </c>
      <c r="J3139" s="3" t="s">
        <v>15</v>
      </c>
      <c r="K3139" s="4">
        <v>8</v>
      </c>
      <c r="M3139"/>
    </row>
    <row r="3140" spans="1:13" x14ac:dyDescent="0.25">
      <c r="A3140" s="2">
        <v>45421</v>
      </c>
      <c r="B3140" s="3" t="s">
        <v>245</v>
      </c>
      <c r="C3140" s="3" t="s">
        <v>9</v>
      </c>
      <c r="D3140" s="3" t="s">
        <v>10</v>
      </c>
      <c r="E3140" s="5" t="s">
        <v>21</v>
      </c>
      <c r="F3140" s="17">
        <v>27.36</v>
      </c>
      <c r="G3140" s="3">
        <v>6</v>
      </c>
      <c r="H3140" s="17">
        <f>Table1[[#This Row],[Unit price]]*Table1[[#This Row],[Quantity]]</f>
        <v>164.16</v>
      </c>
      <c r="I3140" s="29">
        <f>Table1[[#This Row],[Total Revenue]]/$H$5056*100</f>
        <v>1.7416677837664686E-2</v>
      </c>
      <c r="J3140" s="3" t="s">
        <v>15</v>
      </c>
      <c r="K3140" s="4">
        <v>7.3</v>
      </c>
      <c r="M3140"/>
    </row>
    <row r="3141" spans="1:13" x14ac:dyDescent="0.25">
      <c r="A3141" s="2">
        <v>45421</v>
      </c>
      <c r="B3141" s="3" t="s">
        <v>245</v>
      </c>
      <c r="C3141" s="3" t="s">
        <v>9</v>
      </c>
      <c r="D3141" s="3" t="s">
        <v>10</v>
      </c>
      <c r="E3141" s="5" t="s">
        <v>11</v>
      </c>
      <c r="F3141" s="17">
        <v>9.75</v>
      </c>
      <c r="G3141" s="3">
        <v>5</v>
      </c>
      <c r="H3141" s="17">
        <f>Table1[[#This Row],[Unit price]]*Table1[[#This Row],[Quantity]]</f>
        <v>48.75</v>
      </c>
      <c r="I3141" s="29">
        <f>Table1[[#This Row],[Total Revenue]]/$H$5056*100</f>
        <v>5.1721676692626306E-3</v>
      </c>
      <c r="J3141" s="3" t="s">
        <v>12</v>
      </c>
      <c r="K3141" s="4">
        <v>9</v>
      </c>
      <c r="M3141"/>
    </row>
    <row r="3142" spans="1:13" x14ac:dyDescent="0.25">
      <c r="A3142" s="2">
        <v>45421</v>
      </c>
      <c r="B3142" s="3" t="s">
        <v>244</v>
      </c>
      <c r="C3142" s="3" t="s">
        <v>13</v>
      </c>
      <c r="D3142" s="3" t="s">
        <v>19</v>
      </c>
      <c r="E3142" s="5" t="s">
        <v>21</v>
      </c>
      <c r="F3142" s="17">
        <v>27.21</v>
      </c>
      <c r="G3142" s="3">
        <v>4</v>
      </c>
      <c r="H3142" s="17">
        <f>Table1[[#This Row],[Unit price]]*Table1[[#This Row],[Quantity]]</f>
        <v>108.84</v>
      </c>
      <c r="I3142" s="29">
        <f>Table1[[#This Row],[Total Revenue]]/$H$5056*100</f>
        <v>1.1547461110206046E-2</v>
      </c>
      <c r="J3142" s="3" t="s">
        <v>17</v>
      </c>
      <c r="K3142" s="4">
        <v>6.2</v>
      </c>
      <c r="M3142"/>
    </row>
    <row r="3143" spans="1:13" x14ac:dyDescent="0.25">
      <c r="A3143" s="2">
        <v>45421</v>
      </c>
      <c r="B3143" s="3" t="s">
        <v>243</v>
      </c>
      <c r="C3143" s="3" t="s">
        <v>9</v>
      </c>
      <c r="D3143" s="3" t="s">
        <v>19</v>
      </c>
      <c r="E3143" s="5" t="s">
        <v>20</v>
      </c>
      <c r="F3143" s="17">
        <v>46.65</v>
      </c>
      <c r="G3143" s="3">
        <v>4</v>
      </c>
      <c r="H3143" s="17">
        <f>Table1[[#This Row],[Unit price]]*Table1[[#This Row],[Quantity]]</f>
        <v>186.6</v>
      </c>
      <c r="I3143" s="29">
        <f>Table1[[#This Row],[Total Revenue]]/$H$5056*100</f>
        <v>1.9797466401731422E-2</v>
      </c>
      <c r="J3143" s="3" t="s">
        <v>12</v>
      </c>
      <c r="K3143" s="4">
        <v>3.8</v>
      </c>
      <c r="M3143"/>
    </row>
    <row r="3144" spans="1:13" x14ac:dyDescent="0.25">
      <c r="A3144" s="2">
        <v>45421</v>
      </c>
      <c r="B3144" s="3" t="s">
        <v>243</v>
      </c>
      <c r="C3144" s="3" t="s">
        <v>13</v>
      </c>
      <c r="D3144" s="3" t="s">
        <v>10</v>
      </c>
      <c r="E3144" s="5" t="s">
        <v>20</v>
      </c>
      <c r="F3144" s="17">
        <v>62.38</v>
      </c>
      <c r="G3144" s="3">
        <v>6</v>
      </c>
      <c r="H3144" s="17">
        <f>Table1[[#This Row],[Unit price]]*Table1[[#This Row],[Quantity]]</f>
        <v>374.28000000000003</v>
      </c>
      <c r="I3144" s="29">
        <f>Table1[[#This Row],[Total Revenue]]/$H$5056*100</f>
        <v>3.9709516210289592E-2</v>
      </c>
      <c r="J3144" s="3" t="s">
        <v>12</v>
      </c>
      <c r="K3144" s="4">
        <v>7.9</v>
      </c>
      <c r="M3144"/>
    </row>
    <row r="3145" spans="1:13" x14ac:dyDescent="0.25">
      <c r="A3145" s="2">
        <v>45421</v>
      </c>
      <c r="B3145" s="3" t="s">
        <v>244</v>
      </c>
      <c r="C3145" s="3" t="s">
        <v>9</v>
      </c>
      <c r="D3145" s="3" t="s">
        <v>19</v>
      </c>
      <c r="E3145" s="5" t="s">
        <v>21</v>
      </c>
      <c r="F3145" s="17">
        <v>19.809999999999999</v>
      </c>
      <c r="G3145" s="3">
        <v>2</v>
      </c>
      <c r="H3145" s="17">
        <f>Table1[[#This Row],[Unit price]]*Table1[[#This Row],[Quantity]]</f>
        <v>39.619999999999997</v>
      </c>
      <c r="I3145" s="29">
        <f>Table1[[#This Row],[Total Revenue]]/$H$5056*100</f>
        <v>4.2035134985884187E-3</v>
      </c>
      <c r="J3145" s="3" t="s">
        <v>17</v>
      </c>
      <c r="K3145" s="4">
        <v>8.1999999999999993</v>
      </c>
      <c r="M3145"/>
    </row>
    <row r="3146" spans="1:13" x14ac:dyDescent="0.25">
      <c r="A3146" s="2">
        <v>45421</v>
      </c>
      <c r="B3146" s="3" t="s">
        <v>245</v>
      </c>
      <c r="C3146" s="3" t="s">
        <v>9</v>
      </c>
      <c r="D3146" s="3" t="s">
        <v>19</v>
      </c>
      <c r="E3146" s="5" t="s">
        <v>14</v>
      </c>
      <c r="F3146" s="17">
        <v>89.18</v>
      </c>
      <c r="G3146" s="3">
        <v>10</v>
      </c>
      <c r="H3146" s="17">
        <f>Table1[[#This Row],[Unit price]]*Table1[[#This Row],[Quantity]]</f>
        <v>891.80000000000007</v>
      </c>
      <c r="I3146" s="29">
        <f>Table1[[#This Row],[Total Revenue]]/$H$5056*100</f>
        <v>9.4616187229711074E-2</v>
      </c>
      <c r="J3146" s="3" t="s">
        <v>17</v>
      </c>
      <c r="K3146" s="4">
        <v>6.8</v>
      </c>
      <c r="M3146"/>
    </row>
    <row r="3147" spans="1:13" x14ac:dyDescent="0.25">
      <c r="A3147" s="2">
        <v>45421</v>
      </c>
      <c r="B3147" s="3" t="s">
        <v>244</v>
      </c>
      <c r="C3147" s="3" t="s">
        <v>13</v>
      </c>
      <c r="D3147" s="3" t="s">
        <v>19</v>
      </c>
      <c r="E3147" s="5" t="s">
        <v>21</v>
      </c>
      <c r="F3147" s="17">
        <v>22.41</v>
      </c>
      <c r="G3147" s="3">
        <v>6</v>
      </c>
      <c r="H3147" s="17">
        <f>Table1[[#This Row],[Unit price]]*Table1[[#This Row],[Quantity]]</f>
        <v>134.46</v>
      </c>
      <c r="I3147" s="29">
        <f>Table1[[#This Row],[Total Revenue]]/$H$5056*100</f>
        <v>1.4265634149929299E-2</v>
      </c>
      <c r="J3147" s="3" t="s">
        <v>15</v>
      </c>
      <c r="K3147" s="4">
        <v>8.1999999999999993</v>
      </c>
      <c r="M3147"/>
    </row>
    <row r="3148" spans="1:13" x14ac:dyDescent="0.25">
      <c r="A3148" s="2">
        <v>45421</v>
      </c>
      <c r="B3148" s="3" t="s">
        <v>243</v>
      </c>
      <c r="C3148" s="3" t="s">
        <v>9</v>
      </c>
      <c r="D3148" s="3" t="s">
        <v>10</v>
      </c>
      <c r="E3148" s="5" t="s">
        <v>11</v>
      </c>
      <c r="F3148" s="17">
        <v>2.71</v>
      </c>
      <c r="G3148" s="3">
        <v>5</v>
      </c>
      <c r="H3148" s="17">
        <f>Table1[[#This Row],[Unit price]]*Table1[[#This Row],[Quantity]]</f>
        <v>13.55</v>
      </c>
      <c r="I3148" s="29">
        <f>Table1[[#This Row],[Total Revenue]]/$H$5056*100</f>
        <v>1.4375973726873568E-3</v>
      </c>
      <c r="J3148" s="3" t="s">
        <v>17</v>
      </c>
      <c r="K3148" s="4">
        <v>6.4</v>
      </c>
      <c r="M3148"/>
    </row>
    <row r="3149" spans="1:13" x14ac:dyDescent="0.25">
      <c r="A3149" s="2">
        <v>45421</v>
      </c>
      <c r="B3149" s="3" t="s">
        <v>245</v>
      </c>
      <c r="C3149" s="3" t="s">
        <v>9</v>
      </c>
      <c r="D3149" s="3" t="s">
        <v>10</v>
      </c>
      <c r="E3149" s="5" t="s">
        <v>11</v>
      </c>
      <c r="F3149" s="17">
        <v>2.16</v>
      </c>
      <c r="G3149" s="3">
        <v>5</v>
      </c>
      <c r="H3149" s="17">
        <f>Table1[[#This Row],[Unit price]]*Table1[[#This Row],[Quantity]]</f>
        <v>10.8</v>
      </c>
      <c r="I3149" s="29">
        <f>Table1[[#This Row],[Total Revenue]]/$H$5056*100</f>
        <v>1.1458340682674137E-3</v>
      </c>
      <c r="J3149" s="3" t="s">
        <v>12</v>
      </c>
      <c r="K3149" s="4">
        <v>6.6</v>
      </c>
      <c r="M3149"/>
    </row>
    <row r="3150" spans="1:13" x14ac:dyDescent="0.25">
      <c r="A3150" s="2">
        <v>45421</v>
      </c>
      <c r="B3150" s="3" t="s">
        <v>244</v>
      </c>
      <c r="C3150" s="3" t="s">
        <v>9</v>
      </c>
      <c r="D3150" s="3" t="s">
        <v>19</v>
      </c>
      <c r="E3150" s="5" t="s">
        <v>21</v>
      </c>
      <c r="F3150" s="17">
        <v>36.54</v>
      </c>
      <c r="G3150" s="3">
        <v>2</v>
      </c>
      <c r="H3150" s="17">
        <f>Table1[[#This Row],[Unit price]]*Table1[[#This Row],[Quantity]]</f>
        <v>73.08</v>
      </c>
      <c r="I3150" s="29">
        <f>Table1[[#This Row],[Total Revenue]]/$H$5056*100</f>
        <v>7.753477195276165E-3</v>
      </c>
      <c r="J3150" s="3" t="s">
        <v>17</v>
      </c>
      <c r="K3150" s="4">
        <v>5.9</v>
      </c>
      <c r="M3150"/>
    </row>
    <row r="3151" spans="1:13" x14ac:dyDescent="0.25">
      <c r="A3151" s="2">
        <v>45421</v>
      </c>
      <c r="B3151" s="3" t="s">
        <v>244</v>
      </c>
      <c r="C3151" s="3" t="s">
        <v>9</v>
      </c>
      <c r="D3151" s="3" t="s">
        <v>19</v>
      </c>
      <c r="E3151" s="5" t="s">
        <v>21</v>
      </c>
      <c r="F3151" s="17">
        <v>35.28</v>
      </c>
      <c r="G3151" s="3">
        <v>5</v>
      </c>
      <c r="H3151" s="17">
        <f>Table1[[#This Row],[Unit price]]*Table1[[#This Row],[Quantity]]</f>
        <v>176.4</v>
      </c>
      <c r="I3151" s="29">
        <f>Table1[[#This Row],[Total Revenue]]/$H$5056*100</f>
        <v>1.8715289781701089E-2</v>
      </c>
      <c r="J3151" s="3" t="s">
        <v>15</v>
      </c>
      <c r="K3151" s="4">
        <v>3.2</v>
      </c>
      <c r="M3151"/>
    </row>
    <row r="3152" spans="1:13" x14ac:dyDescent="0.25">
      <c r="A3152" s="2">
        <v>45421</v>
      </c>
      <c r="B3152" s="3" t="s">
        <v>243</v>
      </c>
      <c r="C3152" s="3" t="s">
        <v>13</v>
      </c>
      <c r="D3152" s="3" t="s">
        <v>10</v>
      </c>
      <c r="E3152" s="5" t="s">
        <v>11</v>
      </c>
      <c r="F3152" s="17">
        <v>12.28</v>
      </c>
      <c r="G3152" s="3">
        <v>4</v>
      </c>
      <c r="H3152" s="17">
        <f>Table1[[#This Row],[Unit price]]*Table1[[#This Row],[Quantity]]</f>
        <v>49.12</v>
      </c>
      <c r="I3152" s="29">
        <f>Table1[[#This Row],[Total Revenue]]/$H$5056*100</f>
        <v>5.2114230956754959E-3</v>
      </c>
      <c r="J3152" s="3" t="s">
        <v>17</v>
      </c>
      <c r="K3152" s="4">
        <v>3.7</v>
      </c>
      <c r="M3152"/>
    </row>
    <row r="3153" spans="1:13" x14ac:dyDescent="0.25">
      <c r="A3153" s="2">
        <v>45421</v>
      </c>
      <c r="B3153" s="3" t="s">
        <v>245</v>
      </c>
      <c r="C3153" s="3" t="s">
        <v>13</v>
      </c>
      <c r="D3153" s="3" t="s">
        <v>10</v>
      </c>
      <c r="E3153" s="5" t="s">
        <v>21</v>
      </c>
      <c r="F3153" s="17">
        <v>39.75</v>
      </c>
      <c r="G3153" s="3">
        <v>5</v>
      </c>
      <c r="H3153" s="17">
        <f>Table1[[#This Row],[Unit price]]*Table1[[#This Row],[Quantity]]</f>
        <v>198.75</v>
      </c>
      <c r="I3153" s="29">
        <f>Table1[[#This Row],[Total Revenue]]/$H$5056*100</f>
        <v>2.1086529728532262E-2</v>
      </c>
      <c r="J3153" s="3" t="s">
        <v>12</v>
      </c>
      <c r="K3153" s="4">
        <v>3.2</v>
      </c>
      <c r="M3153"/>
    </row>
    <row r="3154" spans="1:13" x14ac:dyDescent="0.25">
      <c r="A3154" s="2">
        <v>45421</v>
      </c>
      <c r="B3154" s="3" t="s">
        <v>245</v>
      </c>
      <c r="C3154" s="3" t="s">
        <v>13</v>
      </c>
      <c r="D3154" s="3" t="s">
        <v>19</v>
      </c>
      <c r="E3154" s="5" t="s">
        <v>11</v>
      </c>
      <c r="F3154" s="17">
        <v>4.7</v>
      </c>
      <c r="G3154" s="3">
        <v>4</v>
      </c>
      <c r="H3154" s="17">
        <f>Table1[[#This Row],[Unit price]]*Table1[[#This Row],[Quantity]]</f>
        <v>18.8</v>
      </c>
      <c r="I3154" s="29">
        <f>Table1[[#This Row],[Total Revenue]]/$H$5056*100</f>
        <v>1.9946000447617941E-3</v>
      </c>
      <c r="J3154" s="3" t="s">
        <v>15</v>
      </c>
      <c r="K3154" s="4">
        <v>7.3</v>
      </c>
      <c r="M3154"/>
    </row>
    <row r="3155" spans="1:13" x14ac:dyDescent="0.25">
      <c r="A3155" s="2">
        <v>45452</v>
      </c>
      <c r="B3155" s="3" t="s">
        <v>244</v>
      </c>
      <c r="C3155" s="3" t="s">
        <v>9</v>
      </c>
      <c r="D3155" s="3" t="s">
        <v>19</v>
      </c>
      <c r="E3155" s="5" t="s">
        <v>11</v>
      </c>
      <c r="F3155" s="17">
        <v>7.31</v>
      </c>
      <c r="G3155" s="3">
        <v>10</v>
      </c>
      <c r="H3155" s="17">
        <f>Table1[[#This Row],[Unit price]]*Table1[[#This Row],[Quantity]]</f>
        <v>73.099999999999994</v>
      </c>
      <c r="I3155" s="29">
        <f>Table1[[#This Row],[Total Revenue]]/$H$5056*100</f>
        <v>7.7555991102174005E-3</v>
      </c>
      <c r="J3155" s="3" t="s">
        <v>12</v>
      </c>
      <c r="K3155" s="4">
        <v>5.0999999999999996</v>
      </c>
      <c r="M3155"/>
    </row>
    <row r="3156" spans="1:13" x14ac:dyDescent="0.25">
      <c r="A3156" s="2">
        <v>45452</v>
      </c>
      <c r="B3156" s="3" t="s">
        <v>244</v>
      </c>
      <c r="C3156" s="3" t="s">
        <v>13</v>
      </c>
      <c r="D3156" s="3" t="s">
        <v>10</v>
      </c>
      <c r="E3156" s="5" t="s">
        <v>11</v>
      </c>
      <c r="F3156" s="17">
        <v>7.9</v>
      </c>
      <c r="G3156" s="3">
        <v>4</v>
      </c>
      <c r="H3156" s="17">
        <f>Table1[[#This Row],[Unit price]]*Table1[[#This Row],[Quantity]]</f>
        <v>31.6</v>
      </c>
      <c r="I3156" s="29">
        <f>Table1[[#This Row],[Total Revenue]]/$H$5056*100</f>
        <v>3.3526256071528026E-3</v>
      </c>
      <c r="J3156" s="3" t="s">
        <v>17</v>
      </c>
      <c r="K3156" s="4">
        <v>6.5</v>
      </c>
      <c r="M3156"/>
    </row>
    <row r="3157" spans="1:13" x14ac:dyDescent="0.25">
      <c r="A3157" s="2">
        <v>45452</v>
      </c>
      <c r="B3157" s="3" t="s">
        <v>243</v>
      </c>
      <c r="C3157" s="3" t="s">
        <v>13</v>
      </c>
      <c r="D3157" s="3" t="s">
        <v>19</v>
      </c>
      <c r="E3157" s="5" t="s">
        <v>18</v>
      </c>
      <c r="F3157" s="17">
        <v>15.89</v>
      </c>
      <c r="G3157" s="3">
        <v>3</v>
      </c>
      <c r="H3157" s="17">
        <f>Table1[[#This Row],[Unit price]]*Table1[[#This Row],[Quantity]]</f>
        <v>47.67</v>
      </c>
      <c r="I3157" s="29">
        <f>Table1[[#This Row],[Total Revenue]]/$H$5056*100</f>
        <v>5.0575842624358894E-3</v>
      </c>
      <c r="J3157" s="3" t="s">
        <v>17</v>
      </c>
      <c r="K3157" s="4">
        <v>9.1999999999999993</v>
      </c>
      <c r="M3157"/>
    </row>
    <row r="3158" spans="1:13" x14ac:dyDescent="0.25">
      <c r="A3158" s="2">
        <v>45452</v>
      </c>
      <c r="B3158" s="3" t="s">
        <v>244</v>
      </c>
      <c r="C3158" s="3" t="s">
        <v>13</v>
      </c>
      <c r="D3158" s="3" t="s">
        <v>19</v>
      </c>
      <c r="E3158" s="5" t="s">
        <v>16</v>
      </c>
      <c r="F3158" s="17">
        <v>67.849999999999994</v>
      </c>
      <c r="G3158" s="3">
        <v>10</v>
      </c>
      <c r="H3158" s="17">
        <f>Table1[[#This Row],[Unit price]]*Table1[[#This Row],[Quantity]]</f>
        <v>678.5</v>
      </c>
      <c r="I3158" s="29">
        <f>Table1[[#This Row],[Total Revenue]]/$H$5056*100</f>
        <v>7.1985964381429637E-2</v>
      </c>
      <c r="J3158" s="3" t="s">
        <v>17</v>
      </c>
      <c r="K3158" s="4">
        <v>4.7</v>
      </c>
      <c r="M3158"/>
    </row>
    <row r="3159" spans="1:13" x14ac:dyDescent="0.25">
      <c r="A3159" s="2">
        <v>45452</v>
      </c>
      <c r="B3159" s="3" t="s">
        <v>243</v>
      </c>
      <c r="C3159" s="3" t="s">
        <v>13</v>
      </c>
      <c r="D3159" s="3" t="s">
        <v>10</v>
      </c>
      <c r="E3159" s="5" t="s">
        <v>21</v>
      </c>
      <c r="F3159" s="17">
        <v>38.57</v>
      </c>
      <c r="G3159" s="3">
        <v>9</v>
      </c>
      <c r="H3159" s="17">
        <f>Table1[[#This Row],[Unit price]]*Table1[[#This Row],[Quantity]]</f>
        <v>347.13</v>
      </c>
      <c r="I3159" s="29">
        <f>Table1[[#This Row],[Total Revenue]]/$H$5056*100</f>
        <v>3.6829016677561784E-2</v>
      </c>
      <c r="J3159" s="3" t="s">
        <v>12</v>
      </c>
      <c r="K3159" s="4">
        <v>5.8</v>
      </c>
      <c r="M3159"/>
    </row>
    <row r="3160" spans="1:13" x14ac:dyDescent="0.25">
      <c r="A3160" s="2">
        <v>45452</v>
      </c>
      <c r="B3160" s="3" t="s">
        <v>243</v>
      </c>
      <c r="C3160" s="3" t="s">
        <v>13</v>
      </c>
      <c r="D3160" s="3" t="s">
        <v>10</v>
      </c>
      <c r="E3160" s="5" t="s">
        <v>21</v>
      </c>
      <c r="F3160" s="17">
        <v>30.09</v>
      </c>
      <c r="G3160" s="3">
        <v>1</v>
      </c>
      <c r="H3160" s="17">
        <f>Table1[[#This Row],[Unit price]]*Table1[[#This Row],[Quantity]]</f>
        <v>30.09</v>
      </c>
      <c r="I3160" s="29">
        <f>Table1[[#This Row],[Total Revenue]]/$H$5056*100</f>
        <v>3.1924210290894882E-3</v>
      </c>
      <c r="J3160" s="3" t="s">
        <v>15</v>
      </c>
      <c r="K3160" s="4">
        <v>8.1</v>
      </c>
      <c r="M3160"/>
    </row>
    <row r="3161" spans="1:13" x14ac:dyDescent="0.25">
      <c r="A3161" s="2">
        <v>45452</v>
      </c>
      <c r="B3161" s="3" t="s">
        <v>245</v>
      </c>
      <c r="C3161" s="3" t="s">
        <v>13</v>
      </c>
      <c r="D3161" s="3" t="s">
        <v>19</v>
      </c>
      <c r="E3161" s="5" t="s">
        <v>14</v>
      </c>
      <c r="F3161" s="17">
        <v>92.74</v>
      </c>
      <c r="G3161" s="3">
        <v>5</v>
      </c>
      <c r="H3161" s="17">
        <f>Table1[[#This Row],[Unit price]]*Table1[[#This Row],[Quantity]]</f>
        <v>463.7</v>
      </c>
      <c r="I3161" s="29">
        <f>Table1[[#This Row],[Total Revenue]]/$H$5056*100</f>
        <v>4.9196597912555526E-2</v>
      </c>
      <c r="J3161" s="3" t="s">
        <v>12</v>
      </c>
      <c r="K3161" s="4">
        <v>4.5999999999999996</v>
      </c>
      <c r="M3161"/>
    </row>
    <row r="3162" spans="1:13" x14ac:dyDescent="0.25">
      <c r="A3162" s="2">
        <v>45452</v>
      </c>
      <c r="B3162" s="3" t="s">
        <v>244</v>
      </c>
      <c r="C3162" s="3" t="s">
        <v>13</v>
      </c>
      <c r="D3162" s="3" t="s">
        <v>10</v>
      </c>
      <c r="E3162" s="5" t="s">
        <v>18</v>
      </c>
      <c r="F3162" s="17">
        <v>8.6300000000000008</v>
      </c>
      <c r="G3162" s="3">
        <v>10</v>
      </c>
      <c r="H3162" s="17">
        <f>Table1[[#This Row],[Unit price]]*Table1[[#This Row],[Quantity]]</f>
        <v>86.300000000000011</v>
      </c>
      <c r="I3162" s="29">
        <f>Table1[[#This Row],[Total Revenue]]/$H$5056*100</f>
        <v>9.1560629714331297E-3</v>
      </c>
      <c r="J3162" s="3" t="s">
        <v>12</v>
      </c>
      <c r="K3162" s="4">
        <v>3.5</v>
      </c>
      <c r="M3162"/>
    </row>
    <row r="3163" spans="1:13" x14ac:dyDescent="0.25">
      <c r="A3163" s="2">
        <v>45452</v>
      </c>
      <c r="B3163" s="3" t="s">
        <v>245</v>
      </c>
      <c r="C3163" s="3" t="s">
        <v>9</v>
      </c>
      <c r="D3163" s="3" t="s">
        <v>10</v>
      </c>
      <c r="E3163" s="5" t="s">
        <v>16</v>
      </c>
      <c r="F3163" s="17">
        <v>60</v>
      </c>
      <c r="G3163" s="3">
        <v>2</v>
      </c>
      <c r="H3163" s="17">
        <f>Table1[[#This Row],[Unit price]]*Table1[[#This Row],[Quantity]]</f>
        <v>120</v>
      </c>
      <c r="I3163" s="29">
        <f>Table1[[#This Row],[Total Revenue]]/$H$5056*100</f>
        <v>1.2731489647415706E-2</v>
      </c>
      <c r="J3163" s="3" t="s">
        <v>17</v>
      </c>
      <c r="K3163" s="4">
        <v>5</v>
      </c>
      <c r="M3163"/>
    </row>
    <row r="3164" spans="1:13" x14ac:dyDescent="0.25">
      <c r="A3164" s="2">
        <v>45452</v>
      </c>
      <c r="B3164" s="3" t="s">
        <v>245</v>
      </c>
      <c r="C3164" s="3" t="s">
        <v>13</v>
      </c>
      <c r="D3164" s="3" t="s">
        <v>10</v>
      </c>
      <c r="E3164" s="5" t="s">
        <v>11</v>
      </c>
      <c r="F3164" s="17">
        <v>7.21</v>
      </c>
      <c r="G3164" s="3">
        <v>9</v>
      </c>
      <c r="H3164" s="17">
        <f>Table1[[#This Row],[Unit price]]*Table1[[#This Row],[Quantity]]</f>
        <v>64.89</v>
      </c>
      <c r="I3164" s="29">
        <f>Table1[[#This Row],[Total Revenue]]/$H$5056*100</f>
        <v>6.8845530268400431E-3</v>
      </c>
      <c r="J3164" s="3" t="s">
        <v>15</v>
      </c>
      <c r="K3164" s="4">
        <v>4.0999999999999996</v>
      </c>
      <c r="M3164"/>
    </row>
    <row r="3165" spans="1:13" x14ac:dyDescent="0.25">
      <c r="A3165" s="2">
        <v>45452</v>
      </c>
      <c r="B3165" s="3" t="s">
        <v>244</v>
      </c>
      <c r="C3165" s="3" t="s">
        <v>13</v>
      </c>
      <c r="D3165" s="3" t="s">
        <v>19</v>
      </c>
      <c r="E3165" s="5" t="s">
        <v>11</v>
      </c>
      <c r="F3165" s="17">
        <v>7.25</v>
      </c>
      <c r="G3165" s="3">
        <v>9</v>
      </c>
      <c r="H3165" s="17">
        <f>Table1[[#This Row],[Unit price]]*Table1[[#This Row],[Quantity]]</f>
        <v>65.25</v>
      </c>
      <c r="I3165" s="29">
        <f>Table1[[#This Row],[Total Revenue]]/$H$5056*100</f>
        <v>6.9227474957822902E-3</v>
      </c>
      <c r="J3165" s="3" t="s">
        <v>17</v>
      </c>
      <c r="K3165" s="4">
        <v>9.3000000000000007</v>
      </c>
      <c r="M3165"/>
    </row>
    <row r="3166" spans="1:13" x14ac:dyDescent="0.25">
      <c r="A3166" s="2">
        <v>45452</v>
      </c>
      <c r="B3166" s="3" t="s">
        <v>245</v>
      </c>
      <c r="C3166" s="3" t="s">
        <v>13</v>
      </c>
      <c r="D3166" s="3" t="s">
        <v>10</v>
      </c>
      <c r="E3166" s="5" t="s">
        <v>11</v>
      </c>
      <c r="F3166" s="17">
        <v>4.4400000000000004</v>
      </c>
      <c r="G3166" s="3">
        <v>6</v>
      </c>
      <c r="H3166" s="17">
        <f>Table1[[#This Row],[Unit price]]*Table1[[#This Row],[Quantity]]</f>
        <v>26.64</v>
      </c>
      <c r="I3166" s="29">
        <f>Table1[[#This Row],[Total Revenue]]/$H$5056*100</f>
        <v>2.8263907017262867E-3</v>
      </c>
      <c r="J3166" s="3" t="s">
        <v>12</v>
      </c>
      <c r="K3166" s="4">
        <v>8.5</v>
      </c>
      <c r="M3166"/>
    </row>
    <row r="3167" spans="1:13" x14ac:dyDescent="0.25">
      <c r="A3167" s="2">
        <v>45452</v>
      </c>
      <c r="B3167" s="3" t="s">
        <v>243</v>
      </c>
      <c r="C3167" s="3" t="s">
        <v>9</v>
      </c>
      <c r="D3167" s="3" t="s">
        <v>19</v>
      </c>
      <c r="E3167" s="5" t="s">
        <v>21</v>
      </c>
      <c r="F3167" s="17">
        <v>28.73</v>
      </c>
      <c r="G3167" s="3">
        <v>5</v>
      </c>
      <c r="H3167" s="17">
        <f>Table1[[#This Row],[Unit price]]*Table1[[#This Row],[Quantity]]</f>
        <v>143.65</v>
      </c>
      <c r="I3167" s="29">
        <f>Table1[[#This Row],[Total Revenue]]/$H$5056*100</f>
        <v>1.524065406542722E-2</v>
      </c>
      <c r="J3167" s="3" t="s">
        <v>12</v>
      </c>
      <c r="K3167" s="4">
        <v>7.3</v>
      </c>
      <c r="M3167"/>
    </row>
    <row r="3168" spans="1:13" x14ac:dyDescent="0.25">
      <c r="A3168" s="2">
        <v>45482</v>
      </c>
      <c r="B3168" s="3" t="s">
        <v>244</v>
      </c>
      <c r="C3168" s="3" t="s">
        <v>13</v>
      </c>
      <c r="D3168" s="3" t="s">
        <v>19</v>
      </c>
      <c r="E3168" s="5" t="s">
        <v>20</v>
      </c>
      <c r="F3168" s="17">
        <v>49.32</v>
      </c>
      <c r="G3168" s="3">
        <v>1</v>
      </c>
      <c r="H3168" s="17">
        <f>Table1[[#This Row],[Unit price]]*Table1[[#This Row],[Quantity]]</f>
        <v>49.32</v>
      </c>
      <c r="I3168" s="29">
        <f>Table1[[#This Row],[Total Revenue]]/$H$5056*100</f>
        <v>5.2326422450878554E-3</v>
      </c>
      <c r="J3168" s="3" t="s">
        <v>12</v>
      </c>
      <c r="K3168" s="4">
        <v>8.9</v>
      </c>
      <c r="M3168"/>
    </row>
    <row r="3169" spans="1:13" x14ac:dyDescent="0.25">
      <c r="A3169" s="2">
        <v>45482</v>
      </c>
      <c r="B3169" s="3" t="s">
        <v>245</v>
      </c>
      <c r="C3169" s="3" t="s">
        <v>13</v>
      </c>
      <c r="D3169" s="3" t="s">
        <v>19</v>
      </c>
      <c r="E3169" s="5" t="s">
        <v>11</v>
      </c>
      <c r="F3169" s="17">
        <v>3.53</v>
      </c>
      <c r="G3169" s="3">
        <v>3</v>
      </c>
      <c r="H3169" s="17">
        <f>Table1[[#This Row],[Unit price]]*Table1[[#This Row],[Quantity]]</f>
        <v>10.59</v>
      </c>
      <c r="I3169" s="29">
        <f>Table1[[#This Row],[Total Revenue]]/$H$5056*100</f>
        <v>1.123553961384436E-3</v>
      </c>
      <c r="J3169" s="3" t="s">
        <v>12</v>
      </c>
      <c r="K3169" s="4">
        <v>8.5</v>
      </c>
      <c r="M3169"/>
    </row>
    <row r="3170" spans="1:13" x14ac:dyDescent="0.25">
      <c r="A3170" s="2">
        <v>45482</v>
      </c>
      <c r="B3170" s="3" t="s">
        <v>243</v>
      </c>
      <c r="C3170" s="3" t="s">
        <v>13</v>
      </c>
      <c r="D3170" s="3" t="s">
        <v>10</v>
      </c>
      <c r="E3170" s="5" t="s">
        <v>18</v>
      </c>
      <c r="F3170" s="17">
        <v>14.65</v>
      </c>
      <c r="G3170" s="3">
        <v>8</v>
      </c>
      <c r="H3170" s="17">
        <f>Table1[[#This Row],[Unit price]]*Table1[[#This Row],[Quantity]]</f>
        <v>117.2</v>
      </c>
      <c r="I3170" s="29">
        <f>Table1[[#This Row],[Total Revenue]]/$H$5056*100</f>
        <v>1.2434421555642674E-2</v>
      </c>
      <c r="J3170" s="3" t="s">
        <v>15</v>
      </c>
      <c r="K3170" s="4">
        <v>4.3</v>
      </c>
      <c r="M3170"/>
    </row>
    <row r="3171" spans="1:13" x14ac:dyDescent="0.25">
      <c r="A3171" s="2">
        <v>45482</v>
      </c>
      <c r="B3171" s="3" t="s">
        <v>243</v>
      </c>
      <c r="C3171" s="3" t="s">
        <v>13</v>
      </c>
      <c r="D3171" s="3" t="s">
        <v>19</v>
      </c>
      <c r="E3171" s="5" t="s">
        <v>20</v>
      </c>
      <c r="F3171" s="17">
        <v>48.29</v>
      </c>
      <c r="G3171" s="3">
        <v>7</v>
      </c>
      <c r="H3171" s="17">
        <f>Table1[[#This Row],[Unit price]]*Table1[[#This Row],[Quantity]]</f>
        <v>338.03</v>
      </c>
      <c r="I3171" s="29">
        <f>Table1[[#This Row],[Total Revenue]]/$H$5056*100</f>
        <v>3.5863545379299422E-2</v>
      </c>
      <c r="J3171" s="3" t="s">
        <v>12</v>
      </c>
      <c r="K3171" s="4">
        <v>9.1</v>
      </c>
      <c r="M3171"/>
    </row>
    <row r="3172" spans="1:13" x14ac:dyDescent="0.25">
      <c r="A3172" s="2">
        <v>45482</v>
      </c>
      <c r="B3172" s="3" t="s">
        <v>244</v>
      </c>
      <c r="C3172" s="3" t="s">
        <v>9</v>
      </c>
      <c r="D3172" s="3" t="s">
        <v>19</v>
      </c>
      <c r="E3172" s="5" t="s">
        <v>18</v>
      </c>
      <c r="F3172" s="17">
        <v>10.97</v>
      </c>
      <c r="G3172" s="3">
        <v>10</v>
      </c>
      <c r="H3172" s="17">
        <f>Table1[[#This Row],[Unit price]]*Table1[[#This Row],[Quantity]]</f>
        <v>109.7</v>
      </c>
      <c r="I3172" s="29">
        <f>Table1[[#This Row],[Total Revenue]]/$H$5056*100</f>
        <v>1.1638703452679191E-2</v>
      </c>
      <c r="J3172" s="3" t="s">
        <v>12</v>
      </c>
      <c r="K3172" s="4">
        <v>6.7</v>
      </c>
      <c r="M3172"/>
    </row>
    <row r="3173" spans="1:13" x14ac:dyDescent="0.25">
      <c r="A3173" s="2">
        <v>45482</v>
      </c>
      <c r="B3173" s="3" t="s">
        <v>245</v>
      </c>
      <c r="C3173" s="3" t="s">
        <v>13</v>
      </c>
      <c r="D3173" s="3" t="s">
        <v>10</v>
      </c>
      <c r="E3173" s="5" t="s">
        <v>20</v>
      </c>
      <c r="F3173" s="17">
        <v>50.35</v>
      </c>
      <c r="G3173" s="3">
        <v>9</v>
      </c>
      <c r="H3173" s="17">
        <f>Table1[[#This Row],[Unit price]]*Table1[[#This Row],[Quantity]]</f>
        <v>453.15000000000003</v>
      </c>
      <c r="I3173" s="29">
        <f>Table1[[#This Row],[Total Revenue]]/$H$5056*100</f>
        <v>4.8077287781053565E-2</v>
      </c>
      <c r="J3173" s="3" t="s">
        <v>17</v>
      </c>
      <c r="K3173" s="4">
        <v>8.5</v>
      </c>
      <c r="M3173"/>
    </row>
    <row r="3174" spans="1:13" x14ac:dyDescent="0.25">
      <c r="A3174" s="2">
        <v>45482</v>
      </c>
      <c r="B3174" s="3" t="s">
        <v>245</v>
      </c>
      <c r="C3174" s="3" t="s">
        <v>13</v>
      </c>
      <c r="D3174" s="3" t="s">
        <v>19</v>
      </c>
      <c r="E3174" s="5" t="s">
        <v>21</v>
      </c>
      <c r="F3174" s="17">
        <v>20.97</v>
      </c>
      <c r="G3174" s="3">
        <v>7</v>
      </c>
      <c r="H3174" s="17">
        <f>Table1[[#This Row],[Unit price]]*Table1[[#This Row],[Quantity]]</f>
        <v>146.79</v>
      </c>
      <c r="I3174" s="29">
        <f>Table1[[#This Row],[Total Revenue]]/$H$5056*100</f>
        <v>1.5573794711201263E-2</v>
      </c>
      <c r="J3174" s="3" t="s">
        <v>15</v>
      </c>
      <c r="K3174" s="4">
        <v>9.1</v>
      </c>
      <c r="M3174"/>
    </row>
    <row r="3175" spans="1:13" x14ac:dyDescent="0.25">
      <c r="A3175" s="2">
        <v>45482</v>
      </c>
      <c r="B3175" s="3" t="s">
        <v>244</v>
      </c>
      <c r="C3175" s="3" t="s">
        <v>13</v>
      </c>
      <c r="D3175" s="3" t="s">
        <v>10</v>
      </c>
      <c r="E3175" s="5" t="s">
        <v>18</v>
      </c>
      <c r="F3175" s="17">
        <v>21.23</v>
      </c>
      <c r="G3175" s="3">
        <v>7</v>
      </c>
      <c r="H3175" s="17">
        <f>Table1[[#This Row],[Unit price]]*Table1[[#This Row],[Quantity]]</f>
        <v>148.61000000000001</v>
      </c>
      <c r="I3175" s="29">
        <f>Table1[[#This Row],[Total Revenue]]/$H$5056*100</f>
        <v>1.5766888970853737E-2</v>
      </c>
      <c r="J3175" s="3" t="s">
        <v>17</v>
      </c>
      <c r="K3175" s="4">
        <v>5.2</v>
      </c>
      <c r="M3175"/>
    </row>
    <row r="3176" spans="1:13" x14ac:dyDescent="0.25">
      <c r="A3176" s="2">
        <v>45482</v>
      </c>
      <c r="B3176" s="3" t="s">
        <v>243</v>
      </c>
      <c r="C3176" s="3" t="s">
        <v>13</v>
      </c>
      <c r="D3176" s="3" t="s">
        <v>19</v>
      </c>
      <c r="E3176" s="5" t="s">
        <v>18</v>
      </c>
      <c r="F3176" s="17">
        <v>5.74</v>
      </c>
      <c r="G3176" s="3">
        <v>9</v>
      </c>
      <c r="H3176" s="17">
        <f>Table1[[#This Row],[Unit price]]*Table1[[#This Row],[Quantity]]</f>
        <v>51.660000000000004</v>
      </c>
      <c r="I3176" s="29">
        <f>Table1[[#This Row],[Total Revenue]]/$H$5056*100</f>
        <v>5.4809062932124619E-3</v>
      </c>
      <c r="J3176" s="3" t="s">
        <v>17</v>
      </c>
      <c r="K3176" s="4">
        <v>3.7</v>
      </c>
      <c r="M3176"/>
    </row>
    <row r="3177" spans="1:13" x14ac:dyDescent="0.25">
      <c r="A3177" s="2">
        <v>45482</v>
      </c>
      <c r="B3177" s="3" t="s">
        <v>244</v>
      </c>
      <c r="C3177" s="3" t="s">
        <v>9</v>
      </c>
      <c r="D3177" s="3" t="s">
        <v>10</v>
      </c>
      <c r="E3177" s="5" t="s">
        <v>11</v>
      </c>
      <c r="F3177" s="17">
        <v>13.84</v>
      </c>
      <c r="G3177" s="3">
        <v>1</v>
      </c>
      <c r="H3177" s="17">
        <f>Table1[[#This Row],[Unit price]]*Table1[[#This Row],[Quantity]]</f>
        <v>13.84</v>
      </c>
      <c r="I3177" s="29">
        <f>Table1[[#This Row],[Total Revenue]]/$H$5056*100</f>
        <v>1.468365139335278E-3</v>
      </c>
      <c r="J3177" s="3" t="s">
        <v>17</v>
      </c>
      <c r="K3177" s="4">
        <v>4.5</v>
      </c>
      <c r="M3177"/>
    </row>
    <row r="3178" spans="1:13" x14ac:dyDescent="0.25">
      <c r="A3178" s="2">
        <v>45482</v>
      </c>
      <c r="B3178" s="3" t="s">
        <v>243</v>
      </c>
      <c r="C3178" s="3" t="s">
        <v>9</v>
      </c>
      <c r="D3178" s="3" t="s">
        <v>19</v>
      </c>
      <c r="E3178" s="5" t="s">
        <v>21</v>
      </c>
      <c r="F3178" s="17">
        <v>34.54</v>
      </c>
      <c r="G3178" s="3">
        <v>5</v>
      </c>
      <c r="H3178" s="17">
        <f>Table1[[#This Row],[Unit price]]*Table1[[#This Row],[Quantity]]</f>
        <v>172.7</v>
      </c>
      <c r="I3178" s="29">
        <f>Table1[[#This Row],[Total Revenue]]/$H$5056*100</f>
        <v>1.8322735517572436E-2</v>
      </c>
      <c r="J3178" s="3" t="s">
        <v>12</v>
      </c>
      <c r="K3178" s="4">
        <v>5.9</v>
      </c>
      <c r="M3178"/>
    </row>
    <row r="3179" spans="1:13" x14ac:dyDescent="0.25">
      <c r="A3179" s="2">
        <v>45482</v>
      </c>
      <c r="B3179" s="3" t="s">
        <v>243</v>
      </c>
      <c r="C3179" s="3" t="s">
        <v>13</v>
      </c>
      <c r="D3179" s="3" t="s">
        <v>10</v>
      </c>
      <c r="E3179" s="5" t="s">
        <v>20</v>
      </c>
      <c r="F3179" s="17">
        <v>65.78</v>
      </c>
      <c r="G3179" s="3">
        <v>7</v>
      </c>
      <c r="H3179" s="17">
        <f>Table1[[#This Row],[Unit price]]*Table1[[#This Row],[Quantity]]</f>
        <v>460.46000000000004</v>
      </c>
      <c r="I3179" s="29">
        <f>Table1[[#This Row],[Total Revenue]]/$H$5056*100</f>
        <v>4.8852847692075298E-2</v>
      </c>
      <c r="J3179" s="3" t="s">
        <v>17</v>
      </c>
      <c r="K3179" s="4">
        <v>8.6</v>
      </c>
      <c r="M3179"/>
    </row>
    <row r="3180" spans="1:13" x14ac:dyDescent="0.25">
      <c r="A3180" s="2">
        <v>45482</v>
      </c>
      <c r="B3180" s="3" t="s">
        <v>245</v>
      </c>
      <c r="C3180" s="3" t="s">
        <v>13</v>
      </c>
      <c r="D3180" s="3" t="s">
        <v>10</v>
      </c>
      <c r="E3180" s="5" t="s">
        <v>20</v>
      </c>
      <c r="F3180" s="17">
        <v>41.08</v>
      </c>
      <c r="G3180" s="3">
        <v>2</v>
      </c>
      <c r="H3180" s="17">
        <f>Table1[[#This Row],[Unit price]]*Table1[[#This Row],[Quantity]]</f>
        <v>82.16</v>
      </c>
      <c r="I3180" s="29">
        <f>Table1[[#This Row],[Total Revenue]]/$H$5056*100</f>
        <v>8.7168265785972868E-3</v>
      </c>
      <c r="J3180" s="3" t="s">
        <v>15</v>
      </c>
      <c r="K3180" s="4">
        <v>8.9</v>
      </c>
      <c r="M3180"/>
    </row>
    <row r="3181" spans="1:13" x14ac:dyDescent="0.25">
      <c r="A3181" s="2">
        <v>45513</v>
      </c>
      <c r="B3181" s="3" t="s">
        <v>244</v>
      </c>
      <c r="C3181" s="3" t="s">
        <v>13</v>
      </c>
      <c r="D3181" s="3" t="s">
        <v>19</v>
      </c>
      <c r="E3181" s="5" t="s">
        <v>20</v>
      </c>
      <c r="F3181" s="17">
        <v>53.02</v>
      </c>
      <c r="G3181" s="3">
        <v>2</v>
      </c>
      <c r="H3181" s="17">
        <f>Table1[[#This Row],[Unit price]]*Table1[[#This Row],[Quantity]]</f>
        <v>106.04</v>
      </c>
      <c r="I3181" s="29">
        <f>Table1[[#This Row],[Total Revenue]]/$H$5056*100</f>
        <v>1.1250393018433013E-2</v>
      </c>
      <c r="J3181" s="3" t="s">
        <v>17</v>
      </c>
      <c r="K3181" s="4">
        <v>3</v>
      </c>
      <c r="M3181"/>
    </row>
    <row r="3182" spans="1:13" x14ac:dyDescent="0.25">
      <c r="A3182" s="2">
        <v>45513</v>
      </c>
      <c r="B3182" s="3" t="s">
        <v>244</v>
      </c>
      <c r="C3182" s="3" t="s">
        <v>13</v>
      </c>
      <c r="D3182" s="3" t="s">
        <v>19</v>
      </c>
      <c r="E3182" s="5" t="s">
        <v>18</v>
      </c>
      <c r="F3182" s="17">
        <v>23.07</v>
      </c>
      <c r="G3182" s="3">
        <v>1</v>
      </c>
      <c r="H3182" s="17">
        <f>Table1[[#This Row],[Unit price]]*Table1[[#This Row],[Quantity]]</f>
        <v>23.07</v>
      </c>
      <c r="I3182" s="29">
        <f>Table1[[#This Row],[Total Revenue]]/$H$5056*100</f>
        <v>2.44762888471567E-3</v>
      </c>
      <c r="J3182" s="3" t="s">
        <v>12</v>
      </c>
      <c r="K3182" s="4">
        <v>6.5</v>
      </c>
      <c r="M3182"/>
    </row>
    <row r="3183" spans="1:13" x14ac:dyDescent="0.25">
      <c r="A3183" s="2">
        <v>45513</v>
      </c>
      <c r="B3183" s="3" t="s">
        <v>243</v>
      </c>
      <c r="C3183" s="3" t="s">
        <v>9</v>
      </c>
      <c r="D3183" s="3" t="s">
        <v>10</v>
      </c>
      <c r="E3183" s="5" t="s">
        <v>11</v>
      </c>
      <c r="F3183" s="17">
        <v>8.91</v>
      </c>
      <c r="G3183" s="3">
        <v>10</v>
      </c>
      <c r="H3183" s="17">
        <f>Table1[[#This Row],[Unit price]]*Table1[[#This Row],[Quantity]]</f>
        <v>89.1</v>
      </c>
      <c r="I3183" s="29">
        <f>Table1[[#This Row],[Total Revenue]]/$H$5056*100</f>
        <v>9.4531310632061608E-3</v>
      </c>
      <c r="J3183" s="3" t="s">
        <v>17</v>
      </c>
      <c r="K3183" s="4">
        <v>5.8</v>
      </c>
      <c r="M3183"/>
    </row>
    <row r="3184" spans="1:13" x14ac:dyDescent="0.25">
      <c r="A3184" s="2">
        <v>45513</v>
      </c>
      <c r="B3184" s="3" t="s">
        <v>244</v>
      </c>
      <c r="C3184" s="3" t="s">
        <v>13</v>
      </c>
      <c r="D3184" s="3" t="s">
        <v>10</v>
      </c>
      <c r="E3184" s="5" t="s">
        <v>11</v>
      </c>
      <c r="F3184" s="17">
        <v>5.13</v>
      </c>
      <c r="G3184" s="3">
        <v>10</v>
      </c>
      <c r="H3184" s="17">
        <f>Table1[[#This Row],[Unit price]]*Table1[[#This Row],[Quantity]]</f>
        <v>51.3</v>
      </c>
      <c r="I3184" s="29">
        <f>Table1[[#This Row],[Total Revenue]]/$H$5056*100</f>
        <v>5.442711824270214E-3</v>
      </c>
      <c r="J3184" s="3" t="s">
        <v>15</v>
      </c>
      <c r="K3184" s="4">
        <v>4.5</v>
      </c>
      <c r="M3184"/>
    </row>
    <row r="3185" spans="1:13" x14ac:dyDescent="0.25">
      <c r="A3185" s="2">
        <v>45513</v>
      </c>
      <c r="B3185" s="3" t="s">
        <v>244</v>
      </c>
      <c r="C3185" s="3" t="s">
        <v>13</v>
      </c>
      <c r="D3185" s="3" t="s">
        <v>10</v>
      </c>
      <c r="E3185" s="5" t="s">
        <v>21</v>
      </c>
      <c r="F3185" s="17">
        <v>37.47</v>
      </c>
      <c r="G3185" s="3">
        <v>8</v>
      </c>
      <c r="H3185" s="17">
        <f>Table1[[#This Row],[Unit price]]*Table1[[#This Row],[Quantity]]</f>
        <v>299.76</v>
      </c>
      <c r="I3185" s="29">
        <f>Table1[[#This Row],[Total Revenue]]/$H$5056*100</f>
        <v>3.1803261139244435E-2</v>
      </c>
      <c r="J3185" s="3" t="s">
        <v>17</v>
      </c>
      <c r="K3185" s="4">
        <v>3.8</v>
      </c>
      <c r="M3185"/>
    </row>
    <row r="3186" spans="1:13" x14ac:dyDescent="0.25">
      <c r="A3186" s="2">
        <v>45513</v>
      </c>
      <c r="B3186" s="3" t="s">
        <v>244</v>
      </c>
      <c r="C3186" s="3" t="s">
        <v>13</v>
      </c>
      <c r="D3186" s="3" t="s">
        <v>10</v>
      </c>
      <c r="E3186" s="5" t="s">
        <v>20</v>
      </c>
      <c r="F3186" s="17">
        <v>69.63</v>
      </c>
      <c r="G3186" s="3">
        <v>5</v>
      </c>
      <c r="H3186" s="17">
        <f>Table1[[#This Row],[Unit price]]*Table1[[#This Row],[Quantity]]</f>
        <v>348.15</v>
      </c>
      <c r="I3186" s="29">
        <f>Table1[[#This Row],[Total Revenue]]/$H$5056*100</f>
        <v>3.6937234339564813E-2</v>
      </c>
      <c r="J3186" s="3" t="s">
        <v>12</v>
      </c>
      <c r="K3186" s="4">
        <v>5.3</v>
      </c>
      <c r="M3186"/>
    </row>
    <row r="3187" spans="1:13" x14ac:dyDescent="0.25">
      <c r="A3187" s="2">
        <v>45513</v>
      </c>
      <c r="B3187" s="3" t="s">
        <v>244</v>
      </c>
      <c r="C3187" s="3" t="s">
        <v>9</v>
      </c>
      <c r="D3187" s="3" t="s">
        <v>10</v>
      </c>
      <c r="E3187" s="5" t="s">
        <v>21</v>
      </c>
      <c r="F3187" s="17">
        <v>24.62</v>
      </c>
      <c r="G3187" s="3">
        <v>8</v>
      </c>
      <c r="H3187" s="17">
        <f>Table1[[#This Row],[Unit price]]*Table1[[#This Row],[Quantity]]</f>
        <v>196.96</v>
      </c>
      <c r="I3187" s="29">
        <f>Table1[[#This Row],[Total Revenue]]/$H$5056*100</f>
        <v>2.0896618341291646E-2</v>
      </c>
      <c r="J3187" s="3" t="s">
        <v>15</v>
      </c>
      <c r="K3187" s="4">
        <v>9.4</v>
      </c>
      <c r="M3187"/>
    </row>
    <row r="3188" spans="1:13" x14ac:dyDescent="0.25">
      <c r="A3188" s="2">
        <v>45513</v>
      </c>
      <c r="B3188" s="3" t="s">
        <v>243</v>
      </c>
      <c r="C3188" s="3" t="s">
        <v>13</v>
      </c>
      <c r="D3188" s="3" t="s">
        <v>10</v>
      </c>
      <c r="E3188" s="5" t="s">
        <v>21</v>
      </c>
      <c r="F3188" s="17">
        <v>22.38</v>
      </c>
      <c r="G3188" s="3">
        <v>7</v>
      </c>
      <c r="H3188" s="17">
        <f>Table1[[#This Row],[Unit price]]*Table1[[#This Row],[Quantity]]</f>
        <v>156.66</v>
      </c>
      <c r="I3188" s="29">
        <f>Table1[[#This Row],[Total Revenue]]/$H$5056*100</f>
        <v>1.6620959734701204E-2</v>
      </c>
      <c r="J3188" s="3" t="s">
        <v>15</v>
      </c>
      <c r="K3188" s="4">
        <v>5.2</v>
      </c>
      <c r="M3188"/>
    </row>
    <row r="3189" spans="1:13" x14ac:dyDescent="0.25">
      <c r="A3189" s="2">
        <v>45513</v>
      </c>
      <c r="B3189" s="3" t="s">
        <v>245</v>
      </c>
      <c r="C3189" s="3" t="s">
        <v>13</v>
      </c>
      <c r="D3189" s="3" t="s">
        <v>19</v>
      </c>
      <c r="E3189" s="5" t="s">
        <v>20</v>
      </c>
      <c r="F3189" s="17">
        <v>62.36</v>
      </c>
      <c r="G3189" s="3">
        <v>5</v>
      </c>
      <c r="H3189" s="17">
        <f>Table1[[#This Row],[Unit price]]*Table1[[#This Row],[Quantity]]</f>
        <v>311.8</v>
      </c>
      <c r="I3189" s="29">
        <f>Table1[[#This Row],[Total Revenue]]/$H$5056*100</f>
        <v>3.3080653933868477E-2</v>
      </c>
      <c r="J3189" s="3" t="s">
        <v>17</v>
      </c>
      <c r="K3189" s="4">
        <v>6.5</v>
      </c>
      <c r="M3189"/>
    </row>
    <row r="3190" spans="1:13" x14ac:dyDescent="0.25">
      <c r="A3190" s="2">
        <v>45513</v>
      </c>
      <c r="B3190" s="3" t="s">
        <v>245</v>
      </c>
      <c r="C3190" s="3" t="s">
        <v>13</v>
      </c>
      <c r="D3190" s="3" t="s">
        <v>19</v>
      </c>
      <c r="E3190" s="5" t="s">
        <v>11</v>
      </c>
      <c r="F3190" s="17">
        <v>10.07</v>
      </c>
      <c r="G3190" s="3">
        <v>3</v>
      </c>
      <c r="H3190" s="17">
        <f>Table1[[#This Row],[Unit price]]*Table1[[#This Row],[Quantity]]</f>
        <v>30.21</v>
      </c>
      <c r="I3190" s="29">
        <f>Table1[[#This Row],[Total Revenue]]/$H$5056*100</f>
        <v>3.2051525187369039E-3</v>
      </c>
      <c r="J3190" s="3" t="s">
        <v>12</v>
      </c>
      <c r="K3190" s="4">
        <v>7.8</v>
      </c>
      <c r="M3190"/>
    </row>
    <row r="3191" spans="1:13" x14ac:dyDescent="0.25">
      <c r="A3191" s="2">
        <v>45513</v>
      </c>
      <c r="B3191" s="3" t="s">
        <v>243</v>
      </c>
      <c r="C3191" s="3" t="s">
        <v>13</v>
      </c>
      <c r="D3191" s="3" t="s">
        <v>10</v>
      </c>
      <c r="E3191" s="5" t="s">
        <v>14</v>
      </c>
      <c r="F3191" s="17">
        <v>80.63</v>
      </c>
      <c r="G3191" s="3">
        <v>6</v>
      </c>
      <c r="H3191" s="17">
        <f>Table1[[#This Row],[Unit price]]*Table1[[#This Row],[Quantity]]</f>
        <v>483.78</v>
      </c>
      <c r="I3191" s="29">
        <f>Table1[[#This Row],[Total Revenue]]/$H$5056*100</f>
        <v>5.1327000513556417E-2</v>
      </c>
      <c r="J3191" s="3" t="s">
        <v>17</v>
      </c>
      <c r="K3191" s="4">
        <v>5.5</v>
      </c>
      <c r="M3191"/>
    </row>
    <row r="3192" spans="1:13" x14ac:dyDescent="0.25">
      <c r="A3192" s="2">
        <v>45513</v>
      </c>
      <c r="B3192" s="3" t="s">
        <v>244</v>
      </c>
      <c r="C3192" s="3" t="s">
        <v>9</v>
      </c>
      <c r="D3192" s="3" t="s">
        <v>10</v>
      </c>
      <c r="E3192" s="5" t="s">
        <v>11</v>
      </c>
      <c r="F3192" s="17">
        <v>3.72</v>
      </c>
      <c r="G3192" s="3">
        <v>9</v>
      </c>
      <c r="H3192" s="17">
        <f>Table1[[#This Row],[Unit price]]*Table1[[#This Row],[Quantity]]</f>
        <v>33.480000000000004</v>
      </c>
      <c r="I3192" s="29">
        <f>Table1[[#This Row],[Total Revenue]]/$H$5056*100</f>
        <v>3.5520856116289827E-3</v>
      </c>
      <c r="J3192" s="3" t="s">
        <v>17</v>
      </c>
      <c r="K3192" s="4">
        <v>9.6</v>
      </c>
      <c r="M3192"/>
    </row>
    <row r="3193" spans="1:13" x14ac:dyDescent="0.25">
      <c r="A3193" s="2">
        <v>45513</v>
      </c>
      <c r="B3193" s="3" t="s">
        <v>243</v>
      </c>
      <c r="C3193" s="3" t="s">
        <v>13</v>
      </c>
      <c r="D3193" s="3" t="s">
        <v>10</v>
      </c>
      <c r="E3193" s="5" t="s">
        <v>21</v>
      </c>
      <c r="F3193" s="17">
        <v>21.42</v>
      </c>
      <c r="G3193" s="3">
        <v>8</v>
      </c>
      <c r="H3193" s="17">
        <f>Table1[[#This Row],[Unit price]]*Table1[[#This Row],[Quantity]]</f>
        <v>171.36</v>
      </c>
      <c r="I3193" s="29">
        <f>Table1[[#This Row],[Total Revenue]]/$H$5056*100</f>
        <v>1.8180567216509631E-2</v>
      </c>
      <c r="J3193" s="3" t="s">
        <v>17</v>
      </c>
      <c r="K3193" s="4">
        <v>9.5</v>
      </c>
      <c r="M3193"/>
    </row>
    <row r="3194" spans="1:13" x14ac:dyDescent="0.25">
      <c r="A3194" s="2">
        <v>45544</v>
      </c>
      <c r="B3194" s="3" t="s">
        <v>245</v>
      </c>
      <c r="C3194" s="3" t="s">
        <v>13</v>
      </c>
      <c r="D3194" s="3" t="s">
        <v>19</v>
      </c>
      <c r="E3194" s="5" t="s">
        <v>11</v>
      </c>
      <c r="F3194" s="17">
        <v>2.98</v>
      </c>
      <c r="G3194" s="3">
        <v>4</v>
      </c>
      <c r="H3194" s="17">
        <f>Table1[[#This Row],[Unit price]]*Table1[[#This Row],[Quantity]]</f>
        <v>11.92</v>
      </c>
      <c r="I3194" s="29">
        <f>Table1[[#This Row],[Total Revenue]]/$H$5056*100</f>
        <v>1.2646613049766269E-3</v>
      </c>
      <c r="J3194" s="3" t="s">
        <v>17</v>
      </c>
      <c r="K3194" s="4">
        <v>4.7</v>
      </c>
      <c r="M3194"/>
    </row>
    <row r="3195" spans="1:13" x14ac:dyDescent="0.25">
      <c r="A3195" s="2">
        <v>45544</v>
      </c>
      <c r="B3195" s="3" t="s">
        <v>245</v>
      </c>
      <c r="C3195" s="3" t="s">
        <v>9</v>
      </c>
      <c r="D3195" s="3" t="s">
        <v>10</v>
      </c>
      <c r="E3195" s="5" t="s">
        <v>18</v>
      </c>
      <c r="F3195" s="17">
        <v>12.89</v>
      </c>
      <c r="G3195" s="3">
        <v>5</v>
      </c>
      <c r="H3195" s="17">
        <f>Table1[[#This Row],[Unit price]]*Table1[[#This Row],[Quantity]]</f>
        <v>64.45</v>
      </c>
      <c r="I3195" s="29">
        <f>Table1[[#This Row],[Total Revenue]]/$H$5056*100</f>
        <v>6.8378708981328522E-3</v>
      </c>
      <c r="J3195" s="3" t="s">
        <v>12</v>
      </c>
      <c r="K3195" s="4">
        <v>6.4</v>
      </c>
      <c r="M3195"/>
    </row>
    <row r="3196" spans="1:13" x14ac:dyDescent="0.25">
      <c r="A3196" s="2">
        <v>45544</v>
      </c>
      <c r="B3196" s="3" t="s">
        <v>245</v>
      </c>
      <c r="C3196" s="3" t="s">
        <v>13</v>
      </c>
      <c r="D3196" s="3" t="s">
        <v>10</v>
      </c>
      <c r="E3196" s="5" t="s">
        <v>21</v>
      </c>
      <c r="F3196" s="17">
        <v>35.56</v>
      </c>
      <c r="G3196" s="3">
        <v>6</v>
      </c>
      <c r="H3196" s="17">
        <f>Table1[[#This Row],[Unit price]]*Table1[[#This Row],[Quantity]]</f>
        <v>213.36</v>
      </c>
      <c r="I3196" s="29">
        <f>Table1[[#This Row],[Total Revenue]]/$H$5056*100</f>
        <v>2.2636588593105127E-2</v>
      </c>
      <c r="J3196" s="3" t="s">
        <v>15</v>
      </c>
      <c r="K3196" s="4">
        <v>5</v>
      </c>
      <c r="M3196"/>
    </row>
    <row r="3197" spans="1:13" x14ac:dyDescent="0.25">
      <c r="A3197" s="2">
        <v>45544</v>
      </c>
      <c r="B3197" s="3" t="s">
        <v>244</v>
      </c>
      <c r="C3197" s="3" t="s">
        <v>13</v>
      </c>
      <c r="D3197" s="3" t="s">
        <v>10</v>
      </c>
      <c r="E3197" s="5" t="s">
        <v>11</v>
      </c>
      <c r="F3197" s="17">
        <v>4.88</v>
      </c>
      <c r="G3197" s="3">
        <v>2</v>
      </c>
      <c r="H3197" s="17">
        <f>Table1[[#This Row],[Unit price]]*Table1[[#This Row],[Quantity]]</f>
        <v>9.76</v>
      </c>
      <c r="I3197" s="29">
        <f>Table1[[#This Row],[Total Revenue]]/$H$5056*100</f>
        <v>1.0354944913231439E-3</v>
      </c>
      <c r="J3197" s="3" t="s">
        <v>12</v>
      </c>
      <c r="K3197" s="4">
        <v>4.9000000000000004</v>
      </c>
      <c r="M3197"/>
    </row>
    <row r="3198" spans="1:13" x14ac:dyDescent="0.25">
      <c r="A3198" s="2">
        <v>45544</v>
      </c>
      <c r="B3198" s="3" t="s">
        <v>245</v>
      </c>
      <c r="C3198" s="3" t="s">
        <v>9</v>
      </c>
      <c r="D3198" s="3" t="s">
        <v>10</v>
      </c>
      <c r="E3198" s="5" t="s">
        <v>21</v>
      </c>
      <c r="F3198" s="17">
        <v>16.13</v>
      </c>
      <c r="G3198" s="3">
        <v>1</v>
      </c>
      <c r="H3198" s="17">
        <f>Table1[[#This Row],[Unit price]]*Table1[[#This Row],[Quantity]]</f>
        <v>16.13</v>
      </c>
      <c r="I3198" s="29">
        <f>Table1[[#This Row],[Total Revenue]]/$H$5056*100</f>
        <v>1.7113244001067944E-3</v>
      </c>
      <c r="J3198" s="3" t="s">
        <v>12</v>
      </c>
      <c r="K3198" s="4">
        <v>3.3</v>
      </c>
      <c r="M3198"/>
    </row>
    <row r="3199" spans="1:13" x14ac:dyDescent="0.25">
      <c r="A3199" s="2">
        <v>45544</v>
      </c>
      <c r="B3199" s="3" t="s">
        <v>244</v>
      </c>
      <c r="C3199" s="3" t="s">
        <v>9</v>
      </c>
      <c r="D3199" s="3" t="s">
        <v>19</v>
      </c>
      <c r="E3199" s="5" t="s">
        <v>21</v>
      </c>
      <c r="F3199" s="17">
        <v>24.28</v>
      </c>
      <c r="G3199" s="3">
        <v>9</v>
      </c>
      <c r="H3199" s="17">
        <f>Table1[[#This Row],[Unit price]]*Table1[[#This Row],[Quantity]]</f>
        <v>218.52</v>
      </c>
      <c r="I3199" s="29">
        <f>Table1[[#This Row],[Total Revenue]]/$H$5056*100</f>
        <v>2.3184042647944002E-2</v>
      </c>
      <c r="J3199" s="3" t="s">
        <v>12</v>
      </c>
      <c r="K3199" s="4">
        <v>7.1</v>
      </c>
      <c r="M3199"/>
    </row>
    <row r="3200" spans="1:13" x14ac:dyDescent="0.25">
      <c r="A3200" s="2">
        <v>45544</v>
      </c>
      <c r="B3200" s="3" t="s">
        <v>244</v>
      </c>
      <c r="C3200" s="3" t="s">
        <v>13</v>
      </c>
      <c r="D3200" s="3" t="s">
        <v>10</v>
      </c>
      <c r="E3200" s="5" t="s">
        <v>18</v>
      </c>
      <c r="F3200" s="17">
        <v>21.67</v>
      </c>
      <c r="G3200" s="3">
        <v>10</v>
      </c>
      <c r="H3200" s="17">
        <f>Table1[[#This Row],[Unit price]]*Table1[[#This Row],[Quantity]]</f>
        <v>216.70000000000002</v>
      </c>
      <c r="I3200" s="29">
        <f>Table1[[#This Row],[Total Revenue]]/$H$5056*100</f>
        <v>2.2990948388291532E-2</v>
      </c>
      <c r="J3200" s="3" t="s">
        <v>12</v>
      </c>
      <c r="K3200" s="4">
        <v>6.4</v>
      </c>
      <c r="M3200"/>
    </row>
    <row r="3201" spans="1:13" x14ac:dyDescent="0.25">
      <c r="A3201" s="2">
        <v>45544</v>
      </c>
      <c r="B3201" s="3" t="s">
        <v>244</v>
      </c>
      <c r="C3201" s="3" t="s">
        <v>9</v>
      </c>
      <c r="D3201" s="3" t="s">
        <v>10</v>
      </c>
      <c r="E3201" s="5" t="s">
        <v>14</v>
      </c>
      <c r="F3201" s="17">
        <v>88.43</v>
      </c>
      <c r="G3201" s="3">
        <v>4</v>
      </c>
      <c r="H3201" s="17">
        <f>Table1[[#This Row],[Unit price]]*Table1[[#This Row],[Quantity]]</f>
        <v>353.72</v>
      </c>
      <c r="I3201" s="29">
        <f>Table1[[#This Row],[Total Revenue]]/$H$5056*100</f>
        <v>3.7528187650699034E-2</v>
      </c>
      <c r="J3201" s="3" t="s">
        <v>17</v>
      </c>
      <c r="K3201" s="4">
        <v>3.4</v>
      </c>
      <c r="M3201"/>
    </row>
    <row r="3202" spans="1:13" x14ac:dyDescent="0.25">
      <c r="A3202" s="2">
        <v>45544</v>
      </c>
      <c r="B3202" s="3" t="s">
        <v>245</v>
      </c>
      <c r="C3202" s="3" t="s">
        <v>9</v>
      </c>
      <c r="D3202" s="3" t="s">
        <v>10</v>
      </c>
      <c r="E3202" s="5" t="s">
        <v>11</v>
      </c>
      <c r="F3202" s="17">
        <v>5.59</v>
      </c>
      <c r="G3202" s="3">
        <v>2</v>
      </c>
      <c r="H3202" s="17">
        <f>Table1[[#This Row],[Unit price]]*Table1[[#This Row],[Quantity]]</f>
        <v>11.18</v>
      </c>
      <c r="I3202" s="29">
        <f>Table1[[#This Row],[Total Revenue]]/$H$5056*100</f>
        <v>1.1861504521508965E-3</v>
      </c>
      <c r="J3202" s="3" t="s">
        <v>17</v>
      </c>
      <c r="K3202" s="4">
        <v>4.9000000000000004</v>
      </c>
      <c r="M3202"/>
    </row>
    <row r="3203" spans="1:13" x14ac:dyDescent="0.25">
      <c r="A3203" s="2">
        <v>45544</v>
      </c>
      <c r="B3203" s="3" t="s">
        <v>244</v>
      </c>
      <c r="C3203" s="3" t="s">
        <v>13</v>
      </c>
      <c r="D3203" s="3" t="s">
        <v>19</v>
      </c>
      <c r="E3203" s="5" t="s">
        <v>16</v>
      </c>
      <c r="F3203" s="17">
        <v>67.91</v>
      </c>
      <c r="G3203" s="3">
        <v>1</v>
      </c>
      <c r="H3203" s="17">
        <f>Table1[[#This Row],[Unit price]]*Table1[[#This Row],[Quantity]]</f>
        <v>67.91</v>
      </c>
      <c r="I3203" s="29">
        <f>Table1[[#This Row],[Total Revenue]]/$H$5056*100</f>
        <v>7.204962182966671E-3</v>
      </c>
      <c r="J3203" s="3" t="s">
        <v>15</v>
      </c>
      <c r="K3203" s="4">
        <v>9.1999999999999993</v>
      </c>
      <c r="M3203"/>
    </row>
    <row r="3204" spans="1:13" x14ac:dyDescent="0.25">
      <c r="A3204" s="2">
        <v>45544</v>
      </c>
      <c r="B3204" s="3" t="s">
        <v>245</v>
      </c>
      <c r="C3204" s="3" t="s">
        <v>9</v>
      </c>
      <c r="D3204" s="3" t="s">
        <v>19</v>
      </c>
      <c r="E3204" s="5" t="s">
        <v>11</v>
      </c>
      <c r="F3204" s="17">
        <v>11.95</v>
      </c>
      <c r="G3204" s="3">
        <v>4</v>
      </c>
      <c r="H3204" s="17">
        <f>Table1[[#This Row],[Unit price]]*Table1[[#This Row],[Quantity]]</f>
        <v>47.8</v>
      </c>
      <c r="I3204" s="29">
        <f>Table1[[#This Row],[Total Revenue]]/$H$5056*100</f>
        <v>5.0713767095539233E-3</v>
      </c>
      <c r="J3204" s="3" t="s">
        <v>12</v>
      </c>
      <c r="K3204" s="4">
        <v>4.5999999999999996</v>
      </c>
      <c r="M3204"/>
    </row>
    <row r="3205" spans="1:13" x14ac:dyDescent="0.25">
      <c r="A3205" s="2">
        <v>45544</v>
      </c>
      <c r="B3205" s="3" t="s">
        <v>244</v>
      </c>
      <c r="C3205" s="3" t="s">
        <v>13</v>
      </c>
      <c r="D3205" s="3" t="s">
        <v>19</v>
      </c>
      <c r="E3205" s="5" t="s">
        <v>16</v>
      </c>
      <c r="F3205" s="17">
        <v>67.88</v>
      </c>
      <c r="G3205" s="3">
        <v>5</v>
      </c>
      <c r="H3205" s="17">
        <f>Table1[[#This Row],[Unit price]]*Table1[[#This Row],[Quantity]]</f>
        <v>339.4</v>
      </c>
      <c r="I3205" s="29">
        <f>Table1[[#This Row],[Total Revenue]]/$H$5056*100</f>
        <v>3.6008896552774089E-2</v>
      </c>
      <c r="J3205" s="3" t="s">
        <v>17</v>
      </c>
      <c r="K3205" s="4">
        <v>4</v>
      </c>
      <c r="M3205"/>
    </row>
    <row r="3206" spans="1:13" x14ac:dyDescent="0.25">
      <c r="A3206" s="2">
        <v>45544</v>
      </c>
      <c r="B3206" s="3" t="s">
        <v>244</v>
      </c>
      <c r="C3206" s="3" t="s">
        <v>13</v>
      </c>
      <c r="D3206" s="3" t="s">
        <v>10</v>
      </c>
      <c r="E3206" s="5" t="s">
        <v>11</v>
      </c>
      <c r="F3206" s="17">
        <v>3.43</v>
      </c>
      <c r="G3206" s="3">
        <v>1</v>
      </c>
      <c r="H3206" s="17">
        <f>Table1[[#This Row],[Unit price]]*Table1[[#This Row],[Quantity]]</f>
        <v>3.43</v>
      </c>
      <c r="I3206" s="29">
        <f>Table1[[#This Row],[Total Revenue]]/$H$5056*100</f>
        <v>3.6390841242196564E-4</v>
      </c>
      <c r="J3206" s="3" t="s">
        <v>15</v>
      </c>
      <c r="K3206" s="4">
        <v>6.3</v>
      </c>
      <c r="M3206"/>
    </row>
    <row r="3207" spans="1:13" x14ac:dyDescent="0.25">
      <c r="A3207" s="2">
        <v>45544</v>
      </c>
      <c r="B3207" s="3" t="s">
        <v>245</v>
      </c>
      <c r="C3207" s="3" t="s">
        <v>9</v>
      </c>
      <c r="D3207" s="3" t="s">
        <v>10</v>
      </c>
      <c r="E3207" s="5" t="s">
        <v>21</v>
      </c>
      <c r="F3207" s="17">
        <v>21.63</v>
      </c>
      <c r="G3207" s="3">
        <v>3</v>
      </c>
      <c r="H3207" s="17">
        <f>Table1[[#This Row],[Unit price]]*Table1[[#This Row],[Quantity]]</f>
        <v>64.89</v>
      </c>
      <c r="I3207" s="29">
        <f>Table1[[#This Row],[Total Revenue]]/$H$5056*100</f>
        <v>6.8845530268400431E-3</v>
      </c>
      <c r="J3207" s="3" t="s">
        <v>17</v>
      </c>
      <c r="K3207" s="4">
        <v>9.6999999999999993</v>
      </c>
      <c r="M3207"/>
    </row>
    <row r="3208" spans="1:13" x14ac:dyDescent="0.25">
      <c r="A3208" s="2">
        <v>45544</v>
      </c>
      <c r="B3208" s="3" t="s">
        <v>245</v>
      </c>
      <c r="C3208" s="3" t="s">
        <v>13</v>
      </c>
      <c r="D3208" s="3" t="s">
        <v>10</v>
      </c>
      <c r="E3208" s="5" t="s">
        <v>21</v>
      </c>
      <c r="F3208" s="17">
        <v>24.05</v>
      </c>
      <c r="G3208" s="3">
        <v>10</v>
      </c>
      <c r="H3208" s="17">
        <f>Table1[[#This Row],[Unit price]]*Table1[[#This Row],[Quantity]]</f>
        <v>240.5</v>
      </c>
      <c r="I3208" s="29">
        <f>Table1[[#This Row],[Total Revenue]]/$H$5056*100</f>
        <v>2.5516027168362314E-2</v>
      </c>
      <c r="J3208" s="3" t="s">
        <v>15</v>
      </c>
      <c r="K3208" s="4">
        <v>4.5999999999999996</v>
      </c>
      <c r="M3208"/>
    </row>
    <row r="3209" spans="1:13" x14ac:dyDescent="0.25">
      <c r="A3209" s="2">
        <v>45544</v>
      </c>
      <c r="B3209" s="3" t="s">
        <v>245</v>
      </c>
      <c r="C3209" s="3" t="s">
        <v>13</v>
      </c>
      <c r="D3209" s="3" t="s">
        <v>19</v>
      </c>
      <c r="E3209" s="5" t="s">
        <v>21</v>
      </c>
      <c r="F3209" s="17">
        <v>37.72</v>
      </c>
      <c r="G3209" s="3">
        <v>9</v>
      </c>
      <c r="H3209" s="17">
        <f>Table1[[#This Row],[Unit price]]*Table1[[#This Row],[Quantity]]</f>
        <v>339.48</v>
      </c>
      <c r="I3209" s="29">
        <f>Table1[[#This Row],[Total Revenue]]/$H$5056*100</f>
        <v>3.6017384212539034E-2</v>
      </c>
      <c r="J3209" s="3" t="s">
        <v>12</v>
      </c>
      <c r="K3209" s="4">
        <v>7.6</v>
      </c>
      <c r="M3209"/>
    </row>
    <row r="3210" spans="1:13" x14ac:dyDescent="0.25">
      <c r="A3210" s="2">
        <v>45544</v>
      </c>
      <c r="B3210" s="3" t="s">
        <v>244</v>
      </c>
      <c r="C3210" s="3" t="s">
        <v>13</v>
      </c>
      <c r="D3210" s="3" t="s">
        <v>10</v>
      </c>
      <c r="E3210" s="5" t="s">
        <v>20</v>
      </c>
      <c r="F3210" s="17">
        <v>52.79</v>
      </c>
      <c r="G3210" s="3">
        <v>2</v>
      </c>
      <c r="H3210" s="17">
        <f>Table1[[#This Row],[Unit price]]*Table1[[#This Row],[Quantity]]</f>
        <v>105.58</v>
      </c>
      <c r="I3210" s="29">
        <f>Table1[[#This Row],[Total Revenue]]/$H$5056*100</f>
        <v>1.1201588974784585E-2</v>
      </c>
      <c r="J3210" s="3" t="s">
        <v>12</v>
      </c>
      <c r="K3210" s="4">
        <v>8.1999999999999993</v>
      </c>
      <c r="M3210"/>
    </row>
    <row r="3211" spans="1:13" x14ac:dyDescent="0.25">
      <c r="A3211" s="2">
        <v>45574</v>
      </c>
      <c r="B3211" s="3" t="s">
        <v>244</v>
      </c>
      <c r="C3211" s="3" t="s">
        <v>9</v>
      </c>
      <c r="D3211" s="3" t="s">
        <v>19</v>
      </c>
      <c r="E3211" s="5" t="s">
        <v>14</v>
      </c>
      <c r="F3211" s="17">
        <v>82.81</v>
      </c>
      <c r="G3211" s="3">
        <v>3</v>
      </c>
      <c r="H3211" s="17">
        <f>Table1[[#This Row],[Unit price]]*Table1[[#This Row],[Quantity]]</f>
        <v>248.43</v>
      </c>
      <c r="I3211" s="29">
        <f>Table1[[#This Row],[Total Revenue]]/$H$5056*100</f>
        <v>2.6357366442562369E-2</v>
      </c>
      <c r="J3211" s="3" t="s">
        <v>15</v>
      </c>
      <c r="K3211" s="4">
        <v>4.5999999999999996</v>
      </c>
      <c r="M3211"/>
    </row>
    <row r="3212" spans="1:13" x14ac:dyDescent="0.25">
      <c r="A3212" s="2">
        <v>45574</v>
      </c>
      <c r="B3212" s="3" t="s">
        <v>243</v>
      </c>
      <c r="C3212" s="3" t="s">
        <v>9</v>
      </c>
      <c r="D3212" s="3" t="s">
        <v>10</v>
      </c>
      <c r="E3212" s="5" t="s">
        <v>20</v>
      </c>
      <c r="F3212" s="17">
        <v>57.92</v>
      </c>
      <c r="G3212" s="3">
        <v>5</v>
      </c>
      <c r="H3212" s="17">
        <f>Table1[[#This Row],[Unit price]]*Table1[[#This Row],[Quantity]]</f>
        <v>289.60000000000002</v>
      </c>
      <c r="I3212" s="29">
        <f>Table1[[#This Row],[Total Revenue]]/$H$5056*100</f>
        <v>3.0725328349096574E-2</v>
      </c>
      <c r="J3212" s="3" t="s">
        <v>12</v>
      </c>
      <c r="K3212" s="4">
        <v>8</v>
      </c>
      <c r="M3212"/>
    </row>
    <row r="3213" spans="1:13" x14ac:dyDescent="0.25">
      <c r="A3213" s="2">
        <v>45574</v>
      </c>
      <c r="B3213" s="3" t="s">
        <v>244</v>
      </c>
      <c r="C3213" s="3" t="s">
        <v>13</v>
      </c>
      <c r="D3213" s="3" t="s">
        <v>19</v>
      </c>
      <c r="E3213" s="5" t="s">
        <v>20</v>
      </c>
      <c r="F3213" s="17">
        <v>59.53</v>
      </c>
      <c r="G3213" s="3">
        <v>9</v>
      </c>
      <c r="H3213" s="17">
        <f>Table1[[#This Row],[Unit price]]*Table1[[#This Row],[Quantity]]</f>
        <v>535.77</v>
      </c>
      <c r="I3213" s="29">
        <f>Table1[[#This Row],[Total Revenue]]/$H$5056*100</f>
        <v>5.6842918403299268E-2</v>
      </c>
      <c r="J3213" s="3" t="s">
        <v>17</v>
      </c>
      <c r="K3213" s="4">
        <v>5.5</v>
      </c>
      <c r="M3213"/>
    </row>
    <row r="3214" spans="1:13" x14ac:dyDescent="0.25">
      <c r="A3214" s="2">
        <v>45574</v>
      </c>
      <c r="B3214" s="3" t="s">
        <v>243</v>
      </c>
      <c r="C3214" s="3" t="s">
        <v>13</v>
      </c>
      <c r="D3214" s="3" t="s">
        <v>19</v>
      </c>
      <c r="E3214" s="5" t="s">
        <v>11</v>
      </c>
      <c r="F3214" s="17">
        <v>12.76</v>
      </c>
      <c r="G3214" s="3">
        <v>7</v>
      </c>
      <c r="H3214" s="17">
        <f>Table1[[#This Row],[Unit price]]*Table1[[#This Row],[Quantity]]</f>
        <v>89.32</v>
      </c>
      <c r="I3214" s="29">
        <f>Table1[[#This Row],[Total Revenue]]/$H$5056*100</f>
        <v>9.4764721275597576E-3</v>
      </c>
      <c r="J3214" s="3" t="s">
        <v>12</v>
      </c>
      <c r="K3214" s="4">
        <v>7.3</v>
      </c>
      <c r="M3214"/>
    </row>
    <row r="3215" spans="1:13" x14ac:dyDescent="0.25">
      <c r="A3215" s="2">
        <v>45574</v>
      </c>
      <c r="B3215" s="3" t="s">
        <v>243</v>
      </c>
      <c r="C3215" s="3" t="s">
        <v>9</v>
      </c>
      <c r="D3215" s="3" t="s">
        <v>10</v>
      </c>
      <c r="E3215" s="5" t="s">
        <v>11</v>
      </c>
      <c r="F3215" s="17">
        <v>3.98</v>
      </c>
      <c r="G3215" s="3">
        <v>8</v>
      </c>
      <c r="H3215" s="17">
        <f>Table1[[#This Row],[Unit price]]*Table1[[#This Row],[Quantity]]</f>
        <v>31.84</v>
      </c>
      <c r="I3215" s="29">
        <f>Table1[[#This Row],[Total Revenue]]/$H$5056*100</f>
        <v>3.3780885864476344E-3</v>
      </c>
      <c r="J3215" s="3" t="s">
        <v>15</v>
      </c>
      <c r="K3215" s="4">
        <v>7.3</v>
      </c>
      <c r="M3215"/>
    </row>
    <row r="3216" spans="1:13" x14ac:dyDescent="0.25">
      <c r="A3216" s="2">
        <v>45574</v>
      </c>
      <c r="B3216" s="3" t="s">
        <v>244</v>
      </c>
      <c r="C3216" s="3" t="s">
        <v>13</v>
      </c>
      <c r="D3216" s="3" t="s">
        <v>19</v>
      </c>
      <c r="E3216" s="5" t="s">
        <v>16</v>
      </c>
      <c r="F3216" s="17">
        <v>61.18</v>
      </c>
      <c r="G3216" s="3">
        <v>3</v>
      </c>
      <c r="H3216" s="17">
        <f>Table1[[#This Row],[Unit price]]*Table1[[#This Row],[Quantity]]</f>
        <v>183.54</v>
      </c>
      <c r="I3216" s="29">
        <f>Table1[[#This Row],[Total Revenue]]/$H$5056*100</f>
        <v>1.9472813415722323E-2</v>
      </c>
      <c r="J3216" s="3" t="s">
        <v>12</v>
      </c>
      <c r="K3216" s="4">
        <v>6.6</v>
      </c>
      <c r="M3216"/>
    </row>
    <row r="3217" spans="1:13" x14ac:dyDescent="0.25">
      <c r="A3217" s="2">
        <v>45574</v>
      </c>
      <c r="B3217" s="3" t="s">
        <v>243</v>
      </c>
      <c r="C3217" s="3" t="s">
        <v>13</v>
      </c>
      <c r="D3217" s="3" t="s">
        <v>10</v>
      </c>
      <c r="E3217" s="5" t="s">
        <v>20</v>
      </c>
      <c r="F3217" s="17">
        <v>52.32</v>
      </c>
      <c r="G3217" s="3">
        <v>7</v>
      </c>
      <c r="H3217" s="17">
        <f>Table1[[#This Row],[Unit price]]*Table1[[#This Row],[Quantity]]</f>
        <v>366.24</v>
      </c>
      <c r="I3217" s="29">
        <f>Table1[[#This Row],[Total Revenue]]/$H$5056*100</f>
        <v>3.8856506403912736E-2</v>
      </c>
      <c r="J3217" s="3" t="s">
        <v>17</v>
      </c>
      <c r="K3217" s="4">
        <v>3.6</v>
      </c>
      <c r="M3217"/>
    </row>
    <row r="3218" spans="1:13" x14ac:dyDescent="0.25">
      <c r="A3218" s="2">
        <v>45574</v>
      </c>
      <c r="B3218" s="3" t="s">
        <v>245</v>
      </c>
      <c r="C3218" s="3" t="s">
        <v>9</v>
      </c>
      <c r="D3218" s="3" t="s">
        <v>10</v>
      </c>
      <c r="E3218" s="5" t="s">
        <v>18</v>
      </c>
      <c r="F3218" s="17">
        <v>16.559999999999999</v>
      </c>
      <c r="G3218" s="3">
        <v>4</v>
      </c>
      <c r="H3218" s="17">
        <f>Table1[[#This Row],[Unit price]]*Table1[[#This Row],[Quantity]]</f>
        <v>66.239999999999995</v>
      </c>
      <c r="I3218" s="29">
        <f>Table1[[#This Row],[Total Revenue]]/$H$5056*100</f>
        <v>7.0277822853734703E-3</v>
      </c>
      <c r="J3218" s="3" t="s">
        <v>15</v>
      </c>
      <c r="K3218" s="4">
        <v>8.6999999999999993</v>
      </c>
      <c r="M3218"/>
    </row>
    <row r="3219" spans="1:13" x14ac:dyDescent="0.25">
      <c r="A3219" s="2">
        <v>45574</v>
      </c>
      <c r="B3219" s="3" t="s">
        <v>245</v>
      </c>
      <c r="C3219" s="3" t="s">
        <v>13</v>
      </c>
      <c r="D3219" s="3" t="s">
        <v>10</v>
      </c>
      <c r="E3219" s="5" t="s">
        <v>21</v>
      </c>
      <c r="F3219" s="17">
        <v>24.19</v>
      </c>
      <c r="G3219" s="3">
        <v>5</v>
      </c>
      <c r="H3219" s="17">
        <f>Table1[[#This Row],[Unit price]]*Table1[[#This Row],[Quantity]]</f>
        <v>120.95</v>
      </c>
      <c r="I3219" s="29">
        <f>Table1[[#This Row],[Total Revenue]]/$H$5056*100</f>
        <v>1.2832280607124415E-2</v>
      </c>
      <c r="J3219" s="3" t="s">
        <v>12</v>
      </c>
      <c r="K3219" s="4">
        <v>5.2</v>
      </c>
      <c r="M3219"/>
    </row>
    <row r="3220" spans="1:13" x14ac:dyDescent="0.25">
      <c r="A3220" s="2">
        <v>45574</v>
      </c>
      <c r="B3220" s="3" t="s">
        <v>245</v>
      </c>
      <c r="C3220" s="3" t="s">
        <v>13</v>
      </c>
      <c r="D3220" s="3" t="s">
        <v>19</v>
      </c>
      <c r="E3220" s="5" t="s">
        <v>16</v>
      </c>
      <c r="F3220" s="17">
        <v>69.73</v>
      </c>
      <c r="G3220" s="3">
        <v>5</v>
      </c>
      <c r="H3220" s="17">
        <f>Table1[[#This Row],[Unit price]]*Table1[[#This Row],[Quantity]]</f>
        <v>348.65000000000003</v>
      </c>
      <c r="I3220" s="29">
        <f>Table1[[#This Row],[Total Revenue]]/$H$5056*100</f>
        <v>3.6990282213095721E-2</v>
      </c>
      <c r="J3220" s="3" t="s">
        <v>15</v>
      </c>
      <c r="K3220" s="4">
        <v>4.3</v>
      </c>
      <c r="M3220"/>
    </row>
    <row r="3221" spans="1:13" x14ac:dyDescent="0.25">
      <c r="A3221" s="2">
        <v>45574</v>
      </c>
      <c r="B3221" s="3" t="s">
        <v>245</v>
      </c>
      <c r="C3221" s="3" t="s">
        <v>9</v>
      </c>
      <c r="D3221" s="3" t="s">
        <v>10</v>
      </c>
      <c r="E3221" s="5" t="s">
        <v>11</v>
      </c>
      <c r="F3221" s="17">
        <v>4.3600000000000003</v>
      </c>
      <c r="G3221" s="3">
        <v>3</v>
      </c>
      <c r="H3221" s="17">
        <f>Table1[[#This Row],[Unit price]]*Table1[[#This Row],[Quantity]]</f>
        <v>13.080000000000002</v>
      </c>
      <c r="I3221" s="29">
        <f>Table1[[#This Row],[Total Revenue]]/$H$5056*100</f>
        <v>1.3877323715683122E-3</v>
      </c>
      <c r="J3221" s="3" t="s">
        <v>12</v>
      </c>
      <c r="K3221" s="4">
        <v>3.3</v>
      </c>
      <c r="M3221"/>
    </row>
    <row r="3222" spans="1:13" x14ac:dyDescent="0.25">
      <c r="A3222" s="2">
        <v>45574</v>
      </c>
      <c r="B3222" s="3" t="s">
        <v>244</v>
      </c>
      <c r="C3222" s="3" t="s">
        <v>9</v>
      </c>
      <c r="D3222" s="3" t="s">
        <v>19</v>
      </c>
      <c r="E3222" s="5" t="s">
        <v>21</v>
      </c>
      <c r="F3222" s="17">
        <v>28.26</v>
      </c>
      <c r="G3222" s="3">
        <v>7</v>
      </c>
      <c r="H3222" s="17">
        <f>Table1[[#This Row],[Unit price]]*Table1[[#This Row],[Quantity]]</f>
        <v>197.82000000000002</v>
      </c>
      <c r="I3222" s="29">
        <f>Table1[[#This Row],[Total Revenue]]/$H$5056*100</f>
        <v>2.0987860683764792E-2</v>
      </c>
      <c r="J3222" s="3" t="s">
        <v>12</v>
      </c>
      <c r="K3222" s="4">
        <v>7</v>
      </c>
      <c r="M3222"/>
    </row>
    <row r="3223" spans="1:13" x14ac:dyDescent="0.25">
      <c r="A3223" s="2">
        <v>45605</v>
      </c>
      <c r="B3223" s="3" t="s">
        <v>243</v>
      </c>
      <c r="C3223" s="3" t="s">
        <v>13</v>
      </c>
      <c r="D3223" s="3" t="s">
        <v>10</v>
      </c>
      <c r="E3223" s="5" t="s">
        <v>11</v>
      </c>
      <c r="F3223" s="17">
        <v>9.3800000000000008</v>
      </c>
      <c r="G3223" s="3">
        <v>2</v>
      </c>
      <c r="H3223" s="17">
        <f>Table1[[#This Row],[Unit price]]*Table1[[#This Row],[Quantity]]</f>
        <v>18.760000000000002</v>
      </c>
      <c r="I3223" s="29">
        <f>Table1[[#This Row],[Total Revenue]]/$H$5056*100</f>
        <v>1.9903562148793222E-3</v>
      </c>
      <c r="J3223" s="3" t="s">
        <v>17</v>
      </c>
      <c r="K3223" s="4">
        <v>7.6</v>
      </c>
      <c r="M3223"/>
    </row>
    <row r="3224" spans="1:13" x14ac:dyDescent="0.25">
      <c r="A3224" s="2">
        <v>45605</v>
      </c>
      <c r="B3224" s="3" t="s">
        <v>245</v>
      </c>
      <c r="C3224" s="3" t="s">
        <v>13</v>
      </c>
      <c r="D3224" s="3" t="s">
        <v>19</v>
      </c>
      <c r="E3224" s="5" t="s">
        <v>11</v>
      </c>
      <c r="F3224" s="17">
        <v>5.54</v>
      </c>
      <c r="G3224" s="3">
        <v>7</v>
      </c>
      <c r="H3224" s="17">
        <f>Table1[[#This Row],[Unit price]]*Table1[[#This Row],[Quantity]]</f>
        <v>38.78</v>
      </c>
      <c r="I3224" s="29">
        <f>Table1[[#This Row],[Total Revenue]]/$H$5056*100</f>
        <v>4.1143930710565088E-3</v>
      </c>
      <c r="J3224" s="3" t="s">
        <v>12</v>
      </c>
      <c r="K3224" s="4">
        <v>3.1</v>
      </c>
      <c r="M3224"/>
    </row>
    <row r="3225" spans="1:13" x14ac:dyDescent="0.25">
      <c r="A3225" s="2">
        <v>45605</v>
      </c>
      <c r="B3225" s="3" t="s">
        <v>244</v>
      </c>
      <c r="C3225" s="3" t="s">
        <v>9</v>
      </c>
      <c r="D3225" s="3" t="s">
        <v>19</v>
      </c>
      <c r="E3225" s="5" t="s">
        <v>21</v>
      </c>
      <c r="F3225" s="17">
        <v>17.77</v>
      </c>
      <c r="G3225" s="3">
        <v>10</v>
      </c>
      <c r="H3225" s="17">
        <f>Table1[[#This Row],[Unit price]]*Table1[[#This Row],[Quantity]]</f>
        <v>177.7</v>
      </c>
      <c r="I3225" s="29">
        <f>Table1[[#This Row],[Total Revenue]]/$H$5056*100</f>
        <v>1.8853214252881424E-2</v>
      </c>
      <c r="J3225" s="3" t="s">
        <v>12</v>
      </c>
      <c r="K3225" s="4">
        <v>6.5</v>
      </c>
      <c r="M3225"/>
    </row>
    <row r="3226" spans="1:13" x14ac:dyDescent="0.25">
      <c r="A3226" s="2">
        <v>45605</v>
      </c>
      <c r="B3226" s="3" t="s">
        <v>244</v>
      </c>
      <c r="C3226" s="3" t="s">
        <v>13</v>
      </c>
      <c r="D3226" s="3" t="s">
        <v>10</v>
      </c>
      <c r="E3226" s="5" t="s">
        <v>20</v>
      </c>
      <c r="F3226" s="17">
        <v>41.64</v>
      </c>
      <c r="G3226" s="3">
        <v>4</v>
      </c>
      <c r="H3226" s="17">
        <f>Table1[[#This Row],[Unit price]]*Table1[[#This Row],[Quantity]]</f>
        <v>166.56</v>
      </c>
      <c r="I3226" s="29">
        <f>Table1[[#This Row],[Total Revenue]]/$H$5056*100</f>
        <v>1.7671307630613E-2</v>
      </c>
      <c r="J3226" s="3" t="s">
        <v>12</v>
      </c>
      <c r="K3226" s="4">
        <v>4.5</v>
      </c>
      <c r="M3226"/>
    </row>
    <row r="3227" spans="1:13" x14ac:dyDescent="0.25">
      <c r="A3227" s="2">
        <v>45605</v>
      </c>
      <c r="B3227" s="3" t="s">
        <v>244</v>
      </c>
      <c r="C3227" s="3" t="s">
        <v>9</v>
      </c>
      <c r="D3227" s="3" t="s">
        <v>10</v>
      </c>
      <c r="E3227" s="5" t="s">
        <v>11</v>
      </c>
      <c r="F3227" s="17">
        <v>3.56</v>
      </c>
      <c r="G3227" s="3">
        <v>8</v>
      </c>
      <c r="H3227" s="17">
        <f>Table1[[#This Row],[Unit price]]*Table1[[#This Row],[Quantity]]</f>
        <v>28.48</v>
      </c>
      <c r="I3227" s="29">
        <f>Table1[[#This Row],[Total Revenue]]/$H$5056*100</f>
        <v>3.0216068763199945E-3</v>
      </c>
      <c r="J3227" s="3" t="s">
        <v>17</v>
      </c>
      <c r="K3227" s="4">
        <v>7.4</v>
      </c>
      <c r="M3227"/>
    </row>
    <row r="3228" spans="1:13" x14ac:dyDescent="0.25">
      <c r="A3228" s="2">
        <v>45605</v>
      </c>
      <c r="B3228" s="3" t="s">
        <v>243</v>
      </c>
      <c r="C3228" s="3" t="s">
        <v>13</v>
      </c>
      <c r="D3228" s="3" t="s">
        <v>19</v>
      </c>
      <c r="E3228" s="5" t="s">
        <v>11</v>
      </c>
      <c r="F3228" s="17">
        <v>12.83</v>
      </c>
      <c r="G3228" s="3">
        <v>6</v>
      </c>
      <c r="H3228" s="17">
        <f>Table1[[#This Row],[Unit price]]*Table1[[#This Row],[Quantity]]</f>
        <v>76.98</v>
      </c>
      <c r="I3228" s="29">
        <f>Table1[[#This Row],[Total Revenue]]/$H$5056*100</f>
        <v>8.1672506088171764E-3</v>
      </c>
      <c r="J3228" s="3" t="s">
        <v>15</v>
      </c>
      <c r="K3228" s="4">
        <v>4.2</v>
      </c>
      <c r="M3228"/>
    </row>
    <row r="3229" spans="1:13" x14ac:dyDescent="0.25">
      <c r="A3229" s="2">
        <v>45605</v>
      </c>
      <c r="B3229" s="3" t="s">
        <v>244</v>
      </c>
      <c r="C3229" s="3" t="s">
        <v>13</v>
      </c>
      <c r="D3229" s="3" t="s">
        <v>19</v>
      </c>
      <c r="E3229" s="5" t="s">
        <v>16</v>
      </c>
      <c r="F3229" s="17">
        <v>52.34</v>
      </c>
      <c r="G3229" s="3">
        <v>6</v>
      </c>
      <c r="H3229" s="17">
        <f>Table1[[#This Row],[Unit price]]*Table1[[#This Row],[Quantity]]</f>
        <v>314.04000000000002</v>
      </c>
      <c r="I3229" s="29">
        <f>Table1[[#This Row],[Total Revenue]]/$H$5056*100</f>
        <v>3.331830840728691E-2</v>
      </c>
      <c r="J3229" s="3" t="s">
        <v>12</v>
      </c>
      <c r="K3229" s="4">
        <v>7.7</v>
      </c>
      <c r="M3229"/>
    </row>
    <row r="3230" spans="1:13" x14ac:dyDescent="0.25">
      <c r="A3230" s="2">
        <v>45605</v>
      </c>
      <c r="B3230" s="3" t="s">
        <v>245</v>
      </c>
      <c r="C3230" s="3" t="s">
        <v>9</v>
      </c>
      <c r="D3230" s="3" t="s">
        <v>10</v>
      </c>
      <c r="E3230" s="5" t="s">
        <v>20</v>
      </c>
      <c r="F3230" s="17">
        <v>52.15</v>
      </c>
      <c r="G3230" s="3">
        <v>6</v>
      </c>
      <c r="H3230" s="17">
        <f>Table1[[#This Row],[Unit price]]*Table1[[#This Row],[Quantity]]</f>
        <v>312.89999999999998</v>
      </c>
      <c r="I3230" s="29">
        <f>Table1[[#This Row],[Total Revenue]]/$H$5056*100</f>
        <v>3.3197359255636452E-2</v>
      </c>
      <c r="J3230" s="3" t="s">
        <v>15</v>
      </c>
      <c r="K3230" s="4">
        <v>5.6</v>
      </c>
      <c r="M3230"/>
    </row>
    <row r="3231" spans="1:13" x14ac:dyDescent="0.25">
      <c r="A3231" s="2">
        <v>45605</v>
      </c>
      <c r="B3231" s="3" t="s">
        <v>243</v>
      </c>
      <c r="C3231" s="3" t="s">
        <v>9</v>
      </c>
      <c r="D3231" s="3" t="s">
        <v>10</v>
      </c>
      <c r="E3231" s="5" t="s">
        <v>14</v>
      </c>
      <c r="F3231" s="17">
        <v>96</v>
      </c>
      <c r="G3231" s="3">
        <v>4</v>
      </c>
      <c r="H3231" s="17">
        <f>Table1[[#This Row],[Unit price]]*Table1[[#This Row],[Quantity]]</f>
        <v>384</v>
      </c>
      <c r="I3231" s="29">
        <f>Table1[[#This Row],[Total Revenue]]/$H$5056*100</f>
        <v>4.0740766871730262E-2</v>
      </c>
      <c r="J3231" s="3" t="s">
        <v>12</v>
      </c>
      <c r="K3231" s="4">
        <v>9.4</v>
      </c>
      <c r="M3231"/>
    </row>
    <row r="3232" spans="1:13" x14ac:dyDescent="0.25">
      <c r="A3232" s="2">
        <v>45605</v>
      </c>
      <c r="B3232" s="3" t="s">
        <v>244</v>
      </c>
      <c r="C3232" s="3" t="s">
        <v>13</v>
      </c>
      <c r="D3232" s="3" t="s">
        <v>10</v>
      </c>
      <c r="E3232" s="5" t="s">
        <v>21</v>
      </c>
      <c r="F3232" s="17">
        <v>20.54</v>
      </c>
      <c r="G3232" s="3">
        <v>3</v>
      </c>
      <c r="H3232" s="17">
        <f>Table1[[#This Row],[Unit price]]*Table1[[#This Row],[Quantity]]</f>
        <v>61.62</v>
      </c>
      <c r="I3232" s="29">
        <f>Table1[[#This Row],[Total Revenue]]/$H$5056*100</f>
        <v>6.5376199339479647E-3</v>
      </c>
      <c r="J3232" s="3" t="s">
        <v>15</v>
      </c>
      <c r="K3232" s="4">
        <v>3.9</v>
      </c>
      <c r="M3232"/>
    </row>
    <row r="3233" spans="1:13" x14ac:dyDescent="0.25">
      <c r="A3233" s="2">
        <v>45605</v>
      </c>
      <c r="B3233" s="3" t="s">
        <v>243</v>
      </c>
      <c r="C3233" s="3" t="s">
        <v>13</v>
      </c>
      <c r="D3233" s="3" t="s">
        <v>19</v>
      </c>
      <c r="E3233" s="5" t="s">
        <v>20</v>
      </c>
      <c r="F3233" s="17">
        <v>50.48</v>
      </c>
      <c r="G3233" s="3">
        <v>3</v>
      </c>
      <c r="H3233" s="17">
        <f>Table1[[#This Row],[Unit price]]*Table1[[#This Row],[Quantity]]</f>
        <v>151.44</v>
      </c>
      <c r="I3233" s="29">
        <f>Table1[[#This Row],[Total Revenue]]/$H$5056*100</f>
        <v>1.6067139935038621E-2</v>
      </c>
      <c r="J3233" s="3" t="s">
        <v>15</v>
      </c>
      <c r="K3233" s="4">
        <v>5.3</v>
      </c>
      <c r="M3233"/>
    </row>
    <row r="3234" spans="1:13" x14ac:dyDescent="0.25">
      <c r="A3234" s="2">
        <v>45605</v>
      </c>
      <c r="B3234" s="3" t="s">
        <v>244</v>
      </c>
      <c r="C3234" s="3" t="s">
        <v>13</v>
      </c>
      <c r="D3234" s="3" t="s">
        <v>19</v>
      </c>
      <c r="E3234" s="5" t="s">
        <v>11</v>
      </c>
      <c r="F3234" s="17">
        <v>10.52</v>
      </c>
      <c r="G3234" s="3">
        <v>3</v>
      </c>
      <c r="H3234" s="17">
        <f>Table1[[#This Row],[Unit price]]*Table1[[#This Row],[Quantity]]</f>
        <v>31.56</v>
      </c>
      <c r="I3234" s="29">
        <f>Table1[[#This Row],[Total Revenue]]/$H$5056*100</f>
        <v>3.3483817772703307E-3</v>
      </c>
      <c r="J3234" s="3" t="s">
        <v>17</v>
      </c>
      <c r="K3234" s="4">
        <v>3.8</v>
      </c>
      <c r="M3234"/>
    </row>
    <row r="3235" spans="1:13" x14ac:dyDescent="0.25">
      <c r="A3235" s="2">
        <v>45605</v>
      </c>
      <c r="B3235" s="3" t="s">
        <v>243</v>
      </c>
      <c r="C3235" s="3" t="s">
        <v>13</v>
      </c>
      <c r="D3235" s="3" t="s">
        <v>10</v>
      </c>
      <c r="E3235" s="5" t="s">
        <v>20</v>
      </c>
      <c r="F3235" s="17">
        <v>66.459999999999994</v>
      </c>
      <c r="G3235" s="3">
        <v>10</v>
      </c>
      <c r="H3235" s="17">
        <f>Table1[[#This Row],[Unit price]]*Table1[[#This Row],[Quantity]]</f>
        <v>664.59999999999991</v>
      </c>
      <c r="I3235" s="29">
        <f>Table1[[#This Row],[Total Revenue]]/$H$5056*100</f>
        <v>7.0511233497270634E-2</v>
      </c>
      <c r="J3235" s="3" t="s">
        <v>12</v>
      </c>
      <c r="K3235" s="4">
        <v>9.3000000000000007</v>
      </c>
      <c r="M3235"/>
    </row>
    <row r="3236" spans="1:13" x14ac:dyDescent="0.25">
      <c r="A3236" s="2">
        <v>45605</v>
      </c>
      <c r="B3236" s="3" t="s">
        <v>244</v>
      </c>
      <c r="C3236" s="3" t="s">
        <v>9</v>
      </c>
      <c r="D3236" s="3" t="s">
        <v>10</v>
      </c>
      <c r="E3236" s="5" t="s">
        <v>14</v>
      </c>
      <c r="F3236" s="17">
        <v>88.38</v>
      </c>
      <c r="G3236" s="3">
        <v>5</v>
      </c>
      <c r="H3236" s="17">
        <f>Table1[[#This Row],[Unit price]]*Table1[[#This Row],[Quantity]]</f>
        <v>441.9</v>
      </c>
      <c r="I3236" s="29">
        <f>Table1[[#This Row],[Total Revenue]]/$H$5056*100</f>
        <v>4.6883710626608337E-2</v>
      </c>
      <c r="J3236" s="3" t="s">
        <v>17</v>
      </c>
      <c r="K3236" s="4">
        <v>9</v>
      </c>
      <c r="M3236"/>
    </row>
    <row r="3237" spans="1:13" x14ac:dyDescent="0.25">
      <c r="A3237" s="2">
        <v>45605</v>
      </c>
      <c r="B3237" s="3" t="s">
        <v>243</v>
      </c>
      <c r="C3237" s="3" t="s">
        <v>9</v>
      </c>
      <c r="D3237" s="3" t="s">
        <v>19</v>
      </c>
      <c r="E3237" s="5" t="s">
        <v>20</v>
      </c>
      <c r="F3237" s="17">
        <v>53.56</v>
      </c>
      <c r="G3237" s="3">
        <v>1</v>
      </c>
      <c r="H3237" s="17">
        <f>Table1[[#This Row],[Unit price]]*Table1[[#This Row],[Quantity]]</f>
        <v>53.56</v>
      </c>
      <c r="I3237" s="29">
        <f>Table1[[#This Row],[Total Revenue]]/$H$5056*100</f>
        <v>5.6824882126298775E-3</v>
      </c>
      <c r="J3237" s="3" t="s">
        <v>12</v>
      </c>
      <c r="K3237" s="4">
        <v>4.8</v>
      </c>
      <c r="M3237"/>
    </row>
    <row r="3238" spans="1:13" x14ac:dyDescent="0.25">
      <c r="A3238" s="2">
        <v>45605</v>
      </c>
      <c r="B3238" s="3" t="s">
        <v>243</v>
      </c>
      <c r="C3238" s="3" t="s">
        <v>13</v>
      </c>
      <c r="D3238" s="3" t="s">
        <v>19</v>
      </c>
      <c r="E3238" s="5" t="s">
        <v>11</v>
      </c>
      <c r="F3238" s="17">
        <v>8.59</v>
      </c>
      <c r="G3238" s="3">
        <v>8</v>
      </c>
      <c r="H3238" s="17">
        <f>Table1[[#This Row],[Unit price]]*Table1[[#This Row],[Quantity]]</f>
        <v>68.72</v>
      </c>
      <c r="I3238" s="29">
        <f>Table1[[#This Row],[Total Revenue]]/$H$5056*100</f>
        <v>7.290899738086728E-3</v>
      </c>
      <c r="J3238" s="3" t="s">
        <v>12</v>
      </c>
      <c r="K3238" s="4">
        <v>7.5</v>
      </c>
      <c r="M3238"/>
    </row>
    <row r="3239" spans="1:13" x14ac:dyDescent="0.25">
      <c r="A3239" s="2">
        <v>45605</v>
      </c>
      <c r="B3239" s="3" t="s">
        <v>245</v>
      </c>
      <c r="C3239" s="3" t="s">
        <v>13</v>
      </c>
      <c r="D3239" s="3" t="s">
        <v>19</v>
      </c>
      <c r="E3239" s="5" t="s">
        <v>14</v>
      </c>
      <c r="F3239" s="17">
        <v>95.35</v>
      </c>
      <c r="G3239" s="3">
        <v>4</v>
      </c>
      <c r="H3239" s="17">
        <f>Table1[[#This Row],[Unit price]]*Table1[[#This Row],[Quantity]]</f>
        <v>381.4</v>
      </c>
      <c r="I3239" s="29">
        <f>Table1[[#This Row],[Total Revenue]]/$H$5056*100</f>
        <v>4.0464917929369584E-2</v>
      </c>
      <c r="J3239" s="3" t="s">
        <v>12</v>
      </c>
      <c r="K3239" s="4">
        <v>8.6</v>
      </c>
      <c r="M3239"/>
    </row>
    <row r="3240" spans="1:13" x14ac:dyDescent="0.25">
      <c r="A3240" s="2">
        <v>45635</v>
      </c>
      <c r="B3240" s="3" t="s">
        <v>244</v>
      </c>
      <c r="C3240" s="3" t="s">
        <v>13</v>
      </c>
      <c r="D3240" s="3" t="s">
        <v>19</v>
      </c>
      <c r="E3240" s="5" t="s">
        <v>21</v>
      </c>
      <c r="F3240" s="17">
        <v>35.270000000000003</v>
      </c>
      <c r="G3240" s="3">
        <v>6</v>
      </c>
      <c r="H3240" s="17">
        <f>Table1[[#This Row],[Unit price]]*Table1[[#This Row],[Quantity]]</f>
        <v>211.62</v>
      </c>
      <c r="I3240" s="29">
        <f>Table1[[#This Row],[Total Revenue]]/$H$5056*100</f>
        <v>2.2451981993217598E-2</v>
      </c>
      <c r="J3240" s="3" t="s">
        <v>17</v>
      </c>
      <c r="K3240" s="4">
        <v>6.8</v>
      </c>
      <c r="M3240"/>
    </row>
    <row r="3241" spans="1:13" x14ac:dyDescent="0.25">
      <c r="A3241" s="2">
        <v>45635</v>
      </c>
      <c r="B3241" s="3" t="s">
        <v>243</v>
      </c>
      <c r="C3241" s="3" t="s">
        <v>9</v>
      </c>
      <c r="D3241" s="3" t="s">
        <v>19</v>
      </c>
      <c r="E3241" s="5" t="s">
        <v>11</v>
      </c>
      <c r="F3241" s="17">
        <v>7.69</v>
      </c>
      <c r="G3241" s="3">
        <v>8</v>
      </c>
      <c r="H3241" s="17">
        <f>Table1[[#This Row],[Unit price]]*Table1[[#This Row],[Quantity]]</f>
        <v>61.52</v>
      </c>
      <c r="I3241" s="29">
        <f>Table1[[#This Row],[Total Revenue]]/$H$5056*100</f>
        <v>6.5270103592417862E-3</v>
      </c>
      <c r="J3241" s="3" t="s">
        <v>12</v>
      </c>
      <c r="K3241" s="4">
        <v>6.6</v>
      </c>
      <c r="M3241"/>
    </row>
    <row r="3242" spans="1:13" x14ac:dyDescent="0.25">
      <c r="A3242" s="2">
        <v>45635</v>
      </c>
      <c r="B3242" s="3" t="s">
        <v>243</v>
      </c>
      <c r="C3242" s="3" t="s">
        <v>9</v>
      </c>
      <c r="D3242" s="3" t="s">
        <v>10</v>
      </c>
      <c r="E3242" s="5" t="s">
        <v>20</v>
      </c>
      <c r="F3242" s="17">
        <v>63.23</v>
      </c>
      <c r="G3242" s="3">
        <v>10</v>
      </c>
      <c r="H3242" s="17">
        <f>Table1[[#This Row],[Unit price]]*Table1[[#This Row],[Quantity]]</f>
        <v>632.29999999999995</v>
      </c>
      <c r="I3242" s="29">
        <f>Table1[[#This Row],[Total Revenue]]/$H$5056*100</f>
        <v>6.7084340867174588E-2</v>
      </c>
      <c r="J3242" s="3" t="s">
        <v>15</v>
      </c>
      <c r="K3242" s="4">
        <v>4.5999999999999996</v>
      </c>
      <c r="M3242"/>
    </row>
    <row r="3243" spans="1:13" x14ac:dyDescent="0.25">
      <c r="A3243" s="2">
        <v>45635</v>
      </c>
      <c r="B3243" s="3" t="s">
        <v>243</v>
      </c>
      <c r="C3243" s="3" t="s">
        <v>9</v>
      </c>
      <c r="D3243" s="3" t="s">
        <v>10</v>
      </c>
      <c r="E3243" s="5" t="s">
        <v>20</v>
      </c>
      <c r="F3243" s="17">
        <v>60.35</v>
      </c>
      <c r="G3243" s="3">
        <v>5</v>
      </c>
      <c r="H3243" s="17">
        <f>Table1[[#This Row],[Unit price]]*Table1[[#This Row],[Quantity]]</f>
        <v>301.75</v>
      </c>
      <c r="I3243" s="29">
        <f>Table1[[#This Row],[Total Revenue]]/$H$5056*100</f>
        <v>3.2014391675897411E-2</v>
      </c>
      <c r="J3243" s="3" t="s">
        <v>15</v>
      </c>
      <c r="K3243" s="4">
        <v>3.6</v>
      </c>
      <c r="M3243"/>
    </row>
    <row r="3244" spans="1:13" x14ac:dyDescent="0.25">
      <c r="A3244" s="2">
        <v>45635</v>
      </c>
      <c r="B3244" s="3" t="s">
        <v>245</v>
      </c>
      <c r="C3244" s="3" t="s">
        <v>9</v>
      </c>
      <c r="D3244" s="3" t="s">
        <v>19</v>
      </c>
      <c r="E3244" s="5" t="s">
        <v>16</v>
      </c>
      <c r="F3244" s="17">
        <v>67.48</v>
      </c>
      <c r="G3244" s="3">
        <v>3</v>
      </c>
      <c r="H3244" s="17">
        <f>Table1[[#This Row],[Unit price]]*Table1[[#This Row],[Quantity]]</f>
        <v>202.44</v>
      </c>
      <c r="I3244" s="29">
        <f>Table1[[#This Row],[Total Revenue]]/$H$5056*100</f>
        <v>2.1478023035190297E-2</v>
      </c>
      <c r="J3244" s="3" t="s">
        <v>17</v>
      </c>
      <c r="K3244" s="4">
        <v>9.1</v>
      </c>
      <c r="M3244"/>
    </row>
    <row r="3245" spans="1:13" x14ac:dyDescent="0.25">
      <c r="A3245" s="2">
        <v>45635</v>
      </c>
      <c r="B3245" s="3" t="s">
        <v>243</v>
      </c>
      <c r="C3245" s="3" t="s">
        <v>9</v>
      </c>
      <c r="D3245" s="3" t="s">
        <v>10</v>
      </c>
      <c r="E3245" s="5" t="s">
        <v>11</v>
      </c>
      <c r="F3245" s="17">
        <v>11.21</v>
      </c>
      <c r="G3245" s="3">
        <v>2</v>
      </c>
      <c r="H3245" s="17">
        <f>Table1[[#This Row],[Unit price]]*Table1[[#This Row],[Quantity]]</f>
        <v>22.42</v>
      </c>
      <c r="I3245" s="29">
        <f>Table1[[#This Row],[Total Revenue]]/$H$5056*100</f>
        <v>2.3786666491255014E-3</v>
      </c>
      <c r="J3245" s="3" t="s">
        <v>12</v>
      </c>
      <c r="K3245" s="4">
        <v>9.1</v>
      </c>
      <c r="M3245"/>
    </row>
    <row r="3246" spans="1:13" x14ac:dyDescent="0.25">
      <c r="A3246" s="2">
        <v>45635</v>
      </c>
      <c r="B3246" s="3" t="s">
        <v>245</v>
      </c>
      <c r="C3246" s="3" t="s">
        <v>13</v>
      </c>
      <c r="D3246" s="3" t="s">
        <v>19</v>
      </c>
      <c r="E3246" s="5" t="s">
        <v>21</v>
      </c>
      <c r="F3246" s="17">
        <v>35.72</v>
      </c>
      <c r="G3246" s="3">
        <v>9</v>
      </c>
      <c r="H3246" s="17">
        <f>Table1[[#This Row],[Unit price]]*Table1[[#This Row],[Quantity]]</f>
        <v>321.48</v>
      </c>
      <c r="I3246" s="29">
        <f>Table1[[#This Row],[Total Revenue]]/$H$5056*100</f>
        <v>3.4107660765426678E-2</v>
      </c>
      <c r="J3246" s="3" t="s">
        <v>15</v>
      </c>
      <c r="K3246" s="4">
        <v>7.3</v>
      </c>
      <c r="M3246"/>
    </row>
    <row r="3247" spans="1:13" x14ac:dyDescent="0.25">
      <c r="A3247" s="2">
        <v>45635</v>
      </c>
      <c r="B3247" s="3" t="s">
        <v>243</v>
      </c>
      <c r="C3247" s="3" t="s">
        <v>9</v>
      </c>
      <c r="D3247" s="3" t="s">
        <v>19</v>
      </c>
      <c r="E3247" s="5" t="s">
        <v>20</v>
      </c>
      <c r="F3247" s="17">
        <v>45.41</v>
      </c>
      <c r="G3247" s="3">
        <v>4</v>
      </c>
      <c r="H3247" s="17">
        <f>Table1[[#This Row],[Unit price]]*Table1[[#This Row],[Quantity]]</f>
        <v>181.64</v>
      </c>
      <c r="I3247" s="29">
        <f>Table1[[#This Row],[Total Revenue]]/$H$5056*100</f>
        <v>1.9271231496304907E-2</v>
      </c>
      <c r="J3247" s="3" t="s">
        <v>12</v>
      </c>
      <c r="K3247" s="4">
        <v>5.3</v>
      </c>
      <c r="M3247"/>
    </row>
    <row r="3248" spans="1:13" x14ac:dyDescent="0.25">
      <c r="A3248" s="2">
        <v>45635</v>
      </c>
      <c r="B3248" s="3" t="s">
        <v>244</v>
      </c>
      <c r="C3248" s="3" t="s">
        <v>9</v>
      </c>
      <c r="D3248" s="3" t="s">
        <v>19</v>
      </c>
      <c r="E3248" s="5" t="s">
        <v>18</v>
      </c>
      <c r="F3248" s="17">
        <v>10.92</v>
      </c>
      <c r="G3248" s="3">
        <v>2</v>
      </c>
      <c r="H3248" s="17">
        <f>Table1[[#This Row],[Unit price]]*Table1[[#This Row],[Quantity]]</f>
        <v>21.84</v>
      </c>
      <c r="I3248" s="29">
        <f>Table1[[#This Row],[Total Revenue]]/$H$5056*100</f>
        <v>2.3171311158296589E-3</v>
      </c>
      <c r="J3248" s="3" t="s">
        <v>12</v>
      </c>
      <c r="K3248" s="4">
        <v>5.4</v>
      </c>
      <c r="M3248"/>
    </row>
    <row r="3249" spans="1:13" x14ac:dyDescent="0.25">
      <c r="A3249" s="2">
        <v>45635</v>
      </c>
      <c r="B3249" s="3" t="s">
        <v>245</v>
      </c>
      <c r="C3249" s="3" t="s">
        <v>13</v>
      </c>
      <c r="D3249" s="3" t="s">
        <v>19</v>
      </c>
      <c r="E3249" s="5" t="s">
        <v>21</v>
      </c>
      <c r="F3249" s="17">
        <v>36.909999999999997</v>
      </c>
      <c r="G3249" s="3">
        <v>10</v>
      </c>
      <c r="H3249" s="17">
        <f>Table1[[#This Row],[Unit price]]*Table1[[#This Row],[Quantity]]</f>
        <v>369.09999999999997</v>
      </c>
      <c r="I3249" s="29">
        <f>Table1[[#This Row],[Total Revenue]]/$H$5056*100</f>
        <v>3.9159940240509471E-2</v>
      </c>
      <c r="J3249" s="3" t="s">
        <v>15</v>
      </c>
      <c r="K3249" s="4">
        <v>7.9</v>
      </c>
      <c r="M3249"/>
    </row>
    <row r="3250" spans="1:13" x14ac:dyDescent="0.25">
      <c r="A3250" s="2">
        <v>45635</v>
      </c>
      <c r="B3250" s="3" t="s">
        <v>244</v>
      </c>
      <c r="C3250" s="3" t="s">
        <v>13</v>
      </c>
      <c r="D3250" s="3" t="s">
        <v>19</v>
      </c>
      <c r="E3250" s="5" t="s">
        <v>21</v>
      </c>
      <c r="F3250" s="17">
        <v>16.09</v>
      </c>
      <c r="G3250" s="3">
        <v>6</v>
      </c>
      <c r="H3250" s="17">
        <f>Table1[[#This Row],[Unit price]]*Table1[[#This Row],[Quantity]]</f>
        <v>96.539999999999992</v>
      </c>
      <c r="I3250" s="29">
        <f>Table1[[#This Row],[Total Revenue]]/$H$5056*100</f>
        <v>1.0242483421345934E-2</v>
      </c>
      <c r="J3250" s="3" t="s">
        <v>17</v>
      </c>
      <c r="K3250" s="4">
        <v>9.1</v>
      </c>
      <c r="M3250"/>
    </row>
    <row r="3251" spans="1:13" x14ac:dyDescent="0.25">
      <c r="A3251" s="2">
        <v>45635</v>
      </c>
      <c r="B3251" s="3" t="s">
        <v>243</v>
      </c>
      <c r="C3251" s="3" t="s">
        <v>13</v>
      </c>
      <c r="D3251" s="3" t="s">
        <v>10</v>
      </c>
      <c r="E3251" s="5" t="s">
        <v>11</v>
      </c>
      <c r="F3251" s="17">
        <v>12.19</v>
      </c>
      <c r="G3251" s="3">
        <v>4</v>
      </c>
      <c r="H3251" s="17">
        <f>Table1[[#This Row],[Unit price]]*Table1[[#This Row],[Quantity]]</f>
        <v>48.76</v>
      </c>
      <c r="I3251" s="29">
        <f>Table1[[#This Row],[Total Revenue]]/$H$5056*100</f>
        <v>5.173228626733248E-3</v>
      </c>
      <c r="J3251" s="3" t="s">
        <v>12</v>
      </c>
      <c r="K3251" s="4">
        <v>9</v>
      </c>
      <c r="M3251"/>
    </row>
    <row r="3252" spans="1:13" x14ac:dyDescent="0.25">
      <c r="A3252" s="2">
        <v>45635</v>
      </c>
      <c r="B3252" s="3" t="s">
        <v>245</v>
      </c>
      <c r="C3252" s="3" t="s">
        <v>13</v>
      </c>
      <c r="D3252" s="3" t="s">
        <v>10</v>
      </c>
      <c r="E3252" s="5" t="s">
        <v>11</v>
      </c>
      <c r="F3252" s="17">
        <v>4.5199999999999996</v>
      </c>
      <c r="G3252" s="3">
        <v>10</v>
      </c>
      <c r="H3252" s="17">
        <f>Table1[[#This Row],[Unit price]]*Table1[[#This Row],[Quantity]]</f>
        <v>45.199999999999996</v>
      </c>
      <c r="I3252" s="29">
        <f>Table1[[#This Row],[Total Revenue]]/$H$5056*100</f>
        <v>4.795527767193249E-3</v>
      </c>
      <c r="J3252" s="3" t="s">
        <v>17</v>
      </c>
      <c r="K3252" s="4">
        <v>8.3000000000000007</v>
      </c>
      <c r="M3252"/>
    </row>
    <row r="3253" spans="1:13" x14ac:dyDescent="0.25">
      <c r="A3253" s="2">
        <v>45635</v>
      </c>
      <c r="B3253" s="3" t="s">
        <v>244</v>
      </c>
      <c r="C3253" s="3" t="s">
        <v>13</v>
      </c>
      <c r="D3253" s="3" t="s">
        <v>10</v>
      </c>
      <c r="E3253" s="5" t="s">
        <v>21</v>
      </c>
      <c r="F3253" s="17">
        <v>25.47</v>
      </c>
      <c r="G3253" s="3">
        <v>3</v>
      </c>
      <c r="H3253" s="17">
        <f>Table1[[#This Row],[Unit price]]*Table1[[#This Row],[Quantity]]</f>
        <v>76.41</v>
      </c>
      <c r="I3253" s="29">
        <f>Table1[[#This Row],[Total Revenue]]/$H$5056*100</f>
        <v>8.1067760329919508E-3</v>
      </c>
      <c r="J3253" s="3" t="s">
        <v>17</v>
      </c>
      <c r="K3253" s="4">
        <v>7.4</v>
      </c>
      <c r="M3253"/>
    </row>
    <row r="3254" spans="1:13" x14ac:dyDescent="0.25">
      <c r="A3254" s="2">
        <v>45635</v>
      </c>
      <c r="B3254" s="3" t="s">
        <v>244</v>
      </c>
      <c r="C3254" s="3" t="s">
        <v>9</v>
      </c>
      <c r="D3254" s="3" t="s">
        <v>10</v>
      </c>
      <c r="E3254" s="5" t="s">
        <v>16</v>
      </c>
      <c r="F3254" s="17">
        <v>64.42</v>
      </c>
      <c r="G3254" s="3">
        <v>6</v>
      </c>
      <c r="H3254" s="17">
        <f>Table1[[#This Row],[Unit price]]*Table1[[#This Row],[Quantity]]</f>
        <v>386.52</v>
      </c>
      <c r="I3254" s="29">
        <f>Table1[[#This Row],[Total Revenue]]/$H$5056*100</f>
        <v>4.1008128154325987E-2</v>
      </c>
      <c r="J3254" s="3" t="s">
        <v>12</v>
      </c>
      <c r="K3254" s="4">
        <v>3.6</v>
      </c>
      <c r="M3254"/>
    </row>
    <row r="3255" spans="1:13" x14ac:dyDescent="0.25">
      <c r="A3255" s="2">
        <v>45635</v>
      </c>
      <c r="B3255" s="3" t="s">
        <v>245</v>
      </c>
      <c r="C3255" s="3" t="s">
        <v>9</v>
      </c>
      <c r="D3255" s="3" t="s">
        <v>19</v>
      </c>
      <c r="E3255" s="5" t="s">
        <v>11</v>
      </c>
      <c r="F3255" s="17">
        <v>11.92</v>
      </c>
      <c r="G3255" s="3">
        <v>5</v>
      </c>
      <c r="H3255" s="17">
        <f>Table1[[#This Row],[Unit price]]*Table1[[#This Row],[Quantity]]</f>
        <v>59.6</v>
      </c>
      <c r="I3255" s="29">
        <f>Table1[[#This Row],[Total Revenue]]/$H$5056*100</f>
        <v>6.3233065248831342E-3</v>
      </c>
      <c r="J3255" s="3" t="s">
        <v>12</v>
      </c>
      <c r="K3255" s="4">
        <v>4.0999999999999996</v>
      </c>
      <c r="M3255"/>
    </row>
    <row r="3256" spans="1:13" x14ac:dyDescent="0.25">
      <c r="A3256" s="2">
        <v>45635</v>
      </c>
      <c r="B3256" s="3" t="s">
        <v>245</v>
      </c>
      <c r="C3256" s="3" t="s">
        <v>13</v>
      </c>
      <c r="D3256" s="3" t="s">
        <v>19</v>
      </c>
      <c r="E3256" s="5" t="s">
        <v>21</v>
      </c>
      <c r="F3256" s="17">
        <v>20.55</v>
      </c>
      <c r="G3256" s="3">
        <v>8</v>
      </c>
      <c r="H3256" s="17">
        <f>Table1[[#This Row],[Unit price]]*Table1[[#This Row],[Quantity]]</f>
        <v>164.4</v>
      </c>
      <c r="I3256" s="29">
        <f>Table1[[#This Row],[Total Revenue]]/$H$5056*100</f>
        <v>1.7442140816959516E-2</v>
      </c>
      <c r="J3256" s="3" t="s">
        <v>17</v>
      </c>
      <c r="K3256" s="4">
        <v>9.1</v>
      </c>
      <c r="M3256"/>
    </row>
    <row r="3257" spans="1:13" x14ac:dyDescent="0.25">
      <c r="A3257" s="3" t="s">
        <v>169</v>
      </c>
      <c r="B3257" s="3" t="s">
        <v>243</v>
      </c>
      <c r="C3257" s="3" t="s">
        <v>13</v>
      </c>
      <c r="D3257" s="3" t="s">
        <v>10</v>
      </c>
      <c r="E3257" s="5" t="s">
        <v>14</v>
      </c>
      <c r="F3257" s="17">
        <v>84.47</v>
      </c>
      <c r="G3257" s="3">
        <v>2</v>
      </c>
      <c r="H3257" s="17">
        <f>Table1[[#This Row],[Unit price]]*Table1[[#This Row],[Quantity]]</f>
        <v>168.94</v>
      </c>
      <c r="I3257" s="29">
        <f>Table1[[#This Row],[Total Revenue]]/$H$5056*100</f>
        <v>1.7923815508620079E-2</v>
      </c>
      <c r="J3257" s="3" t="s">
        <v>12</v>
      </c>
      <c r="K3257" s="4">
        <v>7.1</v>
      </c>
      <c r="M3257"/>
    </row>
    <row r="3258" spans="1:13" x14ac:dyDescent="0.25">
      <c r="A3258" s="3" t="s">
        <v>169</v>
      </c>
      <c r="B3258" s="3" t="s">
        <v>245</v>
      </c>
      <c r="C3258" s="3" t="s">
        <v>13</v>
      </c>
      <c r="D3258" s="3" t="s">
        <v>10</v>
      </c>
      <c r="E3258" s="5" t="s">
        <v>11</v>
      </c>
      <c r="F3258" s="17">
        <v>3.79</v>
      </c>
      <c r="G3258" s="3">
        <v>5</v>
      </c>
      <c r="H3258" s="17">
        <f>Table1[[#This Row],[Unit price]]*Table1[[#This Row],[Quantity]]</f>
        <v>18.95</v>
      </c>
      <c r="I3258" s="29">
        <f>Table1[[#This Row],[Total Revenue]]/$H$5056*100</f>
        <v>2.0105144068210635E-3</v>
      </c>
      <c r="J3258" s="3" t="s">
        <v>17</v>
      </c>
      <c r="K3258" s="4">
        <v>3.1</v>
      </c>
      <c r="M3258"/>
    </row>
    <row r="3259" spans="1:13" x14ac:dyDescent="0.25">
      <c r="A3259" s="3" t="s">
        <v>169</v>
      </c>
      <c r="B3259" s="3" t="s">
        <v>245</v>
      </c>
      <c r="C3259" s="3" t="s">
        <v>13</v>
      </c>
      <c r="D3259" s="3" t="s">
        <v>10</v>
      </c>
      <c r="E3259" s="5" t="s">
        <v>21</v>
      </c>
      <c r="F3259" s="17">
        <v>15.13</v>
      </c>
      <c r="G3259" s="3">
        <v>2</v>
      </c>
      <c r="H3259" s="17">
        <f>Table1[[#This Row],[Unit price]]*Table1[[#This Row],[Quantity]]</f>
        <v>30.26</v>
      </c>
      <c r="I3259" s="29">
        <f>Table1[[#This Row],[Total Revenue]]/$H$5056*100</f>
        <v>3.2104573060899944E-3</v>
      </c>
      <c r="J3259" s="3" t="s">
        <v>15</v>
      </c>
      <c r="K3259" s="4">
        <v>3.7</v>
      </c>
      <c r="M3259"/>
    </row>
    <row r="3260" spans="1:13" x14ac:dyDescent="0.25">
      <c r="A3260" s="3" t="s">
        <v>169</v>
      </c>
      <c r="B3260" s="3" t="s">
        <v>244</v>
      </c>
      <c r="C3260" s="3" t="s">
        <v>9</v>
      </c>
      <c r="D3260" s="3" t="s">
        <v>10</v>
      </c>
      <c r="E3260" s="5" t="s">
        <v>11</v>
      </c>
      <c r="F3260" s="17">
        <v>5.75</v>
      </c>
      <c r="G3260" s="3">
        <v>5</v>
      </c>
      <c r="H3260" s="17">
        <f>Table1[[#This Row],[Unit price]]*Table1[[#This Row],[Quantity]]</f>
        <v>28.75</v>
      </c>
      <c r="I3260" s="29">
        <f>Table1[[#This Row],[Total Revenue]]/$H$5056*100</f>
        <v>3.0502527280266796E-3</v>
      </c>
      <c r="J3260" s="3" t="s">
        <v>15</v>
      </c>
      <c r="K3260" s="4">
        <v>7.5</v>
      </c>
      <c r="M3260"/>
    </row>
    <row r="3261" spans="1:13" x14ac:dyDescent="0.25">
      <c r="A3261" s="3" t="s">
        <v>169</v>
      </c>
      <c r="B3261" s="3" t="s">
        <v>243</v>
      </c>
      <c r="C3261" s="3" t="s">
        <v>9</v>
      </c>
      <c r="D3261" s="3" t="s">
        <v>10</v>
      </c>
      <c r="E3261" s="5" t="s">
        <v>11</v>
      </c>
      <c r="F3261" s="17">
        <v>12.88</v>
      </c>
      <c r="G3261" s="3">
        <v>8</v>
      </c>
      <c r="H3261" s="17">
        <f>Table1[[#This Row],[Unit price]]*Table1[[#This Row],[Quantity]]</f>
        <v>103.04</v>
      </c>
      <c r="I3261" s="29">
        <f>Table1[[#This Row],[Total Revenue]]/$H$5056*100</f>
        <v>1.0932105777247621E-2</v>
      </c>
      <c r="J3261" s="3" t="s">
        <v>12</v>
      </c>
      <c r="K3261" s="4">
        <v>3</v>
      </c>
      <c r="M3261"/>
    </row>
    <row r="3262" spans="1:13" x14ac:dyDescent="0.25">
      <c r="A3262" s="3" t="s">
        <v>169</v>
      </c>
      <c r="B3262" s="3" t="s">
        <v>243</v>
      </c>
      <c r="C3262" s="3" t="s">
        <v>13</v>
      </c>
      <c r="D3262" s="3" t="s">
        <v>19</v>
      </c>
      <c r="E3262" s="5" t="s">
        <v>11</v>
      </c>
      <c r="F3262" s="17">
        <v>5.79</v>
      </c>
      <c r="G3262" s="3">
        <v>1</v>
      </c>
      <c r="H3262" s="17">
        <f>Table1[[#This Row],[Unit price]]*Table1[[#This Row],[Quantity]]</f>
        <v>5.79</v>
      </c>
      <c r="I3262" s="29">
        <f>Table1[[#This Row],[Total Revenue]]/$H$5056*100</f>
        <v>6.1429437548780788E-4</v>
      </c>
      <c r="J3262" s="3" t="s">
        <v>12</v>
      </c>
      <c r="K3262" s="4">
        <v>4.0999999999999996</v>
      </c>
      <c r="M3262"/>
    </row>
    <row r="3263" spans="1:13" x14ac:dyDescent="0.25">
      <c r="A3263" s="3" t="s">
        <v>169</v>
      </c>
      <c r="B3263" s="3" t="s">
        <v>243</v>
      </c>
      <c r="C3263" s="3" t="s">
        <v>13</v>
      </c>
      <c r="D3263" s="3" t="s">
        <v>19</v>
      </c>
      <c r="E3263" s="5" t="s">
        <v>11</v>
      </c>
      <c r="F3263" s="17">
        <v>6.69</v>
      </c>
      <c r="G3263" s="3">
        <v>9</v>
      </c>
      <c r="H3263" s="17">
        <f>Table1[[#This Row],[Unit price]]*Table1[[#This Row],[Quantity]]</f>
        <v>60.21</v>
      </c>
      <c r="I3263" s="29">
        <f>Table1[[#This Row],[Total Revenue]]/$H$5056*100</f>
        <v>6.3880249305908309E-3</v>
      </c>
      <c r="J3263" s="3" t="s">
        <v>12</v>
      </c>
      <c r="K3263" s="4">
        <v>6.7</v>
      </c>
      <c r="M3263"/>
    </row>
    <row r="3264" spans="1:13" x14ac:dyDescent="0.25">
      <c r="A3264" s="3" t="s">
        <v>169</v>
      </c>
      <c r="B3264" s="3" t="s">
        <v>243</v>
      </c>
      <c r="C3264" s="3" t="s">
        <v>9</v>
      </c>
      <c r="D3264" s="3" t="s">
        <v>19</v>
      </c>
      <c r="E3264" s="5" t="s">
        <v>18</v>
      </c>
      <c r="F3264" s="17">
        <v>14.4</v>
      </c>
      <c r="G3264" s="3">
        <v>7</v>
      </c>
      <c r="H3264" s="17">
        <f>Table1[[#This Row],[Unit price]]*Table1[[#This Row],[Quantity]]</f>
        <v>100.8</v>
      </c>
      <c r="I3264" s="29">
        <f>Table1[[#This Row],[Total Revenue]]/$H$5056*100</f>
        <v>1.0694451303829193E-2</v>
      </c>
      <c r="J3264" s="3" t="s">
        <v>17</v>
      </c>
      <c r="K3264" s="4">
        <v>7.7</v>
      </c>
      <c r="M3264"/>
    </row>
    <row r="3265" spans="1:13" x14ac:dyDescent="0.25">
      <c r="A3265" s="3" t="s">
        <v>169</v>
      </c>
      <c r="B3265" s="3" t="s">
        <v>244</v>
      </c>
      <c r="C3265" s="3" t="s">
        <v>9</v>
      </c>
      <c r="D3265" s="3" t="s">
        <v>19</v>
      </c>
      <c r="E3265" s="5" t="s">
        <v>11</v>
      </c>
      <c r="F3265" s="17">
        <v>11.53</v>
      </c>
      <c r="G3265" s="3">
        <v>2</v>
      </c>
      <c r="H3265" s="17">
        <f>Table1[[#This Row],[Unit price]]*Table1[[#This Row],[Quantity]]</f>
        <v>23.06</v>
      </c>
      <c r="I3265" s="29">
        <f>Table1[[#This Row],[Total Revenue]]/$H$5056*100</f>
        <v>2.4465679272450513E-3</v>
      </c>
      <c r="J3265" s="3" t="s">
        <v>17</v>
      </c>
      <c r="K3265" s="4">
        <v>7.4</v>
      </c>
      <c r="M3265"/>
    </row>
    <row r="3266" spans="1:13" x14ac:dyDescent="0.25">
      <c r="A3266" s="3" t="s">
        <v>169</v>
      </c>
      <c r="B3266" s="3" t="s">
        <v>243</v>
      </c>
      <c r="C3266" s="3" t="s">
        <v>9</v>
      </c>
      <c r="D3266" s="3" t="s">
        <v>19</v>
      </c>
      <c r="E3266" s="5" t="s">
        <v>18</v>
      </c>
      <c r="F3266" s="17">
        <v>11.77</v>
      </c>
      <c r="G3266" s="3">
        <v>3</v>
      </c>
      <c r="H3266" s="17">
        <f>Table1[[#This Row],[Unit price]]*Table1[[#This Row],[Quantity]]</f>
        <v>35.31</v>
      </c>
      <c r="I3266" s="29">
        <f>Table1[[#This Row],[Total Revenue]]/$H$5056*100</f>
        <v>3.7462408287520718E-3</v>
      </c>
      <c r="J3266" s="3" t="s">
        <v>17</v>
      </c>
      <c r="K3266" s="4">
        <v>4.5</v>
      </c>
      <c r="M3266"/>
    </row>
    <row r="3267" spans="1:13" x14ac:dyDescent="0.25">
      <c r="A3267" s="3" t="s">
        <v>169</v>
      </c>
      <c r="B3267" s="3" t="s">
        <v>245</v>
      </c>
      <c r="C3267" s="3" t="s">
        <v>13</v>
      </c>
      <c r="D3267" s="3" t="s">
        <v>10</v>
      </c>
      <c r="E3267" s="5" t="s">
        <v>20</v>
      </c>
      <c r="F3267" s="17">
        <v>64.34</v>
      </c>
      <c r="G3267" s="3">
        <v>2</v>
      </c>
      <c r="H3267" s="17">
        <f>Table1[[#This Row],[Unit price]]*Table1[[#This Row],[Quantity]]</f>
        <v>128.68</v>
      </c>
      <c r="I3267" s="29">
        <f>Table1[[#This Row],[Total Revenue]]/$H$5056*100</f>
        <v>1.3652400731912109E-2</v>
      </c>
      <c r="J3267" s="3" t="s">
        <v>17</v>
      </c>
      <c r="K3267" s="4">
        <v>7.8</v>
      </c>
      <c r="M3267"/>
    </row>
    <row r="3268" spans="1:13" x14ac:dyDescent="0.25">
      <c r="A3268" s="3" t="s">
        <v>169</v>
      </c>
      <c r="B3268" s="3" t="s">
        <v>244</v>
      </c>
      <c r="C3268" s="3" t="s">
        <v>9</v>
      </c>
      <c r="D3268" s="3" t="s">
        <v>19</v>
      </c>
      <c r="E3268" s="5" t="s">
        <v>14</v>
      </c>
      <c r="F3268" s="17">
        <v>83.78</v>
      </c>
      <c r="G3268" s="3">
        <v>1</v>
      </c>
      <c r="H3268" s="17">
        <f>Table1[[#This Row],[Unit price]]*Table1[[#This Row],[Quantity]]</f>
        <v>83.78</v>
      </c>
      <c r="I3268" s="29">
        <f>Table1[[#This Row],[Total Revenue]]/$H$5056*100</f>
        <v>8.8887016888373992E-3</v>
      </c>
      <c r="J3268" s="3" t="s">
        <v>12</v>
      </c>
      <c r="K3268" s="4">
        <v>4.5999999999999996</v>
      </c>
      <c r="M3268"/>
    </row>
    <row r="3269" spans="1:13" x14ac:dyDescent="0.25">
      <c r="A3269" s="3" t="s">
        <v>169</v>
      </c>
      <c r="B3269" s="3" t="s">
        <v>243</v>
      </c>
      <c r="C3269" s="3" t="s">
        <v>9</v>
      </c>
      <c r="D3269" s="3" t="s">
        <v>10</v>
      </c>
      <c r="E3269" s="5" t="s">
        <v>11</v>
      </c>
      <c r="F3269" s="17">
        <v>11.79</v>
      </c>
      <c r="G3269" s="3">
        <v>4</v>
      </c>
      <c r="H3269" s="17">
        <f>Table1[[#This Row],[Unit price]]*Table1[[#This Row],[Quantity]]</f>
        <v>47.16</v>
      </c>
      <c r="I3269" s="29">
        <f>Table1[[#This Row],[Total Revenue]]/$H$5056*100</f>
        <v>5.003475431434372E-3</v>
      </c>
      <c r="J3269" s="3" t="s">
        <v>15</v>
      </c>
      <c r="K3269" s="4">
        <v>5.2</v>
      </c>
      <c r="M3269"/>
    </row>
    <row r="3270" spans="1:13" x14ac:dyDescent="0.25">
      <c r="A3270" s="3" t="s">
        <v>170</v>
      </c>
      <c r="B3270" s="3" t="s">
        <v>244</v>
      </c>
      <c r="C3270" s="3" t="s">
        <v>9</v>
      </c>
      <c r="D3270" s="3" t="s">
        <v>10</v>
      </c>
      <c r="E3270" s="5" t="s">
        <v>16</v>
      </c>
      <c r="F3270" s="17">
        <v>73.98</v>
      </c>
      <c r="G3270" s="3">
        <v>7</v>
      </c>
      <c r="H3270" s="17">
        <f>Table1[[#This Row],[Unit price]]*Table1[[#This Row],[Quantity]]</f>
        <v>517.86</v>
      </c>
      <c r="I3270" s="29">
        <f>Table1[[#This Row],[Total Revenue]]/$H$5056*100</f>
        <v>5.4942743573422485E-2</v>
      </c>
      <c r="J3270" s="3" t="s">
        <v>17</v>
      </c>
      <c r="K3270" s="4">
        <v>8.1</v>
      </c>
      <c r="M3270"/>
    </row>
    <row r="3271" spans="1:13" x14ac:dyDescent="0.25">
      <c r="A3271" s="3" t="s">
        <v>170</v>
      </c>
      <c r="B3271" s="3" t="s">
        <v>245</v>
      </c>
      <c r="C3271" s="3" t="s">
        <v>9</v>
      </c>
      <c r="D3271" s="3" t="s">
        <v>10</v>
      </c>
      <c r="E3271" s="5" t="s">
        <v>18</v>
      </c>
      <c r="F3271" s="17">
        <v>8.74</v>
      </c>
      <c r="G3271" s="3">
        <v>8</v>
      </c>
      <c r="H3271" s="17">
        <f>Table1[[#This Row],[Unit price]]*Table1[[#This Row],[Quantity]]</f>
        <v>69.92</v>
      </c>
      <c r="I3271" s="29">
        <f>Table1[[#This Row],[Total Revenue]]/$H$5056*100</f>
        <v>7.418214634560885E-3</v>
      </c>
      <c r="J3271" s="3" t="s">
        <v>12</v>
      </c>
      <c r="K3271" s="4">
        <v>7.4</v>
      </c>
      <c r="M3271"/>
    </row>
    <row r="3272" spans="1:13" x14ac:dyDescent="0.25">
      <c r="A3272" s="3" t="s">
        <v>170</v>
      </c>
      <c r="B3272" s="3" t="s">
        <v>244</v>
      </c>
      <c r="C3272" s="3" t="s">
        <v>13</v>
      </c>
      <c r="D3272" s="3" t="s">
        <v>19</v>
      </c>
      <c r="E3272" s="5" t="s">
        <v>18</v>
      </c>
      <c r="F3272" s="17">
        <v>6.58</v>
      </c>
      <c r="G3272" s="3">
        <v>10</v>
      </c>
      <c r="H3272" s="17">
        <f>Table1[[#This Row],[Unit price]]*Table1[[#This Row],[Quantity]]</f>
        <v>65.8</v>
      </c>
      <c r="I3272" s="29">
        <f>Table1[[#This Row],[Total Revenue]]/$H$5056*100</f>
        <v>6.9811001566662785E-3</v>
      </c>
      <c r="J3272" s="3" t="s">
        <v>17</v>
      </c>
      <c r="K3272" s="4">
        <v>8.8000000000000007</v>
      </c>
      <c r="M3272"/>
    </row>
    <row r="3273" spans="1:13" x14ac:dyDescent="0.25">
      <c r="A3273" s="3" t="s">
        <v>170</v>
      </c>
      <c r="B3273" s="3" t="s">
        <v>244</v>
      </c>
      <c r="C3273" s="3" t="s">
        <v>9</v>
      </c>
      <c r="D3273" s="3" t="s">
        <v>19</v>
      </c>
      <c r="E3273" s="5" t="s">
        <v>11</v>
      </c>
      <c r="F3273" s="17">
        <v>10.59</v>
      </c>
      <c r="G3273" s="3">
        <v>5</v>
      </c>
      <c r="H3273" s="17">
        <f>Table1[[#This Row],[Unit price]]*Table1[[#This Row],[Quantity]]</f>
        <v>52.95</v>
      </c>
      <c r="I3273" s="29">
        <f>Table1[[#This Row],[Total Revenue]]/$H$5056*100</f>
        <v>5.6177698069221809E-3</v>
      </c>
      <c r="J3273" s="3" t="s">
        <v>12</v>
      </c>
      <c r="K3273" s="4">
        <v>7.5</v>
      </c>
      <c r="M3273"/>
    </row>
    <row r="3274" spans="1:13" x14ac:dyDescent="0.25">
      <c r="A3274" s="3" t="s">
        <v>170</v>
      </c>
      <c r="B3274" s="3" t="s">
        <v>244</v>
      </c>
      <c r="C3274" s="3" t="s">
        <v>9</v>
      </c>
      <c r="D3274" s="3" t="s">
        <v>10</v>
      </c>
      <c r="E3274" s="5" t="s">
        <v>18</v>
      </c>
      <c r="F3274" s="17">
        <v>5.85</v>
      </c>
      <c r="G3274" s="3">
        <v>6</v>
      </c>
      <c r="H3274" s="17">
        <f>Table1[[#This Row],[Unit price]]*Table1[[#This Row],[Quantity]]</f>
        <v>35.099999999999994</v>
      </c>
      <c r="I3274" s="29">
        <f>Table1[[#This Row],[Total Revenue]]/$H$5056*100</f>
        <v>3.7239607218690937E-3</v>
      </c>
      <c r="J3274" s="3" t="s">
        <v>12</v>
      </c>
      <c r="K3274" s="4">
        <v>6.9</v>
      </c>
      <c r="M3274"/>
    </row>
    <row r="3275" spans="1:13" x14ac:dyDescent="0.25">
      <c r="A3275" s="3" t="s">
        <v>170</v>
      </c>
      <c r="B3275" s="3" t="s">
        <v>243</v>
      </c>
      <c r="C3275" s="3" t="s">
        <v>9</v>
      </c>
      <c r="D3275" s="3" t="s">
        <v>19</v>
      </c>
      <c r="E3275" s="5" t="s">
        <v>21</v>
      </c>
      <c r="F3275" s="17">
        <v>30.94</v>
      </c>
      <c r="G3275" s="3">
        <v>6</v>
      </c>
      <c r="H3275" s="17">
        <f>Table1[[#This Row],[Unit price]]*Table1[[#This Row],[Quantity]]</f>
        <v>185.64000000000001</v>
      </c>
      <c r="I3275" s="29">
        <f>Table1[[#This Row],[Total Revenue]]/$H$5056*100</f>
        <v>1.96956144845521E-2</v>
      </c>
      <c r="J3275" s="3" t="s">
        <v>12</v>
      </c>
      <c r="K3275" s="4">
        <v>3.6</v>
      </c>
      <c r="M3275"/>
    </row>
    <row r="3276" spans="1:13" x14ac:dyDescent="0.25">
      <c r="A3276" s="3" t="s">
        <v>170</v>
      </c>
      <c r="B3276" s="3" t="s">
        <v>244</v>
      </c>
      <c r="C3276" s="3" t="s">
        <v>9</v>
      </c>
      <c r="D3276" s="3" t="s">
        <v>19</v>
      </c>
      <c r="E3276" s="5" t="s">
        <v>18</v>
      </c>
      <c r="F3276" s="17">
        <v>17.149999999999999</v>
      </c>
      <c r="G3276" s="3">
        <v>8</v>
      </c>
      <c r="H3276" s="17">
        <f>Table1[[#This Row],[Unit price]]*Table1[[#This Row],[Quantity]]</f>
        <v>137.19999999999999</v>
      </c>
      <c r="I3276" s="29">
        <f>Table1[[#This Row],[Total Revenue]]/$H$5056*100</f>
        <v>1.4556336496878623E-2</v>
      </c>
      <c r="J3276" s="3" t="s">
        <v>15</v>
      </c>
      <c r="K3276" s="4">
        <v>5.5</v>
      </c>
      <c r="M3276"/>
    </row>
    <row r="3277" spans="1:13" x14ac:dyDescent="0.25">
      <c r="A3277" s="3" t="s">
        <v>170</v>
      </c>
      <c r="B3277" s="3" t="s">
        <v>245</v>
      </c>
      <c r="C3277" s="3" t="s">
        <v>9</v>
      </c>
      <c r="D3277" s="3" t="s">
        <v>10</v>
      </c>
      <c r="E3277" s="5" t="s">
        <v>11</v>
      </c>
      <c r="F3277" s="17">
        <v>14.34</v>
      </c>
      <c r="G3277" s="3">
        <v>1</v>
      </c>
      <c r="H3277" s="17">
        <f>Table1[[#This Row],[Unit price]]*Table1[[#This Row],[Quantity]]</f>
        <v>14.34</v>
      </c>
      <c r="I3277" s="29">
        <f>Table1[[#This Row],[Total Revenue]]/$H$5056*100</f>
        <v>1.521413012866177E-3</v>
      </c>
      <c r="J3277" s="3" t="s">
        <v>12</v>
      </c>
      <c r="K3277" s="4">
        <v>4.8</v>
      </c>
      <c r="M3277"/>
    </row>
    <row r="3278" spans="1:13" x14ac:dyDescent="0.25">
      <c r="A3278" s="3" t="s">
        <v>170</v>
      </c>
      <c r="B3278" s="3" t="s">
        <v>245</v>
      </c>
      <c r="C3278" s="3" t="s">
        <v>13</v>
      </c>
      <c r="D3278" s="3" t="s">
        <v>10</v>
      </c>
      <c r="E3278" s="5" t="s">
        <v>20</v>
      </c>
      <c r="F3278" s="17">
        <v>42.31</v>
      </c>
      <c r="G3278" s="3">
        <v>3</v>
      </c>
      <c r="H3278" s="17">
        <f>Table1[[#This Row],[Unit price]]*Table1[[#This Row],[Quantity]]</f>
        <v>126.93</v>
      </c>
      <c r="I3278" s="29">
        <f>Table1[[#This Row],[Total Revenue]]/$H$5056*100</f>
        <v>1.3466733174553963E-2</v>
      </c>
      <c r="J3278" s="3" t="s">
        <v>12</v>
      </c>
      <c r="K3278" s="4">
        <v>4.7</v>
      </c>
      <c r="M3278"/>
    </row>
    <row r="3279" spans="1:13" x14ac:dyDescent="0.25">
      <c r="A3279" s="3" t="s">
        <v>171</v>
      </c>
      <c r="B3279" s="3" t="s">
        <v>243</v>
      </c>
      <c r="C3279" s="3" t="s">
        <v>13</v>
      </c>
      <c r="D3279" s="3" t="s">
        <v>19</v>
      </c>
      <c r="E3279" s="5" t="s">
        <v>21</v>
      </c>
      <c r="F3279" s="17">
        <v>15.65</v>
      </c>
      <c r="G3279" s="3">
        <v>3</v>
      </c>
      <c r="H3279" s="17">
        <f>Table1[[#This Row],[Unit price]]*Table1[[#This Row],[Quantity]]</f>
        <v>46.95</v>
      </c>
      <c r="I3279" s="29">
        <f>Table1[[#This Row],[Total Revenue]]/$H$5056*100</f>
        <v>4.9811953245513952E-3</v>
      </c>
      <c r="J3279" s="3" t="s">
        <v>12</v>
      </c>
      <c r="K3279" s="4">
        <v>9.6</v>
      </c>
      <c r="M3279"/>
    </row>
    <row r="3280" spans="1:13" x14ac:dyDescent="0.25">
      <c r="A3280" s="3" t="s">
        <v>171</v>
      </c>
      <c r="B3280" s="3" t="s">
        <v>243</v>
      </c>
      <c r="C3280" s="3" t="s">
        <v>13</v>
      </c>
      <c r="D3280" s="3" t="s">
        <v>10</v>
      </c>
      <c r="E3280" s="5" t="s">
        <v>21</v>
      </c>
      <c r="F3280" s="17">
        <v>32.6</v>
      </c>
      <c r="G3280" s="3">
        <v>4</v>
      </c>
      <c r="H3280" s="17">
        <f>Table1[[#This Row],[Unit price]]*Table1[[#This Row],[Quantity]]</f>
        <v>130.4</v>
      </c>
      <c r="I3280" s="29">
        <f>Table1[[#This Row],[Total Revenue]]/$H$5056*100</f>
        <v>1.38348854168584E-2</v>
      </c>
      <c r="J3280" s="3" t="s">
        <v>17</v>
      </c>
      <c r="K3280" s="4">
        <v>5.7</v>
      </c>
      <c r="M3280"/>
    </row>
    <row r="3281" spans="1:13" x14ac:dyDescent="0.25">
      <c r="A3281" s="3" t="s">
        <v>171</v>
      </c>
      <c r="B3281" s="3" t="s">
        <v>245</v>
      </c>
      <c r="C3281" s="3" t="s">
        <v>9</v>
      </c>
      <c r="D3281" s="3" t="s">
        <v>10</v>
      </c>
      <c r="E3281" s="5" t="s">
        <v>11</v>
      </c>
      <c r="F3281" s="17">
        <v>3.76</v>
      </c>
      <c r="G3281" s="3">
        <v>2</v>
      </c>
      <c r="H3281" s="17">
        <f>Table1[[#This Row],[Unit price]]*Table1[[#This Row],[Quantity]]</f>
        <v>7.52</v>
      </c>
      <c r="I3281" s="29">
        <f>Table1[[#This Row],[Total Revenue]]/$H$5056*100</f>
        <v>7.978400179047176E-4</v>
      </c>
      <c r="J3281" s="3" t="s">
        <v>12</v>
      </c>
      <c r="K3281" s="4">
        <v>9.1</v>
      </c>
      <c r="M3281"/>
    </row>
    <row r="3282" spans="1:13" x14ac:dyDescent="0.25">
      <c r="A3282" s="3" t="s">
        <v>171</v>
      </c>
      <c r="B3282" s="3" t="s">
        <v>243</v>
      </c>
      <c r="C3282" s="3" t="s">
        <v>13</v>
      </c>
      <c r="D3282" s="3" t="s">
        <v>19</v>
      </c>
      <c r="E3282" s="5" t="s">
        <v>16</v>
      </c>
      <c r="F3282" s="17">
        <v>79.03</v>
      </c>
      <c r="G3282" s="3">
        <v>6</v>
      </c>
      <c r="H3282" s="17">
        <f>Table1[[#This Row],[Unit price]]*Table1[[#This Row],[Quantity]]</f>
        <v>474.18</v>
      </c>
      <c r="I3282" s="29">
        <f>Table1[[#This Row],[Total Revenue]]/$H$5056*100</f>
        <v>5.0308481341763162E-2</v>
      </c>
      <c r="J3282" s="3" t="s">
        <v>17</v>
      </c>
      <c r="K3282" s="4">
        <v>7.3</v>
      </c>
      <c r="M3282"/>
    </row>
    <row r="3283" spans="1:13" x14ac:dyDescent="0.25">
      <c r="A3283" s="3" t="s">
        <v>171</v>
      </c>
      <c r="B3283" s="3" t="s">
        <v>243</v>
      </c>
      <c r="C3283" s="3" t="s">
        <v>13</v>
      </c>
      <c r="D3283" s="3" t="s">
        <v>10</v>
      </c>
      <c r="E3283" s="5" t="s">
        <v>18</v>
      </c>
      <c r="F3283" s="17">
        <v>22.03</v>
      </c>
      <c r="G3283" s="3">
        <v>3</v>
      </c>
      <c r="H3283" s="17">
        <f>Table1[[#This Row],[Unit price]]*Table1[[#This Row],[Quantity]]</f>
        <v>66.09</v>
      </c>
      <c r="I3283" s="29">
        <f>Table1[[#This Row],[Total Revenue]]/$H$5056*100</f>
        <v>7.0118679233142E-3</v>
      </c>
      <c r="J3283" s="3" t="s">
        <v>17</v>
      </c>
      <c r="K3283" s="4">
        <v>8.4</v>
      </c>
      <c r="M3283"/>
    </row>
    <row r="3284" spans="1:13" x14ac:dyDescent="0.25">
      <c r="A3284" s="3" t="s">
        <v>171</v>
      </c>
      <c r="B3284" s="3" t="s">
        <v>244</v>
      </c>
      <c r="C3284" s="3" t="s">
        <v>13</v>
      </c>
      <c r="D3284" s="3" t="s">
        <v>19</v>
      </c>
      <c r="E3284" s="5" t="s">
        <v>21</v>
      </c>
      <c r="F3284" s="17">
        <v>20.92</v>
      </c>
      <c r="G3284" s="3">
        <v>8</v>
      </c>
      <c r="H3284" s="17">
        <f>Table1[[#This Row],[Unit price]]*Table1[[#This Row],[Quantity]]</f>
        <v>167.36</v>
      </c>
      <c r="I3284" s="29">
        <f>Table1[[#This Row],[Total Revenue]]/$H$5056*100</f>
        <v>1.7756184228262438E-2</v>
      </c>
      <c r="J3284" s="3" t="s">
        <v>15</v>
      </c>
      <c r="K3284" s="4">
        <v>6.4</v>
      </c>
      <c r="M3284"/>
    </row>
    <row r="3285" spans="1:13" x14ac:dyDescent="0.25">
      <c r="A3285" s="3" t="s">
        <v>171</v>
      </c>
      <c r="B3285" s="3" t="s">
        <v>243</v>
      </c>
      <c r="C3285" s="3" t="s">
        <v>13</v>
      </c>
      <c r="D3285" s="3" t="s">
        <v>19</v>
      </c>
      <c r="E3285" s="5" t="s">
        <v>20</v>
      </c>
      <c r="F3285" s="17">
        <v>42.59</v>
      </c>
      <c r="G3285" s="3">
        <v>5</v>
      </c>
      <c r="H3285" s="17">
        <f>Table1[[#This Row],[Unit price]]*Table1[[#This Row],[Quantity]]</f>
        <v>212.95000000000002</v>
      </c>
      <c r="I3285" s="29">
        <f>Table1[[#This Row],[Total Revenue]]/$H$5056*100</f>
        <v>2.2593089336809789E-2</v>
      </c>
      <c r="J3285" s="3" t="s">
        <v>12</v>
      </c>
      <c r="K3285" s="4">
        <v>6.9</v>
      </c>
      <c r="M3285"/>
    </row>
    <row r="3286" spans="1:13" x14ac:dyDescent="0.25">
      <c r="A3286" s="3" t="s">
        <v>171</v>
      </c>
      <c r="B3286" s="3" t="s">
        <v>243</v>
      </c>
      <c r="C3286" s="3" t="s">
        <v>13</v>
      </c>
      <c r="D3286" s="3" t="s">
        <v>10</v>
      </c>
      <c r="E3286" s="5" t="s">
        <v>18</v>
      </c>
      <c r="F3286" s="17">
        <v>21.47</v>
      </c>
      <c r="G3286" s="3">
        <v>2</v>
      </c>
      <c r="H3286" s="17">
        <f>Table1[[#This Row],[Unit price]]*Table1[[#This Row],[Quantity]]</f>
        <v>42.94</v>
      </c>
      <c r="I3286" s="29">
        <f>Table1[[#This Row],[Total Revenue]]/$H$5056*100</f>
        <v>4.5557513788335871E-3</v>
      </c>
      <c r="J3286" s="3" t="s">
        <v>15</v>
      </c>
      <c r="K3286" s="4">
        <v>6.3</v>
      </c>
      <c r="M3286"/>
    </row>
    <row r="3287" spans="1:13" x14ac:dyDescent="0.25">
      <c r="A3287" s="3" t="s">
        <v>171</v>
      </c>
      <c r="B3287" s="3" t="s">
        <v>244</v>
      </c>
      <c r="C3287" s="3" t="s">
        <v>13</v>
      </c>
      <c r="D3287" s="3" t="s">
        <v>10</v>
      </c>
      <c r="E3287" s="5" t="s">
        <v>11</v>
      </c>
      <c r="F3287" s="17">
        <v>6.48</v>
      </c>
      <c r="G3287" s="3">
        <v>9</v>
      </c>
      <c r="H3287" s="17">
        <f>Table1[[#This Row],[Unit price]]*Table1[[#This Row],[Quantity]]</f>
        <v>58.320000000000007</v>
      </c>
      <c r="I3287" s="29">
        <f>Table1[[#This Row],[Total Revenue]]/$H$5056*100</f>
        <v>6.1875039686440344E-3</v>
      </c>
      <c r="J3287" s="3" t="s">
        <v>12</v>
      </c>
      <c r="K3287" s="4">
        <v>4.3</v>
      </c>
      <c r="M3287"/>
    </row>
    <row r="3288" spans="1:13" x14ac:dyDescent="0.25">
      <c r="A3288" s="3" t="s">
        <v>171</v>
      </c>
      <c r="B3288" s="3" t="s">
        <v>245</v>
      </c>
      <c r="C3288" s="3" t="s">
        <v>13</v>
      </c>
      <c r="D3288" s="3" t="s">
        <v>10</v>
      </c>
      <c r="E3288" s="5" t="s">
        <v>11</v>
      </c>
      <c r="F3288" s="17">
        <v>13.29</v>
      </c>
      <c r="G3288" s="3">
        <v>2</v>
      </c>
      <c r="H3288" s="17">
        <f>Table1[[#This Row],[Unit price]]*Table1[[#This Row],[Quantity]]</f>
        <v>26.58</v>
      </c>
      <c r="I3288" s="29">
        <f>Table1[[#This Row],[Total Revenue]]/$H$5056*100</f>
        <v>2.8200249569025788E-3</v>
      </c>
      <c r="J3288" s="3" t="s">
        <v>12</v>
      </c>
      <c r="K3288" s="4">
        <v>7.9</v>
      </c>
      <c r="M3288"/>
    </row>
    <row r="3289" spans="1:13" x14ac:dyDescent="0.25">
      <c r="A3289" s="3" t="s">
        <v>171</v>
      </c>
      <c r="B3289" s="3" t="s">
        <v>244</v>
      </c>
      <c r="C3289" s="3" t="s">
        <v>9</v>
      </c>
      <c r="D3289" s="3" t="s">
        <v>19</v>
      </c>
      <c r="E3289" s="5" t="s">
        <v>11</v>
      </c>
      <c r="F3289" s="17">
        <v>14.23</v>
      </c>
      <c r="G3289" s="3">
        <v>5</v>
      </c>
      <c r="H3289" s="17">
        <f>Table1[[#This Row],[Unit price]]*Table1[[#This Row],[Quantity]]</f>
        <v>71.150000000000006</v>
      </c>
      <c r="I3289" s="29">
        <f>Table1[[#This Row],[Total Revenue]]/$H$5056*100</f>
        <v>7.5487124034468965E-3</v>
      </c>
      <c r="J3289" s="3" t="s">
        <v>17</v>
      </c>
      <c r="K3289" s="4">
        <v>4.9000000000000004</v>
      </c>
      <c r="M3289"/>
    </row>
    <row r="3290" spans="1:13" x14ac:dyDescent="0.25">
      <c r="A3290" s="3" t="s">
        <v>171</v>
      </c>
      <c r="B3290" s="3" t="s">
        <v>243</v>
      </c>
      <c r="C3290" s="3" t="s">
        <v>9</v>
      </c>
      <c r="D3290" s="3" t="s">
        <v>10</v>
      </c>
      <c r="E3290" s="5" t="s">
        <v>11</v>
      </c>
      <c r="F3290" s="17">
        <v>5.94</v>
      </c>
      <c r="G3290" s="3">
        <v>9</v>
      </c>
      <c r="H3290" s="17">
        <f>Table1[[#This Row],[Unit price]]*Table1[[#This Row],[Quantity]]</f>
        <v>53.46</v>
      </c>
      <c r="I3290" s="29">
        <f>Table1[[#This Row],[Total Revenue]]/$H$5056*100</f>
        <v>5.6718786379236974E-3</v>
      </c>
      <c r="J3290" s="3" t="s">
        <v>15</v>
      </c>
      <c r="K3290" s="4">
        <v>3.2</v>
      </c>
      <c r="M3290"/>
    </row>
    <row r="3291" spans="1:13" x14ac:dyDescent="0.25">
      <c r="A3291" s="3" t="s">
        <v>171</v>
      </c>
      <c r="B3291" s="3" t="s">
        <v>243</v>
      </c>
      <c r="C3291" s="3" t="s">
        <v>9</v>
      </c>
      <c r="D3291" s="3" t="s">
        <v>19</v>
      </c>
      <c r="E3291" s="5" t="s">
        <v>20</v>
      </c>
      <c r="F3291" s="17">
        <v>58.73</v>
      </c>
      <c r="G3291" s="3">
        <v>10</v>
      </c>
      <c r="H3291" s="17">
        <f>Table1[[#This Row],[Unit price]]*Table1[[#This Row],[Quantity]]</f>
        <v>587.29999999999995</v>
      </c>
      <c r="I3291" s="29">
        <f>Table1[[#This Row],[Total Revenue]]/$H$5056*100</f>
        <v>6.2310032249393695E-2</v>
      </c>
      <c r="J3291" s="3" t="s">
        <v>12</v>
      </c>
      <c r="K3291" s="4">
        <v>7.4</v>
      </c>
      <c r="M3291"/>
    </row>
    <row r="3292" spans="1:13" x14ac:dyDescent="0.25">
      <c r="A3292" s="3" t="s">
        <v>172</v>
      </c>
      <c r="B3292" s="3" t="s">
        <v>244</v>
      </c>
      <c r="C3292" s="3" t="s">
        <v>9</v>
      </c>
      <c r="D3292" s="3" t="s">
        <v>19</v>
      </c>
      <c r="E3292" s="5" t="s">
        <v>14</v>
      </c>
      <c r="F3292" s="17">
        <v>97.97</v>
      </c>
      <c r="G3292" s="3">
        <v>10</v>
      </c>
      <c r="H3292" s="17">
        <f>Table1[[#This Row],[Unit price]]*Table1[[#This Row],[Quantity]]</f>
        <v>979.7</v>
      </c>
      <c r="I3292" s="29">
        <f>Table1[[#This Row],[Total Revenue]]/$H$5056*100</f>
        <v>0.10394200339644308</v>
      </c>
      <c r="J3292" s="3" t="s">
        <v>15</v>
      </c>
      <c r="K3292" s="4">
        <v>4.2</v>
      </c>
      <c r="M3292"/>
    </row>
    <row r="3293" spans="1:13" x14ac:dyDescent="0.25">
      <c r="A3293" s="3" t="s">
        <v>172</v>
      </c>
      <c r="B3293" s="3" t="s">
        <v>243</v>
      </c>
      <c r="C3293" s="3" t="s">
        <v>13</v>
      </c>
      <c r="D3293" s="3" t="s">
        <v>19</v>
      </c>
      <c r="E3293" s="5" t="s">
        <v>11</v>
      </c>
      <c r="F3293" s="17">
        <v>10.15</v>
      </c>
      <c r="G3293" s="3">
        <v>5</v>
      </c>
      <c r="H3293" s="17">
        <f>Table1[[#This Row],[Unit price]]*Table1[[#This Row],[Quantity]]</f>
        <v>50.75</v>
      </c>
      <c r="I3293" s="29">
        <f>Table1[[#This Row],[Total Revenue]]/$H$5056*100</f>
        <v>5.3843591633862256E-3</v>
      </c>
      <c r="J3293" s="3" t="s">
        <v>12</v>
      </c>
      <c r="K3293" s="4">
        <v>9.4</v>
      </c>
      <c r="M3293"/>
    </row>
    <row r="3294" spans="1:13" x14ac:dyDescent="0.25">
      <c r="A3294" s="3" t="s">
        <v>172</v>
      </c>
      <c r="B3294" s="3" t="s">
        <v>244</v>
      </c>
      <c r="C3294" s="3" t="s">
        <v>9</v>
      </c>
      <c r="D3294" s="3" t="s">
        <v>10</v>
      </c>
      <c r="E3294" s="5" t="s">
        <v>11</v>
      </c>
      <c r="F3294" s="17">
        <v>2.95</v>
      </c>
      <c r="G3294" s="3">
        <v>1</v>
      </c>
      <c r="H3294" s="17">
        <f>Table1[[#This Row],[Unit price]]*Table1[[#This Row],[Quantity]]</f>
        <v>2.95</v>
      </c>
      <c r="I3294" s="29">
        <f>Table1[[#This Row],[Total Revenue]]/$H$5056*100</f>
        <v>3.129824538323028E-4</v>
      </c>
      <c r="J3294" s="3" t="s">
        <v>15</v>
      </c>
      <c r="K3294" s="4">
        <v>9.5</v>
      </c>
      <c r="M3294"/>
    </row>
    <row r="3295" spans="1:13" x14ac:dyDescent="0.25">
      <c r="A3295" s="3" t="s">
        <v>172</v>
      </c>
      <c r="B3295" s="3" t="s">
        <v>243</v>
      </c>
      <c r="C3295" s="3" t="s">
        <v>13</v>
      </c>
      <c r="D3295" s="3" t="s">
        <v>10</v>
      </c>
      <c r="E3295" s="5" t="s">
        <v>21</v>
      </c>
      <c r="F3295" s="17">
        <v>22.81</v>
      </c>
      <c r="G3295" s="3">
        <v>6</v>
      </c>
      <c r="H3295" s="17">
        <f>Table1[[#This Row],[Unit price]]*Table1[[#This Row],[Quantity]]</f>
        <v>136.85999999999999</v>
      </c>
      <c r="I3295" s="29">
        <f>Table1[[#This Row],[Total Revenue]]/$H$5056*100</f>
        <v>1.4520263942877611E-2</v>
      </c>
      <c r="J3295" s="3" t="s">
        <v>17</v>
      </c>
      <c r="K3295" s="4">
        <v>9.1999999999999993</v>
      </c>
      <c r="M3295"/>
    </row>
    <row r="3296" spans="1:13" x14ac:dyDescent="0.25">
      <c r="A3296" s="3" t="s">
        <v>172</v>
      </c>
      <c r="B3296" s="3" t="s">
        <v>245</v>
      </c>
      <c r="C3296" s="3" t="s">
        <v>13</v>
      </c>
      <c r="D3296" s="3" t="s">
        <v>19</v>
      </c>
      <c r="E3296" s="5" t="s">
        <v>16</v>
      </c>
      <c r="F3296" s="17">
        <v>65.45</v>
      </c>
      <c r="G3296" s="3">
        <v>2</v>
      </c>
      <c r="H3296" s="17">
        <f>Table1[[#This Row],[Unit price]]*Table1[[#This Row],[Quantity]]</f>
        <v>130.9</v>
      </c>
      <c r="I3296" s="29">
        <f>Table1[[#This Row],[Total Revenue]]/$H$5056*100</f>
        <v>1.3887933290389299E-2</v>
      </c>
      <c r="J3296" s="3" t="s">
        <v>12</v>
      </c>
      <c r="K3296" s="4">
        <v>5.5</v>
      </c>
      <c r="M3296"/>
    </row>
    <row r="3297" spans="1:13" x14ac:dyDescent="0.25">
      <c r="A3297" s="3" t="s">
        <v>172</v>
      </c>
      <c r="B3297" s="3" t="s">
        <v>244</v>
      </c>
      <c r="C3297" s="3" t="s">
        <v>9</v>
      </c>
      <c r="D3297" s="3" t="s">
        <v>19</v>
      </c>
      <c r="E3297" s="5" t="s">
        <v>21</v>
      </c>
      <c r="F3297" s="17">
        <v>16.27</v>
      </c>
      <c r="G3297" s="3">
        <v>7</v>
      </c>
      <c r="H3297" s="17">
        <f>Table1[[#This Row],[Unit price]]*Table1[[#This Row],[Quantity]]</f>
        <v>113.89</v>
      </c>
      <c r="I3297" s="29">
        <f>Table1[[#This Row],[Total Revenue]]/$H$5056*100</f>
        <v>1.2083244632868122E-2</v>
      </c>
      <c r="J3297" s="3" t="s">
        <v>17</v>
      </c>
      <c r="K3297" s="4">
        <v>3.1</v>
      </c>
      <c r="M3297"/>
    </row>
    <row r="3298" spans="1:13" x14ac:dyDescent="0.25">
      <c r="A3298" s="3" t="s">
        <v>172</v>
      </c>
      <c r="B3298" s="3" t="s">
        <v>245</v>
      </c>
      <c r="C3298" s="3" t="s">
        <v>13</v>
      </c>
      <c r="D3298" s="3" t="s">
        <v>19</v>
      </c>
      <c r="E3298" s="5" t="s">
        <v>21</v>
      </c>
      <c r="F3298" s="17">
        <v>38.340000000000003</v>
      </c>
      <c r="G3298" s="3">
        <v>6</v>
      </c>
      <c r="H3298" s="17">
        <f>Table1[[#This Row],[Unit price]]*Table1[[#This Row],[Quantity]]</f>
        <v>230.04000000000002</v>
      </c>
      <c r="I3298" s="29">
        <f>Table1[[#This Row],[Total Revenue]]/$H$5056*100</f>
        <v>2.4406265654095913E-2</v>
      </c>
      <c r="J3298" s="3" t="s">
        <v>15</v>
      </c>
      <c r="K3298" s="4">
        <v>9.3000000000000007</v>
      </c>
      <c r="M3298"/>
    </row>
    <row r="3299" spans="1:13" x14ac:dyDescent="0.25">
      <c r="A3299" s="3" t="s">
        <v>172</v>
      </c>
      <c r="B3299" s="3" t="s">
        <v>245</v>
      </c>
      <c r="C3299" s="3" t="s">
        <v>13</v>
      </c>
      <c r="D3299" s="3" t="s">
        <v>10</v>
      </c>
      <c r="E3299" s="5" t="s">
        <v>11</v>
      </c>
      <c r="F3299" s="17">
        <v>6.01</v>
      </c>
      <c r="G3299" s="3">
        <v>1</v>
      </c>
      <c r="H3299" s="17">
        <f>Table1[[#This Row],[Unit price]]*Table1[[#This Row],[Quantity]]</f>
        <v>6.01</v>
      </c>
      <c r="I3299" s="29">
        <f>Table1[[#This Row],[Total Revenue]]/$H$5056*100</f>
        <v>6.3763543984140332E-4</v>
      </c>
      <c r="J3299" s="3" t="s">
        <v>15</v>
      </c>
      <c r="K3299" s="4">
        <v>5.9</v>
      </c>
      <c r="M3299"/>
    </row>
    <row r="3300" spans="1:13" x14ac:dyDescent="0.25">
      <c r="A3300" s="3" t="s">
        <v>172</v>
      </c>
      <c r="B3300" s="3" t="s">
        <v>243</v>
      </c>
      <c r="C3300" s="3" t="s">
        <v>9</v>
      </c>
      <c r="D3300" s="3" t="s">
        <v>19</v>
      </c>
      <c r="E3300" s="5" t="s">
        <v>21</v>
      </c>
      <c r="F3300" s="17">
        <v>23.82</v>
      </c>
      <c r="G3300" s="3">
        <v>1</v>
      </c>
      <c r="H3300" s="17">
        <f>Table1[[#This Row],[Unit price]]*Table1[[#This Row],[Quantity]]</f>
        <v>23.82</v>
      </c>
      <c r="I3300" s="29">
        <f>Table1[[#This Row],[Total Revenue]]/$H$5056*100</f>
        <v>2.5272006950120178E-3</v>
      </c>
      <c r="J3300" s="3" t="s">
        <v>15</v>
      </c>
      <c r="K3300" s="4">
        <v>9.6</v>
      </c>
      <c r="M3300"/>
    </row>
    <row r="3301" spans="1:13" x14ac:dyDescent="0.25">
      <c r="A3301" s="3" t="s">
        <v>172</v>
      </c>
      <c r="B3301" s="3" t="s">
        <v>245</v>
      </c>
      <c r="C3301" s="3" t="s">
        <v>9</v>
      </c>
      <c r="D3301" s="3" t="s">
        <v>10</v>
      </c>
      <c r="E3301" s="5" t="s">
        <v>20</v>
      </c>
      <c r="F3301" s="17">
        <v>40.25</v>
      </c>
      <c r="G3301" s="3">
        <v>2</v>
      </c>
      <c r="H3301" s="17">
        <f>Table1[[#This Row],[Unit price]]*Table1[[#This Row],[Quantity]]</f>
        <v>80.5</v>
      </c>
      <c r="I3301" s="29">
        <f>Table1[[#This Row],[Total Revenue]]/$H$5056*100</f>
        <v>8.5407076384747035E-3</v>
      </c>
      <c r="J3301" s="3" t="s">
        <v>12</v>
      </c>
      <c r="K3301" s="4">
        <v>9.6</v>
      </c>
      <c r="M3301"/>
    </row>
    <row r="3302" spans="1:13" x14ac:dyDescent="0.25">
      <c r="A3302" s="3" t="s">
        <v>172</v>
      </c>
      <c r="B3302" s="3" t="s">
        <v>245</v>
      </c>
      <c r="C3302" s="3" t="s">
        <v>9</v>
      </c>
      <c r="D3302" s="3" t="s">
        <v>10</v>
      </c>
      <c r="E3302" s="5" t="s">
        <v>16</v>
      </c>
      <c r="F3302" s="17">
        <v>62.02</v>
      </c>
      <c r="G3302" s="3">
        <v>10</v>
      </c>
      <c r="H3302" s="17">
        <f>Table1[[#This Row],[Unit price]]*Table1[[#This Row],[Quantity]]</f>
        <v>620.20000000000005</v>
      </c>
      <c r="I3302" s="29">
        <f>Table1[[#This Row],[Total Revenue]]/$H$5056*100</f>
        <v>6.5800582327726842E-2</v>
      </c>
      <c r="J3302" s="3" t="s">
        <v>12</v>
      </c>
      <c r="K3302" s="4">
        <v>8.8000000000000007</v>
      </c>
      <c r="M3302"/>
    </row>
    <row r="3303" spans="1:13" x14ac:dyDescent="0.25">
      <c r="A3303" s="3" t="s">
        <v>172</v>
      </c>
      <c r="B3303" s="3" t="s">
        <v>244</v>
      </c>
      <c r="C3303" s="3" t="s">
        <v>13</v>
      </c>
      <c r="D3303" s="3" t="s">
        <v>10</v>
      </c>
      <c r="E3303" s="5" t="s">
        <v>21</v>
      </c>
      <c r="F3303" s="17">
        <v>34.11</v>
      </c>
      <c r="G3303" s="3">
        <v>5</v>
      </c>
      <c r="H3303" s="17">
        <f>Table1[[#This Row],[Unit price]]*Table1[[#This Row],[Quantity]]</f>
        <v>170.55</v>
      </c>
      <c r="I3303" s="29">
        <f>Table1[[#This Row],[Total Revenue]]/$H$5056*100</f>
        <v>1.8094629661389576E-2</v>
      </c>
      <c r="J3303" s="3" t="s">
        <v>17</v>
      </c>
      <c r="K3303" s="4">
        <v>5</v>
      </c>
      <c r="M3303"/>
    </row>
    <row r="3304" spans="1:13" x14ac:dyDescent="0.25">
      <c r="A3304" s="3" t="s">
        <v>173</v>
      </c>
      <c r="B3304" s="3" t="s">
        <v>243</v>
      </c>
      <c r="C3304" s="3" t="s">
        <v>13</v>
      </c>
      <c r="D3304" s="3" t="s">
        <v>19</v>
      </c>
      <c r="E3304" s="5" t="s">
        <v>20</v>
      </c>
      <c r="F3304" s="17">
        <v>51.82</v>
      </c>
      <c r="G3304" s="3">
        <v>6</v>
      </c>
      <c r="H3304" s="17">
        <f>Table1[[#This Row],[Unit price]]*Table1[[#This Row],[Quantity]]</f>
        <v>310.92</v>
      </c>
      <c r="I3304" s="29">
        <f>Table1[[#This Row],[Total Revenue]]/$H$5056*100</f>
        <v>3.2987289676454097E-2</v>
      </c>
      <c r="J3304" s="3" t="s">
        <v>12</v>
      </c>
      <c r="K3304" s="4">
        <v>5.6</v>
      </c>
      <c r="M3304"/>
    </row>
    <row r="3305" spans="1:13" x14ac:dyDescent="0.25">
      <c r="A3305" s="3" t="s">
        <v>173</v>
      </c>
      <c r="B3305" s="3" t="s">
        <v>244</v>
      </c>
      <c r="C3305" s="3" t="s">
        <v>13</v>
      </c>
      <c r="D3305" s="3" t="s">
        <v>10</v>
      </c>
      <c r="E3305" s="5" t="s">
        <v>21</v>
      </c>
      <c r="F3305" s="17">
        <v>16.13</v>
      </c>
      <c r="G3305" s="3">
        <v>3</v>
      </c>
      <c r="H3305" s="17">
        <f>Table1[[#This Row],[Unit price]]*Table1[[#This Row],[Quantity]]</f>
        <v>48.39</v>
      </c>
      <c r="I3305" s="29">
        <f>Table1[[#This Row],[Total Revenue]]/$H$5056*100</f>
        <v>5.1339732003203836E-3</v>
      </c>
      <c r="J3305" s="3" t="s">
        <v>17</v>
      </c>
      <c r="K3305" s="4">
        <v>8.8000000000000007</v>
      </c>
      <c r="M3305"/>
    </row>
    <row r="3306" spans="1:13" x14ac:dyDescent="0.25">
      <c r="A3306" s="3" t="s">
        <v>173</v>
      </c>
      <c r="B3306" s="3" t="s">
        <v>243</v>
      </c>
      <c r="C3306" s="3" t="s">
        <v>13</v>
      </c>
      <c r="D3306" s="3" t="s">
        <v>19</v>
      </c>
      <c r="E3306" s="5" t="s">
        <v>16</v>
      </c>
      <c r="F3306" s="17">
        <v>65.47</v>
      </c>
      <c r="G3306" s="3">
        <v>6</v>
      </c>
      <c r="H3306" s="17">
        <f>Table1[[#This Row],[Unit price]]*Table1[[#This Row],[Quantity]]</f>
        <v>392.82</v>
      </c>
      <c r="I3306" s="29">
        <f>Table1[[#This Row],[Total Revenue]]/$H$5056*100</f>
        <v>4.1676531360815318E-2</v>
      </c>
      <c r="J3306" s="3" t="s">
        <v>17</v>
      </c>
      <c r="K3306" s="4">
        <v>5.2</v>
      </c>
      <c r="M3306"/>
    </row>
    <row r="3307" spans="1:13" x14ac:dyDescent="0.25">
      <c r="A3307" s="3" t="s">
        <v>173</v>
      </c>
      <c r="B3307" s="3" t="s">
        <v>243</v>
      </c>
      <c r="C3307" s="3" t="s">
        <v>13</v>
      </c>
      <c r="D3307" s="3" t="s">
        <v>10</v>
      </c>
      <c r="E3307" s="5" t="s">
        <v>11</v>
      </c>
      <c r="F3307" s="17">
        <v>8.6</v>
      </c>
      <c r="G3307" s="3">
        <v>9</v>
      </c>
      <c r="H3307" s="17">
        <f>Table1[[#This Row],[Unit price]]*Table1[[#This Row],[Quantity]]</f>
        <v>77.399999999999991</v>
      </c>
      <c r="I3307" s="29">
        <f>Table1[[#This Row],[Total Revenue]]/$H$5056*100</f>
        <v>8.21181082258313E-3</v>
      </c>
      <c r="J3307" s="3" t="s">
        <v>12</v>
      </c>
      <c r="K3307" s="4">
        <v>4.2</v>
      </c>
      <c r="M3307"/>
    </row>
    <row r="3308" spans="1:13" x14ac:dyDescent="0.25">
      <c r="A3308" s="3" t="s">
        <v>173</v>
      </c>
      <c r="B3308" s="3" t="s">
        <v>244</v>
      </c>
      <c r="C3308" s="3" t="s">
        <v>9</v>
      </c>
      <c r="D3308" s="3" t="s">
        <v>19</v>
      </c>
      <c r="E3308" s="5" t="s">
        <v>18</v>
      </c>
      <c r="F3308" s="17">
        <v>18.48</v>
      </c>
      <c r="G3308" s="3">
        <v>7</v>
      </c>
      <c r="H3308" s="17">
        <f>Table1[[#This Row],[Unit price]]*Table1[[#This Row],[Quantity]]</f>
        <v>129.36000000000001</v>
      </c>
      <c r="I3308" s="29">
        <f>Table1[[#This Row],[Total Revenue]]/$H$5056*100</f>
        <v>1.3724545839914132E-2</v>
      </c>
      <c r="J3308" s="3" t="s">
        <v>12</v>
      </c>
      <c r="K3308" s="4">
        <v>6.8</v>
      </c>
      <c r="M3308"/>
    </row>
    <row r="3309" spans="1:13" x14ac:dyDescent="0.25">
      <c r="A3309" s="3" t="s">
        <v>173</v>
      </c>
      <c r="B3309" s="3" t="s">
        <v>245</v>
      </c>
      <c r="C3309" s="3" t="s">
        <v>13</v>
      </c>
      <c r="D3309" s="3" t="s">
        <v>19</v>
      </c>
      <c r="E3309" s="5" t="s">
        <v>18</v>
      </c>
      <c r="F3309" s="17">
        <v>10.31</v>
      </c>
      <c r="G3309" s="3">
        <v>10</v>
      </c>
      <c r="H3309" s="17">
        <f>Table1[[#This Row],[Unit price]]*Table1[[#This Row],[Quantity]]</f>
        <v>103.10000000000001</v>
      </c>
      <c r="I3309" s="29">
        <f>Table1[[#This Row],[Total Revenue]]/$H$5056*100</f>
        <v>1.0938471522071329E-2</v>
      </c>
      <c r="J3309" s="3" t="s">
        <v>12</v>
      </c>
      <c r="K3309" s="4">
        <v>9.4</v>
      </c>
      <c r="M3309"/>
    </row>
    <row r="3310" spans="1:13" x14ac:dyDescent="0.25">
      <c r="A3310" s="3" t="s">
        <v>173</v>
      </c>
      <c r="B3310" s="3" t="s">
        <v>243</v>
      </c>
      <c r="C3310" s="3" t="s">
        <v>13</v>
      </c>
      <c r="D3310" s="3" t="s">
        <v>19</v>
      </c>
      <c r="E3310" s="5" t="s">
        <v>18</v>
      </c>
      <c r="F3310" s="17">
        <v>19.420000000000002</v>
      </c>
      <c r="G3310" s="3">
        <v>7</v>
      </c>
      <c r="H3310" s="17">
        <f>Table1[[#This Row],[Unit price]]*Table1[[#This Row],[Quantity]]</f>
        <v>135.94</v>
      </c>
      <c r="I3310" s="29">
        <f>Table1[[#This Row],[Total Revenue]]/$H$5056*100</f>
        <v>1.442265585558076E-2</v>
      </c>
      <c r="J3310" s="3" t="s">
        <v>15</v>
      </c>
      <c r="K3310" s="4">
        <v>7.7</v>
      </c>
      <c r="M3310"/>
    </row>
    <row r="3311" spans="1:13" x14ac:dyDescent="0.25">
      <c r="A3311" s="3" t="s">
        <v>173</v>
      </c>
      <c r="B3311" s="3" t="s">
        <v>244</v>
      </c>
      <c r="C3311" s="3" t="s">
        <v>9</v>
      </c>
      <c r="D3311" s="3" t="s">
        <v>19</v>
      </c>
      <c r="E3311" s="5" t="s">
        <v>20</v>
      </c>
      <c r="F3311" s="17">
        <v>53.23</v>
      </c>
      <c r="G3311" s="3">
        <v>7</v>
      </c>
      <c r="H3311" s="17">
        <f>Table1[[#This Row],[Unit price]]*Table1[[#This Row],[Quantity]]</f>
        <v>372.60999999999996</v>
      </c>
      <c r="I3311" s="29">
        <f>Table1[[#This Row],[Total Revenue]]/$H$5056*100</f>
        <v>3.9532336312696384E-2</v>
      </c>
      <c r="J3311" s="3" t="s">
        <v>15</v>
      </c>
      <c r="K3311" s="4">
        <v>6.9</v>
      </c>
      <c r="M3311"/>
    </row>
    <row r="3312" spans="1:13" x14ac:dyDescent="0.25">
      <c r="A3312" s="3" t="s">
        <v>173</v>
      </c>
      <c r="B3312" s="3" t="s">
        <v>243</v>
      </c>
      <c r="C3312" s="3" t="s">
        <v>13</v>
      </c>
      <c r="D3312" s="3" t="s">
        <v>10</v>
      </c>
      <c r="E3312" s="5" t="s">
        <v>20</v>
      </c>
      <c r="F3312" s="17">
        <v>62.08</v>
      </c>
      <c r="G3312" s="3">
        <v>1</v>
      </c>
      <c r="H3312" s="17">
        <f>Table1[[#This Row],[Unit price]]*Table1[[#This Row],[Quantity]]</f>
        <v>62.08</v>
      </c>
      <c r="I3312" s="29">
        <f>Table1[[#This Row],[Total Revenue]]/$H$5056*100</f>
        <v>6.5864239775963911E-3</v>
      </c>
      <c r="J3312" s="3" t="s">
        <v>17</v>
      </c>
      <c r="K3312" s="4">
        <v>3.7</v>
      </c>
      <c r="M3312"/>
    </row>
    <row r="3313" spans="1:13" x14ac:dyDescent="0.25">
      <c r="A3313" s="3" t="s">
        <v>173</v>
      </c>
      <c r="B3313" s="3" t="s">
        <v>243</v>
      </c>
      <c r="C3313" s="3" t="s">
        <v>13</v>
      </c>
      <c r="D3313" s="3" t="s">
        <v>10</v>
      </c>
      <c r="E3313" s="5" t="s">
        <v>21</v>
      </c>
      <c r="F3313" s="17">
        <v>22.84</v>
      </c>
      <c r="G3313" s="3">
        <v>3</v>
      </c>
      <c r="H3313" s="17">
        <f>Table1[[#This Row],[Unit price]]*Table1[[#This Row],[Quantity]]</f>
        <v>68.52</v>
      </c>
      <c r="I3313" s="29">
        <f>Table1[[#This Row],[Total Revenue]]/$H$5056*100</f>
        <v>7.2696805886743677E-3</v>
      </c>
      <c r="J3313" s="3" t="s">
        <v>12</v>
      </c>
      <c r="K3313" s="4">
        <v>7.2</v>
      </c>
      <c r="M3313"/>
    </row>
    <row r="3314" spans="1:13" x14ac:dyDescent="0.25">
      <c r="A3314" s="3" t="s">
        <v>173</v>
      </c>
      <c r="B3314" s="3" t="s">
        <v>243</v>
      </c>
      <c r="C3314" s="3" t="s">
        <v>13</v>
      </c>
      <c r="D3314" s="3" t="s">
        <v>10</v>
      </c>
      <c r="E3314" s="5" t="s">
        <v>21</v>
      </c>
      <c r="F3314" s="17">
        <v>19.809999999999999</v>
      </c>
      <c r="G3314" s="3">
        <v>4</v>
      </c>
      <c r="H3314" s="17">
        <f>Table1[[#This Row],[Unit price]]*Table1[[#This Row],[Quantity]]</f>
        <v>79.239999999999995</v>
      </c>
      <c r="I3314" s="29">
        <f>Table1[[#This Row],[Total Revenue]]/$H$5056*100</f>
        <v>8.4070269971768374E-3</v>
      </c>
      <c r="J3314" s="3" t="s">
        <v>15</v>
      </c>
      <c r="K3314" s="4">
        <v>9.6999999999999993</v>
      </c>
      <c r="M3314"/>
    </row>
    <row r="3315" spans="1:13" x14ac:dyDescent="0.25">
      <c r="A3315" s="3" t="s">
        <v>173</v>
      </c>
      <c r="B3315" s="3" t="s">
        <v>245</v>
      </c>
      <c r="C3315" s="3" t="s">
        <v>13</v>
      </c>
      <c r="D3315" s="3" t="s">
        <v>10</v>
      </c>
      <c r="E3315" s="5" t="s">
        <v>11</v>
      </c>
      <c r="F3315" s="17">
        <v>11.16</v>
      </c>
      <c r="G3315" s="3">
        <v>8</v>
      </c>
      <c r="H3315" s="17">
        <f>Table1[[#This Row],[Unit price]]*Table1[[#This Row],[Quantity]]</f>
        <v>89.28</v>
      </c>
      <c r="I3315" s="29">
        <f>Table1[[#This Row],[Total Revenue]]/$H$5056*100</f>
        <v>9.4722282976772848E-3</v>
      </c>
      <c r="J3315" s="3" t="s">
        <v>12</v>
      </c>
      <c r="K3315" s="4">
        <v>4</v>
      </c>
      <c r="M3315"/>
    </row>
    <row r="3316" spans="1:13" x14ac:dyDescent="0.25">
      <c r="A3316" s="3" t="s">
        <v>173</v>
      </c>
      <c r="B3316" s="3" t="s">
        <v>245</v>
      </c>
      <c r="C3316" s="3" t="s">
        <v>9</v>
      </c>
      <c r="D3316" s="3" t="s">
        <v>10</v>
      </c>
      <c r="E3316" s="5" t="s">
        <v>11</v>
      </c>
      <c r="F3316" s="17">
        <v>9.4600000000000009</v>
      </c>
      <c r="G3316" s="3">
        <v>9</v>
      </c>
      <c r="H3316" s="17">
        <f>Table1[[#This Row],[Unit price]]*Table1[[#This Row],[Quantity]]</f>
        <v>85.140000000000015</v>
      </c>
      <c r="I3316" s="29">
        <f>Table1[[#This Row],[Total Revenue]]/$H$5056*100</f>
        <v>9.0329919048414455E-3</v>
      </c>
      <c r="J3316" s="3" t="s">
        <v>12</v>
      </c>
      <c r="K3316" s="4">
        <v>6.5</v>
      </c>
      <c r="M3316"/>
    </row>
    <row r="3317" spans="1:13" x14ac:dyDescent="0.25">
      <c r="A3317" s="3" t="s">
        <v>173</v>
      </c>
      <c r="B3317" s="3" t="s">
        <v>245</v>
      </c>
      <c r="C3317" s="3" t="s">
        <v>9</v>
      </c>
      <c r="D3317" s="3" t="s">
        <v>19</v>
      </c>
      <c r="E3317" s="5" t="s">
        <v>14</v>
      </c>
      <c r="F3317" s="17">
        <v>85.45</v>
      </c>
      <c r="G3317" s="3">
        <v>2</v>
      </c>
      <c r="H3317" s="17">
        <f>Table1[[#This Row],[Unit price]]*Table1[[#This Row],[Quantity]]</f>
        <v>170.9</v>
      </c>
      <c r="I3317" s="29">
        <f>Table1[[#This Row],[Total Revenue]]/$H$5056*100</f>
        <v>1.8131763172861203E-2</v>
      </c>
      <c r="J3317" s="3" t="s">
        <v>12</v>
      </c>
      <c r="K3317" s="4">
        <v>9</v>
      </c>
      <c r="M3317"/>
    </row>
    <row r="3318" spans="1:13" x14ac:dyDescent="0.25">
      <c r="A3318" s="3" t="s">
        <v>173</v>
      </c>
      <c r="B3318" s="3" t="s">
        <v>244</v>
      </c>
      <c r="C3318" s="3" t="s">
        <v>9</v>
      </c>
      <c r="D3318" s="3" t="s">
        <v>10</v>
      </c>
      <c r="E3318" s="5" t="s">
        <v>21</v>
      </c>
      <c r="F3318" s="17">
        <v>35.700000000000003</v>
      </c>
      <c r="G3318" s="3">
        <v>5</v>
      </c>
      <c r="H3318" s="17">
        <f>Table1[[#This Row],[Unit price]]*Table1[[#This Row],[Quantity]]</f>
        <v>178.5</v>
      </c>
      <c r="I3318" s="29">
        <f>Table1[[#This Row],[Total Revenue]]/$H$5056*100</f>
        <v>1.8938090850530866E-2</v>
      </c>
      <c r="J3318" s="3" t="s">
        <v>17</v>
      </c>
      <c r="K3318" s="4">
        <v>8</v>
      </c>
      <c r="M3318"/>
    </row>
    <row r="3319" spans="1:13" x14ac:dyDescent="0.25">
      <c r="A3319" s="3" t="s">
        <v>174</v>
      </c>
      <c r="B3319" s="3" t="s">
        <v>244</v>
      </c>
      <c r="C3319" s="3" t="s">
        <v>9</v>
      </c>
      <c r="D3319" s="3" t="s">
        <v>19</v>
      </c>
      <c r="E3319" s="5" t="s">
        <v>20</v>
      </c>
      <c r="F3319" s="17">
        <v>60.1</v>
      </c>
      <c r="G3319" s="3">
        <v>9</v>
      </c>
      <c r="H3319" s="17">
        <f>Table1[[#This Row],[Unit price]]*Table1[[#This Row],[Quantity]]</f>
        <v>540.9</v>
      </c>
      <c r="I3319" s="29">
        <f>Table1[[#This Row],[Total Revenue]]/$H$5056*100</f>
        <v>5.7387189585726292E-2</v>
      </c>
      <c r="J3319" s="3" t="s">
        <v>15</v>
      </c>
      <c r="K3319" s="4">
        <v>7.7</v>
      </c>
      <c r="M3319"/>
    </row>
    <row r="3320" spans="1:13" x14ac:dyDescent="0.25">
      <c r="A3320" s="3" t="s">
        <v>174</v>
      </c>
      <c r="B3320" s="3" t="s">
        <v>244</v>
      </c>
      <c r="C3320" s="3" t="s">
        <v>13</v>
      </c>
      <c r="D3320" s="3" t="s">
        <v>10</v>
      </c>
      <c r="E3320" s="5" t="s">
        <v>11</v>
      </c>
      <c r="F3320" s="17">
        <v>3.31</v>
      </c>
      <c r="G3320" s="3">
        <v>3</v>
      </c>
      <c r="H3320" s="17">
        <f>Table1[[#This Row],[Unit price]]*Table1[[#This Row],[Quantity]]</f>
        <v>9.93</v>
      </c>
      <c r="I3320" s="29">
        <f>Table1[[#This Row],[Total Revenue]]/$H$5056*100</f>
        <v>1.0535307683236497E-3</v>
      </c>
      <c r="J3320" s="3" t="s">
        <v>15</v>
      </c>
      <c r="K3320" s="4">
        <v>7.8</v>
      </c>
      <c r="M3320"/>
    </row>
    <row r="3321" spans="1:13" x14ac:dyDescent="0.25">
      <c r="A3321" s="3" t="s">
        <v>174</v>
      </c>
      <c r="B3321" s="3" t="s">
        <v>245</v>
      </c>
      <c r="C3321" s="3" t="s">
        <v>13</v>
      </c>
      <c r="D3321" s="3" t="s">
        <v>10</v>
      </c>
      <c r="E3321" s="5" t="s">
        <v>20</v>
      </c>
      <c r="F3321" s="17">
        <v>66.42</v>
      </c>
      <c r="G3321" s="3">
        <v>8</v>
      </c>
      <c r="H3321" s="17">
        <f>Table1[[#This Row],[Unit price]]*Table1[[#This Row],[Quantity]]</f>
        <v>531.36</v>
      </c>
      <c r="I3321" s="29">
        <f>Table1[[#This Row],[Total Revenue]]/$H$5056*100</f>
        <v>5.6375036158756754E-2</v>
      </c>
      <c r="J3321" s="3" t="s">
        <v>12</v>
      </c>
      <c r="K3321" s="4">
        <v>5.4</v>
      </c>
      <c r="M3321"/>
    </row>
    <row r="3322" spans="1:13" x14ac:dyDescent="0.25">
      <c r="A3322" s="3" t="s">
        <v>174</v>
      </c>
      <c r="B3322" s="3" t="s">
        <v>245</v>
      </c>
      <c r="C3322" s="3" t="s">
        <v>9</v>
      </c>
      <c r="D3322" s="3" t="s">
        <v>10</v>
      </c>
      <c r="E3322" s="5" t="s">
        <v>11</v>
      </c>
      <c r="F3322" s="17">
        <v>2.77</v>
      </c>
      <c r="G3322" s="3">
        <v>2</v>
      </c>
      <c r="H3322" s="17">
        <f>Table1[[#This Row],[Unit price]]*Table1[[#This Row],[Quantity]]</f>
        <v>5.54</v>
      </c>
      <c r="I3322" s="29">
        <f>Table1[[#This Row],[Total Revenue]]/$H$5056*100</f>
        <v>5.8777043872235851E-4</v>
      </c>
      <c r="J3322" s="3" t="s">
        <v>17</v>
      </c>
      <c r="K3322" s="4">
        <v>5</v>
      </c>
      <c r="M3322"/>
    </row>
    <row r="3323" spans="1:13" x14ac:dyDescent="0.25">
      <c r="A3323" s="3" t="s">
        <v>174</v>
      </c>
      <c r="B3323" s="3" t="s">
        <v>245</v>
      </c>
      <c r="C3323" s="3" t="s">
        <v>13</v>
      </c>
      <c r="D3323" s="3" t="s">
        <v>19</v>
      </c>
      <c r="E3323" s="5" t="s">
        <v>11</v>
      </c>
      <c r="F3323" s="17">
        <v>4.28</v>
      </c>
      <c r="G3323" s="3">
        <v>3</v>
      </c>
      <c r="H3323" s="17">
        <f>Table1[[#This Row],[Unit price]]*Table1[[#This Row],[Quantity]]</f>
        <v>12.84</v>
      </c>
      <c r="I3323" s="29">
        <f>Table1[[#This Row],[Total Revenue]]/$H$5056*100</f>
        <v>1.3622693922734806E-3</v>
      </c>
      <c r="J3323" s="3" t="s">
        <v>17</v>
      </c>
      <c r="K3323" s="4">
        <v>8.5</v>
      </c>
      <c r="M3323"/>
    </row>
    <row r="3324" spans="1:13" x14ac:dyDescent="0.25">
      <c r="A3324" s="3" t="s">
        <v>174</v>
      </c>
      <c r="B3324" s="3" t="s">
        <v>245</v>
      </c>
      <c r="C3324" s="3" t="s">
        <v>9</v>
      </c>
      <c r="D3324" s="3" t="s">
        <v>10</v>
      </c>
      <c r="E3324" s="5" t="s">
        <v>11</v>
      </c>
      <c r="F3324" s="17">
        <v>11.74</v>
      </c>
      <c r="G3324" s="3">
        <v>5</v>
      </c>
      <c r="H3324" s="17">
        <f>Table1[[#This Row],[Unit price]]*Table1[[#This Row],[Quantity]]</f>
        <v>58.7</v>
      </c>
      <c r="I3324" s="29">
        <f>Table1[[#This Row],[Total Revenue]]/$H$5056*100</f>
        <v>6.227820352527517E-3</v>
      </c>
      <c r="J3324" s="3" t="s">
        <v>17</v>
      </c>
      <c r="K3324" s="4">
        <v>8.5</v>
      </c>
      <c r="M3324"/>
    </row>
    <row r="3325" spans="1:13" x14ac:dyDescent="0.25">
      <c r="A3325" s="3" t="s">
        <v>174</v>
      </c>
      <c r="B3325" s="3" t="s">
        <v>243</v>
      </c>
      <c r="C3325" s="3" t="s">
        <v>13</v>
      </c>
      <c r="D3325" s="3" t="s">
        <v>19</v>
      </c>
      <c r="E3325" s="5" t="s">
        <v>11</v>
      </c>
      <c r="F3325" s="17">
        <v>6.36</v>
      </c>
      <c r="G3325" s="3">
        <v>8</v>
      </c>
      <c r="H3325" s="17">
        <f>Table1[[#This Row],[Unit price]]*Table1[[#This Row],[Quantity]]</f>
        <v>50.88</v>
      </c>
      <c r="I3325" s="29">
        <f>Table1[[#This Row],[Total Revenue]]/$H$5056*100</f>
        <v>5.3981516105042595E-3</v>
      </c>
      <c r="J3325" s="3" t="s">
        <v>17</v>
      </c>
      <c r="K3325" s="4">
        <v>8.9</v>
      </c>
      <c r="M3325"/>
    </row>
    <row r="3326" spans="1:13" x14ac:dyDescent="0.25">
      <c r="A3326" s="3" t="s">
        <v>174</v>
      </c>
      <c r="B3326" s="3" t="s">
        <v>243</v>
      </c>
      <c r="C3326" s="3" t="s">
        <v>13</v>
      </c>
      <c r="D3326" s="3" t="s">
        <v>19</v>
      </c>
      <c r="E3326" s="5" t="s">
        <v>21</v>
      </c>
      <c r="F3326" s="17">
        <v>26.7</v>
      </c>
      <c r="G3326" s="3">
        <v>4</v>
      </c>
      <c r="H3326" s="17">
        <f>Table1[[#This Row],[Unit price]]*Table1[[#This Row],[Quantity]]</f>
        <v>106.8</v>
      </c>
      <c r="I3326" s="29">
        <f>Table1[[#This Row],[Total Revenue]]/$H$5056*100</f>
        <v>1.1331025786199978E-2</v>
      </c>
      <c r="J3326" s="3" t="s">
        <v>17</v>
      </c>
      <c r="K3326" s="4">
        <v>9.1999999999999993</v>
      </c>
      <c r="M3326"/>
    </row>
    <row r="3327" spans="1:13" x14ac:dyDescent="0.25">
      <c r="A3327" s="3" t="s">
        <v>174</v>
      </c>
      <c r="B3327" s="3" t="s">
        <v>245</v>
      </c>
      <c r="C3327" s="3" t="s">
        <v>13</v>
      </c>
      <c r="D3327" s="3" t="s">
        <v>10</v>
      </c>
      <c r="E3327" s="5" t="s">
        <v>11</v>
      </c>
      <c r="F3327" s="17">
        <v>2.1800000000000002</v>
      </c>
      <c r="G3327" s="3">
        <v>6</v>
      </c>
      <c r="H3327" s="17">
        <f>Table1[[#This Row],[Unit price]]*Table1[[#This Row],[Quantity]]</f>
        <v>13.080000000000002</v>
      </c>
      <c r="I3327" s="29">
        <f>Table1[[#This Row],[Total Revenue]]/$H$5056*100</f>
        <v>1.3877323715683122E-3</v>
      </c>
      <c r="J3327" s="3" t="s">
        <v>17</v>
      </c>
      <c r="K3327" s="4">
        <v>6.5</v>
      </c>
      <c r="M3327"/>
    </row>
    <row r="3328" spans="1:13" x14ac:dyDescent="0.25">
      <c r="A3328" s="3" t="s">
        <v>174</v>
      </c>
      <c r="B3328" s="3" t="s">
        <v>245</v>
      </c>
      <c r="C3328" s="3" t="s">
        <v>13</v>
      </c>
      <c r="D3328" s="3" t="s">
        <v>19</v>
      </c>
      <c r="E3328" s="5" t="s">
        <v>20</v>
      </c>
      <c r="F3328" s="17">
        <v>59.16</v>
      </c>
      <c r="G3328" s="3">
        <v>7</v>
      </c>
      <c r="H3328" s="17">
        <f>Table1[[#This Row],[Unit price]]*Table1[[#This Row],[Quantity]]</f>
        <v>414.12</v>
      </c>
      <c r="I3328" s="29">
        <f>Table1[[#This Row],[Total Revenue]]/$H$5056*100</f>
        <v>4.3936370773231599E-2</v>
      </c>
      <c r="J3328" s="3" t="s">
        <v>17</v>
      </c>
      <c r="K3328" s="4">
        <v>6.4</v>
      </c>
      <c r="M3328"/>
    </row>
    <row r="3329" spans="1:13" x14ac:dyDescent="0.25">
      <c r="A3329" s="3" t="s">
        <v>174</v>
      </c>
      <c r="B3329" s="3" t="s">
        <v>244</v>
      </c>
      <c r="C3329" s="3" t="s">
        <v>9</v>
      </c>
      <c r="D3329" s="3" t="s">
        <v>19</v>
      </c>
      <c r="E3329" s="5" t="s">
        <v>21</v>
      </c>
      <c r="F3329" s="17">
        <v>18.52</v>
      </c>
      <c r="G3329" s="3">
        <v>6</v>
      </c>
      <c r="H3329" s="17">
        <f>Table1[[#This Row],[Unit price]]*Table1[[#This Row],[Quantity]]</f>
        <v>111.12</v>
      </c>
      <c r="I3329" s="29">
        <f>Table1[[#This Row],[Total Revenue]]/$H$5056*100</f>
        <v>1.1789359413506945E-2</v>
      </c>
      <c r="J3329" s="3" t="s">
        <v>17</v>
      </c>
      <c r="K3329" s="4">
        <v>8.4</v>
      </c>
      <c r="M3329"/>
    </row>
    <row r="3330" spans="1:13" x14ac:dyDescent="0.25">
      <c r="A3330" s="3" t="s">
        <v>174</v>
      </c>
      <c r="B3330" s="3" t="s">
        <v>243</v>
      </c>
      <c r="C3330" s="3" t="s">
        <v>13</v>
      </c>
      <c r="D3330" s="3" t="s">
        <v>10</v>
      </c>
      <c r="E3330" s="5" t="s">
        <v>11</v>
      </c>
      <c r="F3330" s="17">
        <v>14.4</v>
      </c>
      <c r="G3330" s="3">
        <v>5</v>
      </c>
      <c r="H3330" s="17">
        <f>Table1[[#This Row],[Unit price]]*Table1[[#This Row],[Quantity]]</f>
        <v>72</v>
      </c>
      <c r="I3330" s="29">
        <f>Table1[[#This Row],[Total Revenue]]/$H$5056*100</f>
        <v>7.6388937884494246E-3</v>
      </c>
      <c r="J3330" s="3" t="s">
        <v>12</v>
      </c>
      <c r="K3330" s="4">
        <v>7.4</v>
      </c>
      <c r="M3330"/>
    </row>
    <row r="3331" spans="1:13" x14ac:dyDescent="0.25">
      <c r="A3331" s="3" t="s">
        <v>175</v>
      </c>
      <c r="B3331" s="3" t="s">
        <v>244</v>
      </c>
      <c r="C3331" s="3" t="s">
        <v>13</v>
      </c>
      <c r="D3331" s="3" t="s">
        <v>10</v>
      </c>
      <c r="E3331" s="5" t="s">
        <v>20</v>
      </c>
      <c r="F3331" s="17">
        <v>41.86</v>
      </c>
      <c r="G3331" s="3">
        <v>2</v>
      </c>
      <c r="H3331" s="17">
        <f>Table1[[#This Row],[Unit price]]*Table1[[#This Row],[Quantity]]</f>
        <v>83.72</v>
      </c>
      <c r="I3331" s="29">
        <f>Table1[[#This Row],[Total Revenue]]/$H$5056*100</f>
        <v>8.8823359440136918E-3</v>
      </c>
      <c r="J3331" s="3" t="s">
        <v>12</v>
      </c>
      <c r="K3331" s="4">
        <v>7.8</v>
      </c>
      <c r="M3331"/>
    </row>
    <row r="3332" spans="1:13" x14ac:dyDescent="0.25">
      <c r="A3332" s="3" t="s">
        <v>175</v>
      </c>
      <c r="B3332" s="3" t="s">
        <v>245</v>
      </c>
      <c r="C3332" s="3" t="s">
        <v>13</v>
      </c>
      <c r="D3332" s="3" t="s">
        <v>10</v>
      </c>
      <c r="E3332" s="5" t="s">
        <v>11</v>
      </c>
      <c r="F3332" s="17">
        <v>10.3</v>
      </c>
      <c r="G3332" s="3">
        <v>5</v>
      </c>
      <c r="H3332" s="17">
        <f>Table1[[#This Row],[Unit price]]*Table1[[#This Row],[Quantity]]</f>
        <v>51.5</v>
      </c>
      <c r="I3332" s="29">
        <f>Table1[[#This Row],[Total Revenue]]/$H$5056*100</f>
        <v>5.4639309736825743E-3</v>
      </c>
      <c r="J3332" s="3" t="s">
        <v>12</v>
      </c>
      <c r="K3332" s="4">
        <v>8.4</v>
      </c>
      <c r="M3332"/>
    </row>
    <row r="3333" spans="1:13" x14ac:dyDescent="0.25">
      <c r="A3333" s="3" t="s">
        <v>175</v>
      </c>
      <c r="B3333" s="3" t="s">
        <v>245</v>
      </c>
      <c r="C3333" s="3" t="s">
        <v>9</v>
      </c>
      <c r="D3333" s="3" t="s">
        <v>10</v>
      </c>
      <c r="E3333" s="5" t="s">
        <v>11</v>
      </c>
      <c r="F3333" s="17">
        <v>11.72</v>
      </c>
      <c r="G3333" s="3">
        <v>10</v>
      </c>
      <c r="H3333" s="17">
        <f>Table1[[#This Row],[Unit price]]*Table1[[#This Row],[Quantity]]</f>
        <v>117.2</v>
      </c>
      <c r="I3333" s="29">
        <f>Table1[[#This Row],[Total Revenue]]/$H$5056*100</f>
        <v>1.2434421555642674E-2</v>
      </c>
      <c r="J3333" s="3" t="s">
        <v>12</v>
      </c>
      <c r="K3333" s="4">
        <v>9.1</v>
      </c>
      <c r="M3333"/>
    </row>
    <row r="3334" spans="1:13" x14ac:dyDescent="0.25">
      <c r="A3334" s="3" t="s">
        <v>175</v>
      </c>
      <c r="B3334" s="3" t="s">
        <v>245</v>
      </c>
      <c r="C3334" s="3" t="s">
        <v>13</v>
      </c>
      <c r="D3334" s="3" t="s">
        <v>19</v>
      </c>
      <c r="E3334" s="5" t="s">
        <v>18</v>
      </c>
      <c r="F3334" s="17">
        <v>18.61</v>
      </c>
      <c r="G3334" s="3">
        <v>10</v>
      </c>
      <c r="H3334" s="17">
        <f>Table1[[#This Row],[Unit price]]*Table1[[#This Row],[Quantity]]</f>
        <v>186.1</v>
      </c>
      <c r="I3334" s="29">
        <f>Table1[[#This Row],[Total Revenue]]/$H$5056*100</f>
        <v>1.9744418528200525E-2</v>
      </c>
      <c r="J3334" s="3" t="s">
        <v>17</v>
      </c>
      <c r="K3334" s="4">
        <v>5.3</v>
      </c>
      <c r="M3334"/>
    </row>
    <row r="3335" spans="1:13" x14ac:dyDescent="0.25">
      <c r="A3335" s="3" t="s">
        <v>175</v>
      </c>
      <c r="B3335" s="3" t="s">
        <v>243</v>
      </c>
      <c r="C3335" s="3" t="s">
        <v>9</v>
      </c>
      <c r="D3335" s="3" t="s">
        <v>10</v>
      </c>
      <c r="E3335" s="5" t="s">
        <v>11</v>
      </c>
      <c r="F3335" s="17">
        <v>9.33</v>
      </c>
      <c r="G3335" s="3">
        <v>1</v>
      </c>
      <c r="H3335" s="17">
        <f>Table1[[#This Row],[Unit price]]*Table1[[#This Row],[Quantity]]</f>
        <v>9.33</v>
      </c>
      <c r="I3335" s="29">
        <f>Table1[[#This Row],[Total Revenue]]/$H$5056*100</f>
        <v>9.8987332008657124E-4</v>
      </c>
      <c r="J3335" s="3" t="s">
        <v>17</v>
      </c>
      <c r="K3335" s="4">
        <v>5.6</v>
      </c>
      <c r="M3335"/>
    </row>
    <row r="3336" spans="1:13" x14ac:dyDescent="0.25">
      <c r="A3336" s="3" t="s">
        <v>175</v>
      </c>
      <c r="B3336" s="3" t="s">
        <v>244</v>
      </c>
      <c r="C3336" s="3" t="s">
        <v>9</v>
      </c>
      <c r="D3336" s="3" t="s">
        <v>19</v>
      </c>
      <c r="E3336" s="5" t="s">
        <v>14</v>
      </c>
      <c r="F3336" s="17">
        <v>96.19</v>
      </c>
      <c r="G3336" s="3">
        <v>8</v>
      </c>
      <c r="H3336" s="17">
        <f>Table1[[#This Row],[Unit price]]*Table1[[#This Row],[Quantity]]</f>
        <v>769.52</v>
      </c>
      <c r="I3336" s="29">
        <f>Table1[[#This Row],[Total Revenue]]/$H$5056*100</f>
        <v>8.1642799278994455E-2</v>
      </c>
      <c r="J3336" s="3" t="s">
        <v>15</v>
      </c>
      <c r="K3336" s="4">
        <v>3.6</v>
      </c>
      <c r="M3336"/>
    </row>
    <row r="3337" spans="1:13" x14ac:dyDescent="0.25">
      <c r="A3337" s="3" t="s">
        <v>175</v>
      </c>
      <c r="B3337" s="3" t="s">
        <v>243</v>
      </c>
      <c r="C3337" s="3" t="s">
        <v>13</v>
      </c>
      <c r="D3337" s="3" t="s">
        <v>19</v>
      </c>
      <c r="E3337" s="5" t="s">
        <v>11</v>
      </c>
      <c r="F3337" s="17">
        <v>7.79</v>
      </c>
      <c r="G3337" s="3">
        <v>1</v>
      </c>
      <c r="H3337" s="17">
        <f>Table1[[#This Row],[Unit price]]*Table1[[#This Row],[Quantity]]</f>
        <v>7.79</v>
      </c>
      <c r="I3337" s="29">
        <f>Table1[[#This Row],[Total Revenue]]/$H$5056*100</f>
        <v>8.2648586961140292E-4</v>
      </c>
      <c r="J3337" s="3" t="s">
        <v>12</v>
      </c>
      <c r="K3337" s="4">
        <v>6.9</v>
      </c>
      <c r="M3337"/>
    </row>
    <row r="3338" spans="1:13" x14ac:dyDescent="0.25">
      <c r="A3338" s="3" t="s">
        <v>175</v>
      </c>
      <c r="B3338" s="3" t="s">
        <v>243</v>
      </c>
      <c r="C3338" s="3" t="s">
        <v>13</v>
      </c>
      <c r="D3338" s="3" t="s">
        <v>19</v>
      </c>
      <c r="E3338" s="5" t="s">
        <v>21</v>
      </c>
      <c r="F3338" s="17">
        <v>31.82</v>
      </c>
      <c r="G3338" s="3">
        <v>5</v>
      </c>
      <c r="H3338" s="17">
        <f>Table1[[#This Row],[Unit price]]*Table1[[#This Row],[Quantity]]</f>
        <v>159.1</v>
      </c>
      <c r="I3338" s="29">
        <f>Table1[[#This Row],[Total Revenue]]/$H$5056*100</f>
        <v>1.687983335753199E-2</v>
      </c>
      <c r="J3338" s="3" t="s">
        <v>17</v>
      </c>
      <c r="K3338" s="4">
        <v>3.2</v>
      </c>
      <c r="M3338"/>
    </row>
    <row r="3339" spans="1:13" x14ac:dyDescent="0.25">
      <c r="A3339" s="3" t="s">
        <v>175</v>
      </c>
      <c r="B3339" s="3" t="s">
        <v>245</v>
      </c>
      <c r="C3339" s="3" t="s">
        <v>13</v>
      </c>
      <c r="D3339" s="3" t="s">
        <v>19</v>
      </c>
      <c r="E3339" s="5" t="s">
        <v>21</v>
      </c>
      <c r="F3339" s="17">
        <v>16.13</v>
      </c>
      <c r="G3339" s="3">
        <v>6</v>
      </c>
      <c r="H3339" s="17">
        <f>Table1[[#This Row],[Unit price]]*Table1[[#This Row],[Quantity]]</f>
        <v>96.78</v>
      </c>
      <c r="I3339" s="29">
        <f>Table1[[#This Row],[Total Revenue]]/$H$5056*100</f>
        <v>1.0267946400640767E-2</v>
      </c>
      <c r="J3339" s="3" t="s">
        <v>17</v>
      </c>
      <c r="K3339" s="4">
        <v>6.2</v>
      </c>
      <c r="M3339"/>
    </row>
    <row r="3340" spans="1:13" x14ac:dyDescent="0.25">
      <c r="A3340" s="3" t="s">
        <v>175</v>
      </c>
      <c r="B3340" s="3" t="s">
        <v>244</v>
      </c>
      <c r="C3340" s="3" t="s">
        <v>13</v>
      </c>
      <c r="D3340" s="3" t="s">
        <v>19</v>
      </c>
      <c r="E3340" s="5" t="s">
        <v>21</v>
      </c>
      <c r="F3340" s="17">
        <v>26.8</v>
      </c>
      <c r="G3340" s="3">
        <v>5</v>
      </c>
      <c r="H3340" s="17">
        <f>Table1[[#This Row],[Unit price]]*Table1[[#This Row],[Quantity]]</f>
        <v>134</v>
      </c>
      <c r="I3340" s="29">
        <f>Table1[[#This Row],[Total Revenue]]/$H$5056*100</f>
        <v>1.4216830106280871E-2</v>
      </c>
      <c r="J3340" s="3" t="s">
        <v>12</v>
      </c>
      <c r="K3340" s="4">
        <v>6.7</v>
      </c>
      <c r="M3340"/>
    </row>
    <row r="3341" spans="1:13" x14ac:dyDescent="0.25">
      <c r="A3341" s="3" t="s">
        <v>176</v>
      </c>
      <c r="B3341" s="3" t="s">
        <v>245</v>
      </c>
      <c r="C3341" s="3" t="s">
        <v>9</v>
      </c>
      <c r="D3341" s="3" t="s">
        <v>10</v>
      </c>
      <c r="E3341" s="5" t="s">
        <v>18</v>
      </c>
      <c r="F3341" s="17">
        <v>22.83</v>
      </c>
      <c r="G3341" s="3">
        <v>8</v>
      </c>
      <c r="H3341" s="17">
        <f>Table1[[#This Row],[Unit price]]*Table1[[#This Row],[Quantity]]</f>
        <v>182.64</v>
      </c>
      <c r="I3341" s="29">
        <f>Table1[[#This Row],[Total Revenue]]/$H$5056*100</f>
        <v>1.9377327243366705E-2</v>
      </c>
      <c r="J3341" s="3" t="s">
        <v>17</v>
      </c>
      <c r="K3341" s="4">
        <v>4.9000000000000004</v>
      </c>
      <c r="M3341"/>
    </row>
    <row r="3342" spans="1:13" x14ac:dyDescent="0.25">
      <c r="A3342" s="3" t="s">
        <v>176</v>
      </c>
      <c r="B3342" s="3" t="s">
        <v>243</v>
      </c>
      <c r="C3342" s="3" t="s">
        <v>13</v>
      </c>
      <c r="D3342" s="3" t="s">
        <v>19</v>
      </c>
      <c r="E3342" s="5" t="s">
        <v>14</v>
      </c>
      <c r="F3342" s="17">
        <v>86.59</v>
      </c>
      <c r="G3342" s="3">
        <v>3</v>
      </c>
      <c r="H3342" s="17">
        <f>Table1[[#This Row],[Unit price]]*Table1[[#This Row],[Quantity]]</f>
        <v>259.77</v>
      </c>
      <c r="I3342" s="29">
        <f>Table1[[#This Row],[Total Revenue]]/$H$5056*100</f>
        <v>2.7560492214243146E-2</v>
      </c>
      <c r="J3342" s="3" t="s">
        <v>17</v>
      </c>
      <c r="K3342" s="4">
        <v>7</v>
      </c>
      <c r="M3342"/>
    </row>
    <row r="3343" spans="1:13" x14ac:dyDescent="0.25">
      <c r="A3343" s="3" t="s">
        <v>176</v>
      </c>
      <c r="B3343" s="3" t="s">
        <v>244</v>
      </c>
      <c r="C3343" s="3" t="s">
        <v>13</v>
      </c>
      <c r="D3343" s="3" t="s">
        <v>19</v>
      </c>
      <c r="E3343" s="5" t="s">
        <v>21</v>
      </c>
      <c r="F3343" s="17">
        <v>33.9</v>
      </c>
      <c r="G3343" s="3">
        <v>5</v>
      </c>
      <c r="H3343" s="17">
        <f>Table1[[#This Row],[Unit price]]*Table1[[#This Row],[Quantity]]</f>
        <v>169.5</v>
      </c>
      <c r="I3343" s="29">
        <f>Table1[[#This Row],[Total Revenue]]/$H$5056*100</f>
        <v>1.7983229126974684E-2</v>
      </c>
      <c r="J3343" s="3" t="s">
        <v>12</v>
      </c>
      <c r="K3343" s="4">
        <v>3.2</v>
      </c>
      <c r="M3343"/>
    </row>
    <row r="3344" spans="1:13" x14ac:dyDescent="0.25">
      <c r="A3344" s="3" t="s">
        <v>176</v>
      </c>
      <c r="B3344" s="3" t="s">
        <v>243</v>
      </c>
      <c r="C3344" s="3" t="s">
        <v>13</v>
      </c>
      <c r="D3344" s="3" t="s">
        <v>10</v>
      </c>
      <c r="E3344" s="5" t="s">
        <v>18</v>
      </c>
      <c r="F3344" s="17">
        <v>9.9499999999999993</v>
      </c>
      <c r="G3344" s="3">
        <v>6</v>
      </c>
      <c r="H3344" s="17">
        <f>Table1[[#This Row],[Unit price]]*Table1[[#This Row],[Quantity]]</f>
        <v>59.699999999999996</v>
      </c>
      <c r="I3344" s="29">
        <f>Table1[[#This Row],[Total Revenue]]/$H$5056*100</f>
        <v>6.3339160995893127E-3</v>
      </c>
      <c r="J3344" s="3" t="s">
        <v>15</v>
      </c>
      <c r="K3344" s="4">
        <v>3.3</v>
      </c>
      <c r="M3344"/>
    </row>
    <row r="3345" spans="1:13" x14ac:dyDescent="0.25">
      <c r="A3345" s="3" t="s">
        <v>176</v>
      </c>
      <c r="B3345" s="3" t="s">
        <v>245</v>
      </c>
      <c r="C3345" s="3" t="s">
        <v>9</v>
      </c>
      <c r="D3345" s="3" t="s">
        <v>19</v>
      </c>
      <c r="E3345" s="5" t="s">
        <v>11</v>
      </c>
      <c r="F3345" s="17">
        <v>10.58</v>
      </c>
      <c r="G3345" s="3">
        <v>10</v>
      </c>
      <c r="H3345" s="17">
        <f>Table1[[#This Row],[Unit price]]*Table1[[#This Row],[Quantity]]</f>
        <v>105.8</v>
      </c>
      <c r="I3345" s="29">
        <f>Table1[[#This Row],[Total Revenue]]/$H$5056*100</f>
        <v>1.1224930039138182E-2</v>
      </c>
      <c r="J3345" s="3" t="s">
        <v>17</v>
      </c>
      <c r="K3345" s="4">
        <v>8.6</v>
      </c>
      <c r="M3345"/>
    </row>
    <row r="3346" spans="1:13" x14ac:dyDescent="0.25">
      <c r="A3346" s="3" t="s">
        <v>176</v>
      </c>
      <c r="B3346" s="3" t="s">
        <v>244</v>
      </c>
      <c r="C3346" s="3" t="s">
        <v>9</v>
      </c>
      <c r="D3346" s="3" t="s">
        <v>19</v>
      </c>
      <c r="E3346" s="5" t="s">
        <v>16</v>
      </c>
      <c r="F3346" s="17">
        <v>67.819999999999993</v>
      </c>
      <c r="G3346" s="3">
        <v>8</v>
      </c>
      <c r="H3346" s="17">
        <f>Table1[[#This Row],[Unit price]]*Table1[[#This Row],[Quantity]]</f>
        <v>542.55999999999995</v>
      </c>
      <c r="I3346" s="29">
        <f>Table1[[#This Row],[Total Revenue]]/$H$5056*100</f>
        <v>5.7563308525848872E-2</v>
      </c>
      <c r="J3346" s="3" t="s">
        <v>12</v>
      </c>
      <c r="K3346" s="4">
        <v>5.4</v>
      </c>
      <c r="M3346"/>
    </row>
    <row r="3347" spans="1:13" x14ac:dyDescent="0.25">
      <c r="A3347" s="3" t="s">
        <v>176</v>
      </c>
      <c r="B3347" s="3" t="s">
        <v>244</v>
      </c>
      <c r="C3347" s="3" t="s">
        <v>13</v>
      </c>
      <c r="D3347" s="3" t="s">
        <v>19</v>
      </c>
      <c r="E3347" s="5" t="s">
        <v>18</v>
      </c>
      <c r="F3347" s="17">
        <v>9.69</v>
      </c>
      <c r="G3347" s="3">
        <v>4</v>
      </c>
      <c r="H3347" s="17">
        <f>Table1[[#This Row],[Unit price]]*Table1[[#This Row],[Quantity]]</f>
        <v>38.76</v>
      </c>
      <c r="I3347" s="29">
        <f>Table1[[#This Row],[Total Revenue]]/$H$5056*100</f>
        <v>4.1122711561152733E-3</v>
      </c>
      <c r="J3347" s="3" t="s">
        <v>17</v>
      </c>
      <c r="K3347" s="4">
        <v>3.9</v>
      </c>
      <c r="M3347"/>
    </row>
    <row r="3348" spans="1:13" x14ac:dyDescent="0.25">
      <c r="A3348" s="3" t="s">
        <v>176</v>
      </c>
      <c r="B3348" s="3" t="s">
        <v>244</v>
      </c>
      <c r="C3348" s="3" t="s">
        <v>9</v>
      </c>
      <c r="D3348" s="3" t="s">
        <v>10</v>
      </c>
      <c r="E3348" s="5" t="s">
        <v>18</v>
      </c>
      <c r="F3348" s="17">
        <v>23.33</v>
      </c>
      <c r="G3348" s="3">
        <v>10</v>
      </c>
      <c r="H3348" s="17">
        <f>Table1[[#This Row],[Unit price]]*Table1[[#This Row],[Quantity]]</f>
        <v>233.29999999999998</v>
      </c>
      <c r="I3348" s="29">
        <f>Table1[[#This Row],[Total Revenue]]/$H$5056*100</f>
        <v>2.4752137789517365E-2</v>
      </c>
      <c r="J3348" s="3" t="s">
        <v>12</v>
      </c>
      <c r="K3348" s="4">
        <v>6.6</v>
      </c>
      <c r="M3348"/>
    </row>
    <row r="3349" spans="1:13" x14ac:dyDescent="0.25">
      <c r="A3349" s="3" t="s">
        <v>176</v>
      </c>
      <c r="B3349" s="3" t="s">
        <v>245</v>
      </c>
      <c r="C3349" s="3" t="s">
        <v>9</v>
      </c>
      <c r="D3349" s="3" t="s">
        <v>10</v>
      </c>
      <c r="E3349" s="5" t="s">
        <v>20</v>
      </c>
      <c r="F3349" s="17">
        <v>66.290000000000006</v>
      </c>
      <c r="G3349" s="3">
        <v>9</v>
      </c>
      <c r="H3349" s="17">
        <f>Table1[[#This Row],[Unit price]]*Table1[[#This Row],[Quantity]]</f>
        <v>596.61</v>
      </c>
      <c r="I3349" s="29">
        <f>Table1[[#This Row],[Total Revenue]]/$H$5056*100</f>
        <v>6.3297783654539044E-2</v>
      </c>
      <c r="J3349" s="3" t="s">
        <v>15</v>
      </c>
      <c r="K3349" s="4">
        <v>8.1999999999999993</v>
      </c>
      <c r="M3349"/>
    </row>
    <row r="3350" spans="1:13" x14ac:dyDescent="0.25">
      <c r="A3350" s="3" t="s">
        <v>176</v>
      </c>
      <c r="B3350" s="3" t="s">
        <v>244</v>
      </c>
      <c r="C3350" s="3" t="s">
        <v>13</v>
      </c>
      <c r="D3350" s="3" t="s">
        <v>19</v>
      </c>
      <c r="E3350" s="5" t="s">
        <v>11</v>
      </c>
      <c r="F3350" s="17">
        <v>7.55</v>
      </c>
      <c r="G3350" s="3">
        <v>8</v>
      </c>
      <c r="H3350" s="17">
        <f>Table1[[#This Row],[Unit price]]*Table1[[#This Row],[Quantity]]</f>
        <v>60.4</v>
      </c>
      <c r="I3350" s="29">
        <f>Table1[[#This Row],[Total Revenue]]/$H$5056*100</f>
        <v>6.4081831225325722E-3</v>
      </c>
      <c r="J3350" s="3" t="s">
        <v>15</v>
      </c>
      <c r="K3350" s="4">
        <v>4.5</v>
      </c>
      <c r="M3350"/>
    </row>
    <row r="3351" spans="1:13" x14ac:dyDescent="0.25">
      <c r="A3351" s="3" t="s">
        <v>176</v>
      </c>
      <c r="B3351" s="3" t="s">
        <v>243</v>
      </c>
      <c r="C3351" s="3" t="s">
        <v>13</v>
      </c>
      <c r="D3351" s="3" t="s">
        <v>10</v>
      </c>
      <c r="E3351" s="5" t="s">
        <v>11</v>
      </c>
      <c r="F3351" s="17">
        <v>6.14</v>
      </c>
      <c r="G3351" s="3">
        <v>7</v>
      </c>
      <c r="H3351" s="17">
        <f>Table1[[#This Row],[Unit price]]*Table1[[#This Row],[Quantity]]</f>
        <v>42.98</v>
      </c>
      <c r="I3351" s="29">
        <f>Table1[[#This Row],[Total Revenue]]/$H$5056*100</f>
        <v>4.5599952087160582E-3</v>
      </c>
      <c r="J3351" s="3" t="s">
        <v>12</v>
      </c>
      <c r="K3351" s="4">
        <v>7.2</v>
      </c>
      <c r="M3351"/>
    </row>
    <row r="3352" spans="1:13" x14ac:dyDescent="0.25">
      <c r="A3352" s="3" t="s">
        <v>177</v>
      </c>
      <c r="B3352" s="3" t="s">
        <v>244</v>
      </c>
      <c r="C3352" s="3" t="s">
        <v>9</v>
      </c>
      <c r="D3352" s="3" t="s">
        <v>10</v>
      </c>
      <c r="E3352" s="5" t="s">
        <v>11</v>
      </c>
      <c r="F3352" s="17">
        <v>4.93</v>
      </c>
      <c r="G3352" s="3">
        <v>3</v>
      </c>
      <c r="H3352" s="17">
        <f>Table1[[#This Row],[Unit price]]*Table1[[#This Row],[Quantity]]</f>
        <v>14.79</v>
      </c>
      <c r="I3352" s="29">
        <f>Table1[[#This Row],[Total Revenue]]/$H$5056*100</f>
        <v>1.5691560990439858E-3</v>
      </c>
      <c r="J3352" s="3" t="s">
        <v>17</v>
      </c>
      <c r="K3352" s="4">
        <v>3.6</v>
      </c>
      <c r="M3352"/>
    </row>
    <row r="3353" spans="1:13" x14ac:dyDescent="0.25">
      <c r="A3353" s="3" t="s">
        <v>177</v>
      </c>
      <c r="B3353" s="3" t="s">
        <v>243</v>
      </c>
      <c r="C3353" s="3" t="s">
        <v>13</v>
      </c>
      <c r="D3353" s="3" t="s">
        <v>10</v>
      </c>
      <c r="E3353" s="5" t="s">
        <v>14</v>
      </c>
      <c r="F3353" s="17">
        <v>82.54</v>
      </c>
      <c r="G3353" s="3">
        <v>4</v>
      </c>
      <c r="H3353" s="17">
        <f>Table1[[#This Row],[Unit price]]*Table1[[#This Row],[Quantity]]</f>
        <v>330.16</v>
      </c>
      <c r="I3353" s="29">
        <f>Table1[[#This Row],[Total Revenue]]/$H$5056*100</f>
        <v>3.5028571849923085E-2</v>
      </c>
      <c r="J3353" s="3" t="s">
        <v>15</v>
      </c>
      <c r="K3353" s="4">
        <v>3.4</v>
      </c>
      <c r="M3353"/>
    </row>
    <row r="3354" spans="1:13" x14ac:dyDescent="0.25">
      <c r="A3354" s="3" t="s">
        <v>177</v>
      </c>
      <c r="B3354" s="3" t="s">
        <v>244</v>
      </c>
      <c r="C3354" s="3" t="s">
        <v>13</v>
      </c>
      <c r="D3354" s="3" t="s">
        <v>10</v>
      </c>
      <c r="E3354" s="5" t="s">
        <v>11</v>
      </c>
      <c r="F3354" s="17">
        <v>3.2</v>
      </c>
      <c r="G3354" s="3">
        <v>4</v>
      </c>
      <c r="H3354" s="17">
        <f>Table1[[#This Row],[Unit price]]*Table1[[#This Row],[Quantity]]</f>
        <v>12.8</v>
      </c>
      <c r="I3354" s="29">
        <f>Table1[[#This Row],[Total Revenue]]/$H$5056*100</f>
        <v>1.3580255623910087E-3</v>
      </c>
      <c r="J3354" s="3" t="s">
        <v>15</v>
      </c>
      <c r="K3354" s="4">
        <v>6.6</v>
      </c>
      <c r="M3354"/>
    </row>
    <row r="3355" spans="1:13" x14ac:dyDescent="0.25">
      <c r="A3355" s="3" t="s">
        <v>177</v>
      </c>
      <c r="B3355" s="3" t="s">
        <v>243</v>
      </c>
      <c r="C3355" s="3" t="s">
        <v>13</v>
      </c>
      <c r="D3355" s="3" t="s">
        <v>19</v>
      </c>
      <c r="E3355" s="5" t="s">
        <v>21</v>
      </c>
      <c r="F3355" s="17">
        <v>19.7</v>
      </c>
      <c r="G3355" s="3">
        <v>10</v>
      </c>
      <c r="H3355" s="17">
        <f>Table1[[#This Row],[Unit price]]*Table1[[#This Row],[Quantity]]</f>
        <v>197</v>
      </c>
      <c r="I3355" s="29">
        <f>Table1[[#This Row],[Total Revenue]]/$H$5056*100</f>
        <v>2.0900862171174116E-2</v>
      </c>
      <c r="J3355" s="3" t="s">
        <v>17</v>
      </c>
      <c r="K3355" s="4">
        <v>6.7</v>
      </c>
      <c r="M3355"/>
    </row>
    <row r="3356" spans="1:13" x14ac:dyDescent="0.25">
      <c r="A3356" s="3" t="s">
        <v>177</v>
      </c>
      <c r="B3356" s="3" t="s">
        <v>243</v>
      </c>
      <c r="C3356" s="3" t="s">
        <v>9</v>
      </c>
      <c r="D3356" s="3" t="s">
        <v>10</v>
      </c>
      <c r="E3356" s="5" t="s">
        <v>20</v>
      </c>
      <c r="F3356" s="17">
        <v>67.27</v>
      </c>
      <c r="G3356" s="3">
        <v>4</v>
      </c>
      <c r="H3356" s="17">
        <f>Table1[[#This Row],[Unit price]]*Table1[[#This Row],[Quantity]]</f>
        <v>269.08</v>
      </c>
      <c r="I3356" s="29">
        <f>Table1[[#This Row],[Total Revenue]]/$H$5056*100</f>
        <v>2.8548243619388482E-2</v>
      </c>
      <c r="J3356" s="3" t="s">
        <v>17</v>
      </c>
      <c r="K3356" s="4">
        <v>7.3</v>
      </c>
      <c r="M3356"/>
    </row>
    <row r="3357" spans="1:13" x14ac:dyDescent="0.25">
      <c r="A3357" s="3" t="s">
        <v>177</v>
      </c>
      <c r="B3357" s="3" t="s">
        <v>244</v>
      </c>
      <c r="C3357" s="3" t="s">
        <v>13</v>
      </c>
      <c r="D3357" s="3" t="s">
        <v>10</v>
      </c>
      <c r="E3357" s="5" t="s">
        <v>14</v>
      </c>
      <c r="F3357" s="17">
        <v>93.18</v>
      </c>
      <c r="G3357" s="3">
        <v>4</v>
      </c>
      <c r="H3357" s="17">
        <f>Table1[[#This Row],[Unit price]]*Table1[[#This Row],[Quantity]]</f>
        <v>372.72</v>
      </c>
      <c r="I3357" s="29">
        <f>Table1[[#This Row],[Total Revenue]]/$H$5056*100</f>
        <v>3.9544006844873185E-2</v>
      </c>
      <c r="J3357" s="3" t="s">
        <v>12</v>
      </c>
      <c r="K3357" s="4">
        <v>7.9</v>
      </c>
      <c r="M3357"/>
    </row>
    <row r="3358" spans="1:13" x14ac:dyDescent="0.25">
      <c r="A3358" s="3" t="s">
        <v>177</v>
      </c>
      <c r="B3358" s="3" t="s">
        <v>244</v>
      </c>
      <c r="C3358" s="3" t="s">
        <v>9</v>
      </c>
      <c r="D3358" s="3" t="s">
        <v>10</v>
      </c>
      <c r="E3358" s="5" t="s">
        <v>11</v>
      </c>
      <c r="F3358" s="17">
        <v>8.94</v>
      </c>
      <c r="G3358" s="3">
        <v>6</v>
      </c>
      <c r="H3358" s="17">
        <f>Table1[[#This Row],[Unit price]]*Table1[[#This Row],[Quantity]]</f>
        <v>53.64</v>
      </c>
      <c r="I3358" s="29">
        <f>Table1[[#This Row],[Total Revenue]]/$H$5056*100</f>
        <v>5.6909758723948213E-3</v>
      </c>
      <c r="J3358" s="3" t="s">
        <v>12</v>
      </c>
      <c r="K3358" s="4">
        <v>9.6</v>
      </c>
      <c r="M3358"/>
    </row>
    <row r="3359" spans="1:13" x14ac:dyDescent="0.25">
      <c r="A3359" s="3" t="s">
        <v>177</v>
      </c>
      <c r="B3359" s="3" t="s">
        <v>245</v>
      </c>
      <c r="C3359" s="3" t="s">
        <v>9</v>
      </c>
      <c r="D3359" s="3" t="s">
        <v>10</v>
      </c>
      <c r="E3359" s="5" t="s">
        <v>21</v>
      </c>
      <c r="F3359" s="17">
        <v>39.53</v>
      </c>
      <c r="G3359" s="3">
        <v>8</v>
      </c>
      <c r="H3359" s="17">
        <f>Table1[[#This Row],[Unit price]]*Table1[[#This Row],[Quantity]]</f>
        <v>316.24</v>
      </c>
      <c r="I3359" s="29">
        <f>Table1[[#This Row],[Total Revenue]]/$H$5056*100</f>
        <v>3.3551719050822854E-2</v>
      </c>
      <c r="J3359" s="3" t="s">
        <v>17</v>
      </c>
      <c r="K3359" s="4">
        <v>6.5</v>
      </c>
      <c r="M3359"/>
    </row>
    <row r="3360" spans="1:13" x14ac:dyDescent="0.25">
      <c r="A3360" s="3" t="s">
        <v>177</v>
      </c>
      <c r="B3360" s="3" t="s">
        <v>244</v>
      </c>
      <c r="C3360" s="3" t="s">
        <v>13</v>
      </c>
      <c r="D3360" s="3" t="s">
        <v>10</v>
      </c>
      <c r="E3360" s="5" t="s">
        <v>11</v>
      </c>
      <c r="F3360" s="17">
        <v>9.31</v>
      </c>
      <c r="G3360" s="3">
        <v>4</v>
      </c>
      <c r="H3360" s="17">
        <f>Table1[[#This Row],[Unit price]]*Table1[[#This Row],[Quantity]]</f>
        <v>37.24</v>
      </c>
      <c r="I3360" s="29">
        <f>Table1[[#This Row],[Total Revenue]]/$H$5056*100</f>
        <v>3.9510056205813411E-3</v>
      </c>
      <c r="J3360" s="3" t="s">
        <v>17</v>
      </c>
      <c r="K3360" s="4">
        <v>5.2</v>
      </c>
      <c r="M3360"/>
    </row>
    <row r="3361" spans="1:13" x14ac:dyDescent="0.25">
      <c r="A3361" s="3" t="s">
        <v>177</v>
      </c>
      <c r="B3361" s="3" t="s">
        <v>243</v>
      </c>
      <c r="C3361" s="3" t="s">
        <v>9</v>
      </c>
      <c r="D3361" s="3" t="s">
        <v>10</v>
      </c>
      <c r="E3361" s="5" t="s">
        <v>11</v>
      </c>
      <c r="F3361" s="17">
        <v>4.55</v>
      </c>
      <c r="G3361" s="3">
        <v>4</v>
      </c>
      <c r="H3361" s="17">
        <f>Table1[[#This Row],[Unit price]]*Table1[[#This Row],[Quantity]]</f>
        <v>18.2</v>
      </c>
      <c r="I3361" s="29">
        <f>Table1[[#This Row],[Total Revenue]]/$H$5056*100</f>
        <v>1.9309425965247152E-3</v>
      </c>
      <c r="J3361" s="3" t="s">
        <v>12</v>
      </c>
      <c r="K3361" s="4">
        <v>8.4</v>
      </c>
      <c r="M3361"/>
    </row>
    <row r="3362" spans="1:13" x14ac:dyDescent="0.25">
      <c r="A3362" s="3" t="s">
        <v>177</v>
      </c>
      <c r="B3362" s="3" t="s">
        <v>243</v>
      </c>
      <c r="C3362" s="3" t="s">
        <v>9</v>
      </c>
      <c r="D3362" s="3" t="s">
        <v>10</v>
      </c>
      <c r="E3362" s="5" t="s">
        <v>16</v>
      </c>
      <c r="F3362" s="17">
        <v>74.650000000000006</v>
      </c>
      <c r="G3362" s="3">
        <v>8</v>
      </c>
      <c r="H3362" s="17">
        <f>Table1[[#This Row],[Unit price]]*Table1[[#This Row],[Quantity]]</f>
        <v>597.20000000000005</v>
      </c>
      <c r="I3362" s="29">
        <f>Table1[[#This Row],[Total Revenue]]/$H$5056*100</f>
        <v>6.3360380145305498E-2</v>
      </c>
      <c r="J3362" s="3" t="s">
        <v>12</v>
      </c>
      <c r="K3362" s="4">
        <v>4.8</v>
      </c>
      <c r="M3362"/>
    </row>
    <row r="3363" spans="1:13" x14ac:dyDescent="0.25">
      <c r="A3363" s="3" t="s">
        <v>178</v>
      </c>
      <c r="B3363" s="3" t="s">
        <v>243</v>
      </c>
      <c r="C3363" s="3" t="s">
        <v>13</v>
      </c>
      <c r="D3363" s="3" t="s">
        <v>19</v>
      </c>
      <c r="E3363" s="5" t="s">
        <v>18</v>
      </c>
      <c r="F3363" s="17">
        <v>14.77</v>
      </c>
      <c r="G3363" s="3">
        <v>9</v>
      </c>
      <c r="H3363" s="17">
        <f>Table1[[#This Row],[Unit price]]*Table1[[#This Row],[Quantity]]</f>
        <v>132.93</v>
      </c>
      <c r="I3363" s="29">
        <f>Table1[[#This Row],[Total Revenue]]/$H$5056*100</f>
        <v>1.4103307656924748E-2</v>
      </c>
      <c r="J3363" s="3" t="s">
        <v>17</v>
      </c>
      <c r="K3363" s="4">
        <v>6</v>
      </c>
      <c r="M3363"/>
    </row>
    <row r="3364" spans="1:13" x14ac:dyDescent="0.25">
      <c r="A3364" s="3" t="s">
        <v>178</v>
      </c>
      <c r="B3364" s="3" t="s">
        <v>243</v>
      </c>
      <c r="C3364" s="3" t="s">
        <v>13</v>
      </c>
      <c r="D3364" s="3" t="s">
        <v>19</v>
      </c>
      <c r="E3364" s="5" t="s">
        <v>14</v>
      </c>
      <c r="F3364" s="17">
        <v>92.66</v>
      </c>
      <c r="G3364" s="3">
        <v>1</v>
      </c>
      <c r="H3364" s="17">
        <f>Table1[[#This Row],[Unit price]]*Table1[[#This Row],[Quantity]]</f>
        <v>92.66</v>
      </c>
      <c r="I3364" s="29">
        <f>Table1[[#This Row],[Total Revenue]]/$H$5056*100</f>
        <v>9.8308319227461607E-3</v>
      </c>
      <c r="J3364" s="3" t="s">
        <v>12</v>
      </c>
      <c r="K3364" s="4">
        <v>3.5</v>
      </c>
      <c r="M3364"/>
    </row>
    <row r="3365" spans="1:13" x14ac:dyDescent="0.25">
      <c r="A3365" s="3" t="s">
        <v>178</v>
      </c>
      <c r="B3365" s="3" t="s">
        <v>244</v>
      </c>
      <c r="C3365" s="3" t="s">
        <v>9</v>
      </c>
      <c r="D3365" s="3" t="s">
        <v>19</v>
      </c>
      <c r="E3365" s="5" t="s">
        <v>16</v>
      </c>
      <c r="F3365" s="17">
        <v>65.17</v>
      </c>
      <c r="G3365" s="3">
        <v>6</v>
      </c>
      <c r="H3365" s="17">
        <f>Table1[[#This Row],[Unit price]]*Table1[[#This Row],[Quantity]]</f>
        <v>391.02</v>
      </c>
      <c r="I3365" s="29">
        <f>Table1[[#This Row],[Total Revenue]]/$H$5056*100</f>
        <v>4.1485559016104075E-2</v>
      </c>
      <c r="J3365" s="3" t="s">
        <v>15</v>
      </c>
      <c r="K3365" s="4">
        <v>3.2</v>
      </c>
      <c r="M3365"/>
    </row>
    <row r="3366" spans="1:13" x14ac:dyDescent="0.25">
      <c r="A3366" s="3" t="s">
        <v>178</v>
      </c>
      <c r="B3366" s="3" t="s">
        <v>245</v>
      </c>
      <c r="C3366" s="3" t="s">
        <v>13</v>
      </c>
      <c r="D3366" s="3" t="s">
        <v>10</v>
      </c>
      <c r="E3366" s="5" t="s">
        <v>20</v>
      </c>
      <c r="F3366" s="17">
        <v>40.47</v>
      </c>
      <c r="G3366" s="3">
        <v>9</v>
      </c>
      <c r="H3366" s="17">
        <f>Table1[[#This Row],[Unit price]]*Table1[[#This Row],[Quantity]]</f>
        <v>364.23</v>
      </c>
      <c r="I3366" s="29">
        <f>Table1[[#This Row],[Total Revenue]]/$H$5056*100</f>
        <v>3.8643253952318525E-2</v>
      </c>
      <c r="J3366" s="3" t="s">
        <v>12</v>
      </c>
      <c r="K3366" s="4">
        <v>9.5</v>
      </c>
      <c r="M3366"/>
    </row>
    <row r="3367" spans="1:13" x14ac:dyDescent="0.25">
      <c r="A3367" s="3" t="s">
        <v>178</v>
      </c>
      <c r="B3367" s="3" t="s">
        <v>243</v>
      </c>
      <c r="C3367" s="3" t="s">
        <v>13</v>
      </c>
      <c r="D3367" s="3" t="s">
        <v>10</v>
      </c>
      <c r="E3367" s="5" t="s">
        <v>11</v>
      </c>
      <c r="F3367" s="17">
        <v>5.73</v>
      </c>
      <c r="G3367" s="3">
        <v>9</v>
      </c>
      <c r="H3367" s="17">
        <f>Table1[[#This Row],[Unit price]]*Table1[[#This Row],[Quantity]]</f>
        <v>51.570000000000007</v>
      </c>
      <c r="I3367" s="29">
        <f>Table1[[#This Row],[Total Revenue]]/$H$5056*100</f>
        <v>5.4713576759769008E-3</v>
      </c>
      <c r="J3367" s="3" t="s">
        <v>17</v>
      </c>
      <c r="K3367" s="4">
        <v>8.6999999999999993</v>
      </c>
      <c r="M3367"/>
    </row>
    <row r="3368" spans="1:13" x14ac:dyDescent="0.25">
      <c r="A3368" s="3" t="s">
        <v>178</v>
      </c>
      <c r="B3368" s="3" t="s">
        <v>245</v>
      </c>
      <c r="C3368" s="3" t="s">
        <v>9</v>
      </c>
      <c r="D3368" s="3" t="s">
        <v>19</v>
      </c>
      <c r="E3368" s="5" t="s">
        <v>20</v>
      </c>
      <c r="F3368" s="17">
        <v>42.89</v>
      </c>
      <c r="G3368" s="3">
        <v>3</v>
      </c>
      <c r="H3368" s="17">
        <f>Table1[[#This Row],[Unit price]]*Table1[[#This Row],[Quantity]]</f>
        <v>128.67000000000002</v>
      </c>
      <c r="I3368" s="29">
        <f>Table1[[#This Row],[Total Revenue]]/$H$5056*100</f>
        <v>1.3651339774441494E-2</v>
      </c>
      <c r="J3368" s="3" t="s">
        <v>15</v>
      </c>
      <c r="K3368" s="4">
        <v>7.7</v>
      </c>
      <c r="M3368"/>
    </row>
    <row r="3369" spans="1:13" x14ac:dyDescent="0.25">
      <c r="A3369" s="3" t="s">
        <v>178</v>
      </c>
      <c r="B3369" s="3" t="s">
        <v>244</v>
      </c>
      <c r="C3369" s="3" t="s">
        <v>9</v>
      </c>
      <c r="D3369" s="3" t="s">
        <v>10</v>
      </c>
      <c r="E3369" s="5" t="s">
        <v>20</v>
      </c>
      <c r="F3369" s="17">
        <v>51.91</v>
      </c>
      <c r="G3369" s="3">
        <v>6</v>
      </c>
      <c r="H3369" s="17">
        <f>Table1[[#This Row],[Unit price]]*Table1[[#This Row],[Quantity]]</f>
        <v>311.45999999999998</v>
      </c>
      <c r="I3369" s="29">
        <f>Table1[[#This Row],[Total Revenue]]/$H$5056*100</f>
        <v>3.304458137986746E-2</v>
      </c>
      <c r="J3369" s="3" t="s">
        <v>17</v>
      </c>
      <c r="K3369" s="4">
        <v>5.8</v>
      </c>
      <c r="M3369"/>
    </row>
    <row r="3370" spans="1:13" x14ac:dyDescent="0.25">
      <c r="A3370" s="3" t="s">
        <v>178</v>
      </c>
      <c r="B3370" s="3" t="s">
        <v>244</v>
      </c>
      <c r="C3370" s="3" t="s">
        <v>9</v>
      </c>
      <c r="D3370" s="3" t="s">
        <v>19</v>
      </c>
      <c r="E3370" s="5" t="s">
        <v>21</v>
      </c>
      <c r="F3370" s="17">
        <v>35.700000000000003</v>
      </c>
      <c r="G3370" s="3">
        <v>2</v>
      </c>
      <c r="H3370" s="17">
        <f>Table1[[#This Row],[Unit price]]*Table1[[#This Row],[Quantity]]</f>
        <v>71.400000000000006</v>
      </c>
      <c r="I3370" s="29">
        <f>Table1[[#This Row],[Total Revenue]]/$H$5056*100</f>
        <v>7.5752363402123461E-3</v>
      </c>
      <c r="J3370" s="3" t="s">
        <v>17</v>
      </c>
      <c r="K3370" s="4">
        <v>4.2</v>
      </c>
      <c r="M3370"/>
    </row>
    <row r="3371" spans="1:13" x14ac:dyDescent="0.25">
      <c r="A3371" s="3" t="s">
        <v>178</v>
      </c>
      <c r="B3371" s="3" t="s">
        <v>245</v>
      </c>
      <c r="C3371" s="3" t="s">
        <v>13</v>
      </c>
      <c r="D3371" s="3" t="s">
        <v>19</v>
      </c>
      <c r="E3371" s="5" t="s">
        <v>16</v>
      </c>
      <c r="F3371" s="17">
        <v>61.32</v>
      </c>
      <c r="G3371" s="3">
        <v>8</v>
      </c>
      <c r="H3371" s="17">
        <f>Table1[[#This Row],[Unit price]]*Table1[[#This Row],[Quantity]]</f>
        <v>490.56</v>
      </c>
      <c r="I3371" s="29">
        <f>Table1[[#This Row],[Total Revenue]]/$H$5056*100</f>
        <v>5.2046329678635407E-2</v>
      </c>
      <c r="J3371" s="3" t="s">
        <v>15</v>
      </c>
      <c r="K3371" s="4">
        <v>4.0999999999999996</v>
      </c>
      <c r="M3371"/>
    </row>
    <row r="3372" spans="1:13" x14ac:dyDescent="0.25">
      <c r="A3372" s="3" t="s">
        <v>178</v>
      </c>
      <c r="B3372" s="3" t="s">
        <v>244</v>
      </c>
      <c r="C3372" s="3" t="s">
        <v>13</v>
      </c>
      <c r="D3372" s="3" t="s">
        <v>10</v>
      </c>
      <c r="E3372" s="5" t="s">
        <v>11</v>
      </c>
      <c r="F3372" s="17">
        <v>10.38</v>
      </c>
      <c r="G3372" s="3">
        <v>6</v>
      </c>
      <c r="H3372" s="17">
        <f>Table1[[#This Row],[Unit price]]*Table1[[#This Row],[Quantity]]</f>
        <v>62.28</v>
      </c>
      <c r="I3372" s="29">
        <f>Table1[[#This Row],[Total Revenue]]/$H$5056*100</f>
        <v>6.6076431270087523E-3</v>
      </c>
      <c r="J3372" s="3" t="s">
        <v>12</v>
      </c>
      <c r="K3372" s="4">
        <v>4.7</v>
      </c>
      <c r="M3372"/>
    </row>
    <row r="3373" spans="1:13" x14ac:dyDescent="0.25">
      <c r="A3373" s="3" t="s">
        <v>178</v>
      </c>
      <c r="B3373" s="3" t="s">
        <v>244</v>
      </c>
      <c r="C3373" s="3" t="s">
        <v>9</v>
      </c>
      <c r="D3373" s="3" t="s">
        <v>19</v>
      </c>
      <c r="E3373" s="5" t="s">
        <v>16</v>
      </c>
      <c r="F3373" s="17">
        <v>77.040000000000006</v>
      </c>
      <c r="G3373" s="3">
        <v>10</v>
      </c>
      <c r="H3373" s="17">
        <f>Table1[[#This Row],[Unit price]]*Table1[[#This Row],[Quantity]]</f>
        <v>770.40000000000009</v>
      </c>
      <c r="I3373" s="29">
        <f>Table1[[#This Row],[Total Revenue]]/$H$5056*100</f>
        <v>8.1736163536408848E-2</v>
      </c>
      <c r="J3373" s="3" t="s">
        <v>12</v>
      </c>
      <c r="K3373" s="4">
        <v>6.7</v>
      </c>
      <c r="M3373"/>
    </row>
    <row r="3374" spans="1:13" x14ac:dyDescent="0.25">
      <c r="A3374" s="3" t="s">
        <v>178</v>
      </c>
      <c r="B3374" s="3" t="s">
        <v>244</v>
      </c>
      <c r="C3374" s="3" t="s">
        <v>13</v>
      </c>
      <c r="D3374" s="3" t="s">
        <v>10</v>
      </c>
      <c r="E3374" s="5" t="s">
        <v>11</v>
      </c>
      <c r="F3374" s="17">
        <v>9.33</v>
      </c>
      <c r="G3374" s="3">
        <v>1</v>
      </c>
      <c r="H3374" s="17">
        <f>Table1[[#This Row],[Unit price]]*Table1[[#This Row],[Quantity]]</f>
        <v>9.33</v>
      </c>
      <c r="I3374" s="29">
        <f>Table1[[#This Row],[Total Revenue]]/$H$5056*100</f>
        <v>9.8987332008657124E-4</v>
      </c>
      <c r="J3374" s="3" t="s">
        <v>15</v>
      </c>
      <c r="K3374" s="4">
        <v>7.9</v>
      </c>
      <c r="M3374"/>
    </row>
    <row r="3375" spans="1:13" x14ac:dyDescent="0.25">
      <c r="A3375" s="3" t="s">
        <v>178</v>
      </c>
      <c r="B3375" s="3" t="s">
        <v>244</v>
      </c>
      <c r="C3375" s="3" t="s">
        <v>13</v>
      </c>
      <c r="D3375" s="3" t="s">
        <v>19</v>
      </c>
      <c r="E3375" s="5" t="s">
        <v>16</v>
      </c>
      <c r="F3375" s="17">
        <v>72.569999999999993</v>
      </c>
      <c r="G3375" s="3">
        <v>7</v>
      </c>
      <c r="H3375" s="17">
        <f>Table1[[#This Row],[Unit price]]*Table1[[#This Row],[Quantity]]</f>
        <v>507.98999999999995</v>
      </c>
      <c r="I3375" s="29">
        <f>Table1[[#This Row],[Total Revenue]]/$H$5056*100</f>
        <v>5.3895578549922538E-2</v>
      </c>
      <c r="J3375" s="3" t="s">
        <v>17</v>
      </c>
      <c r="K3375" s="4">
        <v>7.5</v>
      </c>
      <c r="M3375"/>
    </row>
    <row r="3376" spans="1:13" x14ac:dyDescent="0.25">
      <c r="A3376" s="3" t="s">
        <v>178</v>
      </c>
      <c r="B3376" s="3" t="s">
        <v>243</v>
      </c>
      <c r="C3376" s="3" t="s">
        <v>13</v>
      </c>
      <c r="D3376" s="3" t="s">
        <v>10</v>
      </c>
      <c r="E3376" s="5" t="s">
        <v>11</v>
      </c>
      <c r="F3376" s="17">
        <v>9.0299999999999994</v>
      </c>
      <c r="G3376" s="3">
        <v>7</v>
      </c>
      <c r="H3376" s="17">
        <f>Table1[[#This Row],[Unit price]]*Table1[[#This Row],[Quantity]]</f>
        <v>63.209999999999994</v>
      </c>
      <c r="I3376" s="29">
        <f>Table1[[#This Row],[Total Revenue]]/$H$5056*100</f>
        <v>6.7063121717762233E-3</v>
      </c>
      <c r="J3376" s="3" t="s">
        <v>17</v>
      </c>
      <c r="K3376" s="4">
        <v>4.9000000000000004</v>
      </c>
      <c r="M3376"/>
    </row>
    <row r="3377" spans="1:13" x14ac:dyDescent="0.25">
      <c r="A3377" s="3" t="s">
        <v>179</v>
      </c>
      <c r="B3377" s="3" t="s">
        <v>245</v>
      </c>
      <c r="C3377" s="3" t="s">
        <v>13</v>
      </c>
      <c r="D3377" s="3" t="s">
        <v>19</v>
      </c>
      <c r="E3377" s="5" t="s">
        <v>11</v>
      </c>
      <c r="F3377" s="17">
        <v>14.67</v>
      </c>
      <c r="G3377" s="3">
        <v>1</v>
      </c>
      <c r="H3377" s="17">
        <f>Table1[[#This Row],[Unit price]]*Table1[[#This Row],[Quantity]]</f>
        <v>14.67</v>
      </c>
      <c r="I3377" s="29">
        <f>Table1[[#This Row],[Total Revenue]]/$H$5056*100</f>
        <v>1.5564246093965699E-3</v>
      </c>
      <c r="J3377" s="3" t="s">
        <v>15</v>
      </c>
      <c r="K3377" s="4">
        <v>9.5</v>
      </c>
      <c r="M3377"/>
    </row>
    <row r="3378" spans="1:13" x14ac:dyDescent="0.25">
      <c r="A3378" s="3" t="s">
        <v>179</v>
      </c>
      <c r="B3378" s="3" t="s">
        <v>244</v>
      </c>
      <c r="C3378" s="3" t="s">
        <v>13</v>
      </c>
      <c r="D3378" s="3" t="s">
        <v>10</v>
      </c>
      <c r="E3378" s="5" t="s">
        <v>11</v>
      </c>
      <c r="F3378" s="17">
        <v>6.24</v>
      </c>
      <c r="G3378" s="3">
        <v>5</v>
      </c>
      <c r="H3378" s="17">
        <f>Table1[[#This Row],[Unit price]]*Table1[[#This Row],[Quantity]]</f>
        <v>31.200000000000003</v>
      </c>
      <c r="I3378" s="29">
        <f>Table1[[#This Row],[Total Revenue]]/$H$5056*100</f>
        <v>3.3101873083280836E-3</v>
      </c>
      <c r="J3378" s="3" t="s">
        <v>17</v>
      </c>
      <c r="K3378" s="4">
        <v>8</v>
      </c>
      <c r="M3378"/>
    </row>
    <row r="3379" spans="1:13" x14ac:dyDescent="0.25">
      <c r="A3379" s="3" t="s">
        <v>179</v>
      </c>
      <c r="B3379" s="3" t="s">
        <v>244</v>
      </c>
      <c r="C3379" s="3" t="s">
        <v>13</v>
      </c>
      <c r="D3379" s="3" t="s">
        <v>10</v>
      </c>
      <c r="E3379" s="5" t="s">
        <v>21</v>
      </c>
      <c r="F3379" s="17">
        <v>31.99</v>
      </c>
      <c r="G3379" s="3">
        <v>7</v>
      </c>
      <c r="H3379" s="17">
        <f>Table1[[#This Row],[Unit price]]*Table1[[#This Row],[Quantity]]</f>
        <v>223.92999999999998</v>
      </c>
      <c r="I3379" s="29">
        <f>Table1[[#This Row],[Total Revenue]]/$H$5056*100</f>
        <v>2.3758020639548325E-2</v>
      </c>
      <c r="J3379" s="3" t="s">
        <v>15</v>
      </c>
      <c r="K3379" s="4">
        <v>6.8</v>
      </c>
      <c r="M3379"/>
    </row>
    <row r="3380" spans="1:13" x14ac:dyDescent="0.25">
      <c r="A3380" s="3" t="s">
        <v>179</v>
      </c>
      <c r="B3380" s="3" t="s">
        <v>245</v>
      </c>
      <c r="C3380" s="3" t="s">
        <v>9</v>
      </c>
      <c r="D3380" s="3" t="s">
        <v>19</v>
      </c>
      <c r="E3380" s="5" t="s">
        <v>20</v>
      </c>
      <c r="F3380" s="17">
        <v>44.63</v>
      </c>
      <c r="G3380" s="3">
        <v>3</v>
      </c>
      <c r="H3380" s="17">
        <f>Table1[[#This Row],[Unit price]]*Table1[[#This Row],[Quantity]]</f>
        <v>133.89000000000001</v>
      </c>
      <c r="I3380" s="29">
        <f>Table1[[#This Row],[Total Revenue]]/$H$5056*100</f>
        <v>1.4205159574104075E-2</v>
      </c>
      <c r="J3380" s="3" t="s">
        <v>17</v>
      </c>
      <c r="K3380" s="4">
        <v>7.2</v>
      </c>
      <c r="M3380"/>
    </row>
    <row r="3381" spans="1:13" x14ac:dyDescent="0.25">
      <c r="A3381" s="3" t="s">
        <v>179</v>
      </c>
      <c r="B3381" s="3" t="s">
        <v>244</v>
      </c>
      <c r="C3381" s="3" t="s">
        <v>13</v>
      </c>
      <c r="D3381" s="3" t="s">
        <v>19</v>
      </c>
      <c r="E3381" s="5" t="s">
        <v>11</v>
      </c>
      <c r="F3381" s="17">
        <v>7.78</v>
      </c>
      <c r="G3381" s="3">
        <v>5</v>
      </c>
      <c r="H3381" s="17">
        <f>Table1[[#This Row],[Unit price]]*Table1[[#This Row],[Quantity]]</f>
        <v>38.9</v>
      </c>
      <c r="I3381" s="29">
        <f>Table1[[#This Row],[Total Revenue]]/$H$5056*100</f>
        <v>4.1271245607039245E-3</v>
      </c>
      <c r="J3381" s="3" t="s">
        <v>15</v>
      </c>
      <c r="K3381" s="4">
        <v>5.9</v>
      </c>
      <c r="M3381"/>
    </row>
    <row r="3382" spans="1:13" x14ac:dyDescent="0.25">
      <c r="A3382" s="3" t="s">
        <v>179</v>
      </c>
      <c r="B3382" s="3" t="s">
        <v>243</v>
      </c>
      <c r="C3382" s="3" t="s">
        <v>9</v>
      </c>
      <c r="D3382" s="3" t="s">
        <v>10</v>
      </c>
      <c r="E3382" s="5" t="s">
        <v>11</v>
      </c>
      <c r="F3382" s="17">
        <v>3.17</v>
      </c>
      <c r="G3382" s="3">
        <v>9</v>
      </c>
      <c r="H3382" s="17">
        <f>Table1[[#This Row],[Unit price]]*Table1[[#This Row],[Quantity]]</f>
        <v>28.53</v>
      </c>
      <c r="I3382" s="29">
        <f>Table1[[#This Row],[Total Revenue]]/$H$5056*100</f>
        <v>3.0269116636730841E-3</v>
      </c>
      <c r="J3382" s="3" t="s">
        <v>15</v>
      </c>
      <c r="K3382" s="4">
        <v>4.7</v>
      </c>
      <c r="M3382"/>
    </row>
    <row r="3383" spans="1:13" x14ac:dyDescent="0.25">
      <c r="A3383" s="3" t="s">
        <v>179</v>
      </c>
      <c r="B3383" s="3" t="s">
        <v>244</v>
      </c>
      <c r="C3383" s="3" t="s">
        <v>9</v>
      </c>
      <c r="D3383" s="3" t="s">
        <v>10</v>
      </c>
      <c r="E3383" s="5" t="s">
        <v>20</v>
      </c>
      <c r="F3383" s="17">
        <v>52.41</v>
      </c>
      <c r="G3383" s="3">
        <v>2</v>
      </c>
      <c r="H3383" s="17">
        <f>Table1[[#This Row],[Unit price]]*Table1[[#This Row],[Quantity]]</f>
        <v>104.82</v>
      </c>
      <c r="I3383" s="29">
        <f>Table1[[#This Row],[Total Revenue]]/$H$5056*100</f>
        <v>1.112095620701762E-2</v>
      </c>
      <c r="J3383" s="3" t="s">
        <v>17</v>
      </c>
      <c r="K3383" s="4">
        <v>5.4</v>
      </c>
      <c r="M3383"/>
    </row>
    <row r="3384" spans="1:13" x14ac:dyDescent="0.25">
      <c r="A3384" s="3" t="s">
        <v>179</v>
      </c>
      <c r="B3384" s="3" t="s">
        <v>245</v>
      </c>
      <c r="C3384" s="3" t="s">
        <v>13</v>
      </c>
      <c r="D3384" s="3" t="s">
        <v>19</v>
      </c>
      <c r="E3384" s="5" t="s">
        <v>20</v>
      </c>
      <c r="F3384" s="17">
        <v>45.09</v>
      </c>
      <c r="G3384" s="3">
        <v>7</v>
      </c>
      <c r="H3384" s="17">
        <f>Table1[[#This Row],[Unit price]]*Table1[[#This Row],[Quantity]]</f>
        <v>315.63</v>
      </c>
      <c r="I3384" s="29">
        <f>Table1[[#This Row],[Total Revenue]]/$H$5056*100</f>
        <v>3.3487000645115159E-2</v>
      </c>
      <c r="J3384" s="3" t="s">
        <v>15</v>
      </c>
      <c r="K3384" s="4">
        <v>8.1999999999999993</v>
      </c>
      <c r="M3384"/>
    </row>
    <row r="3385" spans="1:13" x14ac:dyDescent="0.25">
      <c r="A3385" s="3" t="s">
        <v>179</v>
      </c>
      <c r="B3385" s="3" t="s">
        <v>244</v>
      </c>
      <c r="C3385" s="3" t="s">
        <v>9</v>
      </c>
      <c r="D3385" s="3" t="s">
        <v>19</v>
      </c>
      <c r="E3385" s="5" t="s">
        <v>11</v>
      </c>
      <c r="F3385" s="17">
        <v>7.65</v>
      </c>
      <c r="G3385" s="3">
        <v>7</v>
      </c>
      <c r="H3385" s="17">
        <f>Table1[[#This Row],[Unit price]]*Table1[[#This Row],[Quantity]]</f>
        <v>53.550000000000004</v>
      </c>
      <c r="I3385" s="29">
        <f>Table1[[#This Row],[Total Revenue]]/$H$5056*100</f>
        <v>5.6814272551592594E-3</v>
      </c>
      <c r="J3385" s="3" t="s">
        <v>15</v>
      </c>
      <c r="K3385" s="4">
        <v>3.1</v>
      </c>
      <c r="M3385"/>
    </row>
    <row r="3386" spans="1:13" x14ac:dyDescent="0.25">
      <c r="A3386" s="3" t="s">
        <v>179</v>
      </c>
      <c r="B3386" s="3" t="s">
        <v>243</v>
      </c>
      <c r="C3386" s="3" t="s">
        <v>13</v>
      </c>
      <c r="D3386" s="3" t="s">
        <v>19</v>
      </c>
      <c r="E3386" s="5" t="s">
        <v>18</v>
      </c>
      <c r="F3386" s="17">
        <v>14.92</v>
      </c>
      <c r="G3386" s="3">
        <v>10</v>
      </c>
      <c r="H3386" s="17">
        <f>Table1[[#This Row],[Unit price]]*Table1[[#This Row],[Quantity]]</f>
        <v>149.19999999999999</v>
      </c>
      <c r="I3386" s="29">
        <f>Table1[[#This Row],[Total Revenue]]/$H$5056*100</f>
        <v>1.5829485461620194E-2</v>
      </c>
      <c r="J3386" s="3" t="s">
        <v>15</v>
      </c>
      <c r="K3386" s="4">
        <v>3.8</v>
      </c>
      <c r="M3386"/>
    </row>
    <row r="3387" spans="1:13" x14ac:dyDescent="0.25">
      <c r="A3387" s="3" t="s">
        <v>179</v>
      </c>
      <c r="B3387" s="3" t="s">
        <v>244</v>
      </c>
      <c r="C3387" s="3" t="s">
        <v>9</v>
      </c>
      <c r="D3387" s="3" t="s">
        <v>10</v>
      </c>
      <c r="E3387" s="5" t="s">
        <v>11</v>
      </c>
      <c r="F3387" s="17">
        <v>10.06</v>
      </c>
      <c r="G3387" s="3">
        <v>6</v>
      </c>
      <c r="H3387" s="17">
        <f>Table1[[#This Row],[Unit price]]*Table1[[#This Row],[Quantity]]</f>
        <v>60.36</v>
      </c>
      <c r="I3387" s="29">
        <f>Table1[[#This Row],[Total Revenue]]/$H$5056*100</f>
        <v>6.4039392926501003E-3</v>
      </c>
      <c r="J3387" s="3" t="s">
        <v>12</v>
      </c>
      <c r="K3387" s="4">
        <v>3.3</v>
      </c>
      <c r="M3387"/>
    </row>
    <row r="3388" spans="1:13" x14ac:dyDescent="0.25">
      <c r="A3388" s="3" t="s">
        <v>179</v>
      </c>
      <c r="B3388" s="3" t="s">
        <v>245</v>
      </c>
      <c r="C3388" s="3" t="s">
        <v>9</v>
      </c>
      <c r="D3388" s="3" t="s">
        <v>19</v>
      </c>
      <c r="E3388" s="5" t="s">
        <v>21</v>
      </c>
      <c r="F3388" s="17">
        <v>30.08</v>
      </c>
      <c r="G3388" s="3">
        <v>4</v>
      </c>
      <c r="H3388" s="17">
        <f>Table1[[#This Row],[Unit price]]*Table1[[#This Row],[Quantity]]</f>
        <v>120.32</v>
      </c>
      <c r="I3388" s="29">
        <f>Table1[[#This Row],[Total Revenue]]/$H$5056*100</f>
        <v>1.2765440286475482E-2</v>
      </c>
      <c r="J3388" s="3" t="s">
        <v>12</v>
      </c>
      <c r="K3388" s="4">
        <v>3.3</v>
      </c>
      <c r="M3388"/>
    </row>
    <row r="3389" spans="1:13" x14ac:dyDescent="0.25">
      <c r="A3389" s="3" t="s">
        <v>179</v>
      </c>
      <c r="B3389" s="3" t="s">
        <v>243</v>
      </c>
      <c r="C3389" s="3" t="s">
        <v>9</v>
      </c>
      <c r="D3389" s="3" t="s">
        <v>10</v>
      </c>
      <c r="E3389" s="5" t="s">
        <v>11</v>
      </c>
      <c r="F3389" s="17">
        <v>11.03</v>
      </c>
      <c r="G3389" s="3">
        <v>8</v>
      </c>
      <c r="H3389" s="17">
        <f>Table1[[#This Row],[Unit price]]*Table1[[#This Row],[Quantity]]</f>
        <v>88.24</v>
      </c>
      <c r="I3389" s="29">
        <f>Table1[[#This Row],[Total Revenue]]/$H$5056*100</f>
        <v>9.3618887207330154E-3</v>
      </c>
      <c r="J3389" s="3" t="s">
        <v>17</v>
      </c>
      <c r="K3389" s="4">
        <v>8.8000000000000007</v>
      </c>
      <c r="M3389"/>
    </row>
    <row r="3390" spans="1:13" x14ac:dyDescent="0.25">
      <c r="A3390" s="3" t="s">
        <v>179</v>
      </c>
      <c r="B3390" s="3" t="s">
        <v>244</v>
      </c>
      <c r="C3390" s="3" t="s">
        <v>13</v>
      </c>
      <c r="D3390" s="3" t="s">
        <v>10</v>
      </c>
      <c r="E3390" s="5" t="s">
        <v>18</v>
      </c>
      <c r="F3390" s="17">
        <v>12.86</v>
      </c>
      <c r="G3390" s="3">
        <v>2</v>
      </c>
      <c r="H3390" s="17">
        <f>Table1[[#This Row],[Unit price]]*Table1[[#This Row],[Quantity]]</f>
        <v>25.72</v>
      </c>
      <c r="I3390" s="29">
        <f>Table1[[#This Row],[Total Revenue]]/$H$5056*100</f>
        <v>2.728782614429433E-3</v>
      </c>
      <c r="J3390" s="3" t="s">
        <v>17</v>
      </c>
      <c r="K3390" s="4">
        <v>7.8</v>
      </c>
      <c r="M3390"/>
    </row>
    <row r="3391" spans="1:13" x14ac:dyDescent="0.25">
      <c r="A3391" s="3" t="s">
        <v>180</v>
      </c>
      <c r="B3391" s="3" t="s">
        <v>245</v>
      </c>
      <c r="C3391" s="3" t="s">
        <v>13</v>
      </c>
      <c r="D3391" s="3" t="s">
        <v>19</v>
      </c>
      <c r="E3391" s="5" t="s">
        <v>11</v>
      </c>
      <c r="F3391" s="17">
        <v>9.15</v>
      </c>
      <c r="G3391" s="3">
        <v>8</v>
      </c>
      <c r="H3391" s="17">
        <f>Table1[[#This Row],[Unit price]]*Table1[[#This Row],[Quantity]]</f>
        <v>73.2</v>
      </c>
      <c r="I3391" s="29">
        <f>Table1[[#This Row],[Total Revenue]]/$H$5056*100</f>
        <v>7.7662086849235815E-3</v>
      </c>
      <c r="J3391" s="3" t="s">
        <v>17</v>
      </c>
      <c r="K3391" s="4">
        <v>6.2</v>
      </c>
      <c r="M3391"/>
    </row>
    <row r="3392" spans="1:13" x14ac:dyDescent="0.25">
      <c r="A3392" s="3" t="s">
        <v>180</v>
      </c>
      <c r="B3392" s="3" t="s">
        <v>245</v>
      </c>
      <c r="C3392" s="3" t="s">
        <v>13</v>
      </c>
      <c r="D3392" s="3" t="s">
        <v>19</v>
      </c>
      <c r="E3392" s="5" t="s">
        <v>11</v>
      </c>
      <c r="F3392" s="17">
        <v>12.34</v>
      </c>
      <c r="G3392" s="3">
        <v>7</v>
      </c>
      <c r="H3392" s="17">
        <f>Table1[[#This Row],[Unit price]]*Table1[[#This Row],[Quantity]]</f>
        <v>86.38</v>
      </c>
      <c r="I3392" s="29">
        <f>Table1[[#This Row],[Total Revenue]]/$H$5056*100</f>
        <v>9.1645506311980717E-3</v>
      </c>
      <c r="J3392" s="3" t="s">
        <v>17</v>
      </c>
      <c r="K3392" s="4">
        <v>3.7</v>
      </c>
      <c r="M3392"/>
    </row>
    <row r="3393" spans="1:13" x14ac:dyDescent="0.25">
      <c r="A3393" s="3" t="s">
        <v>180</v>
      </c>
      <c r="B3393" s="3" t="s">
        <v>244</v>
      </c>
      <c r="C3393" s="3" t="s">
        <v>13</v>
      </c>
      <c r="D3393" s="3" t="s">
        <v>10</v>
      </c>
      <c r="E3393" s="5" t="s">
        <v>11</v>
      </c>
      <c r="F3393" s="17">
        <v>11.3</v>
      </c>
      <c r="G3393" s="3">
        <v>7</v>
      </c>
      <c r="H3393" s="17">
        <f>Table1[[#This Row],[Unit price]]*Table1[[#This Row],[Quantity]]</f>
        <v>79.100000000000009</v>
      </c>
      <c r="I3393" s="29">
        <f>Table1[[#This Row],[Total Revenue]]/$H$5056*100</f>
        <v>8.3921735925881879E-3</v>
      </c>
      <c r="J3393" s="3" t="s">
        <v>15</v>
      </c>
      <c r="K3393" s="4">
        <v>6.3</v>
      </c>
      <c r="M3393"/>
    </row>
    <row r="3394" spans="1:13" x14ac:dyDescent="0.25">
      <c r="A3394" s="3" t="s">
        <v>180</v>
      </c>
      <c r="B3394" s="3" t="s">
        <v>243</v>
      </c>
      <c r="C3394" s="3" t="s">
        <v>13</v>
      </c>
      <c r="D3394" s="3" t="s">
        <v>10</v>
      </c>
      <c r="E3394" s="5" t="s">
        <v>14</v>
      </c>
      <c r="F3394" s="17">
        <v>97.5</v>
      </c>
      <c r="G3394" s="3">
        <v>7</v>
      </c>
      <c r="H3394" s="17">
        <f>Table1[[#This Row],[Unit price]]*Table1[[#This Row],[Quantity]]</f>
        <v>682.5</v>
      </c>
      <c r="I3394" s="29">
        <f>Table1[[#This Row],[Total Revenue]]/$H$5056*100</f>
        <v>7.2410347369676831E-2</v>
      </c>
      <c r="J3394" s="3" t="s">
        <v>12</v>
      </c>
      <c r="K3394" s="4">
        <v>6.2</v>
      </c>
      <c r="M3394"/>
    </row>
    <row r="3395" spans="1:13" x14ac:dyDescent="0.25">
      <c r="A3395" s="3" t="s">
        <v>180</v>
      </c>
      <c r="B3395" s="3" t="s">
        <v>243</v>
      </c>
      <c r="C3395" s="3" t="s">
        <v>9</v>
      </c>
      <c r="D3395" s="3" t="s">
        <v>19</v>
      </c>
      <c r="E3395" s="5" t="s">
        <v>18</v>
      </c>
      <c r="F3395" s="17">
        <v>9.9600000000000009</v>
      </c>
      <c r="G3395" s="3">
        <v>6</v>
      </c>
      <c r="H3395" s="17">
        <f>Table1[[#This Row],[Unit price]]*Table1[[#This Row],[Quantity]]</f>
        <v>59.760000000000005</v>
      </c>
      <c r="I3395" s="29">
        <f>Table1[[#This Row],[Total Revenue]]/$H$5056*100</f>
        <v>6.3402818444130218E-3</v>
      </c>
      <c r="J3395" s="3" t="s">
        <v>15</v>
      </c>
      <c r="K3395" s="4">
        <v>4.2</v>
      </c>
      <c r="M3395"/>
    </row>
    <row r="3396" spans="1:13" x14ac:dyDescent="0.25">
      <c r="A3396" s="3" t="s">
        <v>180</v>
      </c>
      <c r="B3396" s="3" t="s">
        <v>243</v>
      </c>
      <c r="C3396" s="3" t="s">
        <v>13</v>
      </c>
      <c r="D3396" s="3" t="s">
        <v>10</v>
      </c>
      <c r="E3396" s="5" t="s">
        <v>20</v>
      </c>
      <c r="F3396" s="17">
        <v>49.95</v>
      </c>
      <c r="G3396" s="3">
        <v>7</v>
      </c>
      <c r="H3396" s="17">
        <f>Table1[[#This Row],[Unit price]]*Table1[[#This Row],[Quantity]]</f>
        <v>349.65000000000003</v>
      </c>
      <c r="I3396" s="29">
        <f>Table1[[#This Row],[Total Revenue]]/$H$5056*100</f>
        <v>3.7096377960157516E-2</v>
      </c>
      <c r="J3396" s="3" t="s">
        <v>15</v>
      </c>
      <c r="K3396" s="4">
        <v>6</v>
      </c>
      <c r="M3396"/>
    </row>
    <row r="3397" spans="1:13" x14ac:dyDescent="0.25">
      <c r="A3397" s="3" t="s">
        <v>180</v>
      </c>
      <c r="B3397" s="3" t="s">
        <v>244</v>
      </c>
      <c r="C3397" s="3" t="s">
        <v>13</v>
      </c>
      <c r="D3397" s="3" t="s">
        <v>19</v>
      </c>
      <c r="E3397" s="5" t="s">
        <v>11</v>
      </c>
      <c r="F3397" s="17">
        <v>7.08</v>
      </c>
      <c r="G3397" s="3">
        <v>10</v>
      </c>
      <c r="H3397" s="17">
        <f>Table1[[#This Row],[Unit price]]*Table1[[#This Row],[Quantity]]</f>
        <v>70.8</v>
      </c>
      <c r="I3397" s="29">
        <f>Table1[[#This Row],[Total Revenue]]/$H$5056*100</f>
        <v>7.5115788919752659E-3</v>
      </c>
      <c r="J3397" s="3" t="s">
        <v>17</v>
      </c>
      <c r="K3397" s="4">
        <v>5.7</v>
      </c>
      <c r="M3397"/>
    </row>
    <row r="3398" spans="1:13" x14ac:dyDescent="0.25">
      <c r="A3398" s="3" t="s">
        <v>180</v>
      </c>
      <c r="B3398" s="3" t="s">
        <v>245</v>
      </c>
      <c r="C3398" s="3" t="s">
        <v>9</v>
      </c>
      <c r="D3398" s="3" t="s">
        <v>10</v>
      </c>
      <c r="E3398" s="5" t="s">
        <v>11</v>
      </c>
      <c r="F3398" s="17">
        <v>7.41</v>
      </c>
      <c r="G3398" s="3">
        <v>2</v>
      </c>
      <c r="H3398" s="17">
        <f>Table1[[#This Row],[Unit price]]*Table1[[#This Row],[Quantity]]</f>
        <v>14.82</v>
      </c>
      <c r="I3398" s="29">
        <f>Table1[[#This Row],[Total Revenue]]/$H$5056*100</f>
        <v>1.5723389714558395E-3</v>
      </c>
      <c r="J3398" s="3" t="s">
        <v>15</v>
      </c>
      <c r="K3398" s="4">
        <v>7.2</v>
      </c>
      <c r="M3398"/>
    </row>
    <row r="3399" spans="1:13" x14ac:dyDescent="0.25">
      <c r="A3399" s="3" t="s">
        <v>180</v>
      </c>
      <c r="B3399" s="3" t="s">
        <v>244</v>
      </c>
      <c r="C3399" s="3" t="s">
        <v>9</v>
      </c>
      <c r="D3399" s="3" t="s">
        <v>10</v>
      </c>
      <c r="E3399" s="5" t="s">
        <v>14</v>
      </c>
      <c r="F3399" s="17">
        <v>94.86</v>
      </c>
      <c r="G3399" s="3">
        <v>9</v>
      </c>
      <c r="H3399" s="17">
        <f>Table1[[#This Row],[Unit price]]*Table1[[#This Row],[Quantity]]</f>
        <v>853.74</v>
      </c>
      <c r="I3399" s="29">
        <f>Table1[[#This Row],[Total Revenue]]/$H$5056*100</f>
        <v>9.0578183096539047E-2</v>
      </c>
      <c r="J3399" s="3" t="s">
        <v>12</v>
      </c>
      <c r="K3399" s="4">
        <v>7.3</v>
      </c>
      <c r="M3399"/>
    </row>
    <row r="3400" spans="1:13" x14ac:dyDescent="0.25">
      <c r="A3400" s="3" t="s">
        <v>180</v>
      </c>
      <c r="B3400" s="3" t="s">
        <v>243</v>
      </c>
      <c r="C3400" s="3" t="s">
        <v>9</v>
      </c>
      <c r="D3400" s="3" t="s">
        <v>10</v>
      </c>
      <c r="E3400" s="5" t="s">
        <v>21</v>
      </c>
      <c r="F3400" s="17">
        <v>22.51</v>
      </c>
      <c r="G3400" s="3">
        <v>2</v>
      </c>
      <c r="H3400" s="17">
        <f>Table1[[#This Row],[Unit price]]*Table1[[#This Row],[Quantity]]</f>
        <v>45.02</v>
      </c>
      <c r="I3400" s="29">
        <f>Table1[[#This Row],[Total Revenue]]/$H$5056*100</f>
        <v>4.7764305327221259E-3</v>
      </c>
      <c r="J3400" s="3" t="s">
        <v>15</v>
      </c>
      <c r="K3400" s="4">
        <v>3.3</v>
      </c>
      <c r="M3400"/>
    </row>
    <row r="3401" spans="1:13" x14ac:dyDescent="0.25">
      <c r="A3401" s="3" t="s">
        <v>181</v>
      </c>
      <c r="B3401" s="3" t="s">
        <v>244</v>
      </c>
      <c r="C3401" s="3" t="s">
        <v>13</v>
      </c>
      <c r="D3401" s="3" t="s">
        <v>19</v>
      </c>
      <c r="E3401" s="5" t="s">
        <v>11</v>
      </c>
      <c r="F3401" s="17">
        <v>11.63</v>
      </c>
      <c r="G3401" s="3">
        <v>9</v>
      </c>
      <c r="H3401" s="17">
        <f>Table1[[#This Row],[Unit price]]*Table1[[#This Row],[Quantity]]</f>
        <v>104.67</v>
      </c>
      <c r="I3401" s="29">
        <f>Table1[[#This Row],[Total Revenue]]/$H$5056*100</f>
        <v>1.1105041844958349E-2</v>
      </c>
      <c r="J3401" s="3" t="s">
        <v>15</v>
      </c>
      <c r="K3401" s="4">
        <v>5.5</v>
      </c>
      <c r="M3401"/>
    </row>
    <row r="3402" spans="1:13" x14ac:dyDescent="0.25">
      <c r="A3402" s="3" t="s">
        <v>181</v>
      </c>
      <c r="B3402" s="3" t="s">
        <v>243</v>
      </c>
      <c r="C3402" s="3" t="s">
        <v>9</v>
      </c>
      <c r="D3402" s="3" t="s">
        <v>10</v>
      </c>
      <c r="E3402" s="5" t="s">
        <v>11</v>
      </c>
      <c r="F3402" s="17">
        <v>7.27</v>
      </c>
      <c r="G3402" s="3">
        <v>3</v>
      </c>
      <c r="H3402" s="17">
        <f>Table1[[#This Row],[Unit price]]*Table1[[#This Row],[Quantity]]</f>
        <v>21.81</v>
      </c>
      <c r="I3402" s="29">
        <f>Table1[[#This Row],[Total Revenue]]/$H$5056*100</f>
        <v>2.3139482434178047E-3</v>
      </c>
      <c r="J3402" s="3" t="s">
        <v>15</v>
      </c>
      <c r="K3402" s="4">
        <v>7.3</v>
      </c>
      <c r="M3402"/>
    </row>
    <row r="3403" spans="1:13" x14ac:dyDescent="0.25">
      <c r="A3403" s="3" t="s">
        <v>181</v>
      </c>
      <c r="B3403" s="3" t="s">
        <v>243</v>
      </c>
      <c r="C3403" s="3" t="s">
        <v>13</v>
      </c>
      <c r="D3403" s="3" t="s">
        <v>19</v>
      </c>
      <c r="E3403" s="5" t="s">
        <v>20</v>
      </c>
      <c r="F3403" s="17">
        <v>52.89</v>
      </c>
      <c r="G3403" s="3">
        <v>1</v>
      </c>
      <c r="H3403" s="17">
        <f>Table1[[#This Row],[Unit price]]*Table1[[#This Row],[Quantity]]</f>
        <v>52.89</v>
      </c>
      <c r="I3403" s="29">
        <f>Table1[[#This Row],[Total Revenue]]/$H$5056*100</f>
        <v>5.6114040620984726E-3</v>
      </c>
      <c r="J3403" s="3" t="s">
        <v>17</v>
      </c>
      <c r="K3403" s="4">
        <v>6.4</v>
      </c>
      <c r="M3403"/>
    </row>
    <row r="3404" spans="1:13" x14ac:dyDescent="0.25">
      <c r="A3404" s="3" t="s">
        <v>181</v>
      </c>
      <c r="B3404" s="3" t="s">
        <v>245</v>
      </c>
      <c r="C3404" s="3" t="s">
        <v>13</v>
      </c>
      <c r="D3404" s="3" t="s">
        <v>19</v>
      </c>
      <c r="E3404" s="5" t="s">
        <v>11</v>
      </c>
      <c r="F3404" s="17">
        <v>12.39</v>
      </c>
      <c r="G3404" s="3">
        <v>9</v>
      </c>
      <c r="H3404" s="17">
        <f>Table1[[#This Row],[Unit price]]*Table1[[#This Row],[Quantity]]</f>
        <v>111.51</v>
      </c>
      <c r="I3404" s="29">
        <f>Table1[[#This Row],[Total Revenue]]/$H$5056*100</f>
        <v>1.1830736754861047E-2</v>
      </c>
      <c r="J3404" s="3" t="s">
        <v>15</v>
      </c>
      <c r="K3404" s="4">
        <v>8.8000000000000007</v>
      </c>
      <c r="M3404"/>
    </row>
    <row r="3405" spans="1:13" x14ac:dyDescent="0.25">
      <c r="A3405" s="3" t="s">
        <v>181</v>
      </c>
      <c r="B3405" s="3" t="s">
        <v>243</v>
      </c>
      <c r="C3405" s="3" t="s">
        <v>13</v>
      </c>
      <c r="D3405" s="3" t="s">
        <v>10</v>
      </c>
      <c r="E3405" s="5" t="s">
        <v>11</v>
      </c>
      <c r="F3405" s="17">
        <v>8.36</v>
      </c>
      <c r="G3405" s="3">
        <v>6</v>
      </c>
      <c r="H3405" s="17">
        <f>Table1[[#This Row],[Unit price]]*Table1[[#This Row],[Quantity]]</f>
        <v>50.16</v>
      </c>
      <c r="I3405" s="29">
        <f>Table1[[#This Row],[Total Revenue]]/$H$5056*100</f>
        <v>5.3217626726197644E-3</v>
      </c>
      <c r="J3405" s="3" t="s">
        <v>12</v>
      </c>
      <c r="K3405" s="4">
        <v>7.5</v>
      </c>
      <c r="M3405"/>
    </row>
    <row r="3406" spans="1:13" x14ac:dyDescent="0.25">
      <c r="A3406" s="3" t="s">
        <v>181</v>
      </c>
      <c r="B3406" s="3" t="s">
        <v>243</v>
      </c>
      <c r="C3406" s="3" t="s">
        <v>9</v>
      </c>
      <c r="D3406" s="3" t="s">
        <v>10</v>
      </c>
      <c r="E3406" s="5" t="s">
        <v>20</v>
      </c>
      <c r="F3406" s="17">
        <v>53.74</v>
      </c>
      <c r="G3406" s="3">
        <v>3</v>
      </c>
      <c r="H3406" s="17">
        <f>Table1[[#This Row],[Unit price]]*Table1[[#This Row],[Quantity]]</f>
        <v>161.22</v>
      </c>
      <c r="I3406" s="29">
        <f>Table1[[#This Row],[Total Revenue]]/$H$5056*100</f>
        <v>1.7104756341303002E-2</v>
      </c>
      <c r="J3406" s="3" t="s">
        <v>17</v>
      </c>
      <c r="K3406" s="4">
        <v>4.0999999999999996</v>
      </c>
      <c r="M3406"/>
    </row>
    <row r="3407" spans="1:13" x14ac:dyDescent="0.25">
      <c r="A3407" s="3" t="s">
        <v>181</v>
      </c>
      <c r="B3407" s="3" t="s">
        <v>244</v>
      </c>
      <c r="C3407" s="3" t="s">
        <v>13</v>
      </c>
      <c r="D3407" s="3" t="s">
        <v>19</v>
      </c>
      <c r="E3407" s="5" t="s">
        <v>18</v>
      </c>
      <c r="F3407" s="17">
        <v>11.26</v>
      </c>
      <c r="G3407" s="3">
        <v>4</v>
      </c>
      <c r="H3407" s="17">
        <f>Table1[[#This Row],[Unit price]]*Table1[[#This Row],[Quantity]]</f>
        <v>45.04</v>
      </c>
      <c r="I3407" s="29">
        <f>Table1[[#This Row],[Total Revenue]]/$H$5056*100</f>
        <v>4.7785524476633614E-3</v>
      </c>
      <c r="J3407" s="3" t="s">
        <v>12</v>
      </c>
      <c r="K3407" s="4">
        <v>3.5</v>
      </c>
      <c r="M3407"/>
    </row>
    <row r="3408" spans="1:13" x14ac:dyDescent="0.25">
      <c r="A3408" s="3" t="s">
        <v>181</v>
      </c>
      <c r="B3408" s="3" t="s">
        <v>245</v>
      </c>
      <c r="C3408" s="3" t="s">
        <v>13</v>
      </c>
      <c r="D3408" s="3" t="s">
        <v>10</v>
      </c>
      <c r="E3408" s="5" t="s">
        <v>11</v>
      </c>
      <c r="F3408" s="17">
        <v>3.79</v>
      </c>
      <c r="G3408" s="3">
        <v>7</v>
      </c>
      <c r="H3408" s="17">
        <f>Table1[[#This Row],[Unit price]]*Table1[[#This Row],[Quantity]]</f>
        <v>26.53</v>
      </c>
      <c r="I3408" s="29">
        <f>Table1[[#This Row],[Total Revenue]]/$H$5056*100</f>
        <v>2.8147201695494892E-3</v>
      </c>
      <c r="J3408" s="3" t="s">
        <v>12</v>
      </c>
      <c r="K3408" s="4">
        <v>7.4</v>
      </c>
      <c r="M3408"/>
    </row>
    <row r="3409" spans="1:13" x14ac:dyDescent="0.25">
      <c r="A3409" s="3" t="s">
        <v>181</v>
      </c>
      <c r="B3409" s="3" t="s">
        <v>243</v>
      </c>
      <c r="C3409" s="3" t="s">
        <v>13</v>
      </c>
      <c r="D3409" s="3" t="s">
        <v>19</v>
      </c>
      <c r="E3409" s="5" t="s">
        <v>21</v>
      </c>
      <c r="F3409" s="17">
        <v>27.24</v>
      </c>
      <c r="G3409" s="3">
        <v>3</v>
      </c>
      <c r="H3409" s="17">
        <f>Table1[[#This Row],[Unit price]]*Table1[[#This Row],[Quantity]]</f>
        <v>81.72</v>
      </c>
      <c r="I3409" s="29">
        <f>Table1[[#This Row],[Total Revenue]]/$H$5056*100</f>
        <v>8.6701444498900968E-3</v>
      </c>
      <c r="J3409" s="3" t="s">
        <v>15</v>
      </c>
      <c r="K3409" s="4">
        <v>3.2</v>
      </c>
      <c r="M3409"/>
    </row>
    <row r="3410" spans="1:13" x14ac:dyDescent="0.25">
      <c r="A3410" s="3" t="s">
        <v>181</v>
      </c>
      <c r="B3410" s="3" t="s">
        <v>243</v>
      </c>
      <c r="C3410" s="3" t="s">
        <v>13</v>
      </c>
      <c r="D3410" s="3" t="s">
        <v>10</v>
      </c>
      <c r="E3410" s="5" t="s">
        <v>16</v>
      </c>
      <c r="F3410" s="17">
        <v>64.540000000000006</v>
      </c>
      <c r="G3410" s="3">
        <v>4</v>
      </c>
      <c r="H3410" s="17">
        <f>Table1[[#This Row],[Unit price]]*Table1[[#This Row],[Quantity]]</f>
        <v>258.16000000000003</v>
      </c>
      <c r="I3410" s="29">
        <f>Table1[[#This Row],[Total Revenue]]/$H$5056*100</f>
        <v>2.7389678061473657E-2</v>
      </c>
      <c r="J3410" s="3" t="s">
        <v>17</v>
      </c>
      <c r="K3410" s="4">
        <v>7</v>
      </c>
      <c r="M3410"/>
    </row>
    <row r="3411" spans="1:13" x14ac:dyDescent="0.25">
      <c r="A3411" s="3" t="s">
        <v>181</v>
      </c>
      <c r="B3411" s="3" t="s">
        <v>243</v>
      </c>
      <c r="C3411" s="3" t="s">
        <v>13</v>
      </c>
      <c r="D3411" s="3" t="s">
        <v>10</v>
      </c>
      <c r="E3411" s="5" t="s">
        <v>14</v>
      </c>
      <c r="F3411" s="17">
        <v>89.32</v>
      </c>
      <c r="G3411" s="3">
        <v>8</v>
      </c>
      <c r="H3411" s="17">
        <f>Table1[[#This Row],[Unit price]]*Table1[[#This Row],[Quantity]]</f>
        <v>714.56</v>
      </c>
      <c r="I3411" s="29">
        <f>Table1[[#This Row],[Total Revenue]]/$H$5056*100</f>
        <v>7.5811777020478061E-2</v>
      </c>
      <c r="J3411" s="3" t="s">
        <v>12</v>
      </c>
      <c r="K3411" s="4">
        <v>9.4</v>
      </c>
      <c r="M3411"/>
    </row>
    <row r="3412" spans="1:13" x14ac:dyDescent="0.25">
      <c r="A3412" s="3" t="s">
        <v>181</v>
      </c>
      <c r="B3412" s="3" t="s">
        <v>244</v>
      </c>
      <c r="C3412" s="3" t="s">
        <v>9</v>
      </c>
      <c r="D3412" s="3" t="s">
        <v>19</v>
      </c>
      <c r="E3412" s="5" t="s">
        <v>11</v>
      </c>
      <c r="F3412" s="17">
        <v>5.57</v>
      </c>
      <c r="G3412" s="3">
        <v>9</v>
      </c>
      <c r="H3412" s="17">
        <f>Table1[[#This Row],[Unit price]]*Table1[[#This Row],[Quantity]]</f>
        <v>50.13</v>
      </c>
      <c r="I3412" s="29">
        <f>Table1[[#This Row],[Total Revenue]]/$H$5056*100</f>
        <v>5.3185798002079116E-3</v>
      </c>
      <c r="J3412" s="3" t="s">
        <v>15</v>
      </c>
      <c r="K3412" s="4">
        <v>6.9</v>
      </c>
      <c r="M3412"/>
    </row>
    <row r="3413" spans="1:13" x14ac:dyDescent="0.25">
      <c r="A3413" s="3" t="s">
        <v>181</v>
      </c>
      <c r="B3413" s="3" t="s">
        <v>243</v>
      </c>
      <c r="C3413" s="3" t="s">
        <v>13</v>
      </c>
      <c r="D3413" s="3" t="s">
        <v>10</v>
      </c>
      <c r="E3413" s="5" t="s">
        <v>18</v>
      </c>
      <c r="F3413" s="17">
        <v>7.26</v>
      </c>
      <c r="G3413" s="3">
        <v>2</v>
      </c>
      <c r="H3413" s="17">
        <f>Table1[[#This Row],[Unit price]]*Table1[[#This Row],[Quantity]]</f>
        <v>14.52</v>
      </c>
      <c r="I3413" s="29">
        <f>Table1[[#This Row],[Total Revenue]]/$H$5056*100</f>
        <v>1.5405102473373003E-3</v>
      </c>
      <c r="J3413" s="3" t="s">
        <v>15</v>
      </c>
      <c r="K3413" s="4">
        <v>5.6</v>
      </c>
      <c r="M3413"/>
    </row>
    <row r="3414" spans="1:13" x14ac:dyDescent="0.25">
      <c r="A3414" s="3" t="s">
        <v>181</v>
      </c>
      <c r="B3414" s="3" t="s">
        <v>245</v>
      </c>
      <c r="C3414" s="3" t="s">
        <v>13</v>
      </c>
      <c r="D3414" s="3" t="s">
        <v>19</v>
      </c>
      <c r="E3414" s="5" t="s">
        <v>21</v>
      </c>
      <c r="F3414" s="17">
        <v>26.03</v>
      </c>
      <c r="G3414" s="3">
        <v>4</v>
      </c>
      <c r="H3414" s="17">
        <f>Table1[[#This Row],[Unit price]]*Table1[[#This Row],[Quantity]]</f>
        <v>104.12</v>
      </c>
      <c r="I3414" s="29">
        <f>Table1[[#This Row],[Total Revenue]]/$H$5056*100</f>
        <v>1.1046689184074362E-2</v>
      </c>
      <c r="J3414" s="3" t="s">
        <v>17</v>
      </c>
      <c r="K3414" s="4">
        <v>7.4</v>
      </c>
      <c r="M3414"/>
    </row>
    <row r="3415" spans="1:13" x14ac:dyDescent="0.25">
      <c r="A3415" s="3" t="s">
        <v>182</v>
      </c>
      <c r="B3415" s="3" t="s">
        <v>245</v>
      </c>
      <c r="C3415" s="3" t="s">
        <v>9</v>
      </c>
      <c r="D3415" s="3" t="s">
        <v>19</v>
      </c>
      <c r="E3415" s="5" t="s">
        <v>11</v>
      </c>
      <c r="F3415" s="17">
        <v>14.99</v>
      </c>
      <c r="G3415" s="3">
        <v>8</v>
      </c>
      <c r="H3415" s="17">
        <f>Table1[[#This Row],[Unit price]]*Table1[[#This Row],[Quantity]]</f>
        <v>119.92</v>
      </c>
      <c r="I3415" s="29">
        <f>Table1[[#This Row],[Total Revenue]]/$H$5056*100</f>
        <v>1.2723001987650763E-2</v>
      </c>
      <c r="J3415" s="3" t="s">
        <v>15</v>
      </c>
      <c r="K3415" s="4">
        <v>6.1</v>
      </c>
      <c r="M3415"/>
    </row>
    <row r="3416" spans="1:13" x14ac:dyDescent="0.25">
      <c r="A3416" s="3" t="s">
        <v>182</v>
      </c>
      <c r="B3416" s="3" t="s">
        <v>244</v>
      </c>
      <c r="C3416" s="3" t="s">
        <v>13</v>
      </c>
      <c r="D3416" s="3" t="s">
        <v>19</v>
      </c>
      <c r="E3416" s="5" t="s">
        <v>16</v>
      </c>
      <c r="F3416" s="17">
        <v>57.11</v>
      </c>
      <c r="G3416" s="3">
        <v>10</v>
      </c>
      <c r="H3416" s="17">
        <f>Table1[[#This Row],[Unit price]]*Table1[[#This Row],[Quantity]]</f>
        <v>571.1</v>
      </c>
      <c r="I3416" s="29">
        <f>Table1[[#This Row],[Total Revenue]]/$H$5056*100</f>
        <v>6.0591281146992589E-2</v>
      </c>
      <c r="J3416" s="3" t="s">
        <v>17</v>
      </c>
      <c r="K3416" s="4">
        <v>6.7</v>
      </c>
      <c r="M3416"/>
    </row>
    <row r="3417" spans="1:13" x14ac:dyDescent="0.25">
      <c r="A3417" s="3" t="s">
        <v>182</v>
      </c>
      <c r="B3417" s="3" t="s">
        <v>243</v>
      </c>
      <c r="C3417" s="3" t="s">
        <v>9</v>
      </c>
      <c r="D3417" s="3" t="s">
        <v>10</v>
      </c>
      <c r="E3417" s="5" t="s">
        <v>16</v>
      </c>
      <c r="F3417" s="17">
        <v>54.18</v>
      </c>
      <c r="G3417" s="3">
        <v>4</v>
      </c>
      <c r="H3417" s="17">
        <f>Table1[[#This Row],[Unit price]]*Table1[[#This Row],[Quantity]]</f>
        <v>216.72</v>
      </c>
      <c r="I3417" s="29">
        <f>Table1[[#This Row],[Total Revenue]]/$H$5056*100</f>
        <v>2.2993070303232766E-2</v>
      </c>
      <c r="J3417" s="3" t="s">
        <v>17</v>
      </c>
      <c r="K3417" s="4">
        <v>9.4</v>
      </c>
      <c r="M3417"/>
    </row>
    <row r="3418" spans="1:13" x14ac:dyDescent="0.25">
      <c r="A3418" s="3" t="s">
        <v>182</v>
      </c>
      <c r="B3418" s="3" t="s">
        <v>243</v>
      </c>
      <c r="C3418" s="3" t="s">
        <v>13</v>
      </c>
      <c r="D3418" s="3" t="s">
        <v>10</v>
      </c>
      <c r="E3418" s="5" t="s">
        <v>16</v>
      </c>
      <c r="F3418" s="17">
        <v>55.05</v>
      </c>
      <c r="G3418" s="3">
        <v>5</v>
      </c>
      <c r="H3418" s="17">
        <f>Table1[[#This Row],[Unit price]]*Table1[[#This Row],[Quantity]]</f>
        <v>275.25</v>
      </c>
      <c r="I3418" s="29">
        <f>Table1[[#This Row],[Total Revenue]]/$H$5056*100</f>
        <v>2.9202854378759774E-2</v>
      </c>
      <c r="J3418" s="3" t="s">
        <v>15</v>
      </c>
      <c r="K3418" s="4">
        <v>5.6</v>
      </c>
      <c r="M3418"/>
    </row>
    <row r="3419" spans="1:13" x14ac:dyDescent="0.25">
      <c r="A3419" s="3" t="s">
        <v>182</v>
      </c>
      <c r="B3419" s="3" t="s">
        <v>245</v>
      </c>
      <c r="C3419" s="3" t="s">
        <v>9</v>
      </c>
      <c r="D3419" s="3" t="s">
        <v>19</v>
      </c>
      <c r="E3419" s="5" t="s">
        <v>11</v>
      </c>
      <c r="F3419" s="17">
        <v>11.75</v>
      </c>
      <c r="G3419" s="3">
        <v>7</v>
      </c>
      <c r="H3419" s="17">
        <f>Table1[[#This Row],[Unit price]]*Table1[[#This Row],[Quantity]]</f>
        <v>82.25</v>
      </c>
      <c r="I3419" s="29">
        <f>Table1[[#This Row],[Total Revenue]]/$H$5056*100</f>
        <v>8.726375195832848E-3</v>
      </c>
      <c r="J3419" s="3" t="s">
        <v>17</v>
      </c>
      <c r="K3419" s="4">
        <v>9.5</v>
      </c>
      <c r="M3419"/>
    </row>
    <row r="3420" spans="1:13" x14ac:dyDescent="0.25">
      <c r="A3420" s="3" t="s">
        <v>182</v>
      </c>
      <c r="B3420" s="3" t="s">
        <v>245</v>
      </c>
      <c r="C3420" s="3" t="s">
        <v>13</v>
      </c>
      <c r="D3420" s="3" t="s">
        <v>19</v>
      </c>
      <c r="E3420" s="5" t="s">
        <v>14</v>
      </c>
      <c r="F3420" s="17">
        <v>82.51</v>
      </c>
      <c r="G3420" s="3">
        <v>3</v>
      </c>
      <c r="H3420" s="17">
        <f>Table1[[#This Row],[Unit price]]*Table1[[#This Row],[Quantity]]</f>
        <v>247.53000000000003</v>
      </c>
      <c r="I3420" s="29">
        <f>Table1[[#This Row],[Total Revenue]]/$H$5056*100</f>
        <v>2.6261880270206751E-2</v>
      </c>
      <c r="J3420" s="3" t="s">
        <v>17</v>
      </c>
      <c r="K3420" s="4">
        <v>9.1999999999999993</v>
      </c>
      <c r="M3420"/>
    </row>
    <row r="3421" spans="1:13" x14ac:dyDescent="0.25">
      <c r="A3421" s="3" t="s">
        <v>182</v>
      </c>
      <c r="B3421" s="3" t="s">
        <v>245</v>
      </c>
      <c r="C3421" s="3" t="s">
        <v>13</v>
      </c>
      <c r="D3421" s="3" t="s">
        <v>10</v>
      </c>
      <c r="E3421" s="5" t="s">
        <v>16</v>
      </c>
      <c r="F3421" s="17">
        <v>67.319999999999993</v>
      </c>
      <c r="G3421" s="3">
        <v>5</v>
      </c>
      <c r="H3421" s="17">
        <f>Table1[[#This Row],[Unit price]]*Table1[[#This Row],[Quantity]]</f>
        <v>336.59999999999997</v>
      </c>
      <c r="I3421" s="29">
        <f>Table1[[#This Row],[Total Revenue]]/$H$5056*100</f>
        <v>3.5711828461001058E-2</v>
      </c>
      <c r="J3421" s="3" t="s">
        <v>12</v>
      </c>
      <c r="K3421" s="4">
        <v>4.3</v>
      </c>
      <c r="M3421"/>
    </row>
    <row r="3422" spans="1:13" x14ac:dyDescent="0.25">
      <c r="A3422" s="3" t="s">
        <v>182</v>
      </c>
      <c r="B3422" s="3" t="s">
        <v>244</v>
      </c>
      <c r="C3422" s="3" t="s">
        <v>13</v>
      </c>
      <c r="D3422" s="3" t="s">
        <v>19</v>
      </c>
      <c r="E3422" s="5" t="s">
        <v>21</v>
      </c>
      <c r="F3422" s="17">
        <v>33.75</v>
      </c>
      <c r="G3422" s="3">
        <v>6</v>
      </c>
      <c r="H3422" s="17">
        <f>Table1[[#This Row],[Unit price]]*Table1[[#This Row],[Quantity]]</f>
        <v>202.5</v>
      </c>
      <c r="I3422" s="29">
        <f>Table1[[#This Row],[Total Revenue]]/$H$5056*100</f>
        <v>2.1484388780014005E-2</v>
      </c>
      <c r="J3422" s="3" t="s">
        <v>12</v>
      </c>
      <c r="K3422" s="4">
        <v>3.5</v>
      </c>
      <c r="M3422"/>
    </row>
    <row r="3423" spans="1:13" x14ac:dyDescent="0.25">
      <c r="A3423" s="3" t="s">
        <v>182</v>
      </c>
      <c r="B3423" s="3" t="s">
        <v>243</v>
      </c>
      <c r="C3423" s="3" t="s">
        <v>13</v>
      </c>
      <c r="D3423" s="3" t="s">
        <v>19</v>
      </c>
      <c r="E3423" s="5" t="s">
        <v>21</v>
      </c>
      <c r="F3423" s="17">
        <v>26.46</v>
      </c>
      <c r="G3423" s="3">
        <v>6</v>
      </c>
      <c r="H3423" s="17">
        <f>Table1[[#This Row],[Unit price]]*Table1[[#This Row],[Quantity]]</f>
        <v>158.76</v>
      </c>
      <c r="I3423" s="29">
        <f>Table1[[#This Row],[Total Revenue]]/$H$5056*100</f>
        <v>1.6843760803530977E-2</v>
      </c>
      <c r="J3423" s="3" t="s">
        <v>17</v>
      </c>
      <c r="K3423" s="4">
        <v>3.7</v>
      </c>
      <c r="M3423"/>
    </row>
    <row r="3424" spans="1:13" x14ac:dyDescent="0.25">
      <c r="A3424" s="3" t="s">
        <v>182</v>
      </c>
      <c r="B3424" s="3" t="s">
        <v>243</v>
      </c>
      <c r="C3424" s="3" t="s">
        <v>13</v>
      </c>
      <c r="D3424" s="3" t="s">
        <v>10</v>
      </c>
      <c r="E3424" s="5" t="s">
        <v>18</v>
      </c>
      <c r="F3424" s="17">
        <v>14.89</v>
      </c>
      <c r="G3424" s="3">
        <v>6</v>
      </c>
      <c r="H3424" s="17">
        <f>Table1[[#This Row],[Unit price]]*Table1[[#This Row],[Quantity]]</f>
        <v>89.34</v>
      </c>
      <c r="I3424" s="29">
        <f>Table1[[#This Row],[Total Revenue]]/$H$5056*100</f>
        <v>9.478594042500994E-3</v>
      </c>
      <c r="J3424" s="3" t="s">
        <v>17</v>
      </c>
      <c r="K3424" s="4">
        <v>3.1</v>
      </c>
      <c r="M3424"/>
    </row>
    <row r="3425" spans="1:13" x14ac:dyDescent="0.25">
      <c r="A3425" s="3" t="s">
        <v>182</v>
      </c>
      <c r="B3425" s="3" t="s">
        <v>243</v>
      </c>
      <c r="C3425" s="3" t="s">
        <v>13</v>
      </c>
      <c r="D3425" s="3" t="s">
        <v>10</v>
      </c>
      <c r="E3425" s="5" t="s">
        <v>11</v>
      </c>
      <c r="F3425" s="17">
        <v>13.62</v>
      </c>
      <c r="G3425" s="3">
        <v>1</v>
      </c>
      <c r="H3425" s="17">
        <f>Table1[[#This Row],[Unit price]]*Table1[[#This Row],[Quantity]]</f>
        <v>13.62</v>
      </c>
      <c r="I3425" s="29">
        <f>Table1[[#This Row],[Total Revenue]]/$H$5056*100</f>
        <v>1.4450240749816826E-3</v>
      </c>
      <c r="J3425" s="3" t="s">
        <v>15</v>
      </c>
      <c r="K3425" s="4">
        <v>3.6</v>
      </c>
      <c r="M3425"/>
    </row>
    <row r="3426" spans="1:13" x14ac:dyDescent="0.25">
      <c r="A3426" s="3" t="s">
        <v>182</v>
      </c>
      <c r="B3426" s="3" t="s">
        <v>245</v>
      </c>
      <c r="C3426" s="3" t="s">
        <v>9</v>
      </c>
      <c r="D3426" s="3" t="s">
        <v>19</v>
      </c>
      <c r="E3426" s="5" t="s">
        <v>20</v>
      </c>
      <c r="F3426" s="17">
        <v>65.73</v>
      </c>
      <c r="G3426" s="3">
        <v>8</v>
      </c>
      <c r="H3426" s="17">
        <f>Table1[[#This Row],[Unit price]]*Table1[[#This Row],[Quantity]]</f>
        <v>525.84</v>
      </c>
      <c r="I3426" s="29">
        <f>Table1[[#This Row],[Total Revenue]]/$H$5056*100</f>
        <v>5.578938763497563E-2</v>
      </c>
      <c r="J3426" s="3" t="s">
        <v>12</v>
      </c>
      <c r="K3426" s="4">
        <v>7.6</v>
      </c>
      <c r="M3426"/>
    </row>
    <row r="3427" spans="1:13" x14ac:dyDescent="0.25">
      <c r="A3427" s="3" t="s">
        <v>182</v>
      </c>
      <c r="B3427" s="3" t="s">
        <v>243</v>
      </c>
      <c r="C3427" s="3" t="s">
        <v>13</v>
      </c>
      <c r="D3427" s="3" t="s">
        <v>19</v>
      </c>
      <c r="E3427" s="5" t="s">
        <v>14</v>
      </c>
      <c r="F3427" s="17">
        <v>85.72</v>
      </c>
      <c r="G3427" s="3">
        <v>5</v>
      </c>
      <c r="H3427" s="17">
        <f>Table1[[#This Row],[Unit price]]*Table1[[#This Row],[Quantity]]</f>
        <v>428.6</v>
      </c>
      <c r="I3427" s="29">
        <f>Table1[[#This Row],[Total Revenue]]/$H$5056*100</f>
        <v>4.5472637190686435E-2</v>
      </c>
      <c r="J3427" s="3" t="s">
        <v>15</v>
      </c>
      <c r="K3427" s="4">
        <v>3.5</v>
      </c>
      <c r="M3427"/>
    </row>
    <row r="3428" spans="1:13" x14ac:dyDescent="0.25">
      <c r="A3428" s="3" t="s">
        <v>182</v>
      </c>
      <c r="B3428" s="3" t="s">
        <v>244</v>
      </c>
      <c r="C3428" s="3" t="s">
        <v>9</v>
      </c>
      <c r="D3428" s="3" t="s">
        <v>19</v>
      </c>
      <c r="E3428" s="5" t="s">
        <v>21</v>
      </c>
      <c r="F3428" s="17">
        <v>30.64</v>
      </c>
      <c r="G3428" s="3">
        <v>4</v>
      </c>
      <c r="H3428" s="17">
        <f>Table1[[#This Row],[Unit price]]*Table1[[#This Row],[Quantity]]</f>
        <v>122.56</v>
      </c>
      <c r="I3428" s="29">
        <f>Table1[[#This Row],[Total Revenue]]/$H$5056*100</f>
        <v>1.300309475989391E-2</v>
      </c>
      <c r="J3428" s="3" t="s">
        <v>12</v>
      </c>
      <c r="K3428" s="4">
        <v>5.2</v>
      </c>
      <c r="M3428"/>
    </row>
    <row r="3429" spans="1:13" x14ac:dyDescent="0.25">
      <c r="A3429" s="3" t="s">
        <v>182</v>
      </c>
      <c r="B3429" s="3" t="s">
        <v>244</v>
      </c>
      <c r="C3429" s="3" t="s">
        <v>13</v>
      </c>
      <c r="D3429" s="3" t="s">
        <v>19</v>
      </c>
      <c r="E3429" s="5" t="s">
        <v>11</v>
      </c>
      <c r="F3429" s="17">
        <v>3.73</v>
      </c>
      <c r="G3429" s="3">
        <v>4</v>
      </c>
      <c r="H3429" s="17">
        <f>Table1[[#This Row],[Unit price]]*Table1[[#This Row],[Quantity]]</f>
        <v>14.92</v>
      </c>
      <c r="I3429" s="29">
        <f>Table1[[#This Row],[Total Revenue]]/$H$5056*100</f>
        <v>1.5829485461620193E-3</v>
      </c>
      <c r="J3429" s="3" t="s">
        <v>12</v>
      </c>
      <c r="K3429" s="4">
        <v>8.6999999999999993</v>
      </c>
      <c r="M3429"/>
    </row>
    <row r="3430" spans="1:13" x14ac:dyDescent="0.25">
      <c r="A3430" s="3" t="s">
        <v>183</v>
      </c>
      <c r="B3430" s="3" t="s">
        <v>244</v>
      </c>
      <c r="C3430" s="3" t="s">
        <v>13</v>
      </c>
      <c r="D3430" s="3" t="s">
        <v>10</v>
      </c>
      <c r="E3430" s="5" t="s">
        <v>21</v>
      </c>
      <c r="F3430" s="17">
        <v>39.700000000000003</v>
      </c>
      <c r="G3430" s="3">
        <v>7</v>
      </c>
      <c r="H3430" s="17">
        <f>Table1[[#This Row],[Unit price]]*Table1[[#This Row],[Quantity]]</f>
        <v>277.90000000000003</v>
      </c>
      <c r="I3430" s="29">
        <f>Table1[[#This Row],[Total Revenue]]/$H$5056*100</f>
        <v>2.9484008108473542E-2</v>
      </c>
      <c r="J3430" s="3" t="s">
        <v>17</v>
      </c>
      <c r="K3430" s="4">
        <v>3.2</v>
      </c>
      <c r="M3430"/>
    </row>
    <row r="3431" spans="1:13" x14ac:dyDescent="0.25">
      <c r="A3431" s="3" t="s">
        <v>183</v>
      </c>
      <c r="B3431" s="3" t="s">
        <v>244</v>
      </c>
      <c r="C3431" s="3" t="s">
        <v>13</v>
      </c>
      <c r="D3431" s="3" t="s">
        <v>19</v>
      </c>
      <c r="E3431" s="5" t="s">
        <v>21</v>
      </c>
      <c r="F3431" s="17">
        <v>17.559999999999999</v>
      </c>
      <c r="G3431" s="3">
        <v>6</v>
      </c>
      <c r="H3431" s="17">
        <f>Table1[[#This Row],[Unit price]]*Table1[[#This Row],[Quantity]]</f>
        <v>105.35999999999999</v>
      </c>
      <c r="I3431" s="29">
        <f>Table1[[#This Row],[Total Revenue]]/$H$5056*100</f>
        <v>1.117824791043099E-2</v>
      </c>
      <c r="J3431" s="3" t="s">
        <v>12</v>
      </c>
      <c r="K3431" s="4">
        <v>8.5</v>
      </c>
      <c r="M3431"/>
    </row>
    <row r="3432" spans="1:13" x14ac:dyDescent="0.25">
      <c r="A3432" s="3" t="s">
        <v>183</v>
      </c>
      <c r="B3432" s="3" t="s">
        <v>243</v>
      </c>
      <c r="C3432" s="3" t="s">
        <v>13</v>
      </c>
      <c r="D3432" s="3" t="s">
        <v>19</v>
      </c>
      <c r="E3432" s="5" t="s">
        <v>11</v>
      </c>
      <c r="F3432" s="17">
        <v>10.8</v>
      </c>
      <c r="G3432" s="3">
        <v>2</v>
      </c>
      <c r="H3432" s="17">
        <f>Table1[[#This Row],[Unit price]]*Table1[[#This Row],[Quantity]]</f>
        <v>21.6</v>
      </c>
      <c r="I3432" s="29">
        <f>Table1[[#This Row],[Total Revenue]]/$H$5056*100</f>
        <v>2.2916681365348275E-3</v>
      </c>
      <c r="J3432" s="3" t="s">
        <v>12</v>
      </c>
      <c r="K3432" s="4">
        <v>4.9000000000000004</v>
      </c>
      <c r="M3432"/>
    </row>
    <row r="3433" spans="1:13" x14ac:dyDescent="0.25">
      <c r="A3433" s="3" t="s">
        <v>183</v>
      </c>
      <c r="B3433" s="3" t="s">
        <v>243</v>
      </c>
      <c r="C3433" s="3" t="s">
        <v>9</v>
      </c>
      <c r="D3433" s="3" t="s">
        <v>10</v>
      </c>
      <c r="E3433" s="5" t="s">
        <v>11</v>
      </c>
      <c r="F3433" s="17">
        <v>4.7699999999999996</v>
      </c>
      <c r="G3433" s="3">
        <v>3</v>
      </c>
      <c r="H3433" s="17">
        <f>Table1[[#This Row],[Unit price]]*Table1[[#This Row],[Quantity]]</f>
        <v>14.309999999999999</v>
      </c>
      <c r="I3433" s="29">
        <f>Table1[[#This Row],[Total Revenue]]/$H$5056*100</f>
        <v>1.5182301404543228E-3</v>
      </c>
      <c r="J3433" s="3" t="s">
        <v>17</v>
      </c>
      <c r="K3433" s="4">
        <v>3.8</v>
      </c>
      <c r="M3433"/>
    </row>
    <row r="3434" spans="1:13" x14ac:dyDescent="0.25">
      <c r="A3434" s="3" t="s">
        <v>183</v>
      </c>
      <c r="B3434" s="3" t="s">
        <v>243</v>
      </c>
      <c r="C3434" s="3" t="s">
        <v>9</v>
      </c>
      <c r="D3434" s="3" t="s">
        <v>19</v>
      </c>
      <c r="E3434" s="5" t="s">
        <v>20</v>
      </c>
      <c r="F3434" s="17">
        <v>43.01</v>
      </c>
      <c r="G3434" s="3">
        <v>2</v>
      </c>
      <c r="H3434" s="17">
        <f>Table1[[#This Row],[Unit price]]*Table1[[#This Row],[Quantity]]</f>
        <v>86.02</v>
      </c>
      <c r="I3434" s="29">
        <f>Table1[[#This Row],[Total Revenue]]/$H$5056*100</f>
        <v>9.1263561622558255E-3</v>
      </c>
      <c r="J3434" s="3" t="s">
        <v>12</v>
      </c>
      <c r="K3434" s="4">
        <v>7.7</v>
      </c>
      <c r="M3434"/>
    </row>
    <row r="3435" spans="1:13" x14ac:dyDescent="0.25">
      <c r="A3435" s="3" t="s">
        <v>183</v>
      </c>
      <c r="B3435" s="3" t="s">
        <v>245</v>
      </c>
      <c r="C3435" s="3" t="s">
        <v>13</v>
      </c>
      <c r="D3435" s="3" t="s">
        <v>10</v>
      </c>
      <c r="E3435" s="5" t="s">
        <v>21</v>
      </c>
      <c r="F3435" s="17">
        <v>21.19</v>
      </c>
      <c r="G3435" s="3">
        <v>2</v>
      </c>
      <c r="H3435" s="17">
        <f>Table1[[#This Row],[Unit price]]*Table1[[#This Row],[Quantity]]</f>
        <v>42.38</v>
      </c>
      <c r="I3435" s="29">
        <f>Table1[[#This Row],[Total Revenue]]/$H$5056*100</f>
        <v>4.4963377604789806E-3</v>
      </c>
      <c r="J3435" s="3" t="s">
        <v>15</v>
      </c>
      <c r="K3435" s="4">
        <v>7.3</v>
      </c>
      <c r="M3435"/>
    </row>
    <row r="3436" spans="1:13" x14ac:dyDescent="0.25">
      <c r="A3436" s="3" t="s">
        <v>183</v>
      </c>
      <c r="B3436" s="3" t="s">
        <v>245</v>
      </c>
      <c r="C3436" s="3" t="s">
        <v>13</v>
      </c>
      <c r="D3436" s="3" t="s">
        <v>10</v>
      </c>
      <c r="E3436" s="5" t="s">
        <v>20</v>
      </c>
      <c r="F3436" s="17">
        <v>60.71</v>
      </c>
      <c r="G3436" s="3">
        <v>5</v>
      </c>
      <c r="H3436" s="17">
        <f>Table1[[#This Row],[Unit price]]*Table1[[#This Row],[Quantity]]</f>
        <v>303.55</v>
      </c>
      <c r="I3436" s="29">
        <f>Table1[[#This Row],[Total Revenue]]/$H$5056*100</f>
        <v>3.2205364020608647E-2</v>
      </c>
      <c r="J3436" s="3" t="s">
        <v>15</v>
      </c>
      <c r="K3436" s="4">
        <v>9</v>
      </c>
      <c r="M3436"/>
    </row>
    <row r="3437" spans="1:13" x14ac:dyDescent="0.25">
      <c r="A3437" s="3" t="s">
        <v>183</v>
      </c>
      <c r="B3437" s="3" t="s">
        <v>244</v>
      </c>
      <c r="C3437" s="3" t="s">
        <v>9</v>
      </c>
      <c r="D3437" s="3" t="s">
        <v>10</v>
      </c>
      <c r="E3437" s="5" t="s">
        <v>20</v>
      </c>
      <c r="F3437" s="17">
        <v>41.64</v>
      </c>
      <c r="G3437" s="3">
        <v>4</v>
      </c>
      <c r="H3437" s="17">
        <f>Table1[[#This Row],[Unit price]]*Table1[[#This Row],[Quantity]]</f>
        <v>166.56</v>
      </c>
      <c r="I3437" s="29">
        <f>Table1[[#This Row],[Total Revenue]]/$H$5056*100</f>
        <v>1.7671307630613E-2</v>
      </c>
      <c r="J3437" s="3" t="s">
        <v>12</v>
      </c>
      <c r="K3437" s="4">
        <v>8</v>
      </c>
      <c r="M3437"/>
    </row>
    <row r="3438" spans="1:13" x14ac:dyDescent="0.25">
      <c r="A3438" s="3" t="s">
        <v>183</v>
      </c>
      <c r="B3438" s="3" t="s">
        <v>243</v>
      </c>
      <c r="C3438" s="3" t="s">
        <v>13</v>
      </c>
      <c r="D3438" s="3" t="s">
        <v>19</v>
      </c>
      <c r="E3438" s="5" t="s">
        <v>11</v>
      </c>
      <c r="F3438" s="17">
        <v>14.71</v>
      </c>
      <c r="G3438" s="3">
        <v>6</v>
      </c>
      <c r="H3438" s="17">
        <f>Table1[[#This Row],[Unit price]]*Table1[[#This Row],[Quantity]]</f>
        <v>88.26</v>
      </c>
      <c r="I3438" s="29">
        <f>Table1[[#This Row],[Total Revenue]]/$H$5056*100</f>
        <v>9.3640106356742518E-3</v>
      </c>
      <c r="J3438" s="3" t="s">
        <v>17</v>
      </c>
      <c r="K3438" s="4">
        <v>8.5</v>
      </c>
      <c r="M3438"/>
    </row>
    <row r="3439" spans="1:13" x14ac:dyDescent="0.25">
      <c r="A3439" s="3" t="s">
        <v>183</v>
      </c>
      <c r="B3439" s="3" t="s">
        <v>245</v>
      </c>
      <c r="C3439" s="3" t="s">
        <v>9</v>
      </c>
      <c r="D3439" s="3" t="s">
        <v>10</v>
      </c>
      <c r="E3439" s="5" t="s">
        <v>11</v>
      </c>
      <c r="F3439" s="17">
        <v>10.88</v>
      </c>
      <c r="G3439" s="3">
        <v>8</v>
      </c>
      <c r="H3439" s="17">
        <f>Table1[[#This Row],[Unit price]]*Table1[[#This Row],[Quantity]]</f>
        <v>87.04</v>
      </c>
      <c r="I3439" s="29">
        <f>Table1[[#This Row],[Total Revenue]]/$H$5056*100</f>
        <v>9.2345738242588602E-3</v>
      </c>
      <c r="J3439" s="3" t="s">
        <v>17</v>
      </c>
      <c r="K3439" s="4">
        <v>4.9000000000000004</v>
      </c>
      <c r="M3439"/>
    </row>
    <row r="3440" spans="1:13" x14ac:dyDescent="0.25">
      <c r="A3440" s="3" t="s">
        <v>183</v>
      </c>
      <c r="B3440" s="3" t="s">
        <v>244</v>
      </c>
      <c r="C3440" s="3" t="s">
        <v>9</v>
      </c>
      <c r="D3440" s="3" t="s">
        <v>19</v>
      </c>
      <c r="E3440" s="5" t="s">
        <v>18</v>
      </c>
      <c r="F3440" s="17">
        <v>9.31</v>
      </c>
      <c r="G3440" s="3">
        <v>1</v>
      </c>
      <c r="H3440" s="17">
        <f>Table1[[#This Row],[Unit price]]*Table1[[#This Row],[Quantity]]</f>
        <v>9.31</v>
      </c>
      <c r="I3440" s="29">
        <f>Table1[[#This Row],[Total Revenue]]/$H$5056*100</f>
        <v>9.8775140514533529E-4</v>
      </c>
      <c r="J3440" s="3" t="s">
        <v>17</v>
      </c>
      <c r="K3440" s="4">
        <v>4.2</v>
      </c>
      <c r="M3440"/>
    </row>
    <row r="3441" spans="1:13" x14ac:dyDescent="0.25">
      <c r="A3441" s="3" t="s">
        <v>183</v>
      </c>
      <c r="B3441" s="3" t="s">
        <v>244</v>
      </c>
      <c r="C3441" s="3" t="s">
        <v>13</v>
      </c>
      <c r="D3441" s="3" t="s">
        <v>10</v>
      </c>
      <c r="E3441" s="5" t="s">
        <v>21</v>
      </c>
      <c r="F3441" s="17">
        <v>25.06</v>
      </c>
      <c r="G3441" s="3">
        <v>9</v>
      </c>
      <c r="H3441" s="17">
        <f>Table1[[#This Row],[Unit price]]*Table1[[#This Row],[Quantity]]</f>
        <v>225.54</v>
      </c>
      <c r="I3441" s="29">
        <f>Table1[[#This Row],[Total Revenue]]/$H$5056*100</f>
        <v>2.3928834792317819E-2</v>
      </c>
      <c r="J3441" s="3" t="s">
        <v>12</v>
      </c>
      <c r="K3441" s="4">
        <v>8.1</v>
      </c>
      <c r="M3441"/>
    </row>
    <row r="3442" spans="1:13" x14ac:dyDescent="0.25">
      <c r="A3442" s="3" t="s">
        <v>183</v>
      </c>
      <c r="B3442" s="3" t="s">
        <v>244</v>
      </c>
      <c r="C3442" s="3" t="s">
        <v>13</v>
      </c>
      <c r="D3442" s="3" t="s">
        <v>19</v>
      </c>
      <c r="E3442" s="5" t="s">
        <v>11</v>
      </c>
      <c r="F3442" s="17">
        <v>4.6399999999999997</v>
      </c>
      <c r="G3442" s="3">
        <v>3</v>
      </c>
      <c r="H3442" s="17">
        <f>Table1[[#This Row],[Unit price]]*Table1[[#This Row],[Quantity]]</f>
        <v>13.919999999999998</v>
      </c>
      <c r="I3442" s="29">
        <f>Table1[[#This Row],[Total Revenue]]/$H$5056*100</f>
        <v>1.4768527991002218E-3</v>
      </c>
      <c r="J3442" s="3" t="s">
        <v>12</v>
      </c>
      <c r="K3442" s="4">
        <v>8.5</v>
      </c>
      <c r="M3442"/>
    </row>
    <row r="3443" spans="1:13" x14ac:dyDescent="0.25">
      <c r="A3443" s="3" t="s">
        <v>183</v>
      </c>
      <c r="B3443" s="3" t="s">
        <v>243</v>
      </c>
      <c r="C3443" s="3" t="s">
        <v>9</v>
      </c>
      <c r="D3443" s="3" t="s">
        <v>19</v>
      </c>
      <c r="E3443" s="5" t="s">
        <v>21</v>
      </c>
      <c r="F3443" s="17">
        <v>25.94</v>
      </c>
      <c r="G3443" s="3">
        <v>4</v>
      </c>
      <c r="H3443" s="17">
        <f>Table1[[#This Row],[Unit price]]*Table1[[#This Row],[Quantity]]</f>
        <v>103.76</v>
      </c>
      <c r="I3443" s="29">
        <f>Table1[[#This Row],[Total Revenue]]/$H$5056*100</f>
        <v>1.1008494715132114E-2</v>
      </c>
      <c r="J3443" s="3" t="s">
        <v>15</v>
      </c>
      <c r="K3443" s="4">
        <v>9.6999999999999993</v>
      </c>
      <c r="M3443"/>
    </row>
    <row r="3444" spans="1:13" x14ac:dyDescent="0.25">
      <c r="A3444" s="3" t="s">
        <v>183</v>
      </c>
      <c r="B3444" s="3" t="s">
        <v>243</v>
      </c>
      <c r="C3444" s="3" t="s">
        <v>13</v>
      </c>
      <c r="D3444" s="3" t="s">
        <v>10</v>
      </c>
      <c r="E3444" s="5" t="s">
        <v>11</v>
      </c>
      <c r="F3444" s="17">
        <v>2.72</v>
      </c>
      <c r="G3444" s="3">
        <v>3</v>
      </c>
      <c r="H3444" s="17">
        <f>Table1[[#This Row],[Unit price]]*Table1[[#This Row],[Quantity]]</f>
        <v>8.16</v>
      </c>
      <c r="I3444" s="29">
        <f>Table1[[#This Row],[Total Revenue]]/$H$5056*100</f>
        <v>8.6574129602426809E-4</v>
      </c>
      <c r="J3444" s="3" t="s">
        <v>15</v>
      </c>
      <c r="K3444" s="4">
        <v>5.8</v>
      </c>
      <c r="M3444"/>
    </row>
    <row r="3445" spans="1:13" x14ac:dyDescent="0.25">
      <c r="A3445" s="3" t="s">
        <v>183</v>
      </c>
      <c r="B3445" s="3" t="s">
        <v>245</v>
      </c>
      <c r="C3445" s="3" t="s">
        <v>13</v>
      </c>
      <c r="D3445" s="3" t="s">
        <v>19</v>
      </c>
      <c r="E3445" s="5" t="s">
        <v>18</v>
      </c>
      <c r="F3445" s="17">
        <v>11.93</v>
      </c>
      <c r="G3445" s="3">
        <v>9</v>
      </c>
      <c r="H3445" s="17">
        <f>Table1[[#This Row],[Unit price]]*Table1[[#This Row],[Quantity]]</f>
        <v>107.37</v>
      </c>
      <c r="I3445" s="29">
        <f>Table1[[#This Row],[Total Revenue]]/$H$5056*100</f>
        <v>1.1391500362025204E-2</v>
      </c>
      <c r="J3445" s="3" t="s">
        <v>17</v>
      </c>
      <c r="K3445" s="4">
        <v>5.5</v>
      </c>
      <c r="M3445"/>
    </row>
    <row r="3446" spans="1:13" x14ac:dyDescent="0.25">
      <c r="A3446" s="3" t="s">
        <v>183</v>
      </c>
      <c r="B3446" s="3" t="s">
        <v>244</v>
      </c>
      <c r="C3446" s="3" t="s">
        <v>13</v>
      </c>
      <c r="D3446" s="3" t="s">
        <v>19</v>
      </c>
      <c r="E3446" s="5" t="s">
        <v>18</v>
      </c>
      <c r="F3446" s="17">
        <v>22.47</v>
      </c>
      <c r="G3446" s="3">
        <v>2</v>
      </c>
      <c r="H3446" s="17">
        <f>Table1[[#This Row],[Unit price]]*Table1[[#This Row],[Quantity]]</f>
        <v>44.94</v>
      </c>
      <c r="I3446" s="29">
        <f>Table1[[#This Row],[Total Revenue]]/$H$5056*100</f>
        <v>4.7679428729571821E-3</v>
      </c>
      <c r="J3446" s="3" t="s">
        <v>17</v>
      </c>
      <c r="K3446" s="4">
        <v>8.3000000000000007</v>
      </c>
      <c r="M3446"/>
    </row>
    <row r="3447" spans="1:13" x14ac:dyDescent="0.25">
      <c r="A3447" s="3" t="s">
        <v>183</v>
      </c>
      <c r="B3447" s="3" t="s">
        <v>245</v>
      </c>
      <c r="C3447" s="3" t="s">
        <v>13</v>
      </c>
      <c r="D3447" s="3" t="s">
        <v>10</v>
      </c>
      <c r="E3447" s="5" t="s">
        <v>11</v>
      </c>
      <c r="F3447" s="17">
        <v>5.42</v>
      </c>
      <c r="G3447" s="3">
        <v>10</v>
      </c>
      <c r="H3447" s="17">
        <f>Table1[[#This Row],[Unit price]]*Table1[[#This Row],[Quantity]]</f>
        <v>54.2</v>
      </c>
      <c r="I3447" s="29">
        <f>Table1[[#This Row],[Total Revenue]]/$H$5056*100</f>
        <v>5.7503894907494271E-3</v>
      </c>
      <c r="J3447" s="3" t="s">
        <v>12</v>
      </c>
      <c r="K3447" s="4">
        <v>5.3</v>
      </c>
      <c r="M3447"/>
    </row>
    <row r="3448" spans="1:13" x14ac:dyDescent="0.25">
      <c r="A3448" s="3" t="s">
        <v>183</v>
      </c>
      <c r="B3448" s="3" t="s">
        <v>243</v>
      </c>
      <c r="C3448" s="3" t="s">
        <v>13</v>
      </c>
      <c r="D3448" s="3" t="s">
        <v>19</v>
      </c>
      <c r="E3448" s="5" t="s">
        <v>21</v>
      </c>
      <c r="F3448" s="17">
        <v>29.17</v>
      </c>
      <c r="G3448" s="3">
        <v>6</v>
      </c>
      <c r="H3448" s="17">
        <f>Table1[[#This Row],[Unit price]]*Table1[[#This Row],[Quantity]]</f>
        <v>175.02</v>
      </c>
      <c r="I3448" s="29">
        <f>Table1[[#This Row],[Total Revenue]]/$H$5056*100</f>
        <v>1.8568877650755808E-2</v>
      </c>
      <c r="J3448" s="3" t="s">
        <v>15</v>
      </c>
      <c r="K3448" s="4">
        <v>9.3000000000000007</v>
      </c>
      <c r="M3448"/>
    </row>
    <row r="3449" spans="1:13" x14ac:dyDescent="0.25">
      <c r="A3449" s="3" t="s">
        <v>184</v>
      </c>
      <c r="B3449" s="3" t="s">
        <v>245</v>
      </c>
      <c r="C3449" s="3" t="s">
        <v>9</v>
      </c>
      <c r="D3449" s="3" t="s">
        <v>19</v>
      </c>
      <c r="E3449" s="5" t="s">
        <v>18</v>
      </c>
      <c r="F3449" s="17">
        <v>15.18</v>
      </c>
      <c r="G3449" s="3">
        <v>1</v>
      </c>
      <c r="H3449" s="17">
        <f>Table1[[#This Row],[Unit price]]*Table1[[#This Row],[Quantity]]</f>
        <v>15.18</v>
      </c>
      <c r="I3449" s="29">
        <f>Table1[[#This Row],[Total Revenue]]/$H$5056*100</f>
        <v>1.6105334403980869E-3</v>
      </c>
      <c r="J3449" s="3" t="s">
        <v>17</v>
      </c>
      <c r="K3449" s="4">
        <v>8.8000000000000007</v>
      </c>
      <c r="M3449"/>
    </row>
    <row r="3450" spans="1:13" x14ac:dyDescent="0.25">
      <c r="A3450" s="3" t="s">
        <v>184</v>
      </c>
      <c r="B3450" s="3" t="s">
        <v>244</v>
      </c>
      <c r="C3450" s="3" t="s">
        <v>9</v>
      </c>
      <c r="D3450" s="3" t="s">
        <v>10</v>
      </c>
      <c r="E3450" s="5" t="s">
        <v>11</v>
      </c>
      <c r="F3450" s="17">
        <v>3.95</v>
      </c>
      <c r="G3450" s="3">
        <v>1</v>
      </c>
      <c r="H3450" s="17">
        <f>Table1[[#This Row],[Unit price]]*Table1[[#This Row],[Quantity]]</f>
        <v>3.95</v>
      </c>
      <c r="I3450" s="29">
        <f>Table1[[#This Row],[Total Revenue]]/$H$5056*100</f>
        <v>4.1907820089410032E-4</v>
      </c>
      <c r="J3450" s="3" t="s">
        <v>12</v>
      </c>
      <c r="K3450" s="4">
        <v>5.9</v>
      </c>
      <c r="M3450"/>
    </row>
    <row r="3451" spans="1:13" x14ac:dyDescent="0.25">
      <c r="A3451" s="3" t="s">
        <v>184</v>
      </c>
      <c r="B3451" s="3" t="s">
        <v>245</v>
      </c>
      <c r="C3451" s="3" t="s">
        <v>9</v>
      </c>
      <c r="D3451" s="3" t="s">
        <v>10</v>
      </c>
      <c r="E3451" s="5" t="s">
        <v>14</v>
      </c>
      <c r="F3451" s="17">
        <v>84.7</v>
      </c>
      <c r="G3451" s="3">
        <v>6</v>
      </c>
      <c r="H3451" s="17">
        <f>Table1[[#This Row],[Unit price]]*Table1[[#This Row],[Quantity]]</f>
        <v>508.20000000000005</v>
      </c>
      <c r="I3451" s="29">
        <f>Table1[[#This Row],[Total Revenue]]/$H$5056*100</f>
        <v>5.3917858656805526E-2</v>
      </c>
      <c r="J3451" s="3" t="s">
        <v>15</v>
      </c>
      <c r="K3451" s="4">
        <v>8.1</v>
      </c>
      <c r="M3451"/>
    </row>
    <row r="3452" spans="1:13" x14ac:dyDescent="0.25">
      <c r="A3452" s="3" t="s">
        <v>184</v>
      </c>
      <c r="B3452" s="3" t="s">
        <v>243</v>
      </c>
      <c r="C3452" s="3" t="s">
        <v>9</v>
      </c>
      <c r="D3452" s="3" t="s">
        <v>19</v>
      </c>
      <c r="E3452" s="5" t="s">
        <v>11</v>
      </c>
      <c r="F3452" s="17">
        <v>12.46</v>
      </c>
      <c r="G3452" s="3">
        <v>1</v>
      </c>
      <c r="H3452" s="17">
        <f>Table1[[#This Row],[Unit price]]*Table1[[#This Row],[Quantity]]</f>
        <v>12.46</v>
      </c>
      <c r="I3452" s="29">
        <f>Table1[[#This Row],[Total Revenue]]/$H$5056*100</f>
        <v>1.3219530083899977E-3</v>
      </c>
      <c r="J3452" s="3" t="s">
        <v>17</v>
      </c>
      <c r="K3452" s="4">
        <v>8.1</v>
      </c>
      <c r="M3452"/>
    </row>
    <row r="3453" spans="1:13" x14ac:dyDescent="0.25">
      <c r="A3453" s="3" t="s">
        <v>184</v>
      </c>
      <c r="B3453" s="3" t="s">
        <v>243</v>
      </c>
      <c r="C3453" s="3" t="s">
        <v>13</v>
      </c>
      <c r="D3453" s="3" t="s">
        <v>10</v>
      </c>
      <c r="E3453" s="5" t="s">
        <v>11</v>
      </c>
      <c r="F3453" s="17">
        <v>6.04</v>
      </c>
      <c r="G3453" s="3">
        <v>2</v>
      </c>
      <c r="H3453" s="17">
        <f>Table1[[#This Row],[Unit price]]*Table1[[#This Row],[Quantity]]</f>
        <v>12.08</v>
      </c>
      <c r="I3453" s="29">
        <f>Table1[[#This Row],[Total Revenue]]/$H$5056*100</f>
        <v>1.2816366245065145E-3</v>
      </c>
      <c r="J3453" s="3" t="s">
        <v>12</v>
      </c>
      <c r="K3453" s="4">
        <v>3.7</v>
      </c>
      <c r="M3453"/>
    </row>
    <row r="3454" spans="1:13" x14ac:dyDescent="0.25">
      <c r="A3454" s="3" t="s">
        <v>184</v>
      </c>
      <c r="B3454" s="3" t="s">
        <v>244</v>
      </c>
      <c r="C3454" s="3" t="s">
        <v>13</v>
      </c>
      <c r="D3454" s="3" t="s">
        <v>10</v>
      </c>
      <c r="E3454" s="5" t="s">
        <v>11</v>
      </c>
      <c r="F3454" s="17">
        <v>5.15</v>
      </c>
      <c r="G3454" s="3">
        <v>6</v>
      </c>
      <c r="H3454" s="17">
        <f>Table1[[#This Row],[Unit price]]*Table1[[#This Row],[Quantity]]</f>
        <v>30.900000000000002</v>
      </c>
      <c r="I3454" s="29">
        <f>Table1[[#This Row],[Total Revenue]]/$H$5056*100</f>
        <v>3.2783585842095443E-3</v>
      </c>
      <c r="J3454" s="3" t="s">
        <v>12</v>
      </c>
      <c r="K3454" s="4">
        <v>9.1</v>
      </c>
      <c r="M3454"/>
    </row>
    <row r="3455" spans="1:13" x14ac:dyDescent="0.25">
      <c r="A3455" s="3" t="s">
        <v>184</v>
      </c>
      <c r="B3455" s="3" t="s">
        <v>245</v>
      </c>
      <c r="C3455" s="3" t="s">
        <v>13</v>
      </c>
      <c r="D3455" s="3" t="s">
        <v>19</v>
      </c>
      <c r="E3455" s="5" t="s">
        <v>21</v>
      </c>
      <c r="F3455" s="17">
        <v>28.66</v>
      </c>
      <c r="G3455" s="3">
        <v>4</v>
      </c>
      <c r="H3455" s="17">
        <f>Table1[[#This Row],[Unit price]]*Table1[[#This Row],[Quantity]]</f>
        <v>114.64</v>
      </c>
      <c r="I3455" s="29">
        <f>Table1[[#This Row],[Total Revenue]]/$H$5056*100</f>
        <v>1.2162816443164472E-2</v>
      </c>
      <c r="J3455" s="3" t="s">
        <v>15</v>
      </c>
      <c r="K3455" s="4">
        <v>6.4</v>
      </c>
      <c r="M3455"/>
    </row>
    <row r="3456" spans="1:13" x14ac:dyDescent="0.25">
      <c r="A3456" s="3" t="s">
        <v>184</v>
      </c>
      <c r="B3456" s="3" t="s">
        <v>244</v>
      </c>
      <c r="C3456" s="3" t="s">
        <v>13</v>
      </c>
      <c r="D3456" s="3" t="s">
        <v>10</v>
      </c>
      <c r="E3456" s="5" t="s">
        <v>14</v>
      </c>
      <c r="F3456" s="17">
        <v>93.14</v>
      </c>
      <c r="G3456" s="3">
        <v>1</v>
      </c>
      <c r="H3456" s="17">
        <f>Table1[[#This Row],[Unit price]]*Table1[[#This Row],[Quantity]]</f>
        <v>93.14</v>
      </c>
      <c r="I3456" s="29">
        <f>Table1[[#This Row],[Total Revenue]]/$H$5056*100</f>
        <v>9.8817578813358252E-3</v>
      </c>
      <c r="J3456" s="3" t="s">
        <v>17</v>
      </c>
      <c r="K3456" s="4">
        <v>8.6</v>
      </c>
      <c r="M3456"/>
    </row>
    <row r="3457" spans="1:13" x14ac:dyDescent="0.25">
      <c r="A3457" s="3" t="s">
        <v>184</v>
      </c>
      <c r="B3457" s="3" t="s">
        <v>243</v>
      </c>
      <c r="C3457" s="3" t="s">
        <v>9</v>
      </c>
      <c r="D3457" s="3" t="s">
        <v>10</v>
      </c>
      <c r="E3457" s="5" t="s">
        <v>11</v>
      </c>
      <c r="F3457" s="17">
        <v>8.89</v>
      </c>
      <c r="G3457" s="3">
        <v>4</v>
      </c>
      <c r="H3457" s="17">
        <f>Table1[[#This Row],[Unit price]]*Table1[[#This Row],[Quantity]]</f>
        <v>35.56</v>
      </c>
      <c r="I3457" s="29">
        <f>Table1[[#This Row],[Total Revenue]]/$H$5056*100</f>
        <v>3.772764765517521E-3</v>
      </c>
      <c r="J3457" s="3" t="s">
        <v>12</v>
      </c>
      <c r="K3457" s="4">
        <v>5.2</v>
      </c>
      <c r="M3457"/>
    </row>
    <row r="3458" spans="1:13" x14ac:dyDescent="0.25">
      <c r="A3458" s="3" t="s">
        <v>184</v>
      </c>
      <c r="B3458" s="3" t="s">
        <v>245</v>
      </c>
      <c r="C3458" s="3" t="s">
        <v>13</v>
      </c>
      <c r="D3458" s="3" t="s">
        <v>19</v>
      </c>
      <c r="E3458" s="5" t="s">
        <v>14</v>
      </c>
      <c r="F3458" s="17">
        <v>81.760000000000005</v>
      </c>
      <c r="G3458" s="3">
        <v>4</v>
      </c>
      <c r="H3458" s="17">
        <f>Table1[[#This Row],[Unit price]]*Table1[[#This Row],[Quantity]]</f>
        <v>327.04000000000002</v>
      </c>
      <c r="I3458" s="29">
        <f>Table1[[#This Row],[Total Revenue]]/$H$5056*100</f>
        <v>3.4697553119090278E-2</v>
      </c>
      <c r="J3458" s="3" t="s">
        <v>17</v>
      </c>
      <c r="K3458" s="4">
        <v>9.1</v>
      </c>
      <c r="M3458"/>
    </row>
    <row r="3459" spans="1:13" x14ac:dyDescent="0.25">
      <c r="A3459" s="3" t="s">
        <v>184</v>
      </c>
      <c r="B3459" s="3" t="s">
        <v>245</v>
      </c>
      <c r="C3459" s="3" t="s">
        <v>13</v>
      </c>
      <c r="D3459" s="3" t="s">
        <v>10</v>
      </c>
      <c r="E3459" s="5" t="s">
        <v>21</v>
      </c>
      <c r="F3459" s="17">
        <v>33.700000000000003</v>
      </c>
      <c r="G3459" s="3">
        <v>10</v>
      </c>
      <c r="H3459" s="17">
        <f>Table1[[#This Row],[Unit price]]*Table1[[#This Row],[Quantity]]</f>
        <v>337</v>
      </c>
      <c r="I3459" s="29">
        <f>Table1[[#This Row],[Total Revenue]]/$H$5056*100</f>
        <v>3.5754266759825772E-2</v>
      </c>
      <c r="J3459" s="3" t="s">
        <v>15</v>
      </c>
      <c r="K3459" s="4">
        <v>5.6</v>
      </c>
      <c r="M3459"/>
    </row>
    <row r="3460" spans="1:13" x14ac:dyDescent="0.25">
      <c r="A3460" s="3" t="s">
        <v>184</v>
      </c>
      <c r="B3460" s="3" t="s">
        <v>245</v>
      </c>
      <c r="C3460" s="3" t="s">
        <v>13</v>
      </c>
      <c r="D3460" s="3" t="s">
        <v>19</v>
      </c>
      <c r="E3460" s="5" t="s">
        <v>11</v>
      </c>
      <c r="F3460" s="17">
        <v>2.81</v>
      </c>
      <c r="G3460" s="3">
        <v>3</v>
      </c>
      <c r="H3460" s="17">
        <f>Table1[[#This Row],[Unit price]]*Table1[[#This Row],[Quantity]]</f>
        <v>8.43</v>
      </c>
      <c r="I3460" s="29">
        <f>Table1[[#This Row],[Total Revenue]]/$H$5056*100</f>
        <v>8.9438714773095341E-4</v>
      </c>
      <c r="J3460" s="3" t="s">
        <v>15</v>
      </c>
      <c r="K3460" s="4">
        <v>3.1</v>
      </c>
      <c r="M3460"/>
    </row>
    <row r="3461" spans="1:13" x14ac:dyDescent="0.25">
      <c r="A3461" s="3" t="s">
        <v>184</v>
      </c>
      <c r="B3461" s="3" t="s">
        <v>244</v>
      </c>
      <c r="C3461" s="3" t="s">
        <v>13</v>
      </c>
      <c r="D3461" s="3" t="s">
        <v>10</v>
      </c>
      <c r="E3461" s="5" t="s">
        <v>11</v>
      </c>
      <c r="F3461" s="17">
        <v>11.56</v>
      </c>
      <c r="G3461" s="3">
        <v>6</v>
      </c>
      <c r="H3461" s="17">
        <f>Table1[[#This Row],[Unit price]]*Table1[[#This Row],[Quantity]]</f>
        <v>69.36</v>
      </c>
      <c r="I3461" s="29">
        <f>Table1[[#This Row],[Total Revenue]]/$H$5056*100</f>
        <v>7.3588010162062793E-3</v>
      </c>
      <c r="J3461" s="3" t="s">
        <v>12</v>
      </c>
      <c r="K3461" s="4">
        <v>9.1999999999999993</v>
      </c>
      <c r="M3461"/>
    </row>
    <row r="3462" spans="1:13" x14ac:dyDescent="0.25">
      <c r="A3462" s="3" t="s">
        <v>184</v>
      </c>
      <c r="B3462" s="3" t="s">
        <v>245</v>
      </c>
      <c r="C3462" s="3" t="s">
        <v>13</v>
      </c>
      <c r="D3462" s="3" t="s">
        <v>19</v>
      </c>
      <c r="E3462" s="5" t="s">
        <v>11</v>
      </c>
      <c r="F3462" s="17">
        <v>9.6</v>
      </c>
      <c r="G3462" s="3">
        <v>3</v>
      </c>
      <c r="H3462" s="17">
        <f>Table1[[#This Row],[Unit price]]*Table1[[#This Row],[Quantity]]</f>
        <v>28.799999999999997</v>
      </c>
      <c r="I3462" s="29">
        <f>Table1[[#This Row],[Total Revenue]]/$H$5056*100</f>
        <v>3.0555575153797692E-3</v>
      </c>
      <c r="J3462" s="3" t="s">
        <v>15</v>
      </c>
      <c r="K3462" s="4">
        <v>3.6</v>
      </c>
      <c r="M3462"/>
    </row>
    <row r="3463" spans="1:13" x14ac:dyDescent="0.25">
      <c r="A3463" s="3" t="s">
        <v>184</v>
      </c>
      <c r="B3463" s="3" t="s">
        <v>244</v>
      </c>
      <c r="C3463" s="3" t="s">
        <v>13</v>
      </c>
      <c r="D3463" s="3" t="s">
        <v>19</v>
      </c>
      <c r="E3463" s="5" t="s">
        <v>21</v>
      </c>
      <c r="F3463" s="17">
        <v>39.119999999999997</v>
      </c>
      <c r="G3463" s="3">
        <v>4</v>
      </c>
      <c r="H3463" s="17">
        <f>Table1[[#This Row],[Unit price]]*Table1[[#This Row],[Quantity]]</f>
        <v>156.47999999999999</v>
      </c>
      <c r="I3463" s="29">
        <f>Table1[[#This Row],[Total Revenue]]/$H$5056*100</f>
        <v>1.6601862500230078E-2</v>
      </c>
      <c r="J3463" s="3" t="s">
        <v>12</v>
      </c>
      <c r="K3463" s="4">
        <v>5.2</v>
      </c>
      <c r="M3463"/>
    </row>
    <row r="3464" spans="1:13" x14ac:dyDescent="0.25">
      <c r="A3464" s="3" t="s">
        <v>184</v>
      </c>
      <c r="B3464" s="3" t="s">
        <v>245</v>
      </c>
      <c r="C3464" s="3" t="s">
        <v>9</v>
      </c>
      <c r="D3464" s="3" t="s">
        <v>19</v>
      </c>
      <c r="E3464" s="5" t="s">
        <v>21</v>
      </c>
      <c r="F3464" s="17">
        <v>32.15</v>
      </c>
      <c r="G3464" s="3">
        <v>10</v>
      </c>
      <c r="H3464" s="17">
        <f>Table1[[#This Row],[Unit price]]*Table1[[#This Row],[Quantity]]</f>
        <v>321.5</v>
      </c>
      <c r="I3464" s="29">
        <f>Table1[[#This Row],[Total Revenue]]/$H$5056*100</f>
        <v>3.4109782680367913E-2</v>
      </c>
      <c r="J3464" s="3" t="s">
        <v>15</v>
      </c>
      <c r="K3464" s="4">
        <v>9.5</v>
      </c>
      <c r="M3464"/>
    </row>
    <row r="3465" spans="1:13" x14ac:dyDescent="0.25">
      <c r="A3465" s="3" t="s">
        <v>184</v>
      </c>
      <c r="B3465" s="3" t="s">
        <v>244</v>
      </c>
      <c r="C3465" s="3" t="s">
        <v>13</v>
      </c>
      <c r="D3465" s="3" t="s">
        <v>19</v>
      </c>
      <c r="E3465" s="5" t="s">
        <v>16</v>
      </c>
      <c r="F3465" s="17">
        <v>79.05</v>
      </c>
      <c r="G3465" s="3">
        <v>7</v>
      </c>
      <c r="H3465" s="17">
        <f>Table1[[#This Row],[Unit price]]*Table1[[#This Row],[Quantity]]</f>
        <v>553.35</v>
      </c>
      <c r="I3465" s="29">
        <f>Table1[[#This Row],[Total Revenue]]/$H$5056*100</f>
        <v>5.8708081636645676E-2</v>
      </c>
      <c r="J3465" s="3" t="s">
        <v>12</v>
      </c>
      <c r="K3465" s="4">
        <v>9.5</v>
      </c>
      <c r="M3465"/>
    </row>
    <row r="3466" spans="1:13" x14ac:dyDescent="0.25">
      <c r="A3466" s="3" t="s">
        <v>184</v>
      </c>
      <c r="B3466" s="3" t="s">
        <v>244</v>
      </c>
      <c r="C3466" s="3" t="s">
        <v>9</v>
      </c>
      <c r="D3466" s="3" t="s">
        <v>19</v>
      </c>
      <c r="E3466" s="5" t="s">
        <v>20</v>
      </c>
      <c r="F3466" s="17">
        <v>52.13</v>
      </c>
      <c r="G3466" s="3">
        <v>8</v>
      </c>
      <c r="H3466" s="17">
        <f>Table1[[#This Row],[Unit price]]*Table1[[#This Row],[Quantity]]</f>
        <v>417.04</v>
      </c>
      <c r="I3466" s="29">
        <f>Table1[[#This Row],[Total Revenue]]/$H$5056*100</f>
        <v>4.4246170354652052E-2</v>
      </c>
      <c r="J3466" s="3" t="s">
        <v>12</v>
      </c>
      <c r="K3466" s="4">
        <v>6.9</v>
      </c>
      <c r="M3466"/>
    </row>
    <row r="3467" spans="1:13" x14ac:dyDescent="0.25">
      <c r="A3467" s="3" t="s">
        <v>184</v>
      </c>
      <c r="B3467" s="3" t="s">
        <v>244</v>
      </c>
      <c r="C3467" s="3" t="s">
        <v>13</v>
      </c>
      <c r="D3467" s="3" t="s">
        <v>19</v>
      </c>
      <c r="E3467" s="5" t="s">
        <v>20</v>
      </c>
      <c r="F3467" s="17">
        <v>44.19</v>
      </c>
      <c r="G3467" s="3">
        <v>1</v>
      </c>
      <c r="H3467" s="17">
        <f>Table1[[#This Row],[Unit price]]*Table1[[#This Row],[Quantity]]</f>
        <v>44.19</v>
      </c>
      <c r="I3467" s="29">
        <f>Table1[[#This Row],[Total Revenue]]/$H$5056*100</f>
        <v>4.6883710626608333E-3</v>
      </c>
      <c r="J3467" s="3" t="s">
        <v>15</v>
      </c>
      <c r="K3467" s="4">
        <v>7.3</v>
      </c>
      <c r="M3467"/>
    </row>
    <row r="3468" spans="1:13" x14ac:dyDescent="0.25">
      <c r="A3468" s="3" t="s">
        <v>185</v>
      </c>
      <c r="B3468" s="3" t="s">
        <v>244</v>
      </c>
      <c r="C3468" s="3" t="s">
        <v>13</v>
      </c>
      <c r="D3468" s="3" t="s">
        <v>19</v>
      </c>
      <c r="E3468" s="5" t="s">
        <v>18</v>
      </c>
      <c r="F3468" s="17">
        <v>12.44</v>
      </c>
      <c r="G3468" s="3">
        <v>2</v>
      </c>
      <c r="H3468" s="17">
        <f>Table1[[#This Row],[Unit price]]*Table1[[#This Row],[Quantity]]</f>
        <v>24.88</v>
      </c>
      <c r="I3468" s="29">
        <f>Table1[[#This Row],[Total Revenue]]/$H$5056*100</f>
        <v>2.6396621868975227E-3</v>
      </c>
      <c r="J3468" s="3" t="s">
        <v>12</v>
      </c>
      <c r="K3468" s="4">
        <v>6</v>
      </c>
      <c r="M3468"/>
    </row>
    <row r="3469" spans="1:13" x14ac:dyDescent="0.25">
      <c r="A3469" s="3" t="s">
        <v>185</v>
      </c>
      <c r="B3469" s="3" t="s">
        <v>245</v>
      </c>
      <c r="C3469" s="3" t="s">
        <v>13</v>
      </c>
      <c r="D3469" s="3" t="s">
        <v>19</v>
      </c>
      <c r="E3469" s="5" t="s">
        <v>11</v>
      </c>
      <c r="F3469" s="17">
        <v>4.57</v>
      </c>
      <c r="G3469" s="3">
        <v>8</v>
      </c>
      <c r="H3469" s="17">
        <f>Table1[[#This Row],[Unit price]]*Table1[[#This Row],[Quantity]]</f>
        <v>36.56</v>
      </c>
      <c r="I3469" s="29">
        <f>Table1[[#This Row],[Total Revenue]]/$H$5056*100</f>
        <v>3.8788605125793184E-3</v>
      </c>
      <c r="J3469" s="3" t="s">
        <v>17</v>
      </c>
      <c r="K3469" s="4">
        <v>5</v>
      </c>
      <c r="M3469"/>
    </row>
    <row r="3470" spans="1:13" x14ac:dyDescent="0.25">
      <c r="A3470" s="3" t="s">
        <v>185</v>
      </c>
      <c r="B3470" s="3" t="s">
        <v>245</v>
      </c>
      <c r="C3470" s="3" t="s">
        <v>9</v>
      </c>
      <c r="D3470" s="3" t="s">
        <v>10</v>
      </c>
      <c r="E3470" s="5" t="s">
        <v>11</v>
      </c>
      <c r="F3470" s="17">
        <v>14.25</v>
      </c>
      <c r="G3470" s="3">
        <v>1</v>
      </c>
      <c r="H3470" s="17">
        <f>Table1[[#This Row],[Unit price]]*Table1[[#This Row],[Quantity]]</f>
        <v>14.25</v>
      </c>
      <c r="I3470" s="29">
        <f>Table1[[#This Row],[Total Revenue]]/$H$5056*100</f>
        <v>1.511864395630615E-3</v>
      </c>
      <c r="J3470" s="3" t="s">
        <v>15</v>
      </c>
      <c r="K3470" s="4">
        <v>5.2</v>
      </c>
      <c r="M3470"/>
    </row>
    <row r="3471" spans="1:13" x14ac:dyDescent="0.25">
      <c r="A3471" s="3" t="s">
        <v>185</v>
      </c>
      <c r="B3471" s="3" t="s">
        <v>245</v>
      </c>
      <c r="C3471" s="3" t="s">
        <v>13</v>
      </c>
      <c r="D3471" s="3" t="s">
        <v>10</v>
      </c>
      <c r="E3471" s="5" t="s">
        <v>20</v>
      </c>
      <c r="F3471" s="17">
        <v>51.48</v>
      </c>
      <c r="G3471" s="3">
        <v>7</v>
      </c>
      <c r="H3471" s="17">
        <f>Table1[[#This Row],[Unit price]]*Table1[[#This Row],[Quantity]]</f>
        <v>360.35999999999996</v>
      </c>
      <c r="I3471" s="29">
        <f>Table1[[#This Row],[Total Revenue]]/$H$5056*100</f>
        <v>3.823266341118936E-2</v>
      </c>
      <c r="J3471" s="3" t="s">
        <v>15</v>
      </c>
      <c r="K3471" s="4">
        <v>7.6</v>
      </c>
      <c r="M3471"/>
    </row>
    <row r="3472" spans="1:13" x14ac:dyDescent="0.25">
      <c r="A3472" s="3" t="s">
        <v>185</v>
      </c>
      <c r="B3472" s="3" t="s">
        <v>244</v>
      </c>
      <c r="C3472" s="3" t="s">
        <v>13</v>
      </c>
      <c r="D3472" s="3" t="s">
        <v>10</v>
      </c>
      <c r="E3472" s="5" t="s">
        <v>11</v>
      </c>
      <c r="F3472" s="17">
        <v>3.93</v>
      </c>
      <c r="G3472" s="3">
        <v>10</v>
      </c>
      <c r="H3472" s="17">
        <f>Table1[[#This Row],[Unit price]]*Table1[[#This Row],[Quantity]]</f>
        <v>39.300000000000004</v>
      </c>
      <c r="I3472" s="29">
        <f>Table1[[#This Row],[Total Revenue]]/$H$5056*100</f>
        <v>4.1695628595286444E-3</v>
      </c>
      <c r="J3472" s="3" t="s">
        <v>12</v>
      </c>
      <c r="K3472" s="4">
        <v>8.1</v>
      </c>
      <c r="M3472"/>
    </row>
    <row r="3473" spans="1:13" x14ac:dyDescent="0.25">
      <c r="A3473" s="3" t="s">
        <v>185</v>
      </c>
      <c r="B3473" s="3" t="s">
        <v>244</v>
      </c>
      <c r="C3473" s="3" t="s">
        <v>13</v>
      </c>
      <c r="D3473" s="3" t="s">
        <v>10</v>
      </c>
      <c r="E3473" s="5" t="s">
        <v>11</v>
      </c>
      <c r="F3473" s="17">
        <v>8.23</v>
      </c>
      <c r="G3473" s="3">
        <v>2</v>
      </c>
      <c r="H3473" s="17">
        <f>Table1[[#This Row],[Unit price]]*Table1[[#This Row],[Quantity]]</f>
        <v>16.46</v>
      </c>
      <c r="I3473" s="29">
        <f>Table1[[#This Row],[Total Revenue]]/$H$5056*100</f>
        <v>1.7463359966371878E-3</v>
      </c>
      <c r="J3473" s="3" t="s">
        <v>15</v>
      </c>
      <c r="K3473" s="4">
        <v>8.4</v>
      </c>
      <c r="M3473"/>
    </row>
    <row r="3474" spans="1:13" x14ac:dyDescent="0.25">
      <c r="A3474" s="3" t="s">
        <v>185</v>
      </c>
      <c r="B3474" s="3" t="s">
        <v>244</v>
      </c>
      <c r="C3474" s="3" t="s">
        <v>13</v>
      </c>
      <c r="D3474" s="3" t="s">
        <v>19</v>
      </c>
      <c r="E3474" s="5" t="s">
        <v>11</v>
      </c>
      <c r="F3474" s="17">
        <v>12.43</v>
      </c>
      <c r="G3474" s="3">
        <v>1</v>
      </c>
      <c r="H3474" s="17">
        <f>Table1[[#This Row],[Unit price]]*Table1[[#This Row],[Quantity]]</f>
        <v>12.43</v>
      </c>
      <c r="I3474" s="29">
        <f>Table1[[#This Row],[Total Revenue]]/$H$5056*100</f>
        <v>1.3187701359781436E-3</v>
      </c>
      <c r="J3474" s="3" t="s">
        <v>17</v>
      </c>
      <c r="K3474" s="4">
        <v>8.4</v>
      </c>
      <c r="M3474"/>
    </row>
    <row r="3475" spans="1:13" x14ac:dyDescent="0.25">
      <c r="A3475" s="3" t="s">
        <v>185</v>
      </c>
      <c r="B3475" s="3" t="s">
        <v>243</v>
      </c>
      <c r="C3475" s="3" t="s">
        <v>9</v>
      </c>
      <c r="D3475" s="3" t="s">
        <v>10</v>
      </c>
      <c r="E3475" s="5" t="s">
        <v>18</v>
      </c>
      <c r="F3475" s="17">
        <v>16.309999999999999</v>
      </c>
      <c r="G3475" s="3">
        <v>6</v>
      </c>
      <c r="H3475" s="17">
        <f>Table1[[#This Row],[Unit price]]*Table1[[#This Row],[Quantity]]</f>
        <v>97.859999999999985</v>
      </c>
      <c r="I3475" s="29">
        <f>Table1[[#This Row],[Total Revenue]]/$H$5056*100</f>
        <v>1.0382529807467508E-2</v>
      </c>
      <c r="J3475" s="3" t="s">
        <v>12</v>
      </c>
      <c r="K3475" s="4">
        <v>3.6</v>
      </c>
      <c r="M3475"/>
    </row>
    <row r="3476" spans="1:13" x14ac:dyDescent="0.25">
      <c r="A3476" s="3" t="s">
        <v>185</v>
      </c>
      <c r="B3476" s="3" t="s">
        <v>244</v>
      </c>
      <c r="C3476" s="3" t="s">
        <v>9</v>
      </c>
      <c r="D3476" s="3" t="s">
        <v>19</v>
      </c>
      <c r="E3476" s="5" t="s">
        <v>11</v>
      </c>
      <c r="F3476" s="17">
        <v>12.54</v>
      </c>
      <c r="G3476" s="3">
        <v>5</v>
      </c>
      <c r="H3476" s="17">
        <f>Table1[[#This Row],[Unit price]]*Table1[[#This Row],[Quantity]]</f>
        <v>62.699999999999996</v>
      </c>
      <c r="I3476" s="29">
        <f>Table1[[#This Row],[Total Revenue]]/$H$5056*100</f>
        <v>6.6522033407747068E-3</v>
      </c>
      <c r="J3476" s="3" t="s">
        <v>15</v>
      </c>
      <c r="K3476" s="4">
        <v>6.4</v>
      </c>
      <c r="M3476"/>
    </row>
    <row r="3477" spans="1:13" x14ac:dyDescent="0.25">
      <c r="A3477" s="3" t="s">
        <v>185</v>
      </c>
      <c r="B3477" s="3" t="s">
        <v>243</v>
      </c>
      <c r="C3477" s="3" t="s">
        <v>13</v>
      </c>
      <c r="D3477" s="3" t="s">
        <v>19</v>
      </c>
      <c r="E3477" s="5" t="s">
        <v>14</v>
      </c>
      <c r="F3477" s="17">
        <v>81.900000000000006</v>
      </c>
      <c r="G3477" s="3">
        <v>4</v>
      </c>
      <c r="H3477" s="17">
        <f>Table1[[#This Row],[Unit price]]*Table1[[#This Row],[Quantity]]</f>
        <v>327.60000000000002</v>
      </c>
      <c r="I3477" s="29">
        <f>Table1[[#This Row],[Total Revenue]]/$H$5056*100</f>
        <v>3.4756966737444883E-2</v>
      </c>
      <c r="J3477" s="3" t="s">
        <v>15</v>
      </c>
      <c r="K3477" s="4">
        <v>3.4</v>
      </c>
      <c r="M3477"/>
    </row>
    <row r="3478" spans="1:13" x14ac:dyDescent="0.25">
      <c r="A3478" s="3" t="s">
        <v>185</v>
      </c>
      <c r="B3478" s="3" t="s">
        <v>245</v>
      </c>
      <c r="C3478" s="3" t="s">
        <v>13</v>
      </c>
      <c r="D3478" s="3" t="s">
        <v>19</v>
      </c>
      <c r="E3478" s="5" t="s">
        <v>16</v>
      </c>
      <c r="F3478" s="17">
        <v>78.430000000000007</v>
      </c>
      <c r="G3478" s="3">
        <v>10</v>
      </c>
      <c r="H3478" s="17">
        <f>Table1[[#This Row],[Unit price]]*Table1[[#This Row],[Quantity]]</f>
        <v>784.30000000000007</v>
      </c>
      <c r="I3478" s="29">
        <f>Table1[[#This Row],[Total Revenue]]/$H$5056*100</f>
        <v>8.3210894420567824E-2</v>
      </c>
      <c r="J3478" s="3" t="s">
        <v>17</v>
      </c>
      <c r="K3478" s="4">
        <v>6.7</v>
      </c>
      <c r="M3478"/>
    </row>
    <row r="3479" spans="1:13" x14ac:dyDescent="0.25">
      <c r="A3479" s="3" t="s">
        <v>185</v>
      </c>
      <c r="B3479" s="3" t="s">
        <v>243</v>
      </c>
      <c r="C3479" s="3" t="s">
        <v>9</v>
      </c>
      <c r="D3479" s="3" t="s">
        <v>19</v>
      </c>
      <c r="E3479" s="5" t="s">
        <v>18</v>
      </c>
      <c r="F3479" s="17">
        <v>16.850000000000001</v>
      </c>
      <c r="G3479" s="3">
        <v>6</v>
      </c>
      <c r="H3479" s="17">
        <f>Table1[[#This Row],[Unit price]]*Table1[[#This Row],[Quantity]]</f>
        <v>101.10000000000001</v>
      </c>
      <c r="I3479" s="29">
        <f>Table1[[#This Row],[Total Revenue]]/$H$5056*100</f>
        <v>1.0726280027947734E-2</v>
      </c>
      <c r="J3479" s="3" t="s">
        <v>17</v>
      </c>
      <c r="K3479" s="4">
        <v>6</v>
      </c>
      <c r="M3479"/>
    </row>
    <row r="3480" spans="1:13" x14ac:dyDescent="0.25">
      <c r="A3480" s="3" t="s">
        <v>185</v>
      </c>
      <c r="B3480" s="3" t="s">
        <v>245</v>
      </c>
      <c r="C3480" s="3" t="s">
        <v>13</v>
      </c>
      <c r="D3480" s="3" t="s">
        <v>19</v>
      </c>
      <c r="E3480" s="5" t="s">
        <v>11</v>
      </c>
      <c r="F3480" s="17">
        <v>4.45</v>
      </c>
      <c r="G3480" s="3">
        <v>8</v>
      </c>
      <c r="H3480" s="17">
        <f>Table1[[#This Row],[Unit price]]*Table1[[#This Row],[Quantity]]</f>
        <v>35.6</v>
      </c>
      <c r="I3480" s="29">
        <f>Table1[[#This Row],[Total Revenue]]/$H$5056*100</f>
        <v>3.7770085953999933E-3</v>
      </c>
      <c r="J3480" s="3" t="s">
        <v>12</v>
      </c>
      <c r="K3480" s="4">
        <v>9</v>
      </c>
      <c r="M3480"/>
    </row>
    <row r="3481" spans="1:13" x14ac:dyDescent="0.25">
      <c r="A3481" s="3" t="s">
        <v>185</v>
      </c>
      <c r="B3481" s="3" t="s">
        <v>244</v>
      </c>
      <c r="C3481" s="3" t="s">
        <v>9</v>
      </c>
      <c r="D3481" s="3" t="s">
        <v>19</v>
      </c>
      <c r="E3481" s="5" t="s">
        <v>11</v>
      </c>
      <c r="F3481" s="17">
        <v>4.84</v>
      </c>
      <c r="G3481" s="3">
        <v>9</v>
      </c>
      <c r="H3481" s="17">
        <f>Table1[[#This Row],[Unit price]]*Table1[[#This Row],[Quantity]]</f>
        <v>43.56</v>
      </c>
      <c r="I3481" s="29">
        <f>Table1[[#This Row],[Total Revenue]]/$H$5056*100</f>
        <v>4.6215307420119011E-3</v>
      </c>
      <c r="J3481" s="3" t="s">
        <v>12</v>
      </c>
      <c r="K3481" s="4">
        <v>5.4</v>
      </c>
      <c r="M3481"/>
    </row>
    <row r="3482" spans="1:13" x14ac:dyDescent="0.25">
      <c r="A3482" s="3" t="s">
        <v>185</v>
      </c>
      <c r="B3482" s="3" t="s">
        <v>243</v>
      </c>
      <c r="C3482" s="3" t="s">
        <v>9</v>
      </c>
      <c r="D3482" s="3" t="s">
        <v>19</v>
      </c>
      <c r="E3482" s="5" t="s">
        <v>11</v>
      </c>
      <c r="F3482" s="17">
        <v>4.3099999999999996</v>
      </c>
      <c r="G3482" s="3">
        <v>6</v>
      </c>
      <c r="H3482" s="17">
        <f>Table1[[#This Row],[Unit price]]*Table1[[#This Row],[Quantity]]</f>
        <v>25.86</v>
      </c>
      <c r="I3482" s="29">
        <f>Table1[[#This Row],[Total Revenue]]/$H$5056*100</f>
        <v>2.7436360190180847E-3</v>
      </c>
      <c r="J3482" s="3" t="s">
        <v>15</v>
      </c>
      <c r="K3482" s="4">
        <v>3.8</v>
      </c>
      <c r="M3482"/>
    </row>
    <row r="3483" spans="1:13" x14ac:dyDescent="0.25">
      <c r="A3483" s="3" t="s">
        <v>185</v>
      </c>
      <c r="B3483" s="3" t="s">
        <v>245</v>
      </c>
      <c r="C3483" s="3" t="s">
        <v>13</v>
      </c>
      <c r="D3483" s="3" t="s">
        <v>19</v>
      </c>
      <c r="E3483" s="5" t="s">
        <v>11</v>
      </c>
      <c r="F3483" s="17">
        <v>13</v>
      </c>
      <c r="G3483" s="3">
        <v>6</v>
      </c>
      <c r="H3483" s="17">
        <f>Table1[[#This Row],[Unit price]]*Table1[[#This Row],[Quantity]]</f>
        <v>78</v>
      </c>
      <c r="I3483" s="29">
        <f>Table1[[#This Row],[Total Revenue]]/$H$5056*100</f>
        <v>8.2754682708202094E-3</v>
      </c>
      <c r="J3483" s="3" t="s">
        <v>17</v>
      </c>
      <c r="K3483" s="4">
        <v>4</v>
      </c>
      <c r="M3483"/>
    </row>
    <row r="3484" spans="1:13" x14ac:dyDescent="0.25">
      <c r="A3484" s="3" t="s">
        <v>185</v>
      </c>
      <c r="B3484" s="3" t="s">
        <v>245</v>
      </c>
      <c r="C3484" s="3" t="s">
        <v>13</v>
      </c>
      <c r="D3484" s="3" t="s">
        <v>10</v>
      </c>
      <c r="E3484" s="5" t="s">
        <v>21</v>
      </c>
      <c r="F3484" s="17">
        <v>23.41</v>
      </c>
      <c r="G3484" s="3">
        <v>6</v>
      </c>
      <c r="H3484" s="17">
        <f>Table1[[#This Row],[Unit price]]*Table1[[#This Row],[Quantity]]</f>
        <v>140.46</v>
      </c>
      <c r="I3484" s="29">
        <f>Table1[[#This Row],[Total Revenue]]/$H$5056*100</f>
        <v>1.4902208632300084E-2</v>
      </c>
      <c r="J3484" s="3" t="s">
        <v>15</v>
      </c>
      <c r="K3484" s="4">
        <v>8.1999999999999993</v>
      </c>
      <c r="M3484"/>
    </row>
    <row r="3485" spans="1:13" x14ac:dyDescent="0.25">
      <c r="A3485" s="3" t="s">
        <v>185</v>
      </c>
      <c r="B3485" s="3" t="s">
        <v>245</v>
      </c>
      <c r="C3485" s="3" t="s">
        <v>13</v>
      </c>
      <c r="D3485" s="3" t="s">
        <v>10</v>
      </c>
      <c r="E3485" s="5" t="s">
        <v>11</v>
      </c>
      <c r="F3485" s="17">
        <v>4.26</v>
      </c>
      <c r="G3485" s="3">
        <v>9</v>
      </c>
      <c r="H3485" s="17">
        <f>Table1[[#This Row],[Unit price]]*Table1[[#This Row],[Quantity]]</f>
        <v>38.339999999999996</v>
      </c>
      <c r="I3485" s="29">
        <f>Table1[[#This Row],[Total Revenue]]/$H$5056*100</f>
        <v>4.0677109423493179E-3</v>
      </c>
      <c r="J3485" s="3" t="s">
        <v>17</v>
      </c>
      <c r="K3485" s="4">
        <v>7.2</v>
      </c>
      <c r="M3485"/>
    </row>
    <row r="3486" spans="1:13" x14ac:dyDescent="0.25">
      <c r="A3486" s="3" t="s">
        <v>185</v>
      </c>
      <c r="B3486" s="3" t="s">
        <v>245</v>
      </c>
      <c r="C3486" s="3" t="s">
        <v>13</v>
      </c>
      <c r="D3486" s="3" t="s">
        <v>19</v>
      </c>
      <c r="E3486" s="5" t="s">
        <v>14</v>
      </c>
      <c r="F3486" s="17">
        <v>95.43</v>
      </c>
      <c r="G3486" s="3">
        <v>7</v>
      </c>
      <c r="H3486" s="17">
        <f>Table1[[#This Row],[Unit price]]*Table1[[#This Row],[Quantity]]</f>
        <v>668.01</v>
      </c>
      <c r="I3486" s="29">
        <f>Table1[[#This Row],[Total Revenue]]/$H$5056*100</f>
        <v>7.0873019994751388E-2</v>
      </c>
      <c r="J3486" s="3" t="s">
        <v>12</v>
      </c>
      <c r="K3486" s="4">
        <v>3.7</v>
      </c>
      <c r="M3486"/>
    </row>
    <row r="3487" spans="1:13" x14ac:dyDescent="0.25">
      <c r="A3487" s="3" t="s">
        <v>186</v>
      </c>
      <c r="B3487" s="3" t="s">
        <v>244</v>
      </c>
      <c r="C3487" s="3" t="s">
        <v>13</v>
      </c>
      <c r="D3487" s="3" t="s">
        <v>19</v>
      </c>
      <c r="E3487" s="5" t="s">
        <v>20</v>
      </c>
      <c r="F3487" s="17">
        <v>68.459999999999994</v>
      </c>
      <c r="G3487" s="3">
        <v>7</v>
      </c>
      <c r="H3487" s="17">
        <f>Table1[[#This Row],[Unit price]]*Table1[[#This Row],[Quantity]]</f>
        <v>479.21999999999997</v>
      </c>
      <c r="I3487" s="29">
        <f>Table1[[#This Row],[Total Revenue]]/$H$5056*100</f>
        <v>5.0843203906954619E-2</v>
      </c>
      <c r="J3487" s="3" t="s">
        <v>17</v>
      </c>
      <c r="K3487" s="4">
        <v>3.6</v>
      </c>
      <c r="M3487"/>
    </row>
    <row r="3488" spans="1:13" x14ac:dyDescent="0.25">
      <c r="A3488" s="3" t="s">
        <v>186</v>
      </c>
      <c r="B3488" s="3" t="s">
        <v>243</v>
      </c>
      <c r="C3488" s="3" t="s">
        <v>13</v>
      </c>
      <c r="D3488" s="3" t="s">
        <v>19</v>
      </c>
      <c r="E3488" s="5" t="s">
        <v>18</v>
      </c>
      <c r="F3488" s="17">
        <v>23.42</v>
      </c>
      <c r="G3488" s="3">
        <v>10</v>
      </c>
      <c r="H3488" s="17">
        <f>Table1[[#This Row],[Unit price]]*Table1[[#This Row],[Quantity]]</f>
        <v>234.20000000000002</v>
      </c>
      <c r="I3488" s="29">
        <f>Table1[[#This Row],[Total Revenue]]/$H$5056*100</f>
        <v>2.484762396187299E-2</v>
      </c>
      <c r="J3488" s="3" t="s">
        <v>15</v>
      </c>
      <c r="K3488" s="4">
        <v>7.8</v>
      </c>
      <c r="M3488"/>
    </row>
    <row r="3489" spans="1:13" x14ac:dyDescent="0.25">
      <c r="A3489" s="3" t="s">
        <v>186</v>
      </c>
      <c r="B3489" s="3" t="s">
        <v>245</v>
      </c>
      <c r="C3489" s="3" t="s">
        <v>9</v>
      </c>
      <c r="D3489" s="3" t="s">
        <v>19</v>
      </c>
      <c r="E3489" s="5" t="s">
        <v>20</v>
      </c>
      <c r="F3489" s="17">
        <v>42.33</v>
      </c>
      <c r="G3489" s="3">
        <v>6</v>
      </c>
      <c r="H3489" s="17">
        <f>Table1[[#This Row],[Unit price]]*Table1[[#This Row],[Quantity]]</f>
        <v>253.98</v>
      </c>
      <c r="I3489" s="29">
        <f>Table1[[#This Row],[Total Revenue]]/$H$5056*100</f>
        <v>2.6946197838755341E-2</v>
      </c>
      <c r="J3489" s="3" t="s">
        <v>17</v>
      </c>
      <c r="K3489" s="4">
        <v>3.5</v>
      </c>
      <c r="M3489"/>
    </row>
    <row r="3490" spans="1:13" x14ac:dyDescent="0.25">
      <c r="A3490" s="3" t="s">
        <v>186</v>
      </c>
      <c r="B3490" s="3" t="s">
        <v>245</v>
      </c>
      <c r="C3490" s="3" t="s">
        <v>13</v>
      </c>
      <c r="D3490" s="3" t="s">
        <v>19</v>
      </c>
      <c r="E3490" s="5" t="s">
        <v>11</v>
      </c>
      <c r="F3490" s="17">
        <v>10.71</v>
      </c>
      <c r="G3490" s="3">
        <v>6</v>
      </c>
      <c r="H3490" s="17">
        <f>Table1[[#This Row],[Unit price]]*Table1[[#This Row],[Quantity]]</f>
        <v>64.260000000000005</v>
      </c>
      <c r="I3490" s="29">
        <f>Table1[[#This Row],[Total Revenue]]/$H$5056*100</f>
        <v>6.8177127061911117E-3</v>
      </c>
      <c r="J3490" s="3" t="s">
        <v>12</v>
      </c>
      <c r="K3490" s="4">
        <v>8.6</v>
      </c>
      <c r="M3490"/>
    </row>
    <row r="3491" spans="1:13" x14ac:dyDescent="0.25">
      <c r="A3491" s="3" t="s">
        <v>186</v>
      </c>
      <c r="B3491" s="3" t="s">
        <v>244</v>
      </c>
      <c r="C3491" s="3" t="s">
        <v>9</v>
      </c>
      <c r="D3491" s="3" t="s">
        <v>19</v>
      </c>
      <c r="E3491" s="5" t="s">
        <v>11</v>
      </c>
      <c r="F3491" s="17">
        <v>12.23</v>
      </c>
      <c r="G3491" s="3">
        <v>1</v>
      </c>
      <c r="H3491" s="17">
        <f>Table1[[#This Row],[Unit price]]*Table1[[#This Row],[Quantity]]</f>
        <v>12.23</v>
      </c>
      <c r="I3491" s="29">
        <f>Table1[[#This Row],[Total Revenue]]/$H$5056*100</f>
        <v>1.2975509865657841E-3</v>
      </c>
      <c r="J3491" s="3" t="s">
        <v>15</v>
      </c>
      <c r="K3491" s="4">
        <v>7.8</v>
      </c>
      <c r="M3491"/>
    </row>
    <row r="3492" spans="1:13" x14ac:dyDescent="0.25">
      <c r="A3492" s="3" t="s">
        <v>186</v>
      </c>
      <c r="B3492" s="3" t="s">
        <v>243</v>
      </c>
      <c r="C3492" s="3" t="s">
        <v>13</v>
      </c>
      <c r="D3492" s="3" t="s">
        <v>19</v>
      </c>
      <c r="E3492" s="5" t="s">
        <v>21</v>
      </c>
      <c r="F3492" s="17">
        <v>27.33</v>
      </c>
      <c r="G3492" s="3">
        <v>7</v>
      </c>
      <c r="H3492" s="17">
        <f>Table1[[#This Row],[Unit price]]*Table1[[#This Row],[Quantity]]</f>
        <v>191.31</v>
      </c>
      <c r="I3492" s="29">
        <f>Table1[[#This Row],[Total Revenue]]/$H$5056*100</f>
        <v>2.0297177370392491E-2</v>
      </c>
      <c r="J3492" s="3" t="s">
        <v>12</v>
      </c>
      <c r="K3492" s="4">
        <v>3.6</v>
      </c>
      <c r="M3492"/>
    </row>
    <row r="3493" spans="1:13" x14ac:dyDescent="0.25">
      <c r="A3493" s="3" t="s">
        <v>186</v>
      </c>
      <c r="B3493" s="3" t="s">
        <v>245</v>
      </c>
      <c r="C3493" s="3" t="s">
        <v>9</v>
      </c>
      <c r="D3493" s="3" t="s">
        <v>19</v>
      </c>
      <c r="E3493" s="5" t="s">
        <v>21</v>
      </c>
      <c r="F3493" s="17">
        <v>16.84</v>
      </c>
      <c r="G3493" s="3">
        <v>1</v>
      </c>
      <c r="H3493" s="17">
        <f>Table1[[#This Row],[Unit price]]*Table1[[#This Row],[Quantity]]</f>
        <v>16.84</v>
      </c>
      <c r="I3493" s="29">
        <f>Table1[[#This Row],[Total Revenue]]/$H$5056*100</f>
        <v>1.7866523805206706E-3</v>
      </c>
      <c r="J3493" s="3" t="s">
        <v>15</v>
      </c>
      <c r="K3493" s="4">
        <v>3.6</v>
      </c>
      <c r="M3493"/>
    </row>
    <row r="3494" spans="1:13" x14ac:dyDescent="0.25">
      <c r="A3494" s="3" t="s">
        <v>186</v>
      </c>
      <c r="B3494" s="3" t="s">
        <v>245</v>
      </c>
      <c r="C3494" s="3" t="s">
        <v>9</v>
      </c>
      <c r="D3494" s="3" t="s">
        <v>19</v>
      </c>
      <c r="E3494" s="5" t="s">
        <v>11</v>
      </c>
      <c r="F3494" s="17">
        <v>13.54</v>
      </c>
      <c r="G3494" s="3">
        <v>3</v>
      </c>
      <c r="H3494" s="17">
        <f>Table1[[#This Row],[Unit price]]*Table1[[#This Row],[Quantity]]</f>
        <v>40.619999999999997</v>
      </c>
      <c r="I3494" s="29">
        <f>Table1[[#This Row],[Total Revenue]]/$H$5056*100</f>
        <v>4.309609245650217E-3</v>
      </c>
      <c r="J3494" s="3" t="s">
        <v>17</v>
      </c>
      <c r="K3494" s="4">
        <v>9.6999999999999993</v>
      </c>
      <c r="M3494"/>
    </row>
    <row r="3495" spans="1:13" x14ac:dyDescent="0.25">
      <c r="A3495" s="3" t="s">
        <v>186</v>
      </c>
      <c r="B3495" s="3" t="s">
        <v>245</v>
      </c>
      <c r="C3495" s="3" t="s">
        <v>9</v>
      </c>
      <c r="D3495" s="3" t="s">
        <v>19</v>
      </c>
      <c r="E3495" s="5" t="s">
        <v>21</v>
      </c>
      <c r="F3495" s="17">
        <v>39.630000000000003</v>
      </c>
      <c r="G3495" s="3">
        <v>8</v>
      </c>
      <c r="H3495" s="17">
        <f>Table1[[#This Row],[Unit price]]*Table1[[#This Row],[Quantity]]</f>
        <v>317.04000000000002</v>
      </c>
      <c r="I3495" s="29">
        <f>Table1[[#This Row],[Total Revenue]]/$H$5056*100</f>
        <v>3.3636595648472302E-2</v>
      </c>
      <c r="J3495" s="3" t="s">
        <v>17</v>
      </c>
      <c r="K3495" s="4">
        <v>5.5</v>
      </c>
      <c r="M3495"/>
    </row>
    <row r="3496" spans="1:13" x14ac:dyDescent="0.25">
      <c r="A3496" s="3" t="s">
        <v>186</v>
      </c>
      <c r="B3496" s="3" t="s">
        <v>243</v>
      </c>
      <c r="C3496" s="3" t="s">
        <v>9</v>
      </c>
      <c r="D3496" s="3" t="s">
        <v>10</v>
      </c>
      <c r="E3496" s="5" t="s">
        <v>21</v>
      </c>
      <c r="F3496" s="17">
        <v>17.53</v>
      </c>
      <c r="G3496" s="3">
        <v>4</v>
      </c>
      <c r="H3496" s="17">
        <f>Table1[[#This Row],[Unit price]]*Table1[[#This Row],[Quantity]]</f>
        <v>70.12</v>
      </c>
      <c r="I3496" s="29">
        <f>Table1[[#This Row],[Total Revenue]]/$H$5056*100</f>
        <v>7.4394337839732445E-3</v>
      </c>
      <c r="J3496" s="3" t="s">
        <v>17</v>
      </c>
      <c r="K3496" s="4">
        <v>5.5</v>
      </c>
      <c r="M3496"/>
    </row>
    <row r="3497" spans="1:13" x14ac:dyDescent="0.25">
      <c r="A3497" s="3" t="s">
        <v>186</v>
      </c>
      <c r="B3497" s="3" t="s">
        <v>243</v>
      </c>
      <c r="C3497" s="3" t="s">
        <v>13</v>
      </c>
      <c r="D3497" s="3" t="s">
        <v>10</v>
      </c>
      <c r="E3497" s="5" t="s">
        <v>21</v>
      </c>
      <c r="F3497" s="17">
        <v>22.44</v>
      </c>
      <c r="G3497" s="3">
        <v>2</v>
      </c>
      <c r="H3497" s="17">
        <f>Table1[[#This Row],[Unit price]]*Table1[[#This Row],[Quantity]]</f>
        <v>44.88</v>
      </c>
      <c r="I3497" s="29">
        <f>Table1[[#This Row],[Total Revenue]]/$H$5056*100</f>
        <v>4.7615771281334747E-3</v>
      </c>
      <c r="J3497" s="3" t="s">
        <v>15</v>
      </c>
      <c r="K3497" s="4">
        <v>8.5</v>
      </c>
      <c r="M3497"/>
    </row>
    <row r="3498" spans="1:13" x14ac:dyDescent="0.25">
      <c r="A3498" s="3" t="s">
        <v>186</v>
      </c>
      <c r="B3498" s="3" t="s">
        <v>245</v>
      </c>
      <c r="C3498" s="3" t="s">
        <v>9</v>
      </c>
      <c r="D3498" s="3" t="s">
        <v>19</v>
      </c>
      <c r="E3498" s="5" t="s">
        <v>20</v>
      </c>
      <c r="F3498" s="17">
        <v>40.11</v>
      </c>
      <c r="G3498" s="3">
        <v>2</v>
      </c>
      <c r="H3498" s="17">
        <f>Table1[[#This Row],[Unit price]]*Table1[[#This Row],[Quantity]]</f>
        <v>80.22</v>
      </c>
      <c r="I3498" s="29">
        <f>Table1[[#This Row],[Total Revenue]]/$H$5056*100</f>
        <v>8.5110008292973993E-3</v>
      </c>
      <c r="J3498" s="3" t="s">
        <v>15</v>
      </c>
      <c r="K3498" s="4">
        <v>9.4</v>
      </c>
      <c r="M3498"/>
    </row>
    <row r="3499" spans="1:13" x14ac:dyDescent="0.25">
      <c r="A3499" s="3" t="s">
        <v>186</v>
      </c>
      <c r="B3499" s="3" t="s">
        <v>243</v>
      </c>
      <c r="C3499" s="3" t="s">
        <v>9</v>
      </c>
      <c r="D3499" s="3" t="s">
        <v>19</v>
      </c>
      <c r="E3499" s="5" t="s">
        <v>20</v>
      </c>
      <c r="F3499" s="17">
        <v>46.21</v>
      </c>
      <c r="G3499" s="3">
        <v>5</v>
      </c>
      <c r="H3499" s="17">
        <f>Table1[[#This Row],[Unit price]]*Table1[[#This Row],[Quantity]]</f>
        <v>231.05</v>
      </c>
      <c r="I3499" s="29">
        <f>Table1[[#This Row],[Total Revenue]]/$H$5056*100</f>
        <v>2.4513422358628325E-2</v>
      </c>
      <c r="J3499" s="3" t="s">
        <v>17</v>
      </c>
      <c r="K3499" s="4">
        <v>9.6999999999999993</v>
      </c>
      <c r="M3499"/>
    </row>
    <row r="3500" spans="1:13" x14ac:dyDescent="0.25">
      <c r="A3500" s="3" t="s">
        <v>186</v>
      </c>
      <c r="B3500" s="3" t="s">
        <v>244</v>
      </c>
      <c r="C3500" s="3" t="s">
        <v>13</v>
      </c>
      <c r="D3500" s="3" t="s">
        <v>10</v>
      </c>
      <c r="E3500" s="5" t="s">
        <v>21</v>
      </c>
      <c r="F3500" s="17">
        <v>37.369999999999997</v>
      </c>
      <c r="G3500" s="3">
        <v>5</v>
      </c>
      <c r="H3500" s="17">
        <f>Table1[[#This Row],[Unit price]]*Table1[[#This Row],[Quantity]]</f>
        <v>186.85</v>
      </c>
      <c r="I3500" s="29">
        <f>Table1[[#This Row],[Total Revenue]]/$H$5056*100</f>
        <v>1.9823990338496873E-2</v>
      </c>
      <c r="J3500" s="3" t="s">
        <v>15</v>
      </c>
      <c r="K3500" s="4">
        <v>8.1</v>
      </c>
      <c r="M3500"/>
    </row>
    <row r="3501" spans="1:13" x14ac:dyDescent="0.25">
      <c r="A3501" s="3" t="s">
        <v>186</v>
      </c>
      <c r="B3501" s="3" t="s">
        <v>244</v>
      </c>
      <c r="C3501" s="3" t="s">
        <v>9</v>
      </c>
      <c r="D3501" s="3" t="s">
        <v>10</v>
      </c>
      <c r="E3501" s="5" t="s">
        <v>21</v>
      </c>
      <c r="F3501" s="17">
        <v>26.14</v>
      </c>
      <c r="G3501" s="3">
        <v>5</v>
      </c>
      <c r="H3501" s="17">
        <f>Table1[[#This Row],[Unit price]]*Table1[[#This Row],[Quantity]]</f>
        <v>130.69999999999999</v>
      </c>
      <c r="I3501" s="29">
        <f>Table1[[#This Row],[Total Revenue]]/$H$5056*100</f>
        <v>1.3866714140976941E-2</v>
      </c>
      <c r="J3501" s="3" t="s">
        <v>12</v>
      </c>
      <c r="K3501" s="4">
        <v>5.6</v>
      </c>
      <c r="M3501"/>
    </row>
    <row r="3502" spans="1:13" x14ac:dyDescent="0.25">
      <c r="A3502" s="3" t="s">
        <v>186</v>
      </c>
      <c r="B3502" s="3" t="s">
        <v>245</v>
      </c>
      <c r="C3502" s="3" t="s">
        <v>9</v>
      </c>
      <c r="D3502" s="3" t="s">
        <v>19</v>
      </c>
      <c r="E3502" s="5" t="s">
        <v>11</v>
      </c>
      <c r="F3502" s="17">
        <v>11.05</v>
      </c>
      <c r="G3502" s="3">
        <v>2</v>
      </c>
      <c r="H3502" s="17">
        <f>Table1[[#This Row],[Unit price]]*Table1[[#This Row],[Quantity]]</f>
        <v>22.1</v>
      </c>
      <c r="I3502" s="29">
        <f>Table1[[#This Row],[Total Revenue]]/$H$5056*100</f>
        <v>2.3447160100657262E-3</v>
      </c>
      <c r="J3502" s="3" t="s">
        <v>15</v>
      </c>
      <c r="K3502" s="4">
        <v>3.6</v>
      </c>
      <c r="M3502"/>
    </row>
    <row r="3503" spans="1:13" x14ac:dyDescent="0.25">
      <c r="A3503" s="3" t="s">
        <v>186</v>
      </c>
      <c r="B3503" s="3" t="s">
        <v>243</v>
      </c>
      <c r="C3503" s="3" t="s">
        <v>13</v>
      </c>
      <c r="D3503" s="3" t="s">
        <v>19</v>
      </c>
      <c r="E3503" s="5" t="s">
        <v>11</v>
      </c>
      <c r="F3503" s="17">
        <v>12.93</v>
      </c>
      <c r="G3503" s="3">
        <v>9</v>
      </c>
      <c r="H3503" s="17">
        <f>Table1[[#This Row],[Unit price]]*Table1[[#This Row],[Quantity]]</f>
        <v>116.37</v>
      </c>
      <c r="I3503" s="29">
        <f>Table1[[#This Row],[Total Revenue]]/$H$5056*100</f>
        <v>1.2346362085581382E-2</v>
      </c>
      <c r="J3503" s="3" t="s">
        <v>12</v>
      </c>
      <c r="K3503" s="4">
        <v>8.3000000000000007</v>
      </c>
      <c r="M3503"/>
    </row>
    <row r="3504" spans="1:13" x14ac:dyDescent="0.25">
      <c r="A3504" s="3" t="s">
        <v>186</v>
      </c>
      <c r="B3504" s="3" t="s">
        <v>245</v>
      </c>
      <c r="C3504" s="3" t="s">
        <v>13</v>
      </c>
      <c r="D3504" s="3" t="s">
        <v>10</v>
      </c>
      <c r="E3504" s="5" t="s">
        <v>21</v>
      </c>
      <c r="F3504" s="17">
        <v>20.89</v>
      </c>
      <c r="G3504" s="3">
        <v>5</v>
      </c>
      <c r="H3504" s="17">
        <f>Table1[[#This Row],[Unit price]]*Table1[[#This Row],[Quantity]]</f>
        <v>104.45</v>
      </c>
      <c r="I3504" s="29">
        <f>Table1[[#This Row],[Total Revenue]]/$H$5056*100</f>
        <v>1.1081700780604754E-2</v>
      </c>
      <c r="J3504" s="3" t="s">
        <v>15</v>
      </c>
      <c r="K3504" s="4">
        <v>6.8</v>
      </c>
      <c r="M3504"/>
    </row>
    <row r="3505" spans="1:13" x14ac:dyDescent="0.25">
      <c r="A3505" s="2">
        <v>45301</v>
      </c>
      <c r="B3505" s="3" t="s">
        <v>243</v>
      </c>
      <c r="C3505" s="3" t="s">
        <v>13</v>
      </c>
      <c r="D3505" s="3" t="s">
        <v>10</v>
      </c>
      <c r="E3505" s="5" t="s">
        <v>11</v>
      </c>
      <c r="F3505" s="17">
        <v>7.6</v>
      </c>
      <c r="G3505" s="3">
        <v>5</v>
      </c>
      <c r="H3505" s="17">
        <f>Table1[[#This Row],[Unit price]]*Table1[[#This Row],[Quantity]]</f>
        <v>38</v>
      </c>
      <c r="I3505" s="29">
        <f>Table1[[#This Row],[Total Revenue]]/$H$5056*100</f>
        <v>4.0316383883483072E-3</v>
      </c>
      <c r="J3505" s="3" t="s">
        <v>12</v>
      </c>
      <c r="K3505" s="4">
        <v>7.7</v>
      </c>
      <c r="M3505"/>
    </row>
    <row r="3506" spans="1:13" x14ac:dyDescent="0.25">
      <c r="A3506" s="2">
        <v>45301</v>
      </c>
      <c r="B3506" s="3" t="s">
        <v>243</v>
      </c>
      <c r="C3506" s="3" t="s">
        <v>9</v>
      </c>
      <c r="D3506" s="3" t="s">
        <v>10</v>
      </c>
      <c r="E3506" s="5" t="s">
        <v>16</v>
      </c>
      <c r="F3506" s="17">
        <v>56.21</v>
      </c>
      <c r="G3506" s="3">
        <v>9</v>
      </c>
      <c r="H3506" s="17">
        <f>Table1[[#This Row],[Unit price]]*Table1[[#This Row],[Quantity]]</f>
        <v>505.89</v>
      </c>
      <c r="I3506" s="29">
        <f>Table1[[#This Row],[Total Revenue]]/$H$5056*100</f>
        <v>5.3672777481092761E-2</v>
      </c>
      <c r="J3506" s="3" t="s">
        <v>12</v>
      </c>
      <c r="K3506" s="4">
        <v>4.9000000000000004</v>
      </c>
      <c r="M3506"/>
    </row>
    <row r="3507" spans="1:13" x14ac:dyDescent="0.25">
      <c r="A3507" s="2">
        <v>45301</v>
      </c>
      <c r="B3507" s="3" t="s">
        <v>243</v>
      </c>
      <c r="C3507" s="3" t="s">
        <v>13</v>
      </c>
      <c r="D3507" s="3" t="s">
        <v>10</v>
      </c>
      <c r="E3507" s="5" t="s">
        <v>20</v>
      </c>
      <c r="F3507" s="17">
        <v>63.89</v>
      </c>
      <c r="G3507" s="3">
        <v>7</v>
      </c>
      <c r="H3507" s="17">
        <f>Table1[[#This Row],[Unit price]]*Table1[[#This Row],[Quantity]]</f>
        <v>447.23</v>
      </c>
      <c r="I3507" s="29">
        <f>Table1[[#This Row],[Total Revenue]]/$H$5056*100</f>
        <v>4.7449200958447721E-2</v>
      </c>
      <c r="J3507" s="3" t="s">
        <v>12</v>
      </c>
      <c r="K3507" s="4">
        <v>4.5</v>
      </c>
      <c r="M3507"/>
    </row>
    <row r="3508" spans="1:13" x14ac:dyDescent="0.25">
      <c r="A3508" s="2">
        <v>45301</v>
      </c>
      <c r="B3508" s="3" t="s">
        <v>244</v>
      </c>
      <c r="C3508" s="3" t="s">
        <v>13</v>
      </c>
      <c r="D3508" s="3" t="s">
        <v>19</v>
      </c>
      <c r="E3508" s="5" t="s">
        <v>11</v>
      </c>
      <c r="F3508" s="17">
        <v>11.8</v>
      </c>
      <c r="G3508" s="3">
        <v>5</v>
      </c>
      <c r="H3508" s="17">
        <f>Table1[[#This Row],[Unit price]]*Table1[[#This Row],[Quantity]]</f>
        <v>59</v>
      </c>
      <c r="I3508" s="29">
        <f>Table1[[#This Row],[Total Revenue]]/$H$5056*100</f>
        <v>6.2596490766460558E-3</v>
      </c>
      <c r="J3508" s="3" t="s">
        <v>15</v>
      </c>
      <c r="K3508" s="4">
        <v>6.7</v>
      </c>
      <c r="M3508"/>
    </row>
    <row r="3509" spans="1:13" x14ac:dyDescent="0.25">
      <c r="A3509" s="2">
        <v>45301</v>
      </c>
      <c r="B3509" s="3" t="s">
        <v>244</v>
      </c>
      <c r="C3509" s="3" t="s">
        <v>9</v>
      </c>
      <c r="D3509" s="3" t="s">
        <v>10</v>
      </c>
      <c r="E3509" s="5" t="s">
        <v>21</v>
      </c>
      <c r="F3509" s="17">
        <v>24.78</v>
      </c>
      <c r="G3509" s="3">
        <v>6</v>
      </c>
      <c r="H3509" s="17">
        <f>Table1[[#This Row],[Unit price]]*Table1[[#This Row],[Quantity]]</f>
        <v>148.68</v>
      </c>
      <c r="I3509" s="29">
        <f>Table1[[#This Row],[Total Revenue]]/$H$5056*100</f>
        <v>1.5774315673148062E-2</v>
      </c>
      <c r="J3509" s="3" t="s">
        <v>15</v>
      </c>
      <c r="K3509" s="4">
        <v>7.9</v>
      </c>
      <c r="M3509"/>
    </row>
    <row r="3510" spans="1:13" x14ac:dyDescent="0.25">
      <c r="A3510" s="2">
        <v>45301</v>
      </c>
      <c r="B3510" s="3" t="s">
        <v>243</v>
      </c>
      <c r="C3510" s="3" t="s">
        <v>13</v>
      </c>
      <c r="D3510" s="3" t="s">
        <v>10</v>
      </c>
      <c r="E3510" s="5" t="s">
        <v>20</v>
      </c>
      <c r="F3510" s="17">
        <v>64.95</v>
      </c>
      <c r="G3510" s="3">
        <v>7</v>
      </c>
      <c r="H3510" s="17">
        <f>Table1[[#This Row],[Unit price]]*Table1[[#This Row],[Quantity]]</f>
        <v>454.65000000000003</v>
      </c>
      <c r="I3510" s="29">
        <f>Table1[[#This Row],[Total Revenue]]/$H$5056*100</f>
        <v>4.8236431401646261E-2</v>
      </c>
      <c r="J3510" s="3" t="s">
        <v>12</v>
      </c>
      <c r="K3510" s="4">
        <v>5.9</v>
      </c>
      <c r="M3510"/>
    </row>
    <row r="3511" spans="1:13" x14ac:dyDescent="0.25">
      <c r="A3511" s="2">
        <v>45301</v>
      </c>
      <c r="B3511" s="3" t="s">
        <v>243</v>
      </c>
      <c r="C3511" s="3" t="s">
        <v>13</v>
      </c>
      <c r="D3511" s="3" t="s">
        <v>10</v>
      </c>
      <c r="E3511" s="5" t="s">
        <v>18</v>
      </c>
      <c r="F3511" s="17">
        <v>23.18</v>
      </c>
      <c r="G3511" s="3">
        <v>4</v>
      </c>
      <c r="H3511" s="17">
        <f>Table1[[#This Row],[Unit price]]*Table1[[#This Row],[Quantity]]</f>
        <v>92.72</v>
      </c>
      <c r="I3511" s="29">
        <f>Table1[[#This Row],[Total Revenue]]/$H$5056*100</f>
        <v>9.8371976675698681E-3</v>
      </c>
      <c r="J3511" s="3" t="s">
        <v>12</v>
      </c>
      <c r="K3511" s="4">
        <v>9.6999999999999993</v>
      </c>
      <c r="M3511"/>
    </row>
    <row r="3512" spans="1:13" x14ac:dyDescent="0.25">
      <c r="A3512" s="2">
        <v>45301</v>
      </c>
      <c r="B3512" s="3" t="s">
        <v>243</v>
      </c>
      <c r="C3512" s="3" t="s">
        <v>13</v>
      </c>
      <c r="D3512" s="3" t="s">
        <v>10</v>
      </c>
      <c r="E3512" s="5" t="s">
        <v>14</v>
      </c>
      <c r="F3512" s="17">
        <v>82.91</v>
      </c>
      <c r="G3512" s="3">
        <v>1</v>
      </c>
      <c r="H3512" s="17">
        <f>Table1[[#This Row],[Unit price]]*Table1[[#This Row],[Quantity]]</f>
        <v>82.91</v>
      </c>
      <c r="I3512" s="29">
        <f>Table1[[#This Row],[Total Revenue]]/$H$5056*100</f>
        <v>8.7963983888936347E-3</v>
      </c>
      <c r="J3512" s="3" t="s">
        <v>15</v>
      </c>
      <c r="K3512" s="4">
        <v>7.7</v>
      </c>
      <c r="M3512"/>
    </row>
    <row r="3513" spans="1:13" x14ac:dyDescent="0.25">
      <c r="A3513" s="2">
        <v>45301</v>
      </c>
      <c r="B3513" s="3" t="s">
        <v>245</v>
      </c>
      <c r="C3513" s="3" t="s">
        <v>13</v>
      </c>
      <c r="D3513" s="3" t="s">
        <v>10</v>
      </c>
      <c r="E3513" s="5" t="s">
        <v>21</v>
      </c>
      <c r="F3513" s="17">
        <v>15.53</v>
      </c>
      <c r="G3513" s="3">
        <v>7</v>
      </c>
      <c r="H3513" s="17">
        <f>Table1[[#This Row],[Unit price]]*Table1[[#This Row],[Quantity]]</f>
        <v>108.71</v>
      </c>
      <c r="I3513" s="29">
        <f>Table1[[#This Row],[Total Revenue]]/$H$5056*100</f>
        <v>1.1533668663088012E-2</v>
      </c>
      <c r="J3513" s="3" t="s">
        <v>15</v>
      </c>
      <c r="K3513" s="4">
        <v>6.3</v>
      </c>
      <c r="M3513"/>
    </row>
    <row r="3514" spans="1:13" x14ac:dyDescent="0.25">
      <c r="A3514" s="2">
        <v>45332</v>
      </c>
      <c r="B3514" s="3" t="s">
        <v>245</v>
      </c>
      <c r="C3514" s="3" t="s">
        <v>13</v>
      </c>
      <c r="D3514" s="3" t="s">
        <v>19</v>
      </c>
      <c r="E3514" s="5" t="s">
        <v>20</v>
      </c>
      <c r="F3514" s="17">
        <v>55.31</v>
      </c>
      <c r="G3514" s="3">
        <v>1</v>
      </c>
      <c r="H3514" s="17">
        <f>Table1[[#This Row],[Unit price]]*Table1[[#This Row],[Quantity]]</f>
        <v>55.31</v>
      </c>
      <c r="I3514" s="29">
        <f>Table1[[#This Row],[Total Revenue]]/$H$5056*100</f>
        <v>5.8681557699880229E-3</v>
      </c>
      <c r="J3514" s="3" t="s">
        <v>17</v>
      </c>
      <c r="K3514" s="4">
        <v>5.7</v>
      </c>
      <c r="M3514"/>
    </row>
    <row r="3515" spans="1:13" x14ac:dyDescent="0.25">
      <c r="A3515" s="2">
        <v>45332</v>
      </c>
      <c r="B3515" s="3" t="s">
        <v>243</v>
      </c>
      <c r="C3515" s="3" t="s">
        <v>13</v>
      </c>
      <c r="D3515" s="3" t="s">
        <v>19</v>
      </c>
      <c r="E3515" s="5" t="s">
        <v>21</v>
      </c>
      <c r="F3515" s="17">
        <v>28.66</v>
      </c>
      <c r="G3515" s="3">
        <v>5</v>
      </c>
      <c r="H3515" s="17">
        <f>Table1[[#This Row],[Unit price]]*Table1[[#This Row],[Quantity]]</f>
        <v>143.30000000000001</v>
      </c>
      <c r="I3515" s="29">
        <f>Table1[[#This Row],[Total Revenue]]/$H$5056*100</f>
        <v>1.5203520553955591E-2</v>
      </c>
      <c r="J3515" s="3" t="s">
        <v>17</v>
      </c>
      <c r="K3515" s="4">
        <v>5.3</v>
      </c>
      <c r="M3515"/>
    </row>
    <row r="3516" spans="1:13" x14ac:dyDescent="0.25">
      <c r="A3516" s="2">
        <v>45332</v>
      </c>
      <c r="B3516" s="3" t="s">
        <v>243</v>
      </c>
      <c r="C3516" s="3" t="s">
        <v>13</v>
      </c>
      <c r="D3516" s="3" t="s">
        <v>19</v>
      </c>
      <c r="E3516" s="5" t="s">
        <v>11</v>
      </c>
      <c r="F3516" s="17">
        <v>9.3000000000000007</v>
      </c>
      <c r="G3516" s="3">
        <v>3</v>
      </c>
      <c r="H3516" s="17">
        <f>Table1[[#This Row],[Unit price]]*Table1[[#This Row],[Quantity]]</f>
        <v>27.900000000000002</v>
      </c>
      <c r="I3516" s="29">
        <f>Table1[[#This Row],[Total Revenue]]/$H$5056*100</f>
        <v>2.9600713430241519E-3</v>
      </c>
      <c r="J3516" s="3" t="s">
        <v>17</v>
      </c>
      <c r="K3516" s="4">
        <v>8</v>
      </c>
      <c r="M3516"/>
    </row>
    <row r="3517" spans="1:13" x14ac:dyDescent="0.25">
      <c r="A3517" s="2">
        <v>45332</v>
      </c>
      <c r="B3517" s="3" t="s">
        <v>245</v>
      </c>
      <c r="C3517" s="3" t="s">
        <v>13</v>
      </c>
      <c r="D3517" s="3" t="s">
        <v>10</v>
      </c>
      <c r="E3517" s="5" t="s">
        <v>21</v>
      </c>
      <c r="F3517" s="17">
        <v>32.94</v>
      </c>
      <c r="G3517" s="3">
        <v>2</v>
      </c>
      <c r="H3517" s="17">
        <f>Table1[[#This Row],[Unit price]]*Table1[[#This Row],[Quantity]]</f>
        <v>65.88</v>
      </c>
      <c r="I3517" s="29">
        <f>Table1[[#This Row],[Total Revenue]]/$H$5056*100</f>
        <v>6.9895878164312215E-3</v>
      </c>
      <c r="J3517" s="3" t="s">
        <v>17</v>
      </c>
      <c r="K3517" s="4">
        <v>6</v>
      </c>
      <c r="M3517"/>
    </row>
    <row r="3518" spans="1:13" x14ac:dyDescent="0.25">
      <c r="A3518" s="2">
        <v>45332</v>
      </c>
      <c r="B3518" s="3" t="s">
        <v>243</v>
      </c>
      <c r="C3518" s="3" t="s">
        <v>9</v>
      </c>
      <c r="D3518" s="3" t="s">
        <v>10</v>
      </c>
      <c r="E3518" s="5" t="s">
        <v>20</v>
      </c>
      <c r="F3518" s="17">
        <v>62.74</v>
      </c>
      <c r="G3518" s="3">
        <v>5</v>
      </c>
      <c r="H3518" s="17">
        <f>Table1[[#This Row],[Unit price]]*Table1[[#This Row],[Quantity]]</f>
        <v>313.7</v>
      </c>
      <c r="I3518" s="29">
        <f>Table1[[#This Row],[Total Revenue]]/$H$5056*100</f>
        <v>3.3282235853285894E-2</v>
      </c>
      <c r="J3518" s="3" t="s">
        <v>17</v>
      </c>
      <c r="K3518" s="4">
        <v>3.4</v>
      </c>
      <c r="M3518"/>
    </row>
    <row r="3519" spans="1:13" x14ac:dyDescent="0.25">
      <c r="A3519" s="2">
        <v>45332</v>
      </c>
      <c r="B3519" s="3" t="s">
        <v>245</v>
      </c>
      <c r="C3519" s="3" t="s">
        <v>13</v>
      </c>
      <c r="D3519" s="3" t="s">
        <v>19</v>
      </c>
      <c r="E3519" s="5" t="s">
        <v>21</v>
      </c>
      <c r="F3519" s="17">
        <v>18.16</v>
      </c>
      <c r="G3519" s="3">
        <v>10</v>
      </c>
      <c r="H3519" s="17">
        <f>Table1[[#This Row],[Unit price]]*Table1[[#This Row],[Quantity]]</f>
        <v>181.6</v>
      </c>
      <c r="I3519" s="29">
        <f>Table1[[#This Row],[Total Revenue]]/$H$5056*100</f>
        <v>1.9266987666422437E-2</v>
      </c>
      <c r="J3519" s="3" t="s">
        <v>12</v>
      </c>
      <c r="K3519" s="4">
        <v>5.7</v>
      </c>
      <c r="M3519"/>
    </row>
    <row r="3520" spans="1:13" x14ac:dyDescent="0.25">
      <c r="A3520" s="2">
        <v>45332</v>
      </c>
      <c r="B3520" s="3" t="s">
        <v>245</v>
      </c>
      <c r="C3520" s="3" t="s">
        <v>13</v>
      </c>
      <c r="D3520" s="3" t="s">
        <v>10</v>
      </c>
      <c r="E3520" s="5" t="s">
        <v>11</v>
      </c>
      <c r="F3520" s="17">
        <v>3.77</v>
      </c>
      <c r="G3520" s="3">
        <v>8</v>
      </c>
      <c r="H3520" s="17">
        <f>Table1[[#This Row],[Unit price]]*Table1[[#This Row],[Quantity]]</f>
        <v>30.16</v>
      </c>
      <c r="I3520" s="29">
        <f>Table1[[#This Row],[Total Revenue]]/$H$5056*100</f>
        <v>3.1998477313838142E-3</v>
      </c>
      <c r="J3520" s="3" t="s">
        <v>12</v>
      </c>
      <c r="K3520" s="4">
        <v>8</v>
      </c>
      <c r="M3520"/>
    </row>
    <row r="3521" spans="1:13" x14ac:dyDescent="0.25">
      <c r="A3521" s="2">
        <v>45332</v>
      </c>
      <c r="B3521" s="3" t="s">
        <v>243</v>
      </c>
      <c r="C3521" s="3" t="s">
        <v>9</v>
      </c>
      <c r="D3521" s="3" t="s">
        <v>19</v>
      </c>
      <c r="E3521" s="5" t="s">
        <v>18</v>
      </c>
      <c r="F3521" s="17">
        <v>5.57</v>
      </c>
      <c r="G3521" s="3">
        <v>2</v>
      </c>
      <c r="H3521" s="17">
        <f>Table1[[#This Row],[Unit price]]*Table1[[#This Row],[Quantity]]</f>
        <v>11.14</v>
      </c>
      <c r="I3521" s="29">
        <f>Table1[[#This Row],[Total Revenue]]/$H$5056*100</f>
        <v>1.1819066222684247E-3</v>
      </c>
      <c r="J3521" s="3" t="s">
        <v>12</v>
      </c>
      <c r="K3521" s="4">
        <v>4.2</v>
      </c>
      <c r="M3521"/>
    </row>
    <row r="3522" spans="1:13" x14ac:dyDescent="0.25">
      <c r="A3522" s="2">
        <v>45332</v>
      </c>
      <c r="B3522" s="3" t="s">
        <v>243</v>
      </c>
      <c r="C3522" s="3" t="s">
        <v>13</v>
      </c>
      <c r="D3522" s="3" t="s">
        <v>10</v>
      </c>
      <c r="E3522" s="5" t="s">
        <v>21</v>
      </c>
      <c r="F3522" s="17">
        <v>37.340000000000003</v>
      </c>
      <c r="G3522" s="3">
        <v>4</v>
      </c>
      <c r="H3522" s="17">
        <f>Table1[[#This Row],[Unit price]]*Table1[[#This Row],[Quantity]]</f>
        <v>149.36000000000001</v>
      </c>
      <c r="I3522" s="29">
        <f>Table1[[#This Row],[Total Revenue]]/$H$5056*100</f>
        <v>1.5846460781150085E-2</v>
      </c>
      <c r="J3522" s="3" t="s">
        <v>15</v>
      </c>
      <c r="K3522" s="4">
        <v>4.2</v>
      </c>
      <c r="M3522"/>
    </row>
    <row r="3523" spans="1:13" x14ac:dyDescent="0.25">
      <c r="A3523" s="2">
        <v>45332</v>
      </c>
      <c r="B3523" s="3" t="s">
        <v>245</v>
      </c>
      <c r="C3523" s="3" t="s">
        <v>13</v>
      </c>
      <c r="D3523" s="3" t="s">
        <v>19</v>
      </c>
      <c r="E3523" s="5" t="s">
        <v>11</v>
      </c>
      <c r="F3523" s="17">
        <v>7.18</v>
      </c>
      <c r="G3523" s="3">
        <v>9</v>
      </c>
      <c r="H3523" s="17">
        <f>Table1[[#This Row],[Unit price]]*Table1[[#This Row],[Quantity]]</f>
        <v>64.62</v>
      </c>
      <c r="I3523" s="29">
        <f>Table1[[#This Row],[Total Revenue]]/$H$5056*100</f>
        <v>6.8559071751333588E-3</v>
      </c>
      <c r="J3523" s="3" t="s">
        <v>15</v>
      </c>
      <c r="K3523" s="4">
        <v>6.6</v>
      </c>
      <c r="M3523"/>
    </row>
    <row r="3524" spans="1:13" x14ac:dyDescent="0.25">
      <c r="A3524" s="2">
        <v>45332</v>
      </c>
      <c r="B3524" s="3" t="s">
        <v>244</v>
      </c>
      <c r="C3524" s="3" t="s">
        <v>9</v>
      </c>
      <c r="D3524" s="3" t="s">
        <v>19</v>
      </c>
      <c r="E3524" s="5" t="s">
        <v>14</v>
      </c>
      <c r="F3524" s="17">
        <v>96.88</v>
      </c>
      <c r="G3524" s="3">
        <v>6</v>
      </c>
      <c r="H3524" s="17">
        <f>Table1[[#This Row],[Unit price]]*Table1[[#This Row],[Quantity]]</f>
        <v>581.28</v>
      </c>
      <c r="I3524" s="29">
        <f>Table1[[#This Row],[Total Revenue]]/$H$5056*100</f>
        <v>6.1671335852081684E-2</v>
      </c>
      <c r="J3524" s="3" t="s">
        <v>15</v>
      </c>
      <c r="K3524" s="4">
        <v>6.6</v>
      </c>
      <c r="M3524"/>
    </row>
    <row r="3525" spans="1:13" x14ac:dyDescent="0.25">
      <c r="A3525" s="2">
        <v>45332</v>
      </c>
      <c r="B3525" s="3" t="s">
        <v>245</v>
      </c>
      <c r="C3525" s="3" t="s">
        <v>13</v>
      </c>
      <c r="D3525" s="3" t="s">
        <v>19</v>
      </c>
      <c r="E3525" s="5" t="s">
        <v>20</v>
      </c>
      <c r="F3525" s="17">
        <v>44</v>
      </c>
      <c r="G3525" s="3">
        <v>8</v>
      </c>
      <c r="H3525" s="17">
        <f>Table1[[#This Row],[Unit price]]*Table1[[#This Row],[Quantity]]</f>
        <v>352</v>
      </c>
      <c r="I3525" s="29">
        <f>Table1[[#This Row],[Total Revenue]]/$H$5056*100</f>
        <v>3.7345702965752743E-2</v>
      </c>
      <c r="J3525" s="3" t="s">
        <v>12</v>
      </c>
      <c r="K3525" s="4">
        <v>7.3</v>
      </c>
      <c r="M3525"/>
    </row>
    <row r="3526" spans="1:13" x14ac:dyDescent="0.25">
      <c r="A3526" s="2">
        <v>45332</v>
      </c>
      <c r="B3526" s="3" t="s">
        <v>245</v>
      </c>
      <c r="C3526" s="3" t="s">
        <v>9</v>
      </c>
      <c r="D3526" s="3" t="s">
        <v>10</v>
      </c>
      <c r="E3526" s="5" t="s">
        <v>21</v>
      </c>
      <c r="F3526" s="17">
        <v>15.71</v>
      </c>
      <c r="G3526" s="3">
        <v>4</v>
      </c>
      <c r="H3526" s="17">
        <f>Table1[[#This Row],[Unit price]]*Table1[[#This Row],[Quantity]]</f>
        <v>62.84</v>
      </c>
      <c r="I3526" s="29">
        <f>Table1[[#This Row],[Total Revenue]]/$H$5056*100</f>
        <v>6.6670567453633589E-3</v>
      </c>
      <c r="J3526" s="3" t="s">
        <v>17</v>
      </c>
      <c r="K3526" s="4">
        <v>8.8000000000000007</v>
      </c>
      <c r="M3526"/>
    </row>
    <row r="3527" spans="1:13" x14ac:dyDescent="0.25">
      <c r="A3527" s="2">
        <v>45332</v>
      </c>
      <c r="B3527" s="3" t="s">
        <v>244</v>
      </c>
      <c r="C3527" s="3" t="s">
        <v>9</v>
      </c>
      <c r="D3527" s="3" t="s">
        <v>10</v>
      </c>
      <c r="E3527" s="5" t="s">
        <v>14</v>
      </c>
      <c r="F3527" s="17">
        <v>91.55</v>
      </c>
      <c r="G3527" s="3">
        <v>10</v>
      </c>
      <c r="H3527" s="17">
        <f>Table1[[#This Row],[Unit price]]*Table1[[#This Row],[Quantity]]</f>
        <v>915.5</v>
      </c>
      <c r="I3527" s="29">
        <f>Table1[[#This Row],[Total Revenue]]/$H$5056*100</f>
        <v>9.7130656435075652E-2</v>
      </c>
      <c r="J3527" s="3" t="s">
        <v>15</v>
      </c>
      <c r="K3527" s="4">
        <v>7.9</v>
      </c>
      <c r="M3527"/>
    </row>
    <row r="3528" spans="1:13" x14ac:dyDescent="0.25">
      <c r="A3528" s="2">
        <v>45332</v>
      </c>
      <c r="B3528" s="3" t="s">
        <v>243</v>
      </c>
      <c r="C3528" s="3" t="s">
        <v>9</v>
      </c>
      <c r="D3528" s="3" t="s">
        <v>10</v>
      </c>
      <c r="E3528" s="5" t="s">
        <v>11</v>
      </c>
      <c r="F3528" s="17">
        <v>13.2</v>
      </c>
      <c r="G3528" s="3">
        <v>4</v>
      </c>
      <c r="H3528" s="17">
        <f>Table1[[#This Row],[Unit price]]*Table1[[#This Row],[Quantity]]</f>
        <v>52.8</v>
      </c>
      <c r="I3528" s="29">
        <f>Table1[[#This Row],[Total Revenue]]/$H$5056*100</f>
        <v>5.6018554448629106E-3</v>
      </c>
      <c r="J3528" s="3" t="s">
        <v>17</v>
      </c>
      <c r="K3528" s="4">
        <v>7.2</v>
      </c>
      <c r="M3528"/>
    </row>
    <row r="3529" spans="1:13" x14ac:dyDescent="0.25">
      <c r="A3529" s="2">
        <v>45332</v>
      </c>
      <c r="B3529" s="3" t="s">
        <v>245</v>
      </c>
      <c r="C3529" s="3" t="s">
        <v>9</v>
      </c>
      <c r="D3529" s="3" t="s">
        <v>19</v>
      </c>
      <c r="E3529" s="5" t="s">
        <v>21</v>
      </c>
      <c r="F3529" s="17">
        <v>33.840000000000003</v>
      </c>
      <c r="G3529" s="3">
        <v>1</v>
      </c>
      <c r="H3529" s="17">
        <f>Table1[[#This Row],[Unit price]]*Table1[[#This Row],[Quantity]]</f>
        <v>33.840000000000003</v>
      </c>
      <c r="I3529" s="29">
        <f>Table1[[#This Row],[Total Revenue]]/$H$5056*100</f>
        <v>3.5902800805712293E-3</v>
      </c>
      <c r="J3529" s="3" t="s">
        <v>17</v>
      </c>
      <c r="K3529" s="4">
        <v>7.9</v>
      </c>
      <c r="M3529"/>
    </row>
    <row r="3530" spans="1:13" x14ac:dyDescent="0.25">
      <c r="A3530" s="2">
        <v>45361</v>
      </c>
      <c r="B3530" s="3" t="s">
        <v>245</v>
      </c>
      <c r="C3530" s="3" t="s">
        <v>9</v>
      </c>
      <c r="D3530" s="3" t="s">
        <v>10</v>
      </c>
      <c r="E3530" s="5" t="s">
        <v>21</v>
      </c>
      <c r="F3530" s="17">
        <v>21.64</v>
      </c>
      <c r="G3530" s="3">
        <v>5</v>
      </c>
      <c r="H3530" s="17">
        <f>Table1[[#This Row],[Unit price]]*Table1[[#This Row],[Quantity]]</f>
        <v>108.2</v>
      </c>
      <c r="I3530" s="29">
        <f>Table1[[#This Row],[Total Revenue]]/$H$5056*100</f>
        <v>1.1479559832086495E-2</v>
      </c>
      <c r="J3530" s="3" t="s">
        <v>15</v>
      </c>
      <c r="K3530" s="4">
        <v>5.2</v>
      </c>
      <c r="M3530"/>
    </row>
    <row r="3531" spans="1:13" x14ac:dyDescent="0.25">
      <c r="A3531" s="2">
        <v>45361</v>
      </c>
      <c r="B3531" s="3" t="s">
        <v>244</v>
      </c>
      <c r="C3531" s="3" t="s">
        <v>9</v>
      </c>
      <c r="D3531" s="3" t="s">
        <v>10</v>
      </c>
      <c r="E3531" s="5" t="s">
        <v>11</v>
      </c>
      <c r="F3531" s="17">
        <v>12.66</v>
      </c>
      <c r="G3531" s="3">
        <v>7</v>
      </c>
      <c r="H3531" s="17">
        <f>Table1[[#This Row],[Unit price]]*Table1[[#This Row],[Quantity]]</f>
        <v>88.62</v>
      </c>
      <c r="I3531" s="29">
        <f>Table1[[#This Row],[Total Revenue]]/$H$5056*100</f>
        <v>9.4022051046164998E-3</v>
      </c>
      <c r="J3531" s="3" t="s">
        <v>15</v>
      </c>
      <c r="K3531" s="4">
        <v>5.5</v>
      </c>
      <c r="M3531"/>
    </row>
    <row r="3532" spans="1:13" x14ac:dyDescent="0.25">
      <c r="A3532" s="2">
        <v>45361</v>
      </c>
      <c r="B3532" s="3" t="s">
        <v>245</v>
      </c>
      <c r="C3532" s="3" t="s">
        <v>13</v>
      </c>
      <c r="D3532" s="3" t="s">
        <v>19</v>
      </c>
      <c r="E3532" s="5" t="s">
        <v>21</v>
      </c>
      <c r="F3532" s="17">
        <v>34.14</v>
      </c>
      <c r="G3532" s="3">
        <v>5</v>
      </c>
      <c r="H3532" s="17">
        <f>Table1[[#This Row],[Unit price]]*Table1[[#This Row],[Quantity]]</f>
        <v>170.7</v>
      </c>
      <c r="I3532" s="29">
        <f>Table1[[#This Row],[Total Revenue]]/$H$5056*100</f>
        <v>1.8110544023448843E-2</v>
      </c>
      <c r="J3532" s="3" t="s">
        <v>17</v>
      </c>
      <c r="K3532" s="4">
        <v>4.5999999999999996</v>
      </c>
      <c r="M3532"/>
    </row>
    <row r="3533" spans="1:13" x14ac:dyDescent="0.25">
      <c r="A3533" s="2">
        <v>45361</v>
      </c>
      <c r="B3533" s="3" t="s">
        <v>245</v>
      </c>
      <c r="C3533" s="3" t="s">
        <v>13</v>
      </c>
      <c r="D3533" s="3" t="s">
        <v>10</v>
      </c>
      <c r="E3533" s="5" t="s">
        <v>20</v>
      </c>
      <c r="F3533" s="17">
        <v>50.32</v>
      </c>
      <c r="G3533" s="3">
        <v>5</v>
      </c>
      <c r="H3533" s="17">
        <f>Table1[[#This Row],[Unit price]]*Table1[[#This Row],[Quantity]]</f>
        <v>251.6</v>
      </c>
      <c r="I3533" s="29">
        <f>Table1[[#This Row],[Total Revenue]]/$H$5056*100</f>
        <v>2.6693689960748265E-2</v>
      </c>
      <c r="J3533" s="3" t="s">
        <v>12</v>
      </c>
      <c r="K3533" s="4">
        <v>5</v>
      </c>
      <c r="M3533"/>
    </row>
    <row r="3534" spans="1:13" x14ac:dyDescent="0.25">
      <c r="A3534" s="2">
        <v>45361</v>
      </c>
      <c r="B3534" s="3" t="s">
        <v>243</v>
      </c>
      <c r="C3534" s="3" t="s">
        <v>13</v>
      </c>
      <c r="D3534" s="3" t="s">
        <v>10</v>
      </c>
      <c r="E3534" s="5" t="s">
        <v>11</v>
      </c>
      <c r="F3534" s="17">
        <v>3.6</v>
      </c>
      <c r="G3534" s="3">
        <v>8</v>
      </c>
      <c r="H3534" s="17">
        <f>Table1[[#This Row],[Unit price]]*Table1[[#This Row],[Quantity]]</f>
        <v>28.8</v>
      </c>
      <c r="I3534" s="29">
        <f>Table1[[#This Row],[Total Revenue]]/$H$5056*100</f>
        <v>3.0555575153797697E-3</v>
      </c>
      <c r="J3534" s="3" t="s">
        <v>12</v>
      </c>
      <c r="K3534" s="4">
        <v>7.3</v>
      </c>
      <c r="M3534"/>
    </row>
    <row r="3535" spans="1:13" x14ac:dyDescent="0.25">
      <c r="A3535" s="2">
        <v>45361</v>
      </c>
      <c r="B3535" s="3" t="s">
        <v>244</v>
      </c>
      <c r="C3535" s="3" t="s">
        <v>13</v>
      </c>
      <c r="D3535" s="3" t="s">
        <v>10</v>
      </c>
      <c r="E3535" s="5" t="s">
        <v>21</v>
      </c>
      <c r="F3535" s="17">
        <v>28.55</v>
      </c>
      <c r="G3535" s="3">
        <v>4</v>
      </c>
      <c r="H3535" s="17">
        <f>Table1[[#This Row],[Unit price]]*Table1[[#This Row],[Quantity]]</f>
        <v>114.2</v>
      </c>
      <c r="I3535" s="29">
        <f>Table1[[#This Row],[Total Revenue]]/$H$5056*100</f>
        <v>1.2116134314457282E-2</v>
      </c>
      <c r="J3535" s="3" t="s">
        <v>12</v>
      </c>
      <c r="K3535" s="4">
        <v>3.6</v>
      </c>
      <c r="M3535"/>
    </row>
    <row r="3536" spans="1:13" x14ac:dyDescent="0.25">
      <c r="A3536" s="2">
        <v>45361</v>
      </c>
      <c r="B3536" s="3" t="s">
        <v>245</v>
      </c>
      <c r="C3536" s="3" t="s">
        <v>13</v>
      </c>
      <c r="D3536" s="3" t="s">
        <v>10</v>
      </c>
      <c r="E3536" s="5" t="s">
        <v>11</v>
      </c>
      <c r="F3536" s="17">
        <v>8.5500000000000007</v>
      </c>
      <c r="G3536" s="3">
        <v>1</v>
      </c>
      <c r="H3536" s="17">
        <f>Table1[[#This Row],[Unit price]]*Table1[[#This Row],[Quantity]]</f>
        <v>8.5500000000000007</v>
      </c>
      <c r="I3536" s="29">
        <f>Table1[[#This Row],[Total Revenue]]/$H$5056*100</f>
        <v>9.0711863737836921E-4</v>
      </c>
      <c r="J3536" s="3" t="s">
        <v>12</v>
      </c>
      <c r="K3536" s="4">
        <v>5.9</v>
      </c>
      <c r="M3536"/>
    </row>
    <row r="3537" spans="1:13" x14ac:dyDescent="0.25">
      <c r="A3537" s="2">
        <v>45361</v>
      </c>
      <c r="B3537" s="3" t="s">
        <v>244</v>
      </c>
      <c r="C3537" s="3" t="s">
        <v>9</v>
      </c>
      <c r="D3537" s="3" t="s">
        <v>10</v>
      </c>
      <c r="E3537" s="5" t="s">
        <v>21</v>
      </c>
      <c r="F3537" s="17">
        <v>32.200000000000003</v>
      </c>
      <c r="G3537" s="3">
        <v>7</v>
      </c>
      <c r="H3537" s="17">
        <f>Table1[[#This Row],[Unit price]]*Table1[[#This Row],[Quantity]]</f>
        <v>225.40000000000003</v>
      </c>
      <c r="I3537" s="29">
        <f>Table1[[#This Row],[Total Revenue]]/$H$5056*100</f>
        <v>2.3913981387729173E-2</v>
      </c>
      <c r="J3537" s="3" t="s">
        <v>12</v>
      </c>
      <c r="K3537" s="4">
        <v>5.9</v>
      </c>
      <c r="M3537"/>
    </row>
    <row r="3538" spans="1:13" x14ac:dyDescent="0.25">
      <c r="A3538" s="2">
        <v>45361</v>
      </c>
      <c r="B3538" s="3" t="s">
        <v>245</v>
      </c>
      <c r="C3538" s="3" t="s">
        <v>9</v>
      </c>
      <c r="D3538" s="3" t="s">
        <v>19</v>
      </c>
      <c r="E3538" s="5" t="s">
        <v>11</v>
      </c>
      <c r="F3538" s="17">
        <v>2.17</v>
      </c>
      <c r="G3538" s="3">
        <v>9</v>
      </c>
      <c r="H3538" s="17">
        <f>Table1[[#This Row],[Unit price]]*Table1[[#This Row],[Quantity]]</f>
        <v>19.53</v>
      </c>
      <c r="I3538" s="29">
        <f>Table1[[#This Row],[Total Revenue]]/$H$5056*100</f>
        <v>2.0720499401169065E-3</v>
      </c>
      <c r="J3538" s="3" t="s">
        <v>15</v>
      </c>
      <c r="K3538" s="4">
        <v>6.4</v>
      </c>
      <c r="M3538"/>
    </row>
    <row r="3539" spans="1:13" x14ac:dyDescent="0.25">
      <c r="A3539" s="2">
        <v>45361</v>
      </c>
      <c r="B3539" s="3" t="s">
        <v>244</v>
      </c>
      <c r="C3539" s="3" t="s">
        <v>13</v>
      </c>
      <c r="D3539" s="3" t="s">
        <v>10</v>
      </c>
      <c r="E3539" s="5" t="s">
        <v>18</v>
      </c>
      <c r="F3539" s="17">
        <v>15.62</v>
      </c>
      <c r="G3539" s="3">
        <v>8</v>
      </c>
      <c r="H3539" s="17">
        <f>Table1[[#This Row],[Unit price]]*Table1[[#This Row],[Quantity]]</f>
        <v>124.96</v>
      </c>
      <c r="I3539" s="29">
        <f>Table1[[#This Row],[Total Revenue]]/$H$5056*100</f>
        <v>1.325772455284222E-2</v>
      </c>
      <c r="J3539" s="3" t="s">
        <v>15</v>
      </c>
      <c r="K3539" s="4">
        <v>5.9</v>
      </c>
      <c r="M3539"/>
    </row>
    <row r="3540" spans="1:13" x14ac:dyDescent="0.25">
      <c r="A3540" s="2">
        <v>45392</v>
      </c>
      <c r="B3540" s="3" t="s">
        <v>243</v>
      </c>
      <c r="C3540" s="3" t="s">
        <v>13</v>
      </c>
      <c r="D3540" s="3" t="s">
        <v>10</v>
      </c>
      <c r="E3540" s="5" t="s">
        <v>20</v>
      </c>
      <c r="F3540" s="17">
        <v>43.1</v>
      </c>
      <c r="G3540" s="3">
        <v>9</v>
      </c>
      <c r="H3540" s="17">
        <f>Table1[[#This Row],[Unit price]]*Table1[[#This Row],[Quantity]]</f>
        <v>387.90000000000003</v>
      </c>
      <c r="I3540" s="29">
        <f>Table1[[#This Row],[Total Revenue]]/$H$5056*100</f>
        <v>4.1154540285271275E-2</v>
      </c>
      <c r="J3540" s="3" t="s">
        <v>17</v>
      </c>
      <c r="K3540" s="4">
        <v>5.0999999999999996</v>
      </c>
      <c r="M3540"/>
    </row>
    <row r="3541" spans="1:13" x14ac:dyDescent="0.25">
      <c r="A3541" s="2">
        <v>45392</v>
      </c>
      <c r="B3541" s="3" t="s">
        <v>243</v>
      </c>
      <c r="C3541" s="3" t="s">
        <v>9</v>
      </c>
      <c r="D3541" s="3" t="s">
        <v>10</v>
      </c>
      <c r="E3541" s="5" t="s">
        <v>11</v>
      </c>
      <c r="F3541" s="17">
        <v>14.21</v>
      </c>
      <c r="G3541" s="3">
        <v>10</v>
      </c>
      <c r="H3541" s="17">
        <f>Table1[[#This Row],[Unit price]]*Table1[[#This Row],[Quantity]]</f>
        <v>142.10000000000002</v>
      </c>
      <c r="I3541" s="29">
        <f>Table1[[#This Row],[Total Revenue]]/$H$5056*100</f>
        <v>1.5076205657481434E-2</v>
      </c>
      <c r="J3541" s="3" t="s">
        <v>12</v>
      </c>
      <c r="K3541" s="4">
        <v>5.9</v>
      </c>
      <c r="M3541"/>
    </row>
    <row r="3542" spans="1:13" x14ac:dyDescent="0.25">
      <c r="A3542" s="2">
        <v>45392</v>
      </c>
      <c r="B3542" s="3" t="s">
        <v>244</v>
      </c>
      <c r="C3542" s="3" t="s">
        <v>9</v>
      </c>
      <c r="D3542" s="3" t="s">
        <v>19</v>
      </c>
      <c r="E3542" s="5" t="s">
        <v>20</v>
      </c>
      <c r="F3542" s="17">
        <v>55.52</v>
      </c>
      <c r="G3542" s="3">
        <v>4</v>
      </c>
      <c r="H3542" s="17">
        <f>Table1[[#This Row],[Unit price]]*Table1[[#This Row],[Quantity]]</f>
        <v>222.08</v>
      </c>
      <c r="I3542" s="29">
        <f>Table1[[#This Row],[Total Revenue]]/$H$5056*100</f>
        <v>2.3561743507484002E-2</v>
      </c>
      <c r="J3542" s="3" t="s">
        <v>17</v>
      </c>
      <c r="K3542" s="4">
        <v>9.1</v>
      </c>
      <c r="M3542"/>
    </row>
    <row r="3543" spans="1:13" x14ac:dyDescent="0.25">
      <c r="A3543" s="2">
        <v>45392</v>
      </c>
      <c r="B3543" s="3" t="s">
        <v>244</v>
      </c>
      <c r="C3543" s="3" t="s">
        <v>13</v>
      </c>
      <c r="D3543" s="3" t="s">
        <v>10</v>
      </c>
      <c r="E3543" s="5" t="s">
        <v>14</v>
      </c>
      <c r="F3543" s="17">
        <v>84.63</v>
      </c>
      <c r="G3543" s="3">
        <v>1</v>
      </c>
      <c r="H3543" s="17">
        <f>Table1[[#This Row],[Unit price]]*Table1[[#This Row],[Quantity]]</f>
        <v>84.63</v>
      </c>
      <c r="I3543" s="29">
        <f>Table1[[#This Row],[Total Revenue]]/$H$5056*100</f>
        <v>8.9788830738399272E-3</v>
      </c>
      <c r="J3543" s="3" t="s">
        <v>12</v>
      </c>
      <c r="K3543" s="4">
        <v>9.4</v>
      </c>
      <c r="M3543"/>
    </row>
    <row r="3544" spans="1:13" x14ac:dyDescent="0.25">
      <c r="A3544" s="2">
        <v>45392</v>
      </c>
      <c r="B3544" s="3" t="s">
        <v>245</v>
      </c>
      <c r="C3544" s="3" t="s">
        <v>13</v>
      </c>
      <c r="D3544" s="3" t="s">
        <v>19</v>
      </c>
      <c r="E3544" s="5" t="s">
        <v>11</v>
      </c>
      <c r="F3544" s="17">
        <v>2.39</v>
      </c>
      <c r="G3544" s="3">
        <v>7</v>
      </c>
      <c r="H3544" s="17">
        <f>Table1[[#This Row],[Unit price]]*Table1[[#This Row],[Quantity]]</f>
        <v>16.73</v>
      </c>
      <c r="I3544" s="29">
        <f>Table1[[#This Row],[Total Revenue]]/$H$5056*100</f>
        <v>1.7749818483438731E-3</v>
      </c>
      <c r="J3544" s="3" t="s">
        <v>17</v>
      </c>
      <c r="K3544" s="4">
        <v>6.4</v>
      </c>
      <c r="M3544"/>
    </row>
    <row r="3545" spans="1:13" x14ac:dyDescent="0.25">
      <c r="A3545" s="2">
        <v>45392</v>
      </c>
      <c r="B3545" s="3" t="s">
        <v>244</v>
      </c>
      <c r="C3545" s="3" t="s">
        <v>9</v>
      </c>
      <c r="D3545" s="3" t="s">
        <v>10</v>
      </c>
      <c r="E3545" s="5" t="s">
        <v>14</v>
      </c>
      <c r="F3545" s="17">
        <v>85.76</v>
      </c>
      <c r="G3545" s="3">
        <v>1</v>
      </c>
      <c r="H3545" s="17">
        <f>Table1[[#This Row],[Unit price]]*Table1[[#This Row],[Quantity]]</f>
        <v>85.76</v>
      </c>
      <c r="I3545" s="29">
        <f>Table1[[#This Row],[Total Revenue]]/$H$5056*100</f>
        <v>9.0987712680197595E-3</v>
      </c>
      <c r="J3545" s="3" t="s">
        <v>17</v>
      </c>
      <c r="K3545" s="4">
        <v>7.2</v>
      </c>
      <c r="M3545"/>
    </row>
    <row r="3546" spans="1:13" x14ac:dyDescent="0.25">
      <c r="A3546" s="2">
        <v>45392</v>
      </c>
      <c r="B3546" s="3" t="s">
        <v>243</v>
      </c>
      <c r="C3546" s="3" t="s">
        <v>9</v>
      </c>
      <c r="D3546" s="3" t="s">
        <v>10</v>
      </c>
      <c r="E3546" s="5" t="s">
        <v>18</v>
      </c>
      <c r="F3546" s="17">
        <v>14.32</v>
      </c>
      <c r="G3546" s="3">
        <v>4</v>
      </c>
      <c r="H3546" s="17">
        <f>Table1[[#This Row],[Unit price]]*Table1[[#This Row],[Quantity]]</f>
        <v>57.28</v>
      </c>
      <c r="I3546" s="29">
        <f>Table1[[#This Row],[Total Revenue]]/$H$5056*100</f>
        <v>6.0771643916997641E-3</v>
      </c>
      <c r="J3546" s="3" t="s">
        <v>12</v>
      </c>
      <c r="K3546" s="4">
        <v>3.8</v>
      </c>
      <c r="M3546"/>
    </row>
    <row r="3547" spans="1:13" x14ac:dyDescent="0.25">
      <c r="A3547" s="2">
        <v>45392</v>
      </c>
      <c r="B3547" s="3" t="s">
        <v>244</v>
      </c>
      <c r="C3547" s="3" t="s">
        <v>13</v>
      </c>
      <c r="D3547" s="3" t="s">
        <v>19</v>
      </c>
      <c r="E3547" s="5" t="s">
        <v>14</v>
      </c>
      <c r="F3547" s="17">
        <v>89.42</v>
      </c>
      <c r="G3547" s="3">
        <v>2</v>
      </c>
      <c r="H3547" s="17">
        <f>Table1[[#This Row],[Unit price]]*Table1[[#This Row],[Quantity]]</f>
        <v>178.84</v>
      </c>
      <c r="I3547" s="29">
        <f>Table1[[#This Row],[Total Revenue]]/$H$5056*100</f>
        <v>1.8974163404531875E-2</v>
      </c>
      <c r="J3547" s="3" t="s">
        <v>15</v>
      </c>
      <c r="K3547" s="4">
        <v>5.2</v>
      </c>
      <c r="M3547"/>
    </row>
    <row r="3548" spans="1:13" x14ac:dyDescent="0.25">
      <c r="A3548" s="2">
        <v>45392</v>
      </c>
      <c r="B3548" s="3" t="s">
        <v>243</v>
      </c>
      <c r="C3548" s="3" t="s">
        <v>13</v>
      </c>
      <c r="D3548" s="3" t="s">
        <v>19</v>
      </c>
      <c r="E3548" s="5" t="s">
        <v>21</v>
      </c>
      <c r="F3548" s="17">
        <v>36.549999999999997</v>
      </c>
      <c r="G3548" s="3">
        <v>6</v>
      </c>
      <c r="H3548" s="17">
        <f>Table1[[#This Row],[Unit price]]*Table1[[#This Row],[Quantity]]</f>
        <v>219.29999999999998</v>
      </c>
      <c r="I3548" s="29">
        <f>Table1[[#This Row],[Total Revenue]]/$H$5056*100</f>
        <v>2.3266797330652202E-2</v>
      </c>
      <c r="J3548" s="3" t="s">
        <v>15</v>
      </c>
      <c r="K3548" s="4">
        <v>5.8</v>
      </c>
      <c r="M3548"/>
    </row>
    <row r="3549" spans="1:13" x14ac:dyDescent="0.25">
      <c r="A3549" s="2">
        <v>45392</v>
      </c>
      <c r="B3549" s="3" t="s">
        <v>244</v>
      </c>
      <c r="C3549" s="3" t="s">
        <v>13</v>
      </c>
      <c r="D3549" s="3" t="s">
        <v>19</v>
      </c>
      <c r="E3549" s="5" t="s">
        <v>11</v>
      </c>
      <c r="F3549" s="17">
        <v>14.18</v>
      </c>
      <c r="G3549" s="3">
        <v>6</v>
      </c>
      <c r="H3549" s="17">
        <f>Table1[[#This Row],[Unit price]]*Table1[[#This Row],[Quantity]]</f>
        <v>85.08</v>
      </c>
      <c r="I3549" s="29">
        <f>Table1[[#This Row],[Total Revenue]]/$H$5056*100</f>
        <v>9.0266261600177363E-3</v>
      </c>
      <c r="J3549" s="3" t="s">
        <v>17</v>
      </c>
      <c r="K3549" s="4">
        <v>8.9</v>
      </c>
      <c r="M3549"/>
    </row>
    <row r="3550" spans="1:13" x14ac:dyDescent="0.25">
      <c r="A3550" s="2">
        <v>45392</v>
      </c>
      <c r="B3550" s="3" t="s">
        <v>243</v>
      </c>
      <c r="C3550" s="3" t="s">
        <v>9</v>
      </c>
      <c r="D3550" s="3" t="s">
        <v>10</v>
      </c>
      <c r="E3550" s="5" t="s">
        <v>18</v>
      </c>
      <c r="F3550" s="17">
        <v>9.1199999999999992</v>
      </c>
      <c r="G3550" s="3">
        <v>8</v>
      </c>
      <c r="H3550" s="17">
        <f>Table1[[#This Row],[Unit price]]*Table1[[#This Row],[Quantity]]</f>
        <v>72.959999999999994</v>
      </c>
      <c r="I3550" s="29">
        <f>Table1[[#This Row],[Total Revenue]]/$H$5056*100</f>
        <v>7.7407457056287484E-3</v>
      </c>
      <c r="J3550" s="3" t="s">
        <v>15</v>
      </c>
      <c r="K3550" s="4">
        <v>4.7</v>
      </c>
      <c r="M3550"/>
    </row>
    <row r="3551" spans="1:13" x14ac:dyDescent="0.25">
      <c r="A3551" s="2">
        <v>45392</v>
      </c>
      <c r="B3551" s="3" t="s">
        <v>245</v>
      </c>
      <c r="C3551" s="3" t="s">
        <v>9</v>
      </c>
      <c r="D3551" s="3" t="s">
        <v>10</v>
      </c>
      <c r="E3551" s="5" t="s">
        <v>16</v>
      </c>
      <c r="F3551" s="17">
        <v>54.88</v>
      </c>
      <c r="G3551" s="3">
        <v>3</v>
      </c>
      <c r="H3551" s="17">
        <f>Table1[[#This Row],[Unit price]]*Table1[[#This Row],[Quantity]]</f>
        <v>164.64000000000001</v>
      </c>
      <c r="I3551" s="29">
        <f>Table1[[#This Row],[Total Revenue]]/$H$5056*100</f>
        <v>1.7467603796254349E-2</v>
      </c>
      <c r="J3551" s="3" t="s">
        <v>15</v>
      </c>
      <c r="K3551" s="4">
        <v>6.3</v>
      </c>
      <c r="M3551"/>
    </row>
    <row r="3552" spans="1:13" x14ac:dyDescent="0.25">
      <c r="A3552" s="2">
        <v>45392</v>
      </c>
      <c r="B3552" s="3" t="s">
        <v>243</v>
      </c>
      <c r="C3552" s="3" t="s">
        <v>9</v>
      </c>
      <c r="D3552" s="3" t="s">
        <v>19</v>
      </c>
      <c r="E3552" s="5" t="s">
        <v>21</v>
      </c>
      <c r="F3552" s="17">
        <v>20.02</v>
      </c>
      <c r="G3552" s="3">
        <v>8</v>
      </c>
      <c r="H3552" s="17">
        <f>Table1[[#This Row],[Unit price]]*Table1[[#This Row],[Quantity]]</f>
        <v>160.16</v>
      </c>
      <c r="I3552" s="29">
        <f>Table1[[#This Row],[Total Revenue]]/$H$5056*100</f>
        <v>1.6992294849417496E-2</v>
      </c>
      <c r="J3552" s="3" t="s">
        <v>17</v>
      </c>
      <c r="K3552" s="4">
        <v>9.6999999999999993</v>
      </c>
      <c r="M3552"/>
    </row>
    <row r="3553" spans="1:13" x14ac:dyDescent="0.25">
      <c r="A3553" s="2">
        <v>45392</v>
      </c>
      <c r="B3553" s="3" t="s">
        <v>243</v>
      </c>
      <c r="C3553" s="3" t="s">
        <v>13</v>
      </c>
      <c r="D3553" s="3" t="s">
        <v>19</v>
      </c>
      <c r="E3553" s="5" t="s">
        <v>11</v>
      </c>
      <c r="F3553" s="17">
        <v>2.54</v>
      </c>
      <c r="G3553" s="3">
        <v>4</v>
      </c>
      <c r="H3553" s="17">
        <f>Table1[[#This Row],[Unit price]]*Table1[[#This Row],[Quantity]]</f>
        <v>10.16</v>
      </c>
      <c r="I3553" s="29">
        <f>Table1[[#This Row],[Total Revenue]]/$H$5056*100</f>
        <v>1.0779327901478631E-3</v>
      </c>
      <c r="J3553" s="3" t="s">
        <v>17</v>
      </c>
      <c r="K3553" s="4">
        <v>6.5</v>
      </c>
      <c r="M3553"/>
    </row>
    <row r="3554" spans="1:13" x14ac:dyDescent="0.25">
      <c r="A3554" s="2">
        <v>45392</v>
      </c>
      <c r="B3554" s="3" t="s">
        <v>245</v>
      </c>
      <c r="C3554" s="3" t="s">
        <v>9</v>
      </c>
      <c r="D3554" s="3" t="s">
        <v>10</v>
      </c>
      <c r="E3554" s="5" t="s">
        <v>21</v>
      </c>
      <c r="F3554" s="17">
        <v>18.579999999999998</v>
      </c>
      <c r="G3554" s="3">
        <v>7</v>
      </c>
      <c r="H3554" s="17">
        <f>Table1[[#This Row],[Unit price]]*Table1[[#This Row],[Quantity]]</f>
        <v>130.06</v>
      </c>
      <c r="I3554" s="29">
        <f>Table1[[#This Row],[Total Revenue]]/$H$5056*100</f>
        <v>1.379881286285739E-2</v>
      </c>
      <c r="J3554" s="3" t="s">
        <v>12</v>
      </c>
      <c r="K3554" s="4">
        <v>7.2</v>
      </c>
      <c r="M3554"/>
    </row>
    <row r="3555" spans="1:13" x14ac:dyDescent="0.25">
      <c r="A3555" s="2">
        <v>45392</v>
      </c>
      <c r="B3555" s="3" t="s">
        <v>243</v>
      </c>
      <c r="C3555" s="3" t="s">
        <v>13</v>
      </c>
      <c r="D3555" s="3" t="s">
        <v>19</v>
      </c>
      <c r="E3555" s="5" t="s">
        <v>11</v>
      </c>
      <c r="F3555" s="17">
        <v>2.79</v>
      </c>
      <c r="G3555" s="3">
        <v>5</v>
      </c>
      <c r="H3555" s="17">
        <f>Table1[[#This Row],[Unit price]]*Table1[[#This Row],[Quantity]]</f>
        <v>13.95</v>
      </c>
      <c r="I3555" s="29">
        <f>Table1[[#This Row],[Total Revenue]]/$H$5056*100</f>
        <v>1.4800356715120758E-3</v>
      </c>
      <c r="J3555" s="3" t="s">
        <v>15</v>
      </c>
      <c r="K3555" s="4">
        <v>3.8</v>
      </c>
      <c r="M3555"/>
    </row>
    <row r="3556" spans="1:13" x14ac:dyDescent="0.25">
      <c r="A3556" s="2">
        <v>45392</v>
      </c>
      <c r="B3556" s="3" t="s">
        <v>245</v>
      </c>
      <c r="C3556" s="3" t="s">
        <v>13</v>
      </c>
      <c r="D3556" s="3" t="s">
        <v>10</v>
      </c>
      <c r="E3556" s="5" t="s">
        <v>20</v>
      </c>
      <c r="F3556" s="17">
        <v>40.020000000000003</v>
      </c>
      <c r="G3556" s="3">
        <v>9</v>
      </c>
      <c r="H3556" s="17">
        <f>Table1[[#This Row],[Unit price]]*Table1[[#This Row],[Quantity]]</f>
        <v>360.18</v>
      </c>
      <c r="I3556" s="29">
        <f>Table1[[#This Row],[Total Revenue]]/$H$5056*100</f>
        <v>3.8213566176718242E-2</v>
      </c>
      <c r="J3556" s="3" t="s">
        <v>12</v>
      </c>
      <c r="K3556" s="4">
        <v>8.6</v>
      </c>
      <c r="M3556"/>
    </row>
    <row r="3557" spans="1:13" x14ac:dyDescent="0.25">
      <c r="A3557" s="2">
        <v>45392</v>
      </c>
      <c r="B3557" s="3" t="s">
        <v>245</v>
      </c>
      <c r="C3557" s="3" t="s">
        <v>9</v>
      </c>
      <c r="D3557" s="3" t="s">
        <v>10</v>
      </c>
      <c r="E3557" s="5" t="s">
        <v>20</v>
      </c>
      <c r="F3557" s="17">
        <v>65.400000000000006</v>
      </c>
      <c r="G3557" s="3">
        <v>1</v>
      </c>
      <c r="H3557" s="17">
        <f>Table1[[#This Row],[Unit price]]*Table1[[#This Row],[Quantity]]</f>
        <v>65.400000000000006</v>
      </c>
      <c r="I3557" s="29">
        <f>Table1[[#This Row],[Total Revenue]]/$H$5056*100</f>
        <v>6.9386618578415613E-3</v>
      </c>
      <c r="J3557" s="3" t="s">
        <v>17</v>
      </c>
      <c r="K3557" s="4">
        <v>7.1</v>
      </c>
      <c r="M3557"/>
    </row>
    <row r="3558" spans="1:13" x14ac:dyDescent="0.25">
      <c r="A3558" s="2">
        <v>45392</v>
      </c>
      <c r="B3558" s="3" t="s">
        <v>244</v>
      </c>
      <c r="C3558" s="3" t="s">
        <v>13</v>
      </c>
      <c r="D3558" s="3" t="s">
        <v>10</v>
      </c>
      <c r="E3558" s="5" t="s">
        <v>21</v>
      </c>
      <c r="F3558" s="17">
        <v>15.07</v>
      </c>
      <c r="G3558" s="3">
        <v>10</v>
      </c>
      <c r="H3558" s="17">
        <f>Table1[[#This Row],[Unit price]]*Table1[[#This Row],[Quantity]]</f>
        <v>150.69999999999999</v>
      </c>
      <c r="I3558" s="29">
        <f>Table1[[#This Row],[Total Revenue]]/$H$5056*100</f>
        <v>1.598862908221289E-2</v>
      </c>
      <c r="J3558" s="3" t="s">
        <v>12</v>
      </c>
      <c r="K3558" s="4">
        <v>6.7</v>
      </c>
      <c r="M3558"/>
    </row>
    <row r="3559" spans="1:13" x14ac:dyDescent="0.25">
      <c r="A3559" s="2">
        <v>45392</v>
      </c>
      <c r="B3559" s="3" t="s">
        <v>245</v>
      </c>
      <c r="C3559" s="3" t="s">
        <v>9</v>
      </c>
      <c r="D3559" s="3" t="s">
        <v>19</v>
      </c>
      <c r="E3559" s="5" t="s">
        <v>16</v>
      </c>
      <c r="F3559" s="17">
        <v>72</v>
      </c>
      <c r="G3559" s="3">
        <v>2</v>
      </c>
      <c r="H3559" s="17">
        <f>Table1[[#This Row],[Unit price]]*Table1[[#This Row],[Quantity]]</f>
        <v>144</v>
      </c>
      <c r="I3559" s="29">
        <f>Table1[[#This Row],[Total Revenue]]/$H$5056*100</f>
        <v>1.5277787576898849E-2</v>
      </c>
      <c r="J3559" s="3" t="s">
        <v>15</v>
      </c>
      <c r="K3559" s="4">
        <v>5.3</v>
      </c>
      <c r="M3559"/>
    </row>
    <row r="3560" spans="1:13" x14ac:dyDescent="0.25">
      <c r="A3560" s="2">
        <v>45392</v>
      </c>
      <c r="B3560" s="3" t="s">
        <v>243</v>
      </c>
      <c r="C3560" s="3" t="s">
        <v>9</v>
      </c>
      <c r="D3560" s="3" t="s">
        <v>19</v>
      </c>
      <c r="E3560" s="5" t="s">
        <v>18</v>
      </c>
      <c r="F3560" s="17">
        <v>13.55</v>
      </c>
      <c r="G3560" s="3">
        <v>5</v>
      </c>
      <c r="H3560" s="17">
        <f>Table1[[#This Row],[Unit price]]*Table1[[#This Row],[Quantity]]</f>
        <v>67.75</v>
      </c>
      <c r="I3560" s="29">
        <f>Table1[[#This Row],[Total Revenue]]/$H$5056*100</f>
        <v>7.1879868634367843E-3</v>
      </c>
      <c r="J3560" s="3" t="s">
        <v>17</v>
      </c>
      <c r="K3560" s="4">
        <v>5.0999999999999996</v>
      </c>
      <c r="M3560"/>
    </row>
    <row r="3561" spans="1:13" x14ac:dyDescent="0.25">
      <c r="A3561" s="2">
        <v>45422</v>
      </c>
      <c r="B3561" s="3" t="s">
        <v>245</v>
      </c>
      <c r="C3561" s="3" t="s">
        <v>9</v>
      </c>
      <c r="D3561" s="3" t="s">
        <v>19</v>
      </c>
      <c r="E3561" s="5" t="s">
        <v>18</v>
      </c>
      <c r="F3561" s="17">
        <v>23.02</v>
      </c>
      <c r="G3561" s="3">
        <v>2</v>
      </c>
      <c r="H3561" s="17">
        <f>Table1[[#This Row],[Unit price]]*Table1[[#This Row],[Quantity]]</f>
        <v>46.04</v>
      </c>
      <c r="I3561" s="29">
        <f>Table1[[#This Row],[Total Revenue]]/$H$5056*100</f>
        <v>4.8846481947251589E-3</v>
      </c>
      <c r="J3561" s="3" t="s">
        <v>15</v>
      </c>
      <c r="K3561" s="4">
        <v>5.8</v>
      </c>
      <c r="M3561"/>
    </row>
    <row r="3562" spans="1:13" x14ac:dyDescent="0.25">
      <c r="A3562" s="2">
        <v>45422</v>
      </c>
      <c r="B3562" s="3" t="s">
        <v>244</v>
      </c>
      <c r="C3562" s="3" t="s">
        <v>9</v>
      </c>
      <c r="D3562" s="3" t="s">
        <v>19</v>
      </c>
      <c r="E3562" s="5" t="s">
        <v>18</v>
      </c>
      <c r="F3562" s="17">
        <v>7.03</v>
      </c>
      <c r="G3562" s="3">
        <v>5</v>
      </c>
      <c r="H3562" s="17">
        <f>Table1[[#This Row],[Unit price]]*Table1[[#This Row],[Quantity]]</f>
        <v>35.15</v>
      </c>
      <c r="I3562" s="29">
        <f>Table1[[#This Row],[Total Revenue]]/$H$5056*100</f>
        <v>3.7292655092221838E-3</v>
      </c>
      <c r="J3562" s="3" t="s">
        <v>12</v>
      </c>
      <c r="K3562" s="4">
        <v>7.6</v>
      </c>
      <c r="M3562"/>
    </row>
    <row r="3563" spans="1:13" x14ac:dyDescent="0.25">
      <c r="A3563" s="2">
        <v>45422</v>
      </c>
      <c r="B3563" s="3" t="s">
        <v>244</v>
      </c>
      <c r="C3563" s="3" t="s">
        <v>13</v>
      </c>
      <c r="D3563" s="3" t="s">
        <v>19</v>
      </c>
      <c r="E3563" s="5" t="s">
        <v>11</v>
      </c>
      <c r="F3563" s="17">
        <v>3.21</v>
      </c>
      <c r="G3563" s="3">
        <v>2</v>
      </c>
      <c r="H3563" s="17">
        <f>Table1[[#This Row],[Unit price]]*Table1[[#This Row],[Quantity]]</f>
        <v>6.42</v>
      </c>
      <c r="I3563" s="29">
        <f>Table1[[#This Row],[Total Revenue]]/$H$5056*100</f>
        <v>6.8113469613674028E-4</v>
      </c>
      <c r="J3563" s="3" t="s">
        <v>17</v>
      </c>
      <c r="K3563" s="4">
        <v>9</v>
      </c>
      <c r="M3563"/>
    </row>
    <row r="3564" spans="1:13" x14ac:dyDescent="0.25">
      <c r="A3564" s="2">
        <v>45422</v>
      </c>
      <c r="B3564" s="3" t="s">
        <v>243</v>
      </c>
      <c r="C3564" s="3" t="s">
        <v>13</v>
      </c>
      <c r="D3564" s="3" t="s">
        <v>10</v>
      </c>
      <c r="E3564" s="5" t="s">
        <v>21</v>
      </c>
      <c r="F3564" s="17">
        <v>34.979999999999997</v>
      </c>
      <c r="G3564" s="3">
        <v>4</v>
      </c>
      <c r="H3564" s="17">
        <f>Table1[[#This Row],[Unit price]]*Table1[[#This Row],[Quantity]]</f>
        <v>139.91999999999999</v>
      </c>
      <c r="I3564" s="29">
        <f>Table1[[#This Row],[Total Revenue]]/$H$5056*100</f>
        <v>1.4844916928886712E-2</v>
      </c>
      <c r="J3564" s="3" t="s">
        <v>15</v>
      </c>
      <c r="K3564" s="4">
        <v>6.5</v>
      </c>
      <c r="M3564"/>
    </row>
    <row r="3565" spans="1:13" x14ac:dyDescent="0.25">
      <c r="A3565" s="2">
        <v>45422</v>
      </c>
      <c r="B3565" s="3" t="s">
        <v>245</v>
      </c>
      <c r="C3565" s="3" t="s">
        <v>13</v>
      </c>
      <c r="D3565" s="3" t="s">
        <v>10</v>
      </c>
      <c r="E3565" s="5" t="s">
        <v>16</v>
      </c>
      <c r="F3565" s="17">
        <v>68.58</v>
      </c>
      <c r="G3565" s="3">
        <v>6</v>
      </c>
      <c r="H3565" s="17">
        <f>Table1[[#This Row],[Unit price]]*Table1[[#This Row],[Quantity]]</f>
        <v>411.48</v>
      </c>
      <c r="I3565" s="29">
        <f>Table1[[#This Row],[Total Revenue]]/$H$5056*100</f>
        <v>4.3656278000988459E-2</v>
      </c>
      <c r="J3565" s="3" t="s">
        <v>17</v>
      </c>
      <c r="K3565" s="4">
        <v>7.6</v>
      </c>
      <c r="M3565"/>
    </row>
    <row r="3566" spans="1:13" x14ac:dyDescent="0.25">
      <c r="A3566" s="2">
        <v>45422</v>
      </c>
      <c r="B3566" s="3" t="s">
        <v>243</v>
      </c>
      <c r="C3566" s="3" t="s">
        <v>9</v>
      </c>
      <c r="D3566" s="3" t="s">
        <v>10</v>
      </c>
      <c r="E3566" s="5" t="s">
        <v>11</v>
      </c>
      <c r="F3566" s="17">
        <v>13.76</v>
      </c>
      <c r="G3566" s="3">
        <v>1</v>
      </c>
      <c r="H3566" s="17">
        <f>Table1[[#This Row],[Unit price]]*Table1[[#This Row],[Quantity]]</f>
        <v>13.76</v>
      </c>
      <c r="I3566" s="29">
        <f>Table1[[#This Row],[Total Revenue]]/$H$5056*100</f>
        <v>1.4598774795703344E-3</v>
      </c>
      <c r="J3566" s="3" t="s">
        <v>17</v>
      </c>
      <c r="K3566" s="4">
        <v>7</v>
      </c>
      <c r="M3566"/>
    </row>
    <row r="3567" spans="1:13" x14ac:dyDescent="0.25">
      <c r="A3567" s="2">
        <v>45422</v>
      </c>
      <c r="B3567" s="3" t="s">
        <v>244</v>
      </c>
      <c r="C3567" s="3" t="s">
        <v>13</v>
      </c>
      <c r="D3567" s="3" t="s">
        <v>10</v>
      </c>
      <c r="E3567" s="5" t="s">
        <v>11</v>
      </c>
      <c r="F3567" s="17">
        <v>13.01</v>
      </c>
      <c r="G3567" s="3">
        <v>7</v>
      </c>
      <c r="H3567" s="17">
        <f>Table1[[#This Row],[Unit price]]*Table1[[#This Row],[Quantity]]</f>
        <v>91.07</v>
      </c>
      <c r="I3567" s="29">
        <f>Table1[[#This Row],[Total Revenue]]/$H$5056*100</f>
        <v>9.6621396849179038E-3</v>
      </c>
      <c r="J3567" s="3" t="s">
        <v>17</v>
      </c>
      <c r="K3567" s="4">
        <v>7.2</v>
      </c>
      <c r="M3567"/>
    </row>
    <row r="3568" spans="1:13" x14ac:dyDescent="0.25">
      <c r="A3568" s="2">
        <v>45422</v>
      </c>
      <c r="B3568" s="3" t="s">
        <v>245</v>
      </c>
      <c r="C3568" s="3" t="s">
        <v>9</v>
      </c>
      <c r="D3568" s="3" t="s">
        <v>10</v>
      </c>
      <c r="E3568" s="5" t="s">
        <v>11</v>
      </c>
      <c r="F3568" s="17">
        <v>2.31</v>
      </c>
      <c r="G3568" s="3">
        <v>1</v>
      </c>
      <c r="H3568" s="17">
        <f>Table1[[#This Row],[Unit price]]*Table1[[#This Row],[Quantity]]</f>
        <v>2.31</v>
      </c>
      <c r="I3568" s="29">
        <f>Table1[[#This Row],[Total Revenue]]/$H$5056*100</f>
        <v>2.4508117571275237E-4</v>
      </c>
      <c r="J3568" s="3" t="s">
        <v>12</v>
      </c>
      <c r="K3568" s="4">
        <v>7.6</v>
      </c>
      <c r="M3568"/>
    </row>
    <row r="3569" spans="1:13" x14ac:dyDescent="0.25">
      <c r="A3569" s="2">
        <v>45422</v>
      </c>
      <c r="B3569" s="3" t="s">
        <v>244</v>
      </c>
      <c r="C3569" s="3" t="s">
        <v>13</v>
      </c>
      <c r="D3569" s="3" t="s">
        <v>10</v>
      </c>
      <c r="E3569" s="5" t="s">
        <v>20</v>
      </c>
      <c r="F3569" s="17">
        <v>45.64</v>
      </c>
      <c r="G3569" s="3">
        <v>3</v>
      </c>
      <c r="H3569" s="17">
        <f>Table1[[#This Row],[Unit price]]*Table1[[#This Row],[Quantity]]</f>
        <v>136.92000000000002</v>
      </c>
      <c r="I3569" s="29">
        <f>Table1[[#This Row],[Total Revenue]]/$H$5056*100</f>
        <v>1.4526629687701322E-2</v>
      </c>
      <c r="J3569" s="3" t="s">
        <v>12</v>
      </c>
      <c r="K3569" s="4">
        <v>8.6999999999999993</v>
      </c>
      <c r="M3569"/>
    </row>
    <row r="3570" spans="1:13" x14ac:dyDescent="0.25">
      <c r="A3570" s="2">
        <v>45422</v>
      </c>
      <c r="B3570" s="3" t="s">
        <v>244</v>
      </c>
      <c r="C3570" s="3" t="s">
        <v>13</v>
      </c>
      <c r="D3570" s="3" t="s">
        <v>19</v>
      </c>
      <c r="E3570" s="5" t="s">
        <v>16</v>
      </c>
      <c r="F3570" s="17">
        <v>56</v>
      </c>
      <c r="G3570" s="3">
        <v>3</v>
      </c>
      <c r="H3570" s="17">
        <f>Table1[[#This Row],[Unit price]]*Table1[[#This Row],[Quantity]]</f>
        <v>168</v>
      </c>
      <c r="I3570" s="29">
        <f>Table1[[#This Row],[Total Revenue]]/$H$5056*100</f>
        <v>1.7824085506381988E-2</v>
      </c>
      <c r="J3570" s="3" t="s">
        <v>15</v>
      </c>
      <c r="K3570" s="4">
        <v>3.6</v>
      </c>
      <c r="M3570"/>
    </row>
    <row r="3571" spans="1:13" x14ac:dyDescent="0.25">
      <c r="A3571" s="2">
        <v>45422</v>
      </c>
      <c r="B3571" s="3" t="s">
        <v>245</v>
      </c>
      <c r="C3571" s="3" t="s">
        <v>13</v>
      </c>
      <c r="D3571" s="3" t="s">
        <v>10</v>
      </c>
      <c r="E3571" s="5" t="s">
        <v>11</v>
      </c>
      <c r="F3571" s="17">
        <v>4.8899999999999997</v>
      </c>
      <c r="G3571" s="3">
        <v>4</v>
      </c>
      <c r="H3571" s="17">
        <f>Table1[[#This Row],[Unit price]]*Table1[[#This Row],[Quantity]]</f>
        <v>19.559999999999999</v>
      </c>
      <c r="I3571" s="29">
        <f>Table1[[#This Row],[Total Revenue]]/$H$5056*100</f>
        <v>2.0752328125287598E-3</v>
      </c>
      <c r="J3571" s="3" t="s">
        <v>12</v>
      </c>
      <c r="K3571" s="4">
        <v>8.1999999999999993</v>
      </c>
      <c r="M3571"/>
    </row>
    <row r="3572" spans="1:13" x14ac:dyDescent="0.25">
      <c r="A3572" s="2">
        <v>45422</v>
      </c>
      <c r="B3572" s="3" t="s">
        <v>245</v>
      </c>
      <c r="C3572" s="3" t="s">
        <v>9</v>
      </c>
      <c r="D3572" s="3" t="s">
        <v>10</v>
      </c>
      <c r="E3572" s="5" t="s">
        <v>18</v>
      </c>
      <c r="F3572" s="17">
        <v>22.24</v>
      </c>
      <c r="G3572" s="3">
        <v>4</v>
      </c>
      <c r="H3572" s="17">
        <f>Table1[[#This Row],[Unit price]]*Table1[[#This Row],[Quantity]]</f>
        <v>88.96</v>
      </c>
      <c r="I3572" s="29">
        <f>Table1[[#This Row],[Total Revenue]]/$H$5056*100</f>
        <v>9.4382776586175096E-3</v>
      </c>
      <c r="J3572" s="3" t="s">
        <v>15</v>
      </c>
      <c r="K3572" s="4">
        <v>4.7</v>
      </c>
      <c r="M3572"/>
    </row>
    <row r="3573" spans="1:13" x14ac:dyDescent="0.25">
      <c r="A3573" s="2">
        <v>45422</v>
      </c>
      <c r="B3573" s="3" t="s">
        <v>244</v>
      </c>
      <c r="C3573" s="3" t="s">
        <v>9</v>
      </c>
      <c r="D3573" s="3" t="s">
        <v>19</v>
      </c>
      <c r="E3573" s="5" t="s">
        <v>11</v>
      </c>
      <c r="F3573" s="17">
        <v>8.9499999999999993</v>
      </c>
      <c r="G3573" s="3">
        <v>1</v>
      </c>
      <c r="H3573" s="17">
        <f>Table1[[#This Row],[Unit price]]*Table1[[#This Row],[Quantity]]</f>
        <v>8.9499999999999993</v>
      </c>
      <c r="I3573" s="29">
        <f>Table1[[#This Row],[Total Revenue]]/$H$5056*100</f>
        <v>9.4955693620308798E-4</v>
      </c>
      <c r="J3573" s="3" t="s">
        <v>15</v>
      </c>
      <c r="K3573" s="4">
        <v>4.3</v>
      </c>
      <c r="M3573"/>
    </row>
    <row r="3574" spans="1:13" x14ac:dyDescent="0.25">
      <c r="A3574" s="2">
        <v>45422</v>
      </c>
      <c r="B3574" s="3" t="s">
        <v>245</v>
      </c>
      <c r="C3574" s="3" t="s">
        <v>13</v>
      </c>
      <c r="D3574" s="3" t="s">
        <v>10</v>
      </c>
      <c r="E3574" s="5" t="s">
        <v>20</v>
      </c>
      <c r="F3574" s="17">
        <v>42.96</v>
      </c>
      <c r="G3574" s="3">
        <v>8</v>
      </c>
      <c r="H3574" s="17">
        <f>Table1[[#This Row],[Unit price]]*Table1[[#This Row],[Quantity]]</f>
        <v>343.68</v>
      </c>
      <c r="I3574" s="29">
        <f>Table1[[#This Row],[Total Revenue]]/$H$5056*100</f>
        <v>3.6462986350198581E-2</v>
      </c>
      <c r="J3574" s="3" t="s">
        <v>12</v>
      </c>
      <c r="K3574" s="4">
        <v>6.9</v>
      </c>
      <c r="M3574"/>
    </row>
    <row r="3575" spans="1:13" x14ac:dyDescent="0.25">
      <c r="A3575" s="2">
        <v>45422</v>
      </c>
      <c r="B3575" s="3" t="s">
        <v>243</v>
      </c>
      <c r="C3575" s="3" t="s">
        <v>13</v>
      </c>
      <c r="D3575" s="3" t="s">
        <v>10</v>
      </c>
      <c r="E3575" s="5" t="s">
        <v>21</v>
      </c>
      <c r="F3575" s="17">
        <v>19.559999999999999</v>
      </c>
      <c r="G3575" s="3">
        <v>2</v>
      </c>
      <c r="H3575" s="17">
        <f>Table1[[#This Row],[Unit price]]*Table1[[#This Row],[Quantity]]</f>
        <v>39.119999999999997</v>
      </c>
      <c r="I3575" s="29">
        <f>Table1[[#This Row],[Total Revenue]]/$H$5056*100</f>
        <v>4.1504656250575195E-3</v>
      </c>
      <c r="J3575" s="3" t="s">
        <v>15</v>
      </c>
      <c r="K3575" s="4">
        <v>3.7</v>
      </c>
      <c r="M3575"/>
    </row>
    <row r="3576" spans="1:13" x14ac:dyDescent="0.25">
      <c r="A3576" s="2">
        <v>45422</v>
      </c>
      <c r="B3576" s="3" t="s">
        <v>243</v>
      </c>
      <c r="C3576" s="3" t="s">
        <v>9</v>
      </c>
      <c r="D3576" s="3" t="s">
        <v>10</v>
      </c>
      <c r="E3576" s="5" t="s">
        <v>11</v>
      </c>
      <c r="F3576" s="17">
        <v>10.53</v>
      </c>
      <c r="G3576" s="3">
        <v>7</v>
      </c>
      <c r="H3576" s="17">
        <f>Table1[[#This Row],[Unit price]]*Table1[[#This Row],[Quantity]]</f>
        <v>73.709999999999994</v>
      </c>
      <c r="I3576" s="29">
        <f>Table1[[#This Row],[Total Revenue]]/$H$5056*100</f>
        <v>7.8203175159250963E-3</v>
      </c>
      <c r="J3576" s="3" t="s">
        <v>17</v>
      </c>
      <c r="K3576" s="4">
        <v>9</v>
      </c>
      <c r="M3576"/>
    </row>
    <row r="3577" spans="1:13" x14ac:dyDescent="0.25">
      <c r="A3577" s="2">
        <v>45453</v>
      </c>
      <c r="B3577" s="3" t="s">
        <v>243</v>
      </c>
      <c r="C3577" s="3" t="s">
        <v>13</v>
      </c>
      <c r="D3577" s="3" t="s">
        <v>19</v>
      </c>
      <c r="E3577" s="5" t="s">
        <v>11</v>
      </c>
      <c r="F3577" s="17">
        <v>12.98</v>
      </c>
      <c r="G3577" s="3">
        <v>1</v>
      </c>
      <c r="H3577" s="17">
        <f>Table1[[#This Row],[Unit price]]*Table1[[#This Row],[Quantity]]</f>
        <v>12.98</v>
      </c>
      <c r="I3577" s="29">
        <f>Table1[[#This Row],[Total Revenue]]/$H$5056*100</f>
        <v>1.3771227968621324E-3</v>
      </c>
      <c r="J3577" s="3" t="s">
        <v>17</v>
      </c>
      <c r="K3577" s="4">
        <v>7.3</v>
      </c>
      <c r="M3577"/>
    </row>
    <row r="3578" spans="1:13" x14ac:dyDescent="0.25">
      <c r="A3578" s="2">
        <v>45453</v>
      </c>
      <c r="B3578" s="3" t="s">
        <v>245</v>
      </c>
      <c r="C3578" s="3" t="s">
        <v>13</v>
      </c>
      <c r="D3578" s="3" t="s">
        <v>19</v>
      </c>
      <c r="E3578" s="5" t="s">
        <v>20</v>
      </c>
      <c r="F3578" s="17">
        <v>44.32</v>
      </c>
      <c r="G3578" s="3">
        <v>4</v>
      </c>
      <c r="H3578" s="17">
        <f>Table1[[#This Row],[Unit price]]*Table1[[#This Row],[Quantity]]</f>
        <v>177.28</v>
      </c>
      <c r="I3578" s="29">
        <f>Table1[[#This Row],[Total Revenue]]/$H$5056*100</f>
        <v>1.8808654039115472E-2</v>
      </c>
      <c r="J3578" s="3" t="s">
        <v>12</v>
      </c>
      <c r="K3578" s="4">
        <v>7.9</v>
      </c>
      <c r="M3578"/>
    </row>
    <row r="3579" spans="1:13" x14ac:dyDescent="0.25">
      <c r="A3579" s="2">
        <v>45453</v>
      </c>
      <c r="B3579" s="3" t="s">
        <v>243</v>
      </c>
      <c r="C3579" s="3" t="s">
        <v>9</v>
      </c>
      <c r="D3579" s="3" t="s">
        <v>10</v>
      </c>
      <c r="E3579" s="5" t="s">
        <v>16</v>
      </c>
      <c r="F3579" s="17">
        <v>64.38</v>
      </c>
      <c r="G3579" s="3">
        <v>5</v>
      </c>
      <c r="H3579" s="17">
        <f>Table1[[#This Row],[Unit price]]*Table1[[#This Row],[Quantity]]</f>
        <v>321.89999999999998</v>
      </c>
      <c r="I3579" s="29">
        <f>Table1[[#This Row],[Total Revenue]]/$H$5056*100</f>
        <v>3.4152220979192634E-2</v>
      </c>
      <c r="J3579" s="3" t="s">
        <v>17</v>
      </c>
      <c r="K3579" s="4">
        <v>3.1</v>
      </c>
      <c r="M3579"/>
    </row>
    <row r="3580" spans="1:13" x14ac:dyDescent="0.25">
      <c r="A3580" s="2">
        <v>45453</v>
      </c>
      <c r="B3580" s="3" t="s">
        <v>243</v>
      </c>
      <c r="C3580" s="3" t="s">
        <v>9</v>
      </c>
      <c r="D3580" s="3" t="s">
        <v>10</v>
      </c>
      <c r="E3580" s="5" t="s">
        <v>18</v>
      </c>
      <c r="F3580" s="17">
        <v>24.95</v>
      </c>
      <c r="G3580" s="3">
        <v>1</v>
      </c>
      <c r="H3580" s="17">
        <f>Table1[[#This Row],[Unit price]]*Table1[[#This Row],[Quantity]]</f>
        <v>24.95</v>
      </c>
      <c r="I3580" s="29">
        <f>Table1[[#This Row],[Total Revenue]]/$H$5056*100</f>
        <v>2.6470888891918488E-3</v>
      </c>
      <c r="J3580" s="3" t="s">
        <v>12</v>
      </c>
      <c r="K3580" s="4">
        <v>7</v>
      </c>
      <c r="M3580"/>
    </row>
    <row r="3581" spans="1:13" x14ac:dyDescent="0.25">
      <c r="A3581" s="2">
        <v>45453</v>
      </c>
      <c r="B3581" s="3" t="s">
        <v>243</v>
      </c>
      <c r="C3581" s="3" t="s">
        <v>13</v>
      </c>
      <c r="D3581" s="3" t="s">
        <v>10</v>
      </c>
      <c r="E3581" s="5" t="s">
        <v>20</v>
      </c>
      <c r="F3581" s="17">
        <v>54.72</v>
      </c>
      <c r="G3581" s="3">
        <v>2</v>
      </c>
      <c r="H3581" s="17">
        <f>Table1[[#This Row],[Unit price]]*Table1[[#This Row],[Quantity]]</f>
        <v>109.44</v>
      </c>
      <c r="I3581" s="29">
        <f>Table1[[#This Row],[Total Revenue]]/$H$5056*100</f>
        <v>1.1611118558443125E-2</v>
      </c>
      <c r="J3581" s="3" t="s">
        <v>17</v>
      </c>
      <c r="K3581" s="4">
        <v>6.8</v>
      </c>
      <c r="M3581"/>
    </row>
    <row r="3582" spans="1:13" x14ac:dyDescent="0.25">
      <c r="A3582" s="2">
        <v>45453</v>
      </c>
      <c r="B3582" s="3" t="s">
        <v>243</v>
      </c>
      <c r="C3582" s="3" t="s">
        <v>13</v>
      </c>
      <c r="D3582" s="3" t="s">
        <v>19</v>
      </c>
      <c r="E3582" s="5" t="s">
        <v>20</v>
      </c>
      <c r="F3582" s="17">
        <v>46.95</v>
      </c>
      <c r="G3582" s="3">
        <v>2</v>
      </c>
      <c r="H3582" s="17">
        <f>Table1[[#This Row],[Unit price]]*Table1[[#This Row],[Quantity]]</f>
        <v>93.9</v>
      </c>
      <c r="I3582" s="29">
        <f>Table1[[#This Row],[Total Revenue]]/$H$5056*100</f>
        <v>9.9623906491027904E-3</v>
      </c>
      <c r="J3582" s="3" t="s">
        <v>17</v>
      </c>
      <c r="K3582" s="4">
        <v>4.0999999999999996</v>
      </c>
      <c r="M3582"/>
    </row>
    <row r="3583" spans="1:13" x14ac:dyDescent="0.25">
      <c r="A3583" s="2">
        <v>45453</v>
      </c>
      <c r="B3583" s="3" t="s">
        <v>244</v>
      </c>
      <c r="C3583" s="3" t="s">
        <v>9</v>
      </c>
      <c r="D3583" s="3" t="s">
        <v>10</v>
      </c>
      <c r="E3583" s="5" t="s">
        <v>21</v>
      </c>
      <c r="F3583" s="17">
        <v>28.14</v>
      </c>
      <c r="G3583" s="3">
        <v>10</v>
      </c>
      <c r="H3583" s="17">
        <f>Table1[[#This Row],[Unit price]]*Table1[[#This Row],[Quantity]]</f>
        <v>281.39999999999998</v>
      </c>
      <c r="I3583" s="29">
        <f>Table1[[#This Row],[Total Revenue]]/$H$5056*100</f>
        <v>2.9855343223189827E-2</v>
      </c>
      <c r="J3583" s="3" t="s">
        <v>12</v>
      </c>
      <c r="K3583" s="4">
        <v>4</v>
      </c>
      <c r="M3583"/>
    </row>
    <row r="3584" spans="1:13" x14ac:dyDescent="0.25">
      <c r="A3584" s="2">
        <v>45453</v>
      </c>
      <c r="B3584" s="3" t="s">
        <v>245</v>
      </c>
      <c r="C3584" s="3" t="s">
        <v>9</v>
      </c>
      <c r="D3584" s="3" t="s">
        <v>10</v>
      </c>
      <c r="E3584" s="5" t="s">
        <v>21</v>
      </c>
      <c r="F3584" s="17">
        <v>37.57</v>
      </c>
      <c r="G3584" s="3">
        <v>8</v>
      </c>
      <c r="H3584" s="17">
        <f>Table1[[#This Row],[Unit price]]*Table1[[#This Row],[Quantity]]</f>
        <v>300.56</v>
      </c>
      <c r="I3584" s="29">
        <f>Table1[[#This Row],[Total Revenue]]/$H$5056*100</f>
        <v>3.1888137736893876E-2</v>
      </c>
      <c r="J3584" s="3" t="s">
        <v>15</v>
      </c>
      <c r="K3584" s="4">
        <v>7.7</v>
      </c>
      <c r="M3584"/>
    </row>
    <row r="3585" spans="1:13" x14ac:dyDescent="0.25">
      <c r="A3585" s="2">
        <v>45453</v>
      </c>
      <c r="B3585" s="3" t="s">
        <v>244</v>
      </c>
      <c r="C3585" s="3" t="s">
        <v>9</v>
      </c>
      <c r="D3585" s="3" t="s">
        <v>19</v>
      </c>
      <c r="E3585" s="5" t="s">
        <v>11</v>
      </c>
      <c r="F3585" s="17">
        <v>11.27</v>
      </c>
      <c r="G3585" s="3">
        <v>1</v>
      </c>
      <c r="H3585" s="17">
        <f>Table1[[#This Row],[Unit price]]*Table1[[#This Row],[Quantity]]</f>
        <v>11.27</v>
      </c>
      <c r="I3585" s="29">
        <f>Table1[[#This Row],[Total Revenue]]/$H$5056*100</f>
        <v>1.1956990693864585E-3</v>
      </c>
      <c r="J3585" s="3" t="s">
        <v>15</v>
      </c>
      <c r="K3585" s="4">
        <v>5.2</v>
      </c>
      <c r="M3585"/>
    </row>
    <row r="3586" spans="1:13" x14ac:dyDescent="0.25">
      <c r="A3586" s="2">
        <v>45453</v>
      </c>
      <c r="B3586" s="3" t="s">
        <v>245</v>
      </c>
      <c r="C3586" s="3" t="s">
        <v>13</v>
      </c>
      <c r="D3586" s="3" t="s">
        <v>19</v>
      </c>
      <c r="E3586" s="5" t="s">
        <v>16</v>
      </c>
      <c r="F3586" s="17">
        <v>55.02</v>
      </c>
      <c r="G3586" s="3">
        <v>4</v>
      </c>
      <c r="H3586" s="17">
        <f>Table1[[#This Row],[Unit price]]*Table1[[#This Row],[Quantity]]</f>
        <v>220.08</v>
      </c>
      <c r="I3586" s="29">
        <f>Table1[[#This Row],[Total Revenue]]/$H$5056*100</f>
        <v>2.3349552013360406E-2</v>
      </c>
      <c r="J3586" s="3" t="s">
        <v>12</v>
      </c>
      <c r="K3586" s="4">
        <v>7.7</v>
      </c>
      <c r="M3586"/>
    </row>
    <row r="3587" spans="1:13" x14ac:dyDescent="0.25">
      <c r="A3587" s="2">
        <v>45453</v>
      </c>
      <c r="B3587" s="3" t="s">
        <v>243</v>
      </c>
      <c r="C3587" s="3" t="s">
        <v>13</v>
      </c>
      <c r="D3587" s="3" t="s">
        <v>19</v>
      </c>
      <c r="E3587" s="5" t="s">
        <v>20</v>
      </c>
      <c r="F3587" s="17">
        <v>63.16</v>
      </c>
      <c r="G3587" s="3">
        <v>5</v>
      </c>
      <c r="H3587" s="17">
        <f>Table1[[#This Row],[Unit price]]*Table1[[#This Row],[Quantity]]</f>
        <v>315.79999999999995</v>
      </c>
      <c r="I3587" s="29">
        <f>Table1[[#This Row],[Total Revenue]]/$H$5056*100</f>
        <v>3.3505036922115664E-2</v>
      </c>
      <c r="J3587" s="3" t="s">
        <v>12</v>
      </c>
      <c r="K3587" s="4">
        <v>6.8</v>
      </c>
      <c r="M3587"/>
    </row>
    <row r="3588" spans="1:13" x14ac:dyDescent="0.25">
      <c r="A3588" s="2">
        <v>45483</v>
      </c>
      <c r="B3588" s="3" t="s">
        <v>244</v>
      </c>
      <c r="C3588" s="3" t="s">
        <v>13</v>
      </c>
      <c r="D3588" s="3" t="s">
        <v>10</v>
      </c>
      <c r="E3588" s="5" t="s">
        <v>18</v>
      </c>
      <c r="F3588" s="17">
        <v>17.77</v>
      </c>
      <c r="G3588" s="3">
        <v>8</v>
      </c>
      <c r="H3588" s="17">
        <f>Table1[[#This Row],[Unit price]]*Table1[[#This Row],[Quantity]]</f>
        <v>142.16</v>
      </c>
      <c r="I3588" s="29">
        <f>Table1[[#This Row],[Total Revenue]]/$H$5056*100</f>
        <v>1.508257140230514E-2</v>
      </c>
      <c r="J3588" s="3" t="s">
        <v>12</v>
      </c>
      <c r="K3588" s="4">
        <v>5.6</v>
      </c>
      <c r="M3588"/>
    </row>
    <row r="3589" spans="1:13" x14ac:dyDescent="0.25">
      <c r="A3589" s="2">
        <v>45483</v>
      </c>
      <c r="B3589" s="3" t="s">
        <v>243</v>
      </c>
      <c r="C3589" s="3" t="s">
        <v>13</v>
      </c>
      <c r="D3589" s="3" t="s">
        <v>19</v>
      </c>
      <c r="E3589" s="5" t="s">
        <v>11</v>
      </c>
      <c r="F3589" s="17">
        <v>7.58</v>
      </c>
      <c r="G3589" s="3">
        <v>8</v>
      </c>
      <c r="H3589" s="17">
        <f>Table1[[#This Row],[Unit price]]*Table1[[#This Row],[Quantity]]</f>
        <v>60.64</v>
      </c>
      <c r="I3589" s="29">
        <f>Table1[[#This Row],[Total Revenue]]/$H$5056*100</f>
        <v>6.4336461018274045E-3</v>
      </c>
      <c r="J3589" s="3" t="s">
        <v>12</v>
      </c>
      <c r="K3589" s="4">
        <v>9.3000000000000007</v>
      </c>
      <c r="M3589"/>
    </row>
    <row r="3590" spans="1:13" x14ac:dyDescent="0.25">
      <c r="A3590" s="2">
        <v>45483</v>
      </c>
      <c r="B3590" s="3" t="s">
        <v>243</v>
      </c>
      <c r="C3590" s="3" t="s">
        <v>13</v>
      </c>
      <c r="D3590" s="3" t="s">
        <v>10</v>
      </c>
      <c r="E3590" s="5" t="s">
        <v>11</v>
      </c>
      <c r="F3590" s="17">
        <v>11.28</v>
      </c>
      <c r="G3590" s="3">
        <v>9</v>
      </c>
      <c r="H3590" s="17">
        <f>Table1[[#This Row],[Unit price]]*Table1[[#This Row],[Quantity]]</f>
        <v>101.52</v>
      </c>
      <c r="I3590" s="29">
        <f>Table1[[#This Row],[Total Revenue]]/$H$5056*100</f>
        <v>1.0770840241713688E-2</v>
      </c>
      <c r="J3590" s="3" t="s">
        <v>17</v>
      </c>
      <c r="K3590" s="4">
        <v>8.6999999999999993</v>
      </c>
      <c r="M3590"/>
    </row>
    <row r="3591" spans="1:13" x14ac:dyDescent="0.25">
      <c r="A3591" s="2">
        <v>45483</v>
      </c>
      <c r="B3591" s="3" t="s">
        <v>245</v>
      </c>
      <c r="C3591" s="3" t="s">
        <v>13</v>
      </c>
      <c r="D3591" s="3" t="s">
        <v>10</v>
      </c>
      <c r="E3591" s="5" t="s">
        <v>14</v>
      </c>
      <c r="F3591" s="17">
        <v>89.02</v>
      </c>
      <c r="G3591" s="3">
        <v>1</v>
      </c>
      <c r="H3591" s="17">
        <f>Table1[[#This Row],[Unit price]]*Table1[[#This Row],[Quantity]]</f>
        <v>89.02</v>
      </c>
      <c r="I3591" s="29">
        <f>Table1[[#This Row],[Total Revenue]]/$H$5056*100</f>
        <v>9.4446434034412188E-3</v>
      </c>
      <c r="J3591" s="3" t="s">
        <v>15</v>
      </c>
      <c r="K3591" s="4">
        <v>5.4</v>
      </c>
      <c r="M3591"/>
    </row>
    <row r="3592" spans="1:13" x14ac:dyDescent="0.25">
      <c r="A3592" s="2">
        <v>45483</v>
      </c>
      <c r="B3592" s="3" t="s">
        <v>245</v>
      </c>
      <c r="C3592" s="3" t="s">
        <v>13</v>
      </c>
      <c r="D3592" s="3" t="s">
        <v>10</v>
      </c>
      <c r="E3592" s="5" t="s">
        <v>20</v>
      </c>
      <c r="F3592" s="17">
        <v>46.07</v>
      </c>
      <c r="G3592" s="3">
        <v>1</v>
      </c>
      <c r="H3592" s="17">
        <f>Table1[[#This Row],[Unit price]]*Table1[[#This Row],[Quantity]]</f>
        <v>46.07</v>
      </c>
      <c r="I3592" s="29">
        <f>Table1[[#This Row],[Total Revenue]]/$H$5056*100</f>
        <v>4.8878310671370134E-3</v>
      </c>
      <c r="J3592" s="3" t="s">
        <v>12</v>
      </c>
      <c r="K3592" s="4">
        <v>3.3</v>
      </c>
      <c r="M3592"/>
    </row>
    <row r="3593" spans="1:13" x14ac:dyDescent="0.25">
      <c r="A3593" s="2">
        <v>45483</v>
      </c>
      <c r="B3593" s="3" t="s">
        <v>245</v>
      </c>
      <c r="C3593" s="3" t="s">
        <v>13</v>
      </c>
      <c r="D3593" s="3" t="s">
        <v>10</v>
      </c>
      <c r="E3593" s="5" t="s">
        <v>20</v>
      </c>
      <c r="F3593" s="17">
        <v>43.75</v>
      </c>
      <c r="G3593" s="3">
        <v>2</v>
      </c>
      <c r="H3593" s="17">
        <f>Table1[[#This Row],[Unit price]]*Table1[[#This Row],[Quantity]]</f>
        <v>87.5</v>
      </c>
      <c r="I3593" s="29">
        <f>Table1[[#This Row],[Total Revenue]]/$H$5056*100</f>
        <v>9.2833778679072866E-3</v>
      </c>
      <c r="J3593" s="3" t="s">
        <v>12</v>
      </c>
      <c r="K3593" s="4">
        <v>5.0999999999999996</v>
      </c>
      <c r="M3593"/>
    </row>
    <row r="3594" spans="1:13" x14ac:dyDescent="0.25">
      <c r="A3594" s="2">
        <v>45483</v>
      </c>
      <c r="B3594" s="3" t="s">
        <v>244</v>
      </c>
      <c r="C3594" s="3" t="s">
        <v>13</v>
      </c>
      <c r="D3594" s="3" t="s">
        <v>19</v>
      </c>
      <c r="E3594" s="5" t="s">
        <v>18</v>
      </c>
      <c r="F3594" s="17">
        <v>7.36</v>
      </c>
      <c r="G3594" s="3">
        <v>9</v>
      </c>
      <c r="H3594" s="17">
        <f>Table1[[#This Row],[Unit price]]*Table1[[#This Row],[Quantity]]</f>
        <v>66.240000000000009</v>
      </c>
      <c r="I3594" s="29">
        <f>Table1[[#This Row],[Total Revenue]]/$H$5056*100</f>
        <v>7.0277822853734712E-3</v>
      </c>
      <c r="J3594" s="3" t="s">
        <v>12</v>
      </c>
      <c r="K3594" s="4">
        <v>5.7</v>
      </c>
      <c r="M3594"/>
    </row>
    <row r="3595" spans="1:13" x14ac:dyDescent="0.25">
      <c r="A3595" s="2">
        <v>45483</v>
      </c>
      <c r="B3595" s="3" t="s">
        <v>244</v>
      </c>
      <c r="C3595" s="3" t="s">
        <v>9</v>
      </c>
      <c r="D3595" s="3" t="s">
        <v>10</v>
      </c>
      <c r="E3595" s="5" t="s">
        <v>18</v>
      </c>
      <c r="F3595" s="17">
        <v>6.28</v>
      </c>
      <c r="G3595" s="3">
        <v>7</v>
      </c>
      <c r="H3595" s="17">
        <f>Table1[[#This Row],[Unit price]]*Table1[[#This Row],[Quantity]]</f>
        <v>43.96</v>
      </c>
      <c r="I3595" s="29">
        <f>Table1[[#This Row],[Total Revenue]]/$H$5056*100</f>
        <v>4.6639690408366201E-3</v>
      </c>
      <c r="J3595" s="3" t="s">
        <v>17</v>
      </c>
      <c r="K3595" s="4">
        <v>7.8</v>
      </c>
      <c r="M3595"/>
    </row>
    <row r="3596" spans="1:13" x14ac:dyDescent="0.25">
      <c r="A3596" s="2">
        <v>45483</v>
      </c>
      <c r="B3596" s="3" t="s">
        <v>243</v>
      </c>
      <c r="C3596" s="3" t="s">
        <v>9</v>
      </c>
      <c r="D3596" s="3" t="s">
        <v>10</v>
      </c>
      <c r="E3596" s="5" t="s">
        <v>11</v>
      </c>
      <c r="F3596" s="17">
        <v>2.95</v>
      </c>
      <c r="G3596" s="3">
        <v>5</v>
      </c>
      <c r="H3596" s="17">
        <f>Table1[[#This Row],[Unit price]]*Table1[[#This Row],[Quantity]]</f>
        <v>14.75</v>
      </c>
      <c r="I3596" s="29">
        <f>Table1[[#This Row],[Total Revenue]]/$H$5056*100</f>
        <v>1.5649122691615139E-3</v>
      </c>
      <c r="J3596" s="3" t="s">
        <v>15</v>
      </c>
      <c r="K3596" s="4">
        <v>9.8000000000000007</v>
      </c>
      <c r="M3596"/>
    </row>
    <row r="3597" spans="1:13" x14ac:dyDescent="0.25">
      <c r="A3597" s="2">
        <v>45514</v>
      </c>
      <c r="B3597" s="3" t="s">
        <v>244</v>
      </c>
      <c r="C3597" s="3" t="s">
        <v>13</v>
      </c>
      <c r="D3597" s="3" t="s">
        <v>19</v>
      </c>
      <c r="E3597" s="5" t="s">
        <v>11</v>
      </c>
      <c r="F3597" s="17">
        <v>4.2699999999999996</v>
      </c>
      <c r="G3597" s="3">
        <v>8</v>
      </c>
      <c r="H3597" s="17">
        <f>Table1[[#This Row],[Unit price]]*Table1[[#This Row],[Quantity]]</f>
        <v>34.159999999999997</v>
      </c>
      <c r="I3597" s="29">
        <f>Table1[[#This Row],[Total Revenue]]/$H$5056*100</f>
        <v>3.6242307196310041E-3</v>
      </c>
      <c r="J3597" s="3" t="s">
        <v>17</v>
      </c>
      <c r="K3597" s="4">
        <v>5.4</v>
      </c>
      <c r="M3597"/>
    </row>
    <row r="3598" spans="1:13" x14ac:dyDescent="0.25">
      <c r="A3598" s="2">
        <v>45514</v>
      </c>
      <c r="B3598" s="3" t="s">
        <v>244</v>
      </c>
      <c r="C3598" s="3" t="s">
        <v>9</v>
      </c>
      <c r="D3598" s="3" t="s">
        <v>19</v>
      </c>
      <c r="E3598" s="5" t="s">
        <v>21</v>
      </c>
      <c r="F3598" s="17">
        <v>26.18</v>
      </c>
      <c r="G3598" s="3">
        <v>5</v>
      </c>
      <c r="H3598" s="17">
        <f>Table1[[#This Row],[Unit price]]*Table1[[#This Row],[Quantity]]</f>
        <v>130.9</v>
      </c>
      <c r="I3598" s="29">
        <f>Table1[[#This Row],[Total Revenue]]/$H$5056*100</f>
        <v>1.3887933290389299E-2</v>
      </c>
      <c r="J3598" s="3" t="s">
        <v>17</v>
      </c>
      <c r="K3598" s="4">
        <v>8.1999999999999993</v>
      </c>
      <c r="M3598"/>
    </row>
    <row r="3599" spans="1:13" x14ac:dyDescent="0.25">
      <c r="A3599" s="2">
        <v>45514</v>
      </c>
      <c r="B3599" s="3" t="s">
        <v>245</v>
      </c>
      <c r="C3599" s="3" t="s">
        <v>9</v>
      </c>
      <c r="D3599" s="3" t="s">
        <v>10</v>
      </c>
      <c r="E3599" s="5" t="s">
        <v>21</v>
      </c>
      <c r="F3599" s="17">
        <v>35.83</v>
      </c>
      <c r="G3599" s="3">
        <v>6</v>
      </c>
      <c r="H3599" s="17">
        <f>Table1[[#This Row],[Unit price]]*Table1[[#This Row],[Quantity]]</f>
        <v>214.98</v>
      </c>
      <c r="I3599" s="29">
        <f>Table1[[#This Row],[Total Revenue]]/$H$5056*100</f>
        <v>2.2808463703345237E-2</v>
      </c>
      <c r="J3599" s="3" t="s">
        <v>12</v>
      </c>
      <c r="K3599" s="4">
        <v>7</v>
      </c>
      <c r="M3599"/>
    </row>
    <row r="3600" spans="1:13" x14ac:dyDescent="0.25">
      <c r="A3600" s="2">
        <v>45514</v>
      </c>
      <c r="B3600" s="3" t="s">
        <v>243</v>
      </c>
      <c r="C3600" s="3" t="s">
        <v>13</v>
      </c>
      <c r="D3600" s="3" t="s">
        <v>19</v>
      </c>
      <c r="E3600" s="5" t="s">
        <v>11</v>
      </c>
      <c r="F3600" s="17">
        <v>7.78</v>
      </c>
      <c r="G3600" s="3">
        <v>5</v>
      </c>
      <c r="H3600" s="17">
        <f>Table1[[#This Row],[Unit price]]*Table1[[#This Row],[Quantity]]</f>
        <v>38.9</v>
      </c>
      <c r="I3600" s="29">
        <f>Table1[[#This Row],[Total Revenue]]/$H$5056*100</f>
        <v>4.1271245607039245E-3</v>
      </c>
      <c r="J3600" s="3" t="s">
        <v>12</v>
      </c>
      <c r="K3600" s="4">
        <v>7.7</v>
      </c>
      <c r="M3600"/>
    </row>
    <row r="3601" spans="1:13" x14ac:dyDescent="0.25">
      <c r="A3601" s="2">
        <v>45514</v>
      </c>
      <c r="B3601" s="3" t="s">
        <v>243</v>
      </c>
      <c r="C3601" s="3" t="s">
        <v>13</v>
      </c>
      <c r="D3601" s="3" t="s">
        <v>19</v>
      </c>
      <c r="E3601" s="5" t="s">
        <v>11</v>
      </c>
      <c r="F3601" s="17">
        <v>6.16</v>
      </c>
      <c r="G3601" s="3">
        <v>1</v>
      </c>
      <c r="H3601" s="17">
        <f>Table1[[#This Row],[Unit price]]*Table1[[#This Row],[Quantity]]</f>
        <v>6.16</v>
      </c>
      <c r="I3601" s="29">
        <f>Table1[[#This Row],[Total Revenue]]/$H$5056*100</f>
        <v>6.5354980190067294E-4</v>
      </c>
      <c r="J3601" s="3" t="s">
        <v>12</v>
      </c>
      <c r="K3601" s="4">
        <v>4</v>
      </c>
      <c r="M3601"/>
    </row>
    <row r="3602" spans="1:13" x14ac:dyDescent="0.25">
      <c r="A3602" s="2">
        <v>45514</v>
      </c>
      <c r="B3602" s="3" t="s">
        <v>244</v>
      </c>
      <c r="C3602" s="3" t="s">
        <v>13</v>
      </c>
      <c r="D3602" s="3" t="s">
        <v>10</v>
      </c>
      <c r="E3602" s="5" t="s">
        <v>16</v>
      </c>
      <c r="F3602" s="17">
        <v>56.24</v>
      </c>
      <c r="G3602" s="3">
        <v>5</v>
      </c>
      <c r="H3602" s="17">
        <f>Table1[[#This Row],[Unit price]]*Table1[[#This Row],[Quantity]]</f>
        <v>281.2</v>
      </c>
      <c r="I3602" s="29">
        <f>Table1[[#This Row],[Total Revenue]]/$H$5056*100</f>
        <v>2.983412407377747E-2</v>
      </c>
      <c r="J3602" s="3" t="s">
        <v>17</v>
      </c>
      <c r="K3602" s="4">
        <v>5.7</v>
      </c>
      <c r="M3602"/>
    </row>
    <row r="3603" spans="1:13" x14ac:dyDescent="0.25">
      <c r="A3603" s="2">
        <v>45514</v>
      </c>
      <c r="B3603" s="3" t="s">
        <v>245</v>
      </c>
      <c r="C3603" s="3" t="s">
        <v>13</v>
      </c>
      <c r="D3603" s="3" t="s">
        <v>10</v>
      </c>
      <c r="E3603" s="5" t="s">
        <v>11</v>
      </c>
      <c r="F3603" s="17">
        <v>8.0299999999999994</v>
      </c>
      <c r="G3603" s="3">
        <v>8</v>
      </c>
      <c r="H3603" s="17">
        <f>Table1[[#This Row],[Unit price]]*Table1[[#This Row],[Quantity]]</f>
        <v>64.239999999999995</v>
      </c>
      <c r="I3603" s="29">
        <f>Table1[[#This Row],[Total Revenue]]/$H$5056*100</f>
        <v>6.8155907912498754E-3</v>
      </c>
      <c r="J3603" s="3" t="s">
        <v>17</v>
      </c>
      <c r="K3603" s="4">
        <v>4.5999999999999996</v>
      </c>
      <c r="M3603"/>
    </row>
    <row r="3604" spans="1:13" x14ac:dyDescent="0.25">
      <c r="A3604" s="2">
        <v>45514</v>
      </c>
      <c r="B3604" s="3" t="s">
        <v>244</v>
      </c>
      <c r="C3604" s="3" t="s">
        <v>13</v>
      </c>
      <c r="D3604" s="3" t="s">
        <v>10</v>
      </c>
      <c r="E3604" s="5" t="s">
        <v>11</v>
      </c>
      <c r="F3604" s="17">
        <v>11.36</v>
      </c>
      <c r="G3604" s="3">
        <v>2</v>
      </c>
      <c r="H3604" s="17">
        <f>Table1[[#This Row],[Unit price]]*Table1[[#This Row],[Quantity]]</f>
        <v>22.72</v>
      </c>
      <c r="I3604" s="29">
        <f>Table1[[#This Row],[Total Revenue]]/$H$5056*100</f>
        <v>2.4104953732440402E-3</v>
      </c>
      <c r="J3604" s="3" t="s">
        <v>17</v>
      </c>
      <c r="K3604" s="4">
        <v>5.3</v>
      </c>
      <c r="M3604"/>
    </row>
    <row r="3605" spans="1:13" x14ac:dyDescent="0.25">
      <c r="A3605" s="2">
        <v>45514</v>
      </c>
      <c r="B3605" s="3" t="s">
        <v>243</v>
      </c>
      <c r="C3605" s="3" t="s">
        <v>9</v>
      </c>
      <c r="D3605" s="3" t="s">
        <v>19</v>
      </c>
      <c r="E3605" s="5" t="s">
        <v>20</v>
      </c>
      <c r="F3605" s="17">
        <v>49.66</v>
      </c>
      <c r="G3605" s="3">
        <v>1</v>
      </c>
      <c r="H3605" s="17">
        <f>Table1[[#This Row],[Unit price]]*Table1[[#This Row],[Quantity]]</f>
        <v>49.66</v>
      </c>
      <c r="I3605" s="29">
        <f>Table1[[#This Row],[Total Revenue]]/$H$5056*100</f>
        <v>5.2687147990888661E-3</v>
      </c>
      <c r="J3605" s="3" t="s">
        <v>15</v>
      </c>
      <c r="K3605" s="4">
        <v>6.5</v>
      </c>
      <c r="M3605"/>
    </row>
    <row r="3606" spans="1:13" x14ac:dyDescent="0.25">
      <c r="A3606" s="2">
        <v>45514</v>
      </c>
      <c r="B3606" s="3" t="s">
        <v>245</v>
      </c>
      <c r="C3606" s="3" t="s">
        <v>13</v>
      </c>
      <c r="D3606" s="3" t="s">
        <v>10</v>
      </c>
      <c r="E3606" s="5" t="s">
        <v>21</v>
      </c>
      <c r="F3606" s="17">
        <v>27.73</v>
      </c>
      <c r="G3606" s="3">
        <v>5</v>
      </c>
      <c r="H3606" s="17">
        <f>Table1[[#This Row],[Unit price]]*Table1[[#This Row],[Quantity]]</f>
        <v>138.65</v>
      </c>
      <c r="I3606" s="29">
        <f>Table1[[#This Row],[Total Revenue]]/$H$5056*100</f>
        <v>1.4710175330118232E-2</v>
      </c>
      <c r="J3606" s="3" t="s">
        <v>15</v>
      </c>
      <c r="K3606" s="4">
        <v>7.5</v>
      </c>
      <c r="M3606"/>
    </row>
    <row r="3607" spans="1:13" x14ac:dyDescent="0.25">
      <c r="A3607" s="2">
        <v>45514</v>
      </c>
      <c r="B3607" s="3" t="s">
        <v>243</v>
      </c>
      <c r="C3607" s="3" t="s">
        <v>13</v>
      </c>
      <c r="D3607" s="3" t="s">
        <v>19</v>
      </c>
      <c r="E3607" s="5" t="s">
        <v>20</v>
      </c>
      <c r="F3607" s="17">
        <v>67.239999999999995</v>
      </c>
      <c r="G3607" s="3">
        <v>9</v>
      </c>
      <c r="H3607" s="17">
        <f>Table1[[#This Row],[Unit price]]*Table1[[#This Row],[Quantity]]</f>
        <v>605.16</v>
      </c>
      <c r="I3607" s="29">
        <f>Table1[[#This Row],[Total Revenue]]/$H$5056*100</f>
        <v>6.4204902291917401E-2</v>
      </c>
      <c r="J3607" s="3" t="s">
        <v>15</v>
      </c>
      <c r="K3607" s="4">
        <v>3.7</v>
      </c>
      <c r="M3607"/>
    </row>
    <row r="3608" spans="1:13" x14ac:dyDescent="0.25">
      <c r="A3608" s="2">
        <v>45514</v>
      </c>
      <c r="B3608" s="3" t="s">
        <v>244</v>
      </c>
      <c r="C3608" s="3" t="s">
        <v>9</v>
      </c>
      <c r="D3608" s="3" t="s">
        <v>19</v>
      </c>
      <c r="E3608" s="5" t="s">
        <v>21</v>
      </c>
      <c r="F3608" s="17">
        <v>30.82</v>
      </c>
      <c r="G3608" s="3">
        <v>10</v>
      </c>
      <c r="H3608" s="17">
        <f>Table1[[#This Row],[Unit price]]*Table1[[#This Row],[Quantity]]</f>
        <v>308.2</v>
      </c>
      <c r="I3608" s="29">
        <f>Table1[[#This Row],[Total Revenue]]/$H$5056*100</f>
        <v>3.2698709244446005E-2</v>
      </c>
      <c r="J3608" s="3" t="s">
        <v>15</v>
      </c>
      <c r="K3608" s="4">
        <v>3.9</v>
      </c>
      <c r="M3608"/>
    </row>
    <row r="3609" spans="1:13" x14ac:dyDescent="0.25">
      <c r="A3609" s="2">
        <v>45514</v>
      </c>
      <c r="B3609" s="3" t="s">
        <v>243</v>
      </c>
      <c r="C3609" s="3" t="s">
        <v>13</v>
      </c>
      <c r="D3609" s="3" t="s">
        <v>19</v>
      </c>
      <c r="E3609" s="5" t="s">
        <v>14</v>
      </c>
      <c r="F3609" s="17">
        <v>95.13</v>
      </c>
      <c r="G3609" s="3">
        <v>10</v>
      </c>
      <c r="H3609" s="17">
        <f>Table1[[#This Row],[Unit price]]*Table1[[#This Row],[Quantity]]</f>
        <v>951.3</v>
      </c>
      <c r="I3609" s="29">
        <f>Table1[[#This Row],[Total Revenue]]/$H$5056*100</f>
        <v>0.100928884179888</v>
      </c>
      <c r="J3609" s="3" t="s">
        <v>15</v>
      </c>
      <c r="K3609" s="4">
        <v>5.2</v>
      </c>
      <c r="M3609"/>
    </row>
    <row r="3610" spans="1:13" x14ac:dyDescent="0.25">
      <c r="A3610" s="2">
        <v>45514</v>
      </c>
      <c r="B3610" s="3" t="s">
        <v>243</v>
      </c>
      <c r="C3610" s="3" t="s">
        <v>13</v>
      </c>
      <c r="D3610" s="3" t="s">
        <v>19</v>
      </c>
      <c r="E3610" s="5" t="s">
        <v>16</v>
      </c>
      <c r="F3610" s="17">
        <v>58.9</v>
      </c>
      <c r="G3610" s="3">
        <v>5</v>
      </c>
      <c r="H3610" s="17">
        <f>Table1[[#This Row],[Unit price]]*Table1[[#This Row],[Quantity]]</f>
        <v>294.5</v>
      </c>
      <c r="I3610" s="29">
        <f>Table1[[#This Row],[Total Revenue]]/$H$5056*100</f>
        <v>3.1245197509699382E-2</v>
      </c>
      <c r="J3610" s="3" t="s">
        <v>17</v>
      </c>
      <c r="K3610" s="4">
        <v>7.5</v>
      </c>
      <c r="M3610"/>
    </row>
    <row r="3611" spans="1:13" x14ac:dyDescent="0.25">
      <c r="A3611" s="2">
        <v>45514</v>
      </c>
      <c r="B3611" s="3" t="s">
        <v>244</v>
      </c>
      <c r="C3611" s="3" t="s">
        <v>13</v>
      </c>
      <c r="D3611" s="3" t="s">
        <v>19</v>
      </c>
      <c r="E3611" s="5" t="s">
        <v>18</v>
      </c>
      <c r="F3611" s="17">
        <v>17.22</v>
      </c>
      <c r="G3611" s="3">
        <v>10</v>
      </c>
      <c r="H3611" s="17">
        <f>Table1[[#This Row],[Unit price]]*Table1[[#This Row],[Quantity]]</f>
        <v>172.2</v>
      </c>
      <c r="I3611" s="29">
        <f>Table1[[#This Row],[Total Revenue]]/$H$5056*100</f>
        <v>1.8269687644041539E-2</v>
      </c>
      <c r="J3611" s="3" t="s">
        <v>17</v>
      </c>
      <c r="K3611" s="4">
        <v>8.8000000000000007</v>
      </c>
      <c r="M3611"/>
    </row>
    <row r="3612" spans="1:13" x14ac:dyDescent="0.25">
      <c r="A3612" s="2">
        <v>45514</v>
      </c>
      <c r="B3612" s="3" t="s">
        <v>244</v>
      </c>
      <c r="C3612" s="3" t="s">
        <v>9</v>
      </c>
      <c r="D3612" s="3" t="s">
        <v>10</v>
      </c>
      <c r="E3612" s="5" t="s">
        <v>11</v>
      </c>
      <c r="F3612" s="17">
        <v>2.5099999999999998</v>
      </c>
      <c r="G3612" s="3">
        <v>3</v>
      </c>
      <c r="H3612" s="17">
        <f>Table1[[#This Row],[Unit price]]*Table1[[#This Row],[Quantity]]</f>
        <v>7.5299999999999994</v>
      </c>
      <c r="I3612" s="29">
        <f>Table1[[#This Row],[Total Revenue]]/$H$5056*100</f>
        <v>7.9890097537533547E-4</v>
      </c>
      <c r="J3612" s="3" t="s">
        <v>17</v>
      </c>
      <c r="K3612" s="4">
        <v>6.8</v>
      </c>
      <c r="M3612"/>
    </row>
    <row r="3613" spans="1:13" x14ac:dyDescent="0.25">
      <c r="A3613" s="2">
        <v>45514</v>
      </c>
      <c r="B3613" s="3" t="s">
        <v>243</v>
      </c>
      <c r="C3613" s="3" t="s">
        <v>13</v>
      </c>
      <c r="D3613" s="3" t="s">
        <v>19</v>
      </c>
      <c r="E3613" s="5" t="s">
        <v>21</v>
      </c>
      <c r="F3613" s="17">
        <v>17.36</v>
      </c>
      <c r="G3613" s="3">
        <v>4</v>
      </c>
      <c r="H3613" s="17">
        <f>Table1[[#This Row],[Unit price]]*Table1[[#This Row],[Quantity]]</f>
        <v>69.44</v>
      </c>
      <c r="I3613" s="29">
        <f>Table1[[#This Row],[Total Revenue]]/$H$5056*100</f>
        <v>7.3672886759712222E-3</v>
      </c>
      <c r="J3613" s="3" t="s">
        <v>17</v>
      </c>
      <c r="K3613" s="4">
        <v>8.8000000000000007</v>
      </c>
      <c r="M3613"/>
    </row>
    <row r="3614" spans="1:13" x14ac:dyDescent="0.25">
      <c r="A3614" s="2">
        <v>45514</v>
      </c>
      <c r="B3614" s="3" t="s">
        <v>245</v>
      </c>
      <c r="C3614" s="3" t="s">
        <v>13</v>
      </c>
      <c r="D3614" s="3" t="s">
        <v>19</v>
      </c>
      <c r="E3614" s="5" t="s">
        <v>21</v>
      </c>
      <c r="F3614" s="17">
        <v>18.89</v>
      </c>
      <c r="G3614" s="3">
        <v>3</v>
      </c>
      <c r="H3614" s="17">
        <f>Table1[[#This Row],[Unit price]]*Table1[[#This Row],[Quantity]]</f>
        <v>56.67</v>
      </c>
      <c r="I3614" s="29">
        <f>Table1[[#This Row],[Total Revenue]]/$H$5056*100</f>
        <v>6.0124459859920674E-3</v>
      </c>
      <c r="J3614" s="3" t="s">
        <v>12</v>
      </c>
      <c r="K3614" s="4">
        <v>5.6</v>
      </c>
      <c r="M3614"/>
    </row>
    <row r="3615" spans="1:13" x14ac:dyDescent="0.25">
      <c r="A3615" s="2">
        <v>45514</v>
      </c>
      <c r="B3615" s="3" t="s">
        <v>243</v>
      </c>
      <c r="C3615" s="3" t="s">
        <v>13</v>
      </c>
      <c r="D3615" s="3" t="s">
        <v>10</v>
      </c>
      <c r="E3615" s="5" t="s">
        <v>18</v>
      </c>
      <c r="F3615" s="17">
        <v>24.14</v>
      </c>
      <c r="G3615" s="3">
        <v>10</v>
      </c>
      <c r="H3615" s="17">
        <f>Table1[[#This Row],[Unit price]]*Table1[[#This Row],[Quantity]]</f>
        <v>241.4</v>
      </c>
      <c r="I3615" s="29">
        <f>Table1[[#This Row],[Total Revenue]]/$H$5056*100</f>
        <v>2.5611513340717929E-2</v>
      </c>
      <c r="J3615" s="3" t="s">
        <v>15</v>
      </c>
      <c r="K3615" s="4">
        <v>5.2</v>
      </c>
      <c r="M3615"/>
    </row>
    <row r="3616" spans="1:13" x14ac:dyDescent="0.25">
      <c r="A3616" s="2">
        <v>45514</v>
      </c>
      <c r="B3616" s="3" t="s">
        <v>244</v>
      </c>
      <c r="C3616" s="3" t="s">
        <v>13</v>
      </c>
      <c r="D3616" s="3" t="s">
        <v>10</v>
      </c>
      <c r="E3616" s="5" t="s">
        <v>20</v>
      </c>
      <c r="F3616" s="17">
        <v>45.77</v>
      </c>
      <c r="G3616" s="3">
        <v>10</v>
      </c>
      <c r="H3616" s="17">
        <f>Table1[[#This Row],[Unit price]]*Table1[[#This Row],[Quantity]]</f>
        <v>457.70000000000005</v>
      </c>
      <c r="I3616" s="29">
        <f>Table1[[#This Row],[Total Revenue]]/$H$5056*100</f>
        <v>4.8560023430184743E-2</v>
      </c>
      <c r="J3616" s="3" t="s">
        <v>17</v>
      </c>
      <c r="K3616" s="4">
        <v>5.4</v>
      </c>
      <c r="M3616"/>
    </row>
    <row r="3617" spans="1:13" x14ac:dyDescent="0.25">
      <c r="A3617" s="2">
        <v>45545</v>
      </c>
      <c r="B3617" s="3" t="s">
        <v>244</v>
      </c>
      <c r="C3617" s="3" t="s">
        <v>13</v>
      </c>
      <c r="D3617" s="3" t="s">
        <v>10</v>
      </c>
      <c r="E3617" s="5" t="s">
        <v>18</v>
      </c>
      <c r="F3617" s="17">
        <v>8.18</v>
      </c>
      <c r="G3617" s="3">
        <v>2</v>
      </c>
      <c r="H3617" s="17">
        <f>Table1[[#This Row],[Unit price]]*Table1[[#This Row],[Quantity]]</f>
        <v>16.36</v>
      </c>
      <c r="I3617" s="29">
        <f>Table1[[#This Row],[Total Revenue]]/$H$5056*100</f>
        <v>1.7357264219310081E-3</v>
      </c>
      <c r="J3617" s="3" t="s">
        <v>15</v>
      </c>
      <c r="K3617" s="4">
        <v>4.2</v>
      </c>
      <c r="M3617"/>
    </row>
    <row r="3618" spans="1:13" x14ac:dyDescent="0.25">
      <c r="A3618" s="2">
        <v>45545</v>
      </c>
      <c r="B3618" s="3" t="s">
        <v>243</v>
      </c>
      <c r="C3618" s="3" t="s">
        <v>9</v>
      </c>
      <c r="D3618" s="3" t="s">
        <v>10</v>
      </c>
      <c r="E3618" s="5" t="s">
        <v>20</v>
      </c>
      <c r="F3618" s="17">
        <v>61.02</v>
      </c>
      <c r="G3618" s="3">
        <v>4</v>
      </c>
      <c r="H3618" s="17">
        <f>Table1[[#This Row],[Unit price]]*Table1[[#This Row],[Quantity]]</f>
        <v>244.08</v>
      </c>
      <c r="I3618" s="29">
        <f>Table1[[#This Row],[Total Revenue]]/$H$5056*100</f>
        <v>2.5895849942843552E-2</v>
      </c>
      <c r="J3618" s="3" t="s">
        <v>17</v>
      </c>
      <c r="K3618" s="4">
        <v>8.6</v>
      </c>
      <c r="M3618"/>
    </row>
    <row r="3619" spans="1:13" x14ac:dyDescent="0.25">
      <c r="A3619" s="2">
        <v>45545</v>
      </c>
      <c r="B3619" s="3" t="s">
        <v>245</v>
      </c>
      <c r="C3619" s="3" t="s">
        <v>9</v>
      </c>
      <c r="D3619" s="3" t="s">
        <v>10</v>
      </c>
      <c r="E3619" s="5" t="s">
        <v>21</v>
      </c>
      <c r="F3619" s="17">
        <v>32.950000000000003</v>
      </c>
      <c r="G3619" s="3">
        <v>5</v>
      </c>
      <c r="H3619" s="17">
        <f>Table1[[#This Row],[Unit price]]*Table1[[#This Row],[Quantity]]</f>
        <v>164.75</v>
      </c>
      <c r="I3619" s="29">
        <f>Table1[[#This Row],[Total Revenue]]/$H$5056*100</f>
        <v>1.7479274328431146E-2</v>
      </c>
      <c r="J3619" s="3" t="s">
        <v>15</v>
      </c>
      <c r="K3619" s="4">
        <v>5.3</v>
      </c>
      <c r="M3619"/>
    </row>
    <row r="3620" spans="1:13" x14ac:dyDescent="0.25">
      <c r="A3620" s="2">
        <v>45545</v>
      </c>
      <c r="B3620" s="3" t="s">
        <v>245</v>
      </c>
      <c r="C3620" s="3" t="s">
        <v>13</v>
      </c>
      <c r="D3620" s="3" t="s">
        <v>19</v>
      </c>
      <c r="E3620" s="5" t="s">
        <v>14</v>
      </c>
      <c r="F3620" s="17">
        <v>91.7</v>
      </c>
      <c r="G3620" s="3">
        <v>2</v>
      </c>
      <c r="H3620" s="17">
        <f>Table1[[#This Row],[Unit price]]*Table1[[#This Row],[Quantity]]</f>
        <v>183.4</v>
      </c>
      <c r="I3620" s="29">
        <f>Table1[[#This Row],[Total Revenue]]/$H$5056*100</f>
        <v>1.945796001113367E-2</v>
      </c>
      <c r="J3620" s="3" t="s">
        <v>12</v>
      </c>
      <c r="K3620" s="4">
        <v>6.8</v>
      </c>
      <c r="M3620"/>
    </row>
    <row r="3621" spans="1:13" x14ac:dyDescent="0.25">
      <c r="A3621" s="2">
        <v>45545</v>
      </c>
      <c r="B3621" s="3" t="s">
        <v>244</v>
      </c>
      <c r="C3621" s="3" t="s">
        <v>13</v>
      </c>
      <c r="D3621" s="3" t="s">
        <v>10</v>
      </c>
      <c r="E3621" s="5" t="s">
        <v>11</v>
      </c>
      <c r="F3621" s="17">
        <v>8.35</v>
      </c>
      <c r="G3621" s="3">
        <v>7</v>
      </c>
      <c r="H3621" s="17">
        <f>Table1[[#This Row],[Unit price]]*Table1[[#This Row],[Quantity]]</f>
        <v>58.449999999999996</v>
      </c>
      <c r="I3621" s="29">
        <f>Table1[[#This Row],[Total Revenue]]/$H$5056*100</f>
        <v>6.2012964157620656E-3</v>
      </c>
      <c r="J3621" s="3" t="s">
        <v>12</v>
      </c>
      <c r="K3621" s="4">
        <v>6.9</v>
      </c>
      <c r="M3621"/>
    </row>
    <row r="3622" spans="1:13" x14ac:dyDescent="0.25">
      <c r="A3622" s="2">
        <v>45545</v>
      </c>
      <c r="B3622" s="3" t="s">
        <v>244</v>
      </c>
      <c r="C3622" s="3" t="s">
        <v>9</v>
      </c>
      <c r="D3622" s="3" t="s">
        <v>10</v>
      </c>
      <c r="E3622" s="5" t="s">
        <v>11</v>
      </c>
      <c r="F3622" s="17">
        <v>7.86</v>
      </c>
      <c r="G3622" s="3">
        <v>8</v>
      </c>
      <c r="H3622" s="17">
        <f>Table1[[#This Row],[Unit price]]*Table1[[#This Row],[Quantity]]</f>
        <v>62.88</v>
      </c>
      <c r="I3622" s="29">
        <f>Table1[[#This Row],[Total Revenue]]/$H$5056*100</f>
        <v>6.6713005752458308E-3</v>
      </c>
      <c r="J3622" s="3" t="s">
        <v>17</v>
      </c>
      <c r="K3622" s="4">
        <v>6.5</v>
      </c>
      <c r="M3622"/>
    </row>
    <row r="3623" spans="1:13" x14ac:dyDescent="0.25">
      <c r="A3623" s="2">
        <v>45545</v>
      </c>
      <c r="B3623" s="3" t="s">
        <v>244</v>
      </c>
      <c r="C3623" s="3" t="s">
        <v>13</v>
      </c>
      <c r="D3623" s="3" t="s">
        <v>10</v>
      </c>
      <c r="E3623" s="5" t="s">
        <v>18</v>
      </c>
      <c r="F3623" s="17">
        <v>22.01</v>
      </c>
      <c r="G3623" s="3">
        <v>6</v>
      </c>
      <c r="H3623" s="17">
        <f>Table1[[#This Row],[Unit price]]*Table1[[#This Row],[Quantity]]</f>
        <v>132.06</v>
      </c>
      <c r="I3623" s="29">
        <f>Table1[[#This Row],[Total Revenue]]/$H$5056*100</f>
        <v>1.4011004356980985E-2</v>
      </c>
      <c r="J3623" s="3" t="s">
        <v>12</v>
      </c>
      <c r="K3623" s="4">
        <v>3</v>
      </c>
      <c r="M3623"/>
    </row>
    <row r="3624" spans="1:13" x14ac:dyDescent="0.25">
      <c r="A3624" s="2">
        <v>45545</v>
      </c>
      <c r="B3624" s="3" t="s">
        <v>245</v>
      </c>
      <c r="C3624" s="3" t="s">
        <v>9</v>
      </c>
      <c r="D3624" s="3" t="s">
        <v>10</v>
      </c>
      <c r="E3624" s="5" t="s">
        <v>11</v>
      </c>
      <c r="F3624" s="17">
        <v>14.67</v>
      </c>
      <c r="G3624" s="3">
        <v>9</v>
      </c>
      <c r="H3624" s="17">
        <f>Table1[[#This Row],[Unit price]]*Table1[[#This Row],[Quantity]]</f>
        <v>132.03</v>
      </c>
      <c r="I3624" s="29">
        <f>Table1[[#This Row],[Total Revenue]]/$H$5056*100</f>
        <v>1.4007821484569132E-2</v>
      </c>
      <c r="J3624" s="3" t="s">
        <v>15</v>
      </c>
      <c r="K3624" s="4">
        <v>9.6999999999999993</v>
      </c>
      <c r="M3624"/>
    </row>
    <row r="3625" spans="1:13" x14ac:dyDescent="0.25">
      <c r="A3625" s="2">
        <v>45545</v>
      </c>
      <c r="B3625" s="3" t="s">
        <v>243</v>
      </c>
      <c r="C3625" s="3" t="s">
        <v>13</v>
      </c>
      <c r="D3625" s="3" t="s">
        <v>10</v>
      </c>
      <c r="E3625" s="5" t="s">
        <v>11</v>
      </c>
      <c r="F3625" s="17">
        <v>11.28</v>
      </c>
      <c r="G3625" s="3">
        <v>3</v>
      </c>
      <c r="H3625" s="17">
        <f>Table1[[#This Row],[Unit price]]*Table1[[#This Row],[Quantity]]</f>
        <v>33.839999999999996</v>
      </c>
      <c r="I3625" s="29">
        <f>Table1[[#This Row],[Total Revenue]]/$H$5056*100</f>
        <v>3.5902800805712285E-3</v>
      </c>
      <c r="J3625" s="3" t="s">
        <v>15</v>
      </c>
      <c r="K3625" s="4">
        <v>9.1999999999999993</v>
      </c>
      <c r="M3625"/>
    </row>
    <row r="3626" spans="1:13" x14ac:dyDescent="0.25">
      <c r="A3626" s="2">
        <v>45545</v>
      </c>
      <c r="B3626" s="3" t="s">
        <v>244</v>
      </c>
      <c r="C3626" s="3" t="s">
        <v>13</v>
      </c>
      <c r="D3626" s="3" t="s">
        <v>10</v>
      </c>
      <c r="E3626" s="5" t="s">
        <v>11</v>
      </c>
      <c r="F3626" s="17">
        <v>10.78</v>
      </c>
      <c r="G3626" s="3">
        <v>9</v>
      </c>
      <c r="H3626" s="17">
        <f>Table1[[#This Row],[Unit price]]*Table1[[#This Row],[Quantity]]</f>
        <v>97.02</v>
      </c>
      <c r="I3626" s="29">
        <f>Table1[[#This Row],[Total Revenue]]/$H$5056*100</f>
        <v>1.0293409379935598E-2</v>
      </c>
      <c r="J3626" s="3" t="s">
        <v>15</v>
      </c>
      <c r="K3626" s="4">
        <v>4.4000000000000004</v>
      </c>
      <c r="M3626"/>
    </row>
    <row r="3627" spans="1:13" x14ac:dyDescent="0.25">
      <c r="A3627" s="2">
        <v>45545</v>
      </c>
      <c r="B3627" s="3" t="s">
        <v>244</v>
      </c>
      <c r="C3627" s="3" t="s">
        <v>13</v>
      </c>
      <c r="D3627" s="3" t="s">
        <v>10</v>
      </c>
      <c r="E3627" s="5" t="s">
        <v>18</v>
      </c>
      <c r="F3627" s="17">
        <v>12.44</v>
      </c>
      <c r="G3627" s="3">
        <v>7</v>
      </c>
      <c r="H3627" s="17">
        <f>Table1[[#This Row],[Unit price]]*Table1[[#This Row],[Quantity]]</f>
        <v>87.08</v>
      </c>
      <c r="I3627" s="29">
        <f>Table1[[#This Row],[Total Revenue]]/$H$5056*100</f>
        <v>9.2388176541413312E-3</v>
      </c>
      <c r="J3627" s="3" t="s">
        <v>12</v>
      </c>
      <c r="K3627" s="4">
        <v>5</v>
      </c>
      <c r="M3627"/>
    </row>
    <row r="3628" spans="1:13" x14ac:dyDescent="0.25">
      <c r="A3628" s="2">
        <v>45545</v>
      </c>
      <c r="B3628" s="3" t="s">
        <v>245</v>
      </c>
      <c r="C3628" s="3" t="s">
        <v>13</v>
      </c>
      <c r="D3628" s="3" t="s">
        <v>19</v>
      </c>
      <c r="E3628" s="5" t="s">
        <v>21</v>
      </c>
      <c r="F3628" s="17">
        <v>31.31</v>
      </c>
      <c r="G3628" s="3">
        <v>4</v>
      </c>
      <c r="H3628" s="17">
        <f>Table1[[#This Row],[Unit price]]*Table1[[#This Row],[Quantity]]</f>
        <v>125.24</v>
      </c>
      <c r="I3628" s="29">
        <f>Table1[[#This Row],[Total Revenue]]/$H$5056*100</f>
        <v>1.3287431362019524E-2</v>
      </c>
      <c r="J3628" s="3" t="s">
        <v>17</v>
      </c>
      <c r="K3628" s="4">
        <v>6.5</v>
      </c>
      <c r="M3628"/>
    </row>
    <row r="3629" spans="1:13" x14ac:dyDescent="0.25">
      <c r="A3629" s="2">
        <v>45545</v>
      </c>
      <c r="B3629" s="3" t="s">
        <v>243</v>
      </c>
      <c r="C3629" s="3" t="s">
        <v>13</v>
      </c>
      <c r="D3629" s="3" t="s">
        <v>10</v>
      </c>
      <c r="E3629" s="5" t="s">
        <v>11</v>
      </c>
      <c r="F3629" s="17">
        <v>14.52</v>
      </c>
      <c r="G3629" s="3">
        <v>1</v>
      </c>
      <c r="H3629" s="17">
        <f>Table1[[#This Row],[Unit price]]*Table1[[#This Row],[Quantity]]</f>
        <v>14.52</v>
      </c>
      <c r="I3629" s="29">
        <f>Table1[[#This Row],[Total Revenue]]/$H$5056*100</f>
        <v>1.5405102473373003E-3</v>
      </c>
      <c r="J3629" s="3" t="s">
        <v>17</v>
      </c>
      <c r="K3629" s="4">
        <v>9.1</v>
      </c>
      <c r="M3629"/>
    </row>
    <row r="3630" spans="1:13" x14ac:dyDescent="0.25">
      <c r="A3630" s="2">
        <v>45545</v>
      </c>
      <c r="B3630" s="3" t="s">
        <v>244</v>
      </c>
      <c r="C3630" s="3" t="s">
        <v>9</v>
      </c>
      <c r="D3630" s="3" t="s">
        <v>19</v>
      </c>
      <c r="E3630" s="5" t="s">
        <v>21</v>
      </c>
      <c r="F3630" s="17">
        <v>39.56</v>
      </c>
      <c r="G3630" s="3">
        <v>5</v>
      </c>
      <c r="H3630" s="17">
        <f>Table1[[#This Row],[Unit price]]*Table1[[#This Row],[Quantity]]</f>
        <v>197.8</v>
      </c>
      <c r="I3630" s="29">
        <f>Table1[[#This Row],[Total Revenue]]/$H$5056*100</f>
        <v>2.0985738768823557E-2</v>
      </c>
      <c r="J3630" s="3" t="s">
        <v>15</v>
      </c>
      <c r="K3630" s="4">
        <v>9.6999999999999993</v>
      </c>
      <c r="M3630"/>
    </row>
    <row r="3631" spans="1:13" x14ac:dyDescent="0.25">
      <c r="A3631" s="2">
        <v>45545</v>
      </c>
      <c r="B3631" s="3" t="s">
        <v>245</v>
      </c>
      <c r="C3631" s="3" t="s">
        <v>13</v>
      </c>
      <c r="D3631" s="3" t="s">
        <v>19</v>
      </c>
      <c r="E3631" s="5" t="s">
        <v>11</v>
      </c>
      <c r="F3631" s="17">
        <v>12.01</v>
      </c>
      <c r="G3631" s="3">
        <v>3</v>
      </c>
      <c r="H3631" s="17">
        <f>Table1[[#This Row],[Unit price]]*Table1[[#This Row],[Quantity]]</f>
        <v>36.03</v>
      </c>
      <c r="I3631" s="29">
        <f>Table1[[#This Row],[Total Revenue]]/$H$5056*100</f>
        <v>3.822629766636566E-3</v>
      </c>
      <c r="J3631" s="3" t="s">
        <v>12</v>
      </c>
      <c r="K3631" s="4">
        <v>4.8</v>
      </c>
      <c r="M3631"/>
    </row>
    <row r="3632" spans="1:13" x14ac:dyDescent="0.25">
      <c r="A3632" s="2">
        <v>45545</v>
      </c>
      <c r="B3632" s="3" t="s">
        <v>244</v>
      </c>
      <c r="C3632" s="3" t="s">
        <v>9</v>
      </c>
      <c r="D3632" s="3" t="s">
        <v>10</v>
      </c>
      <c r="E3632" s="5" t="s">
        <v>18</v>
      </c>
      <c r="F3632" s="17">
        <v>15.94</v>
      </c>
      <c r="G3632" s="3">
        <v>6</v>
      </c>
      <c r="H3632" s="17">
        <f>Table1[[#This Row],[Unit price]]*Table1[[#This Row],[Quantity]]</f>
        <v>95.64</v>
      </c>
      <c r="I3632" s="29">
        <f>Table1[[#This Row],[Total Revenue]]/$H$5056*100</f>
        <v>1.0146997248990318E-2</v>
      </c>
      <c r="J3632" s="3" t="s">
        <v>17</v>
      </c>
      <c r="K3632" s="4">
        <v>6.8</v>
      </c>
      <c r="M3632"/>
    </row>
    <row r="3633" spans="1:13" x14ac:dyDescent="0.25">
      <c r="A3633" s="2">
        <v>45545</v>
      </c>
      <c r="B3633" s="3" t="s">
        <v>243</v>
      </c>
      <c r="C3633" s="3" t="s">
        <v>13</v>
      </c>
      <c r="D3633" s="3" t="s">
        <v>10</v>
      </c>
      <c r="E3633" s="5" t="s">
        <v>11</v>
      </c>
      <c r="F3633" s="17">
        <v>11.63</v>
      </c>
      <c r="G3633" s="3">
        <v>6</v>
      </c>
      <c r="H3633" s="17">
        <f>Table1[[#This Row],[Unit price]]*Table1[[#This Row],[Quantity]]</f>
        <v>69.78</v>
      </c>
      <c r="I3633" s="29">
        <f>Table1[[#This Row],[Total Revenue]]/$H$5056*100</f>
        <v>7.4033612299722329E-3</v>
      </c>
      <c r="J3633" s="3" t="s">
        <v>15</v>
      </c>
      <c r="K3633" s="4">
        <v>8.5</v>
      </c>
      <c r="M3633"/>
    </row>
    <row r="3634" spans="1:13" x14ac:dyDescent="0.25">
      <c r="A3634" s="2">
        <v>45545</v>
      </c>
      <c r="B3634" s="3" t="s">
        <v>243</v>
      </c>
      <c r="C3634" s="3" t="s">
        <v>13</v>
      </c>
      <c r="D3634" s="3" t="s">
        <v>10</v>
      </c>
      <c r="E3634" s="5" t="s">
        <v>21</v>
      </c>
      <c r="F3634" s="17">
        <v>38.520000000000003</v>
      </c>
      <c r="G3634" s="3">
        <v>1</v>
      </c>
      <c r="H3634" s="17">
        <f>Table1[[#This Row],[Unit price]]*Table1[[#This Row],[Quantity]]</f>
        <v>38.520000000000003</v>
      </c>
      <c r="I3634" s="29">
        <f>Table1[[#This Row],[Total Revenue]]/$H$5056*100</f>
        <v>4.0868081768204419E-3</v>
      </c>
      <c r="J3634" s="3" t="s">
        <v>15</v>
      </c>
      <c r="K3634" s="4">
        <v>5.7</v>
      </c>
      <c r="M3634"/>
    </row>
    <row r="3635" spans="1:13" x14ac:dyDescent="0.25">
      <c r="A3635" s="2">
        <v>45575</v>
      </c>
      <c r="B3635" s="3" t="s">
        <v>244</v>
      </c>
      <c r="C3635" s="3" t="s">
        <v>9</v>
      </c>
      <c r="D3635" s="3" t="s">
        <v>10</v>
      </c>
      <c r="E3635" s="5" t="s">
        <v>21</v>
      </c>
      <c r="F3635" s="17">
        <v>25.7</v>
      </c>
      <c r="G3635" s="3">
        <v>10</v>
      </c>
      <c r="H3635" s="17">
        <f>Table1[[#This Row],[Unit price]]*Table1[[#This Row],[Quantity]]</f>
        <v>257</v>
      </c>
      <c r="I3635" s="29">
        <f>Table1[[#This Row],[Total Revenue]]/$H$5056*100</f>
        <v>2.7266606994881971E-2</v>
      </c>
      <c r="J3635" s="3" t="s">
        <v>17</v>
      </c>
      <c r="K3635" s="4">
        <v>8</v>
      </c>
      <c r="M3635"/>
    </row>
    <row r="3636" spans="1:13" x14ac:dyDescent="0.25">
      <c r="A3636" s="2">
        <v>45575</v>
      </c>
      <c r="B3636" s="3" t="s">
        <v>245</v>
      </c>
      <c r="C3636" s="3" t="s">
        <v>9</v>
      </c>
      <c r="D3636" s="3" t="s">
        <v>19</v>
      </c>
      <c r="E3636" s="5" t="s">
        <v>14</v>
      </c>
      <c r="F3636" s="17">
        <v>87.08</v>
      </c>
      <c r="G3636" s="3">
        <v>2</v>
      </c>
      <c r="H3636" s="17">
        <f>Table1[[#This Row],[Unit price]]*Table1[[#This Row],[Quantity]]</f>
        <v>174.16</v>
      </c>
      <c r="I3636" s="29">
        <f>Table1[[#This Row],[Total Revenue]]/$H$5056*100</f>
        <v>1.8477635308282662E-2</v>
      </c>
      <c r="J3636" s="3" t="s">
        <v>15</v>
      </c>
      <c r="K3636" s="4">
        <v>4.0999999999999996</v>
      </c>
      <c r="M3636"/>
    </row>
    <row r="3637" spans="1:13" x14ac:dyDescent="0.25">
      <c r="A3637" s="2">
        <v>45575</v>
      </c>
      <c r="B3637" s="3" t="s">
        <v>243</v>
      </c>
      <c r="C3637" s="3" t="s">
        <v>13</v>
      </c>
      <c r="D3637" s="3" t="s">
        <v>10</v>
      </c>
      <c r="E3637" s="5" t="s">
        <v>20</v>
      </c>
      <c r="F3637" s="17">
        <v>54.41</v>
      </c>
      <c r="G3637" s="3">
        <v>4</v>
      </c>
      <c r="H3637" s="17">
        <f>Table1[[#This Row],[Unit price]]*Table1[[#This Row],[Quantity]]</f>
        <v>217.64</v>
      </c>
      <c r="I3637" s="29">
        <f>Table1[[#This Row],[Total Revenue]]/$H$5056*100</f>
        <v>2.3090678390529619E-2</v>
      </c>
      <c r="J3637" s="3" t="s">
        <v>12</v>
      </c>
      <c r="K3637" s="4">
        <v>7.1</v>
      </c>
      <c r="M3637"/>
    </row>
    <row r="3638" spans="1:13" x14ac:dyDescent="0.25">
      <c r="A3638" s="2">
        <v>45575</v>
      </c>
      <c r="B3638" s="3" t="s">
        <v>244</v>
      </c>
      <c r="C3638" s="3" t="s">
        <v>13</v>
      </c>
      <c r="D3638" s="3" t="s">
        <v>19</v>
      </c>
      <c r="E3638" s="5" t="s">
        <v>21</v>
      </c>
      <c r="F3638" s="17">
        <v>30.69</v>
      </c>
      <c r="G3638" s="3">
        <v>1</v>
      </c>
      <c r="H3638" s="17">
        <f>Table1[[#This Row],[Unit price]]*Table1[[#This Row],[Quantity]]</f>
        <v>30.69</v>
      </c>
      <c r="I3638" s="29">
        <f>Table1[[#This Row],[Total Revenue]]/$H$5056*100</f>
        <v>3.2560784773265671E-3</v>
      </c>
      <c r="J3638" s="3" t="s">
        <v>17</v>
      </c>
      <c r="K3638" s="4">
        <v>8.9</v>
      </c>
      <c r="M3638"/>
    </row>
    <row r="3639" spans="1:13" x14ac:dyDescent="0.25">
      <c r="A3639" s="2">
        <v>45575</v>
      </c>
      <c r="B3639" s="3" t="s">
        <v>245</v>
      </c>
      <c r="C3639" s="3" t="s">
        <v>13</v>
      </c>
      <c r="D3639" s="3" t="s">
        <v>10</v>
      </c>
      <c r="E3639" s="5" t="s">
        <v>20</v>
      </c>
      <c r="F3639" s="17">
        <v>45.82</v>
      </c>
      <c r="G3639" s="3">
        <v>5</v>
      </c>
      <c r="H3639" s="17">
        <f>Table1[[#This Row],[Unit price]]*Table1[[#This Row],[Quantity]]</f>
        <v>229.1</v>
      </c>
      <c r="I3639" s="29">
        <f>Table1[[#This Row],[Total Revenue]]/$H$5056*100</f>
        <v>2.4306535651857818E-2</v>
      </c>
      <c r="J3639" s="3" t="s">
        <v>15</v>
      </c>
      <c r="K3639" s="4">
        <v>9.6999999999999993</v>
      </c>
      <c r="M3639"/>
    </row>
    <row r="3640" spans="1:13" x14ac:dyDescent="0.25">
      <c r="A3640" s="2">
        <v>45575</v>
      </c>
      <c r="B3640" s="3" t="s">
        <v>244</v>
      </c>
      <c r="C3640" s="3" t="s">
        <v>13</v>
      </c>
      <c r="D3640" s="3" t="s">
        <v>19</v>
      </c>
      <c r="E3640" s="5" t="s">
        <v>16</v>
      </c>
      <c r="F3640" s="17">
        <v>59.62</v>
      </c>
      <c r="G3640" s="3">
        <v>4</v>
      </c>
      <c r="H3640" s="17">
        <f>Table1[[#This Row],[Unit price]]*Table1[[#This Row],[Quantity]]</f>
        <v>238.48</v>
      </c>
      <c r="I3640" s="29">
        <f>Table1[[#This Row],[Total Revenue]]/$H$5056*100</f>
        <v>2.5301713759297479E-2</v>
      </c>
      <c r="J3640" s="3" t="s">
        <v>17</v>
      </c>
      <c r="K3640" s="4">
        <v>3.5</v>
      </c>
      <c r="M3640"/>
    </row>
    <row r="3641" spans="1:13" x14ac:dyDescent="0.25">
      <c r="A3641" s="2">
        <v>45575</v>
      </c>
      <c r="B3641" s="3" t="s">
        <v>244</v>
      </c>
      <c r="C3641" s="3" t="s">
        <v>9</v>
      </c>
      <c r="D3641" s="3" t="s">
        <v>19</v>
      </c>
      <c r="E3641" s="5" t="s">
        <v>11</v>
      </c>
      <c r="F3641" s="17">
        <v>7.69</v>
      </c>
      <c r="G3641" s="3">
        <v>10</v>
      </c>
      <c r="H3641" s="17">
        <f>Table1[[#This Row],[Unit price]]*Table1[[#This Row],[Quantity]]</f>
        <v>76.900000000000006</v>
      </c>
      <c r="I3641" s="29">
        <f>Table1[[#This Row],[Total Revenue]]/$H$5056*100</f>
        <v>8.1587629490522326E-3</v>
      </c>
      <c r="J3641" s="3" t="s">
        <v>15</v>
      </c>
      <c r="K3641" s="4">
        <v>5.9</v>
      </c>
      <c r="M3641"/>
    </row>
    <row r="3642" spans="1:13" x14ac:dyDescent="0.25">
      <c r="A3642" s="2">
        <v>45575</v>
      </c>
      <c r="B3642" s="3" t="s">
        <v>245</v>
      </c>
      <c r="C3642" s="3" t="s">
        <v>13</v>
      </c>
      <c r="D3642" s="3" t="s">
        <v>10</v>
      </c>
      <c r="E3642" s="5" t="s">
        <v>20</v>
      </c>
      <c r="F3642" s="17">
        <v>68.66</v>
      </c>
      <c r="G3642" s="3">
        <v>3</v>
      </c>
      <c r="H3642" s="17">
        <f>Table1[[#This Row],[Unit price]]*Table1[[#This Row],[Quantity]]</f>
        <v>205.98</v>
      </c>
      <c r="I3642" s="29">
        <f>Table1[[#This Row],[Total Revenue]]/$H$5056*100</f>
        <v>2.1853601979789059E-2</v>
      </c>
      <c r="J3642" s="3" t="s">
        <v>12</v>
      </c>
      <c r="K3642" s="4">
        <v>4.4000000000000004</v>
      </c>
      <c r="M3642"/>
    </row>
    <row r="3643" spans="1:13" x14ac:dyDescent="0.25">
      <c r="A3643" s="2">
        <v>45575</v>
      </c>
      <c r="B3643" s="3" t="s">
        <v>245</v>
      </c>
      <c r="C3643" s="3" t="s">
        <v>9</v>
      </c>
      <c r="D3643" s="3" t="s">
        <v>10</v>
      </c>
      <c r="E3643" s="5" t="s">
        <v>16</v>
      </c>
      <c r="F3643" s="17">
        <v>79.02</v>
      </c>
      <c r="G3643" s="3">
        <v>10</v>
      </c>
      <c r="H3643" s="17">
        <f>Table1[[#This Row],[Unit price]]*Table1[[#This Row],[Quantity]]</f>
        <v>790.19999999999993</v>
      </c>
      <c r="I3643" s="29">
        <f>Table1[[#This Row],[Total Revenue]]/$H$5056*100</f>
        <v>8.3836859328232427E-2</v>
      </c>
      <c r="J3643" s="3" t="s">
        <v>12</v>
      </c>
      <c r="K3643" s="4">
        <v>6.1</v>
      </c>
      <c r="M3643"/>
    </row>
    <row r="3644" spans="1:13" x14ac:dyDescent="0.25">
      <c r="A3644" s="2">
        <v>45575</v>
      </c>
      <c r="B3644" s="3" t="s">
        <v>245</v>
      </c>
      <c r="C3644" s="3" t="s">
        <v>13</v>
      </c>
      <c r="D3644" s="3" t="s">
        <v>10</v>
      </c>
      <c r="E3644" s="5" t="s">
        <v>11</v>
      </c>
      <c r="F3644" s="17">
        <v>6.3</v>
      </c>
      <c r="G3644" s="3">
        <v>8</v>
      </c>
      <c r="H3644" s="17">
        <f>Table1[[#This Row],[Unit price]]*Table1[[#This Row],[Quantity]]</f>
        <v>50.4</v>
      </c>
      <c r="I3644" s="29">
        <f>Table1[[#This Row],[Total Revenue]]/$H$5056*100</f>
        <v>5.3472256519145967E-3</v>
      </c>
      <c r="J3644" s="3" t="s">
        <v>12</v>
      </c>
      <c r="K3644" s="4">
        <v>6.7</v>
      </c>
      <c r="M3644"/>
    </row>
    <row r="3645" spans="1:13" x14ac:dyDescent="0.25">
      <c r="A3645" s="2">
        <v>45575</v>
      </c>
      <c r="B3645" s="3" t="s">
        <v>243</v>
      </c>
      <c r="C3645" s="3" t="s">
        <v>13</v>
      </c>
      <c r="D3645" s="3" t="s">
        <v>19</v>
      </c>
      <c r="E3645" s="5" t="s">
        <v>20</v>
      </c>
      <c r="F3645" s="17">
        <v>44.75</v>
      </c>
      <c r="G3645" s="3">
        <v>3</v>
      </c>
      <c r="H3645" s="17">
        <f>Table1[[#This Row],[Unit price]]*Table1[[#This Row],[Quantity]]</f>
        <v>134.25</v>
      </c>
      <c r="I3645" s="29">
        <f>Table1[[#This Row],[Total Revenue]]/$H$5056*100</f>
        <v>1.4243354043046321E-2</v>
      </c>
      <c r="J3645" s="3" t="s">
        <v>12</v>
      </c>
      <c r="K3645" s="4">
        <v>3.6</v>
      </c>
      <c r="M3645"/>
    </row>
    <row r="3646" spans="1:13" x14ac:dyDescent="0.25">
      <c r="A3646" s="2">
        <v>45575</v>
      </c>
      <c r="B3646" s="3" t="s">
        <v>243</v>
      </c>
      <c r="C3646" s="3" t="s">
        <v>13</v>
      </c>
      <c r="D3646" s="3" t="s">
        <v>10</v>
      </c>
      <c r="E3646" s="5" t="s">
        <v>18</v>
      </c>
      <c r="F3646" s="17">
        <v>18.329999999999998</v>
      </c>
      <c r="G3646" s="3">
        <v>4</v>
      </c>
      <c r="H3646" s="17">
        <f>Table1[[#This Row],[Unit price]]*Table1[[#This Row],[Quantity]]</f>
        <v>73.319999999999993</v>
      </c>
      <c r="I3646" s="29">
        <f>Table1[[#This Row],[Total Revenue]]/$H$5056*100</f>
        <v>7.7789401745709964E-3</v>
      </c>
      <c r="J3646" s="3" t="s">
        <v>12</v>
      </c>
      <c r="K3646" s="4">
        <v>5</v>
      </c>
      <c r="M3646"/>
    </row>
    <row r="3647" spans="1:13" x14ac:dyDescent="0.25">
      <c r="A3647" s="2">
        <v>45575</v>
      </c>
      <c r="B3647" s="3" t="s">
        <v>245</v>
      </c>
      <c r="C3647" s="3" t="s">
        <v>9</v>
      </c>
      <c r="D3647" s="3" t="s">
        <v>19</v>
      </c>
      <c r="E3647" s="5" t="s">
        <v>11</v>
      </c>
      <c r="F3647" s="17">
        <v>4.97</v>
      </c>
      <c r="G3647" s="3">
        <v>7</v>
      </c>
      <c r="H3647" s="17">
        <f>Table1[[#This Row],[Unit price]]*Table1[[#This Row],[Quantity]]</f>
        <v>34.79</v>
      </c>
      <c r="I3647" s="29">
        <f>Table1[[#This Row],[Total Revenue]]/$H$5056*100</f>
        <v>3.6910710402799367E-3</v>
      </c>
      <c r="J3647" s="3" t="s">
        <v>15</v>
      </c>
      <c r="K3647" s="4">
        <v>9.3000000000000007</v>
      </c>
      <c r="M3647"/>
    </row>
    <row r="3648" spans="1:13" x14ac:dyDescent="0.25">
      <c r="A3648" s="2">
        <v>45575</v>
      </c>
      <c r="B3648" s="3" t="s">
        <v>245</v>
      </c>
      <c r="C3648" s="3" t="s">
        <v>9</v>
      </c>
      <c r="D3648" s="3" t="s">
        <v>19</v>
      </c>
      <c r="E3648" s="5" t="s">
        <v>20</v>
      </c>
      <c r="F3648" s="17">
        <v>51.47</v>
      </c>
      <c r="G3648" s="3">
        <v>10</v>
      </c>
      <c r="H3648" s="17">
        <f>Table1[[#This Row],[Unit price]]*Table1[[#This Row],[Quantity]]</f>
        <v>514.70000000000005</v>
      </c>
      <c r="I3648" s="29">
        <f>Table1[[#This Row],[Total Revenue]]/$H$5056*100</f>
        <v>5.460748101270721E-2</v>
      </c>
      <c r="J3648" s="3" t="s">
        <v>17</v>
      </c>
      <c r="K3648" s="4">
        <v>6.9</v>
      </c>
      <c r="M3648"/>
    </row>
    <row r="3649" spans="1:13" x14ac:dyDescent="0.25">
      <c r="A3649" s="2">
        <v>45575</v>
      </c>
      <c r="B3649" s="3" t="s">
        <v>245</v>
      </c>
      <c r="C3649" s="3" t="s">
        <v>9</v>
      </c>
      <c r="D3649" s="3" t="s">
        <v>19</v>
      </c>
      <c r="E3649" s="5" t="s">
        <v>20</v>
      </c>
      <c r="F3649" s="17">
        <v>46.81</v>
      </c>
      <c r="G3649" s="3">
        <v>8</v>
      </c>
      <c r="H3649" s="17">
        <f>Table1[[#This Row],[Unit price]]*Table1[[#This Row],[Quantity]]</f>
        <v>374.48</v>
      </c>
      <c r="I3649" s="29">
        <f>Table1[[#This Row],[Total Revenue]]/$H$5056*100</f>
        <v>3.9730735359701952E-2</v>
      </c>
      <c r="J3649" s="3" t="s">
        <v>12</v>
      </c>
      <c r="K3649" s="4">
        <v>6.1</v>
      </c>
      <c r="M3649"/>
    </row>
    <row r="3650" spans="1:13" x14ac:dyDescent="0.25">
      <c r="A3650" s="2">
        <v>45575</v>
      </c>
      <c r="B3650" s="3" t="s">
        <v>243</v>
      </c>
      <c r="C3650" s="3" t="s">
        <v>13</v>
      </c>
      <c r="D3650" s="3" t="s">
        <v>19</v>
      </c>
      <c r="E3650" s="5" t="s">
        <v>11</v>
      </c>
      <c r="F3650" s="17">
        <v>7.09</v>
      </c>
      <c r="G3650" s="3">
        <v>5</v>
      </c>
      <c r="H3650" s="17">
        <f>Table1[[#This Row],[Unit price]]*Table1[[#This Row],[Quantity]]</f>
        <v>35.450000000000003</v>
      </c>
      <c r="I3650" s="29">
        <f>Table1[[#This Row],[Total Revenue]]/$H$5056*100</f>
        <v>3.7610942333407235E-3</v>
      </c>
      <c r="J3650" s="3" t="s">
        <v>12</v>
      </c>
      <c r="K3650" s="4">
        <v>8.1</v>
      </c>
      <c r="M3650"/>
    </row>
    <row r="3651" spans="1:13" x14ac:dyDescent="0.25">
      <c r="A3651" s="2">
        <v>45575</v>
      </c>
      <c r="B3651" s="3" t="s">
        <v>244</v>
      </c>
      <c r="C3651" s="3" t="s">
        <v>9</v>
      </c>
      <c r="D3651" s="3" t="s">
        <v>10</v>
      </c>
      <c r="E3651" s="5" t="s">
        <v>21</v>
      </c>
      <c r="F3651" s="17">
        <v>38.82</v>
      </c>
      <c r="G3651" s="3">
        <v>4</v>
      </c>
      <c r="H3651" s="17">
        <f>Table1[[#This Row],[Unit price]]*Table1[[#This Row],[Quantity]]</f>
        <v>155.28</v>
      </c>
      <c r="I3651" s="29">
        <f>Table1[[#This Row],[Total Revenue]]/$H$5056*100</f>
        <v>1.6474547603755926E-2</v>
      </c>
      <c r="J3651" s="3" t="s">
        <v>12</v>
      </c>
      <c r="K3651" s="4">
        <v>8</v>
      </c>
      <c r="M3651"/>
    </row>
    <row r="3652" spans="1:13" x14ac:dyDescent="0.25">
      <c r="A3652" s="2">
        <v>45575</v>
      </c>
      <c r="B3652" s="3" t="s">
        <v>244</v>
      </c>
      <c r="C3652" s="3" t="s">
        <v>13</v>
      </c>
      <c r="D3652" s="3" t="s">
        <v>10</v>
      </c>
      <c r="E3652" s="5" t="s">
        <v>18</v>
      </c>
      <c r="F3652" s="17">
        <v>16.66</v>
      </c>
      <c r="G3652" s="3">
        <v>8</v>
      </c>
      <c r="H3652" s="17">
        <f>Table1[[#This Row],[Unit price]]*Table1[[#This Row],[Quantity]]</f>
        <v>133.28</v>
      </c>
      <c r="I3652" s="29">
        <f>Table1[[#This Row],[Total Revenue]]/$H$5056*100</f>
        <v>1.4140441168396379E-2</v>
      </c>
      <c r="J3652" s="3" t="s">
        <v>17</v>
      </c>
      <c r="K3652" s="4">
        <v>3.3</v>
      </c>
      <c r="M3652"/>
    </row>
    <row r="3653" spans="1:13" x14ac:dyDescent="0.25">
      <c r="A3653" s="2">
        <v>45606</v>
      </c>
      <c r="B3653" s="3" t="s">
        <v>244</v>
      </c>
      <c r="C3653" s="3" t="s">
        <v>13</v>
      </c>
      <c r="D3653" s="3" t="s">
        <v>19</v>
      </c>
      <c r="E3653" s="5" t="s">
        <v>18</v>
      </c>
      <c r="F3653" s="17">
        <v>5.37</v>
      </c>
      <c r="G3653" s="3">
        <v>3</v>
      </c>
      <c r="H3653" s="17">
        <f>Table1[[#This Row],[Unit price]]*Table1[[#This Row],[Quantity]]</f>
        <v>16.11</v>
      </c>
      <c r="I3653" s="29">
        <f>Table1[[#This Row],[Total Revenue]]/$H$5056*100</f>
        <v>1.7092024851655587E-3</v>
      </c>
      <c r="J3653" s="3" t="s">
        <v>17</v>
      </c>
      <c r="K3653" s="4">
        <v>7.8</v>
      </c>
      <c r="M3653"/>
    </row>
    <row r="3654" spans="1:13" x14ac:dyDescent="0.25">
      <c r="A3654" s="2">
        <v>45606</v>
      </c>
      <c r="B3654" s="3" t="s">
        <v>244</v>
      </c>
      <c r="C3654" s="3" t="s">
        <v>9</v>
      </c>
      <c r="D3654" s="3" t="s">
        <v>10</v>
      </c>
      <c r="E3654" s="5" t="s">
        <v>11</v>
      </c>
      <c r="F3654" s="17">
        <v>6.37</v>
      </c>
      <c r="G3654" s="3">
        <v>4</v>
      </c>
      <c r="H3654" s="17">
        <f>Table1[[#This Row],[Unit price]]*Table1[[#This Row],[Quantity]]</f>
        <v>25.48</v>
      </c>
      <c r="I3654" s="29">
        <f>Table1[[#This Row],[Total Revenue]]/$H$5056*100</f>
        <v>2.7033196351346016E-3</v>
      </c>
      <c r="J3654" s="3" t="s">
        <v>12</v>
      </c>
      <c r="K3654" s="4">
        <v>8.6999999999999993</v>
      </c>
      <c r="M3654"/>
    </row>
    <row r="3655" spans="1:13" x14ac:dyDescent="0.25">
      <c r="A3655" s="2">
        <v>45606</v>
      </c>
      <c r="B3655" s="3" t="s">
        <v>243</v>
      </c>
      <c r="C3655" s="3" t="s">
        <v>13</v>
      </c>
      <c r="D3655" s="3" t="s">
        <v>19</v>
      </c>
      <c r="E3655" s="5" t="s">
        <v>11</v>
      </c>
      <c r="F3655" s="17">
        <v>8.59</v>
      </c>
      <c r="G3655" s="3">
        <v>8</v>
      </c>
      <c r="H3655" s="17">
        <f>Table1[[#This Row],[Unit price]]*Table1[[#This Row],[Quantity]]</f>
        <v>68.72</v>
      </c>
      <c r="I3655" s="29">
        <f>Table1[[#This Row],[Total Revenue]]/$H$5056*100</f>
        <v>7.290899738086728E-3</v>
      </c>
      <c r="J3655" s="3" t="s">
        <v>17</v>
      </c>
      <c r="K3655" s="4">
        <v>4.0999999999999996</v>
      </c>
      <c r="M3655"/>
    </row>
    <row r="3656" spans="1:13" x14ac:dyDescent="0.25">
      <c r="A3656" s="2">
        <v>45606</v>
      </c>
      <c r="B3656" s="3" t="s">
        <v>244</v>
      </c>
      <c r="C3656" s="3" t="s">
        <v>9</v>
      </c>
      <c r="D3656" s="3" t="s">
        <v>10</v>
      </c>
      <c r="E3656" s="5" t="s">
        <v>20</v>
      </c>
      <c r="F3656" s="17">
        <v>60.11</v>
      </c>
      <c r="G3656" s="3">
        <v>2</v>
      </c>
      <c r="H3656" s="17">
        <f>Table1[[#This Row],[Unit price]]*Table1[[#This Row],[Quantity]]</f>
        <v>120.22</v>
      </c>
      <c r="I3656" s="29">
        <f>Table1[[#This Row],[Total Revenue]]/$H$5056*100</f>
        <v>1.2754830711769301E-2</v>
      </c>
      <c r="J3656" s="3" t="s">
        <v>17</v>
      </c>
      <c r="K3656" s="4">
        <v>8.3000000000000007</v>
      </c>
      <c r="M3656"/>
    </row>
    <row r="3657" spans="1:13" x14ac:dyDescent="0.25">
      <c r="A3657" s="2">
        <v>45606</v>
      </c>
      <c r="B3657" s="3" t="s">
        <v>245</v>
      </c>
      <c r="C3657" s="3" t="s">
        <v>13</v>
      </c>
      <c r="D3657" s="3" t="s">
        <v>19</v>
      </c>
      <c r="E3657" s="5" t="s">
        <v>21</v>
      </c>
      <c r="F3657" s="17">
        <v>36.75</v>
      </c>
      <c r="G3657" s="3">
        <v>10</v>
      </c>
      <c r="H3657" s="17">
        <f>Table1[[#This Row],[Unit price]]*Table1[[#This Row],[Quantity]]</f>
        <v>367.5</v>
      </c>
      <c r="I3657" s="29">
        <f>Table1[[#This Row],[Total Revenue]]/$H$5056*100</f>
        <v>3.8990187045210602E-2</v>
      </c>
      <c r="J3657" s="3" t="s">
        <v>12</v>
      </c>
      <c r="K3657" s="4">
        <v>4.9000000000000004</v>
      </c>
      <c r="M3657"/>
    </row>
    <row r="3658" spans="1:13" x14ac:dyDescent="0.25">
      <c r="A3658" s="2">
        <v>45606</v>
      </c>
      <c r="B3658" s="3" t="s">
        <v>244</v>
      </c>
      <c r="C3658" s="3" t="s">
        <v>9</v>
      </c>
      <c r="D3658" s="3" t="s">
        <v>19</v>
      </c>
      <c r="E3658" s="5" t="s">
        <v>16</v>
      </c>
      <c r="F3658" s="17">
        <v>54.2</v>
      </c>
      <c r="G3658" s="3">
        <v>5</v>
      </c>
      <c r="H3658" s="17">
        <f>Table1[[#This Row],[Unit price]]*Table1[[#This Row],[Quantity]]</f>
        <v>271</v>
      </c>
      <c r="I3658" s="29">
        <f>Table1[[#This Row],[Total Revenue]]/$H$5056*100</f>
        <v>2.8751947453747137E-2</v>
      </c>
      <c r="J3658" s="3" t="s">
        <v>17</v>
      </c>
      <c r="K3658" s="4">
        <v>5.0999999999999996</v>
      </c>
      <c r="M3658"/>
    </row>
    <row r="3659" spans="1:13" x14ac:dyDescent="0.25">
      <c r="A3659" s="2">
        <v>45606</v>
      </c>
      <c r="B3659" s="3" t="s">
        <v>244</v>
      </c>
      <c r="C3659" s="3" t="s">
        <v>9</v>
      </c>
      <c r="D3659" s="3" t="s">
        <v>10</v>
      </c>
      <c r="E3659" s="5" t="s">
        <v>11</v>
      </c>
      <c r="F3659" s="17">
        <v>5.15</v>
      </c>
      <c r="G3659" s="3">
        <v>6</v>
      </c>
      <c r="H3659" s="17">
        <f>Table1[[#This Row],[Unit price]]*Table1[[#This Row],[Quantity]]</f>
        <v>30.900000000000002</v>
      </c>
      <c r="I3659" s="29">
        <f>Table1[[#This Row],[Total Revenue]]/$H$5056*100</f>
        <v>3.2783585842095443E-3</v>
      </c>
      <c r="J3659" s="3" t="s">
        <v>17</v>
      </c>
      <c r="K3659" s="4">
        <v>7.5</v>
      </c>
      <c r="M3659"/>
    </row>
    <row r="3660" spans="1:13" x14ac:dyDescent="0.25">
      <c r="A3660" s="2">
        <v>45606</v>
      </c>
      <c r="B3660" s="3" t="s">
        <v>244</v>
      </c>
      <c r="C3660" s="3" t="s">
        <v>13</v>
      </c>
      <c r="D3660" s="3" t="s">
        <v>19</v>
      </c>
      <c r="E3660" s="5" t="s">
        <v>11</v>
      </c>
      <c r="F3660" s="17">
        <v>8.68</v>
      </c>
      <c r="G3660" s="3">
        <v>5</v>
      </c>
      <c r="H3660" s="17">
        <f>Table1[[#This Row],[Unit price]]*Table1[[#This Row],[Quantity]]</f>
        <v>43.4</v>
      </c>
      <c r="I3660" s="29">
        <f>Table1[[#This Row],[Total Revenue]]/$H$5056*100</f>
        <v>4.6045554224820135E-3</v>
      </c>
      <c r="J3660" s="3" t="s">
        <v>15</v>
      </c>
      <c r="K3660" s="4">
        <v>3.8</v>
      </c>
      <c r="M3660"/>
    </row>
    <row r="3661" spans="1:13" x14ac:dyDescent="0.25">
      <c r="A3661" s="2">
        <v>45606</v>
      </c>
      <c r="B3661" s="3" t="s">
        <v>245</v>
      </c>
      <c r="C3661" s="3" t="s">
        <v>9</v>
      </c>
      <c r="D3661" s="3" t="s">
        <v>10</v>
      </c>
      <c r="E3661" s="5" t="s">
        <v>18</v>
      </c>
      <c r="F3661" s="17">
        <v>15.4</v>
      </c>
      <c r="G3661" s="3">
        <v>6</v>
      </c>
      <c r="H3661" s="17">
        <f>Table1[[#This Row],[Unit price]]*Table1[[#This Row],[Quantity]]</f>
        <v>92.4</v>
      </c>
      <c r="I3661" s="29">
        <f>Table1[[#This Row],[Total Revenue]]/$H$5056*100</f>
        <v>9.8032470285100946E-3</v>
      </c>
      <c r="J3661" s="3" t="s">
        <v>17</v>
      </c>
      <c r="K3661" s="4">
        <v>7.5</v>
      </c>
      <c r="M3661"/>
    </row>
    <row r="3662" spans="1:13" x14ac:dyDescent="0.25">
      <c r="A3662" s="2">
        <v>45636</v>
      </c>
      <c r="B3662" s="3" t="s">
        <v>243</v>
      </c>
      <c r="C3662" s="3" t="s">
        <v>9</v>
      </c>
      <c r="D3662" s="3" t="s">
        <v>19</v>
      </c>
      <c r="E3662" s="5" t="s">
        <v>16</v>
      </c>
      <c r="F3662" s="17">
        <v>56.28</v>
      </c>
      <c r="G3662" s="3">
        <v>1</v>
      </c>
      <c r="H3662" s="17">
        <f>Table1[[#This Row],[Unit price]]*Table1[[#This Row],[Quantity]]</f>
        <v>56.28</v>
      </c>
      <c r="I3662" s="29">
        <f>Table1[[#This Row],[Total Revenue]]/$H$5056*100</f>
        <v>5.9710686446379667E-3</v>
      </c>
      <c r="J3662" s="3" t="s">
        <v>17</v>
      </c>
      <c r="K3662" s="4">
        <v>9</v>
      </c>
      <c r="M3662"/>
    </row>
    <row r="3663" spans="1:13" x14ac:dyDescent="0.25">
      <c r="A3663" s="2">
        <v>45636</v>
      </c>
      <c r="B3663" s="3" t="s">
        <v>244</v>
      </c>
      <c r="C3663" s="3" t="s">
        <v>13</v>
      </c>
      <c r="D3663" s="3" t="s">
        <v>19</v>
      </c>
      <c r="E3663" s="5" t="s">
        <v>11</v>
      </c>
      <c r="F3663" s="17">
        <v>8.16</v>
      </c>
      <c r="G3663" s="3">
        <v>4</v>
      </c>
      <c r="H3663" s="17">
        <f>Table1[[#This Row],[Unit price]]*Table1[[#This Row],[Quantity]]</f>
        <v>32.64</v>
      </c>
      <c r="I3663" s="29">
        <f>Table1[[#This Row],[Total Revenue]]/$H$5056*100</f>
        <v>3.4629651840970724E-3</v>
      </c>
      <c r="J3663" s="3" t="s">
        <v>17</v>
      </c>
      <c r="K3663" s="4">
        <v>7.7</v>
      </c>
      <c r="M3663"/>
    </row>
    <row r="3664" spans="1:13" x14ac:dyDescent="0.25">
      <c r="A3664" s="2">
        <v>45636</v>
      </c>
      <c r="B3664" s="3" t="s">
        <v>245</v>
      </c>
      <c r="C3664" s="3" t="s">
        <v>13</v>
      </c>
      <c r="D3664" s="3" t="s">
        <v>19</v>
      </c>
      <c r="E3664" s="5" t="s">
        <v>18</v>
      </c>
      <c r="F3664" s="17">
        <v>8.0500000000000007</v>
      </c>
      <c r="G3664" s="3">
        <v>10</v>
      </c>
      <c r="H3664" s="17">
        <f>Table1[[#This Row],[Unit price]]*Table1[[#This Row],[Quantity]]</f>
        <v>80.5</v>
      </c>
      <c r="I3664" s="29">
        <f>Table1[[#This Row],[Total Revenue]]/$H$5056*100</f>
        <v>8.5407076384747035E-3</v>
      </c>
      <c r="J3664" s="3" t="s">
        <v>12</v>
      </c>
      <c r="K3664" s="4">
        <v>6</v>
      </c>
      <c r="M3664"/>
    </row>
    <row r="3665" spans="1:13" x14ac:dyDescent="0.25">
      <c r="A3665" s="2">
        <v>45636</v>
      </c>
      <c r="B3665" s="3" t="s">
        <v>245</v>
      </c>
      <c r="C3665" s="3" t="s">
        <v>9</v>
      </c>
      <c r="D3665" s="3" t="s">
        <v>10</v>
      </c>
      <c r="E3665" s="5" t="s">
        <v>11</v>
      </c>
      <c r="F3665" s="17">
        <v>5.38</v>
      </c>
      <c r="G3665" s="3">
        <v>2</v>
      </c>
      <c r="H3665" s="17">
        <f>Table1[[#This Row],[Unit price]]*Table1[[#This Row],[Quantity]]</f>
        <v>10.76</v>
      </c>
      <c r="I3665" s="29">
        <f>Table1[[#This Row],[Total Revenue]]/$H$5056*100</f>
        <v>1.1415902383849416E-3</v>
      </c>
      <c r="J3665" s="3" t="s">
        <v>15</v>
      </c>
      <c r="K3665" s="4">
        <v>6</v>
      </c>
      <c r="M3665"/>
    </row>
    <row r="3666" spans="1:13" x14ac:dyDescent="0.25">
      <c r="A3666" s="2">
        <v>45636</v>
      </c>
      <c r="B3666" s="3" t="s">
        <v>245</v>
      </c>
      <c r="C3666" s="3" t="s">
        <v>9</v>
      </c>
      <c r="D3666" s="3" t="s">
        <v>10</v>
      </c>
      <c r="E3666" s="5" t="s">
        <v>21</v>
      </c>
      <c r="F3666" s="17">
        <v>21.55</v>
      </c>
      <c r="G3666" s="3">
        <v>3</v>
      </c>
      <c r="H3666" s="17">
        <f>Table1[[#This Row],[Unit price]]*Table1[[#This Row],[Quantity]]</f>
        <v>64.650000000000006</v>
      </c>
      <c r="I3666" s="29">
        <f>Table1[[#This Row],[Total Revenue]]/$H$5056*100</f>
        <v>6.8590900475452134E-3</v>
      </c>
      <c r="J3666" s="3" t="s">
        <v>12</v>
      </c>
      <c r="K3666" s="4">
        <v>8.1999999999999993</v>
      </c>
      <c r="M3666"/>
    </row>
    <row r="3667" spans="1:13" x14ac:dyDescent="0.25">
      <c r="A3667" s="2">
        <v>45636</v>
      </c>
      <c r="B3667" s="3" t="s">
        <v>243</v>
      </c>
      <c r="C3667" s="3" t="s">
        <v>13</v>
      </c>
      <c r="D3667" s="3" t="s">
        <v>10</v>
      </c>
      <c r="E3667" s="5" t="s">
        <v>11</v>
      </c>
      <c r="F3667" s="17">
        <v>14.87</v>
      </c>
      <c r="G3667" s="3">
        <v>9</v>
      </c>
      <c r="H3667" s="17">
        <f>Table1[[#This Row],[Unit price]]*Table1[[#This Row],[Quantity]]</f>
        <v>133.82999999999998</v>
      </c>
      <c r="I3667" s="29">
        <f>Table1[[#This Row],[Total Revenue]]/$H$5056*100</f>
        <v>1.4198793829280364E-2</v>
      </c>
      <c r="J3667" s="3" t="s">
        <v>17</v>
      </c>
      <c r="K3667" s="4">
        <v>6.8</v>
      </c>
      <c r="M3667"/>
    </row>
    <row r="3668" spans="1:13" x14ac:dyDescent="0.25">
      <c r="A3668" s="2">
        <v>45636</v>
      </c>
      <c r="B3668" s="3" t="s">
        <v>245</v>
      </c>
      <c r="C3668" s="3" t="s">
        <v>9</v>
      </c>
      <c r="D3668" s="3" t="s">
        <v>10</v>
      </c>
      <c r="E3668" s="5" t="s">
        <v>16</v>
      </c>
      <c r="F3668" s="17">
        <v>68.98</v>
      </c>
      <c r="G3668" s="3">
        <v>4</v>
      </c>
      <c r="H3668" s="17">
        <f>Table1[[#This Row],[Unit price]]*Table1[[#This Row],[Quantity]]</f>
        <v>275.92</v>
      </c>
      <c r="I3668" s="29">
        <f>Table1[[#This Row],[Total Revenue]]/$H$5056*100</f>
        <v>2.927393852929118E-2</v>
      </c>
      <c r="J3668" s="3" t="s">
        <v>17</v>
      </c>
      <c r="K3668" s="4">
        <v>3.6</v>
      </c>
      <c r="M3668"/>
    </row>
    <row r="3669" spans="1:13" x14ac:dyDescent="0.25">
      <c r="A3669" s="2">
        <v>45636</v>
      </c>
      <c r="B3669" s="3" t="s">
        <v>243</v>
      </c>
      <c r="C3669" s="3" t="s">
        <v>13</v>
      </c>
      <c r="D3669" s="3" t="s">
        <v>19</v>
      </c>
      <c r="E3669" s="5" t="s">
        <v>21</v>
      </c>
      <c r="F3669" s="17">
        <v>16.8</v>
      </c>
      <c r="G3669" s="3">
        <v>4</v>
      </c>
      <c r="H3669" s="17">
        <f>Table1[[#This Row],[Unit price]]*Table1[[#This Row],[Quantity]]</f>
        <v>67.2</v>
      </c>
      <c r="I3669" s="29">
        <f>Table1[[#This Row],[Total Revenue]]/$H$5056*100</f>
        <v>7.1296342025527967E-3</v>
      </c>
      <c r="J3669" s="3" t="s">
        <v>17</v>
      </c>
      <c r="K3669" s="4">
        <v>7</v>
      </c>
      <c r="M3669"/>
    </row>
    <row r="3670" spans="1:13" x14ac:dyDescent="0.25">
      <c r="A3670" s="2">
        <v>45636</v>
      </c>
      <c r="B3670" s="3" t="s">
        <v>245</v>
      </c>
      <c r="C3670" s="3" t="s">
        <v>13</v>
      </c>
      <c r="D3670" s="3" t="s">
        <v>10</v>
      </c>
      <c r="E3670" s="5" t="s">
        <v>11</v>
      </c>
      <c r="F3670" s="17">
        <v>8.9700000000000006</v>
      </c>
      <c r="G3670" s="3">
        <v>9</v>
      </c>
      <c r="H3670" s="17">
        <f>Table1[[#This Row],[Unit price]]*Table1[[#This Row],[Quantity]]</f>
        <v>80.73</v>
      </c>
      <c r="I3670" s="29">
        <f>Table1[[#This Row],[Total Revenue]]/$H$5056*100</f>
        <v>8.5651096602989175E-3</v>
      </c>
      <c r="J3670" s="3" t="s">
        <v>12</v>
      </c>
      <c r="K3670" s="4">
        <v>8.5</v>
      </c>
      <c r="M3670"/>
    </row>
    <row r="3671" spans="1:13" x14ac:dyDescent="0.25">
      <c r="A3671" s="2">
        <v>45636</v>
      </c>
      <c r="B3671" s="3" t="s">
        <v>244</v>
      </c>
      <c r="C3671" s="3" t="s">
        <v>9</v>
      </c>
      <c r="D3671" s="3" t="s">
        <v>19</v>
      </c>
      <c r="E3671" s="5" t="s">
        <v>18</v>
      </c>
      <c r="F3671" s="17">
        <v>19.510000000000002</v>
      </c>
      <c r="G3671" s="3">
        <v>7</v>
      </c>
      <c r="H3671" s="17">
        <f>Table1[[#This Row],[Unit price]]*Table1[[#This Row],[Quantity]]</f>
        <v>136.57000000000002</v>
      </c>
      <c r="I3671" s="29">
        <f>Table1[[#This Row],[Total Revenue]]/$H$5056*100</f>
        <v>1.4489496176229693E-2</v>
      </c>
      <c r="J3671" s="3" t="s">
        <v>15</v>
      </c>
      <c r="K3671" s="4">
        <v>5.3</v>
      </c>
      <c r="M3671"/>
    </row>
    <row r="3672" spans="1:13" x14ac:dyDescent="0.25">
      <c r="A3672" s="2">
        <v>45636</v>
      </c>
      <c r="B3672" s="3" t="s">
        <v>245</v>
      </c>
      <c r="C3672" s="3" t="s">
        <v>9</v>
      </c>
      <c r="D3672" s="3" t="s">
        <v>10</v>
      </c>
      <c r="E3672" s="5" t="s">
        <v>18</v>
      </c>
      <c r="F3672" s="17">
        <v>14.22</v>
      </c>
      <c r="G3672" s="3">
        <v>4</v>
      </c>
      <c r="H3672" s="17">
        <f>Table1[[#This Row],[Unit price]]*Table1[[#This Row],[Quantity]]</f>
        <v>56.88</v>
      </c>
      <c r="I3672" s="29">
        <f>Table1[[#This Row],[Total Revenue]]/$H$5056*100</f>
        <v>6.0347260928750451E-3</v>
      </c>
      <c r="J3672" s="3" t="s">
        <v>15</v>
      </c>
      <c r="K3672" s="4">
        <v>9.3000000000000007</v>
      </c>
      <c r="M3672"/>
    </row>
    <row r="3673" spans="1:13" x14ac:dyDescent="0.25">
      <c r="A3673" s="2">
        <v>45636</v>
      </c>
      <c r="B3673" s="3" t="s">
        <v>245</v>
      </c>
      <c r="C3673" s="3" t="s">
        <v>9</v>
      </c>
      <c r="D3673" s="3" t="s">
        <v>10</v>
      </c>
      <c r="E3673" s="5" t="s">
        <v>20</v>
      </c>
      <c r="F3673" s="17">
        <v>65.16</v>
      </c>
      <c r="G3673" s="3">
        <v>7</v>
      </c>
      <c r="H3673" s="17">
        <f>Table1[[#This Row],[Unit price]]*Table1[[#This Row],[Quantity]]</f>
        <v>456.12</v>
      </c>
      <c r="I3673" s="29">
        <f>Table1[[#This Row],[Total Revenue]]/$H$5056*100</f>
        <v>4.8392392149827101E-2</v>
      </c>
      <c r="J3673" s="3" t="s">
        <v>15</v>
      </c>
      <c r="K3673" s="4">
        <v>8.1</v>
      </c>
      <c r="M3673"/>
    </row>
    <row r="3674" spans="1:13" x14ac:dyDescent="0.25">
      <c r="A3674" s="2">
        <v>45636</v>
      </c>
      <c r="B3674" s="3" t="s">
        <v>243</v>
      </c>
      <c r="C3674" s="3" t="s">
        <v>13</v>
      </c>
      <c r="D3674" s="3" t="s">
        <v>19</v>
      </c>
      <c r="E3674" s="5" t="s">
        <v>11</v>
      </c>
      <c r="F3674" s="17">
        <v>14.72</v>
      </c>
      <c r="G3674" s="3">
        <v>7</v>
      </c>
      <c r="H3674" s="17">
        <f>Table1[[#This Row],[Unit price]]*Table1[[#This Row],[Quantity]]</f>
        <v>103.04</v>
      </c>
      <c r="I3674" s="29">
        <f>Table1[[#This Row],[Total Revenue]]/$H$5056*100</f>
        <v>1.0932105777247621E-2</v>
      </c>
      <c r="J3674" s="3" t="s">
        <v>12</v>
      </c>
      <c r="K3674" s="4">
        <v>6.9</v>
      </c>
      <c r="M3674"/>
    </row>
    <row r="3675" spans="1:13" x14ac:dyDescent="0.25">
      <c r="A3675" s="3" t="s">
        <v>187</v>
      </c>
      <c r="B3675" s="3" t="s">
        <v>244</v>
      </c>
      <c r="C3675" s="3" t="s">
        <v>9</v>
      </c>
      <c r="D3675" s="3" t="s">
        <v>19</v>
      </c>
      <c r="E3675" s="5" t="s">
        <v>18</v>
      </c>
      <c r="F3675" s="17">
        <v>17.62</v>
      </c>
      <c r="G3675" s="3">
        <v>9</v>
      </c>
      <c r="H3675" s="17">
        <f>Table1[[#This Row],[Unit price]]*Table1[[#This Row],[Quantity]]</f>
        <v>158.58000000000001</v>
      </c>
      <c r="I3675" s="29">
        <f>Table1[[#This Row],[Total Revenue]]/$H$5056*100</f>
        <v>1.6824663569059855E-2</v>
      </c>
      <c r="J3675" s="3" t="s">
        <v>15</v>
      </c>
      <c r="K3675" s="4">
        <v>8.1</v>
      </c>
      <c r="M3675"/>
    </row>
    <row r="3676" spans="1:13" x14ac:dyDescent="0.25">
      <c r="A3676" s="3" t="s">
        <v>187</v>
      </c>
      <c r="B3676" s="3" t="s">
        <v>245</v>
      </c>
      <c r="C3676" s="3" t="s">
        <v>9</v>
      </c>
      <c r="D3676" s="3" t="s">
        <v>10</v>
      </c>
      <c r="E3676" s="5" t="s">
        <v>11</v>
      </c>
      <c r="F3676" s="17">
        <v>4.83</v>
      </c>
      <c r="G3676" s="3">
        <v>3</v>
      </c>
      <c r="H3676" s="17">
        <f>Table1[[#This Row],[Unit price]]*Table1[[#This Row],[Quantity]]</f>
        <v>14.49</v>
      </c>
      <c r="I3676" s="29">
        <f>Table1[[#This Row],[Total Revenue]]/$H$5056*100</f>
        <v>1.5373273749254466E-3</v>
      </c>
      <c r="J3676" s="3" t="s">
        <v>15</v>
      </c>
      <c r="K3676" s="4">
        <v>3.5</v>
      </c>
      <c r="M3676"/>
    </row>
    <row r="3677" spans="1:13" x14ac:dyDescent="0.25">
      <c r="A3677" s="3" t="s">
        <v>187</v>
      </c>
      <c r="B3677" s="3" t="s">
        <v>243</v>
      </c>
      <c r="C3677" s="3" t="s">
        <v>13</v>
      </c>
      <c r="D3677" s="3" t="s">
        <v>10</v>
      </c>
      <c r="E3677" s="5" t="s">
        <v>21</v>
      </c>
      <c r="F3677" s="17">
        <v>35.549999999999997</v>
      </c>
      <c r="G3677" s="3">
        <v>1</v>
      </c>
      <c r="H3677" s="17">
        <f>Table1[[#This Row],[Unit price]]*Table1[[#This Row],[Quantity]]</f>
        <v>35.549999999999997</v>
      </c>
      <c r="I3677" s="29">
        <f>Table1[[#This Row],[Total Revenue]]/$H$5056*100</f>
        <v>3.7717038080469028E-3</v>
      </c>
      <c r="J3677" s="3" t="s">
        <v>15</v>
      </c>
      <c r="K3677" s="4">
        <v>8.8000000000000007</v>
      </c>
      <c r="M3677"/>
    </row>
    <row r="3678" spans="1:13" x14ac:dyDescent="0.25">
      <c r="A3678" s="3" t="s">
        <v>187</v>
      </c>
      <c r="B3678" s="3" t="s">
        <v>244</v>
      </c>
      <c r="C3678" s="3" t="s">
        <v>9</v>
      </c>
      <c r="D3678" s="3" t="s">
        <v>10</v>
      </c>
      <c r="E3678" s="5" t="s">
        <v>20</v>
      </c>
      <c r="F3678" s="17">
        <v>65.760000000000005</v>
      </c>
      <c r="G3678" s="3">
        <v>5</v>
      </c>
      <c r="H3678" s="17">
        <f>Table1[[#This Row],[Unit price]]*Table1[[#This Row],[Quantity]]</f>
        <v>328.8</v>
      </c>
      <c r="I3678" s="29">
        <f>Table1[[#This Row],[Total Revenue]]/$H$5056*100</f>
        <v>3.4884281633919031E-2</v>
      </c>
      <c r="J3678" s="3" t="s">
        <v>12</v>
      </c>
      <c r="K3678" s="4">
        <v>8.6</v>
      </c>
      <c r="M3678"/>
    </row>
    <row r="3679" spans="1:13" x14ac:dyDescent="0.25">
      <c r="A3679" s="3" t="s">
        <v>187</v>
      </c>
      <c r="B3679" s="3" t="s">
        <v>245</v>
      </c>
      <c r="C3679" s="3" t="s">
        <v>13</v>
      </c>
      <c r="D3679" s="3" t="s">
        <v>19</v>
      </c>
      <c r="E3679" s="5" t="s">
        <v>18</v>
      </c>
      <c r="F3679" s="17">
        <v>20.61</v>
      </c>
      <c r="G3679" s="3">
        <v>8</v>
      </c>
      <c r="H3679" s="17">
        <f>Table1[[#This Row],[Unit price]]*Table1[[#This Row],[Quantity]]</f>
        <v>164.88</v>
      </c>
      <c r="I3679" s="29">
        <f>Table1[[#This Row],[Total Revenue]]/$H$5056*100</f>
        <v>1.7493066775549182E-2</v>
      </c>
      <c r="J3679" s="3" t="s">
        <v>15</v>
      </c>
      <c r="K3679" s="4">
        <v>9.1999999999999993</v>
      </c>
      <c r="M3679"/>
    </row>
    <row r="3680" spans="1:13" x14ac:dyDescent="0.25">
      <c r="A3680" s="3" t="s">
        <v>187</v>
      </c>
      <c r="B3680" s="3" t="s">
        <v>245</v>
      </c>
      <c r="C3680" s="3" t="s">
        <v>13</v>
      </c>
      <c r="D3680" s="3" t="s">
        <v>19</v>
      </c>
      <c r="E3680" s="5" t="s">
        <v>16</v>
      </c>
      <c r="F3680" s="17">
        <v>60.93</v>
      </c>
      <c r="G3680" s="3">
        <v>7</v>
      </c>
      <c r="H3680" s="17">
        <f>Table1[[#This Row],[Unit price]]*Table1[[#This Row],[Quantity]]</f>
        <v>426.51</v>
      </c>
      <c r="I3680" s="29">
        <f>Table1[[#This Row],[Total Revenue]]/$H$5056*100</f>
        <v>4.5250897079327272E-2</v>
      </c>
      <c r="J3680" s="3" t="s">
        <v>17</v>
      </c>
      <c r="K3680" s="4">
        <v>3.9</v>
      </c>
      <c r="M3680"/>
    </row>
    <row r="3681" spans="1:13" x14ac:dyDescent="0.25">
      <c r="A3681" s="3" t="s">
        <v>187</v>
      </c>
      <c r="B3681" s="3" t="s">
        <v>243</v>
      </c>
      <c r="C3681" s="3" t="s">
        <v>13</v>
      </c>
      <c r="D3681" s="3" t="s">
        <v>19</v>
      </c>
      <c r="E3681" s="5" t="s">
        <v>18</v>
      </c>
      <c r="F3681" s="17">
        <v>21.61</v>
      </c>
      <c r="G3681" s="3">
        <v>3</v>
      </c>
      <c r="H3681" s="17">
        <f>Table1[[#This Row],[Unit price]]*Table1[[#This Row],[Quantity]]</f>
        <v>64.83</v>
      </c>
      <c r="I3681" s="29">
        <f>Table1[[#This Row],[Total Revenue]]/$H$5056*100</f>
        <v>6.8781872820163356E-3</v>
      </c>
      <c r="J3681" s="3" t="s">
        <v>15</v>
      </c>
      <c r="K3681" s="4">
        <v>3.6</v>
      </c>
      <c r="M3681"/>
    </row>
    <row r="3682" spans="1:13" x14ac:dyDescent="0.25">
      <c r="A3682" s="3" t="s">
        <v>187</v>
      </c>
      <c r="B3682" s="3" t="s">
        <v>244</v>
      </c>
      <c r="C3682" s="3" t="s">
        <v>9</v>
      </c>
      <c r="D3682" s="3" t="s">
        <v>19</v>
      </c>
      <c r="E3682" s="5" t="s">
        <v>20</v>
      </c>
      <c r="F3682" s="17">
        <v>43.69</v>
      </c>
      <c r="G3682" s="3">
        <v>2</v>
      </c>
      <c r="H3682" s="17">
        <f>Table1[[#This Row],[Unit price]]*Table1[[#This Row],[Quantity]]</f>
        <v>87.38</v>
      </c>
      <c r="I3682" s="29">
        <f>Table1[[#This Row],[Total Revenue]]/$H$5056*100</f>
        <v>9.27064637825987E-3</v>
      </c>
      <c r="J3682" s="3" t="s">
        <v>15</v>
      </c>
      <c r="K3682" s="4">
        <v>3.9</v>
      </c>
      <c r="M3682"/>
    </row>
    <row r="3683" spans="1:13" x14ac:dyDescent="0.25">
      <c r="A3683" s="3" t="s">
        <v>187</v>
      </c>
      <c r="B3683" s="3" t="s">
        <v>245</v>
      </c>
      <c r="C3683" s="3" t="s">
        <v>9</v>
      </c>
      <c r="D3683" s="3" t="s">
        <v>10</v>
      </c>
      <c r="E3683" s="5" t="s">
        <v>14</v>
      </c>
      <c r="F3683" s="17">
        <v>92.67</v>
      </c>
      <c r="G3683" s="3">
        <v>7</v>
      </c>
      <c r="H3683" s="17">
        <f>Table1[[#This Row],[Unit price]]*Table1[[#This Row],[Quantity]]</f>
        <v>648.69000000000005</v>
      </c>
      <c r="I3683" s="29">
        <f>Table1[[#This Row],[Total Revenue]]/$H$5056*100</f>
        <v>6.8823250161517469E-2</v>
      </c>
      <c r="J3683" s="3" t="s">
        <v>17</v>
      </c>
      <c r="K3683" s="4">
        <v>5.7</v>
      </c>
      <c r="M3683"/>
    </row>
    <row r="3684" spans="1:13" x14ac:dyDescent="0.25">
      <c r="A3684" s="3" t="s">
        <v>187</v>
      </c>
      <c r="B3684" s="3" t="s">
        <v>245</v>
      </c>
      <c r="C3684" s="3" t="s">
        <v>9</v>
      </c>
      <c r="D3684" s="3" t="s">
        <v>10</v>
      </c>
      <c r="E3684" s="5" t="s">
        <v>11</v>
      </c>
      <c r="F3684" s="17">
        <v>12.99</v>
      </c>
      <c r="G3684" s="3">
        <v>7</v>
      </c>
      <c r="H3684" s="17">
        <f>Table1[[#This Row],[Unit price]]*Table1[[#This Row],[Quantity]]</f>
        <v>90.93</v>
      </c>
      <c r="I3684" s="29">
        <f>Table1[[#This Row],[Total Revenue]]/$H$5056*100</f>
        <v>9.6472862803292526E-3</v>
      </c>
      <c r="J3684" s="3" t="s">
        <v>12</v>
      </c>
      <c r="K3684" s="4">
        <v>5.9</v>
      </c>
      <c r="M3684"/>
    </row>
    <row r="3685" spans="1:13" x14ac:dyDescent="0.25">
      <c r="A3685" s="3" t="s">
        <v>187</v>
      </c>
      <c r="B3685" s="3" t="s">
        <v>244</v>
      </c>
      <c r="C3685" s="3" t="s">
        <v>9</v>
      </c>
      <c r="D3685" s="3" t="s">
        <v>19</v>
      </c>
      <c r="E3685" s="5" t="s">
        <v>21</v>
      </c>
      <c r="F3685" s="17">
        <v>27.6</v>
      </c>
      <c r="G3685" s="3">
        <v>5</v>
      </c>
      <c r="H3685" s="17">
        <f>Table1[[#This Row],[Unit price]]*Table1[[#This Row],[Quantity]]</f>
        <v>138</v>
      </c>
      <c r="I3685" s="29">
        <f>Table1[[#This Row],[Total Revenue]]/$H$5056*100</f>
        <v>1.4641213094528061E-2</v>
      </c>
      <c r="J3685" s="3" t="s">
        <v>17</v>
      </c>
      <c r="K3685" s="4">
        <v>6.8</v>
      </c>
      <c r="M3685"/>
    </row>
    <row r="3686" spans="1:13" x14ac:dyDescent="0.25">
      <c r="A3686" s="3" t="s">
        <v>187</v>
      </c>
      <c r="B3686" s="3" t="s">
        <v>244</v>
      </c>
      <c r="C3686" s="3" t="s">
        <v>13</v>
      </c>
      <c r="D3686" s="3" t="s">
        <v>10</v>
      </c>
      <c r="E3686" s="5" t="s">
        <v>21</v>
      </c>
      <c r="F3686" s="17">
        <v>25.06</v>
      </c>
      <c r="G3686" s="3">
        <v>9</v>
      </c>
      <c r="H3686" s="17">
        <f>Table1[[#This Row],[Unit price]]*Table1[[#This Row],[Quantity]]</f>
        <v>225.54</v>
      </c>
      <c r="I3686" s="29">
        <f>Table1[[#This Row],[Total Revenue]]/$H$5056*100</f>
        <v>2.3928834792317819E-2</v>
      </c>
      <c r="J3686" s="3" t="s">
        <v>12</v>
      </c>
      <c r="K3686" s="4">
        <v>3.8</v>
      </c>
      <c r="M3686"/>
    </row>
    <row r="3687" spans="1:13" x14ac:dyDescent="0.25">
      <c r="A3687" s="3" t="s">
        <v>188</v>
      </c>
      <c r="B3687" s="3" t="s">
        <v>244</v>
      </c>
      <c r="C3687" s="3" t="s">
        <v>13</v>
      </c>
      <c r="D3687" s="3" t="s">
        <v>19</v>
      </c>
      <c r="E3687" s="5" t="s">
        <v>11</v>
      </c>
      <c r="F3687" s="17">
        <v>3.84</v>
      </c>
      <c r="G3687" s="3">
        <v>8</v>
      </c>
      <c r="H3687" s="17">
        <f>Table1[[#This Row],[Unit price]]*Table1[[#This Row],[Quantity]]</f>
        <v>30.72</v>
      </c>
      <c r="I3687" s="29">
        <f>Table1[[#This Row],[Total Revenue]]/$H$5056*100</f>
        <v>3.2592613497384212E-3</v>
      </c>
      <c r="J3687" s="3" t="s">
        <v>17</v>
      </c>
      <c r="K3687" s="4">
        <v>4.4000000000000004</v>
      </c>
      <c r="M3687"/>
    </row>
    <row r="3688" spans="1:13" x14ac:dyDescent="0.25">
      <c r="A3688" s="3" t="s">
        <v>188</v>
      </c>
      <c r="B3688" s="3" t="s">
        <v>243</v>
      </c>
      <c r="C3688" s="3" t="s">
        <v>9</v>
      </c>
      <c r="D3688" s="3" t="s">
        <v>19</v>
      </c>
      <c r="E3688" s="5" t="s">
        <v>16</v>
      </c>
      <c r="F3688" s="17">
        <v>76.69</v>
      </c>
      <c r="G3688" s="3">
        <v>8</v>
      </c>
      <c r="H3688" s="17">
        <f>Table1[[#This Row],[Unit price]]*Table1[[#This Row],[Quantity]]</f>
        <v>613.52</v>
      </c>
      <c r="I3688" s="29">
        <f>Table1[[#This Row],[Total Revenue]]/$H$5056*100</f>
        <v>6.5091862737354039E-2</v>
      </c>
      <c r="J3688" s="3" t="s">
        <v>17</v>
      </c>
      <c r="K3688" s="4">
        <v>8.5</v>
      </c>
      <c r="M3688"/>
    </row>
    <row r="3689" spans="1:13" x14ac:dyDescent="0.25">
      <c r="A3689" s="3" t="s">
        <v>188</v>
      </c>
      <c r="B3689" s="3" t="s">
        <v>245</v>
      </c>
      <c r="C3689" s="3" t="s">
        <v>13</v>
      </c>
      <c r="D3689" s="3" t="s">
        <v>10</v>
      </c>
      <c r="E3689" s="5" t="s">
        <v>18</v>
      </c>
      <c r="F3689" s="17">
        <v>5.71</v>
      </c>
      <c r="G3689" s="3">
        <v>4</v>
      </c>
      <c r="H3689" s="17">
        <f>Table1[[#This Row],[Unit price]]*Table1[[#This Row],[Quantity]]</f>
        <v>22.84</v>
      </c>
      <c r="I3689" s="29">
        <f>Table1[[#This Row],[Total Revenue]]/$H$5056*100</f>
        <v>2.4232268628914563E-3</v>
      </c>
      <c r="J3689" s="3" t="s">
        <v>17</v>
      </c>
      <c r="K3689" s="4">
        <v>6.2</v>
      </c>
      <c r="M3689"/>
    </row>
    <row r="3690" spans="1:13" x14ac:dyDescent="0.25">
      <c r="A3690" s="3" t="s">
        <v>188</v>
      </c>
      <c r="B3690" s="3" t="s">
        <v>243</v>
      </c>
      <c r="C3690" s="3" t="s">
        <v>13</v>
      </c>
      <c r="D3690" s="3" t="s">
        <v>19</v>
      </c>
      <c r="E3690" s="5" t="s">
        <v>11</v>
      </c>
      <c r="F3690" s="17">
        <v>9.17</v>
      </c>
      <c r="G3690" s="3">
        <v>4</v>
      </c>
      <c r="H3690" s="17">
        <f>Table1[[#This Row],[Unit price]]*Table1[[#This Row],[Quantity]]</f>
        <v>36.68</v>
      </c>
      <c r="I3690" s="29">
        <f>Table1[[#This Row],[Total Revenue]]/$H$5056*100</f>
        <v>3.8915920022267346E-3</v>
      </c>
      <c r="J3690" s="3" t="s">
        <v>15</v>
      </c>
      <c r="K3690" s="4">
        <v>8.5</v>
      </c>
      <c r="M3690"/>
    </row>
    <row r="3691" spans="1:13" x14ac:dyDescent="0.25">
      <c r="A3691" s="3" t="s">
        <v>188</v>
      </c>
      <c r="B3691" s="3" t="s">
        <v>245</v>
      </c>
      <c r="C3691" s="3" t="s">
        <v>9</v>
      </c>
      <c r="D3691" s="3" t="s">
        <v>19</v>
      </c>
      <c r="E3691" s="5" t="s">
        <v>20</v>
      </c>
      <c r="F3691" s="17">
        <v>64.88</v>
      </c>
      <c r="G3691" s="3">
        <v>7</v>
      </c>
      <c r="H3691" s="17">
        <f>Table1[[#This Row],[Unit price]]*Table1[[#This Row],[Quantity]]</f>
        <v>454.15999999999997</v>
      </c>
      <c r="I3691" s="29">
        <f>Table1[[#This Row],[Total Revenue]]/$H$5056*100</f>
        <v>4.8184444485585974E-2</v>
      </c>
      <c r="J3691" s="3" t="s">
        <v>15</v>
      </c>
      <c r="K3691" s="4">
        <v>3.1</v>
      </c>
      <c r="M3691"/>
    </row>
    <row r="3692" spans="1:13" x14ac:dyDescent="0.25">
      <c r="A3692" s="3" t="s">
        <v>188</v>
      </c>
      <c r="B3692" s="3" t="s">
        <v>243</v>
      </c>
      <c r="C3692" s="3" t="s">
        <v>9</v>
      </c>
      <c r="D3692" s="3" t="s">
        <v>19</v>
      </c>
      <c r="E3692" s="5" t="s">
        <v>18</v>
      </c>
      <c r="F3692" s="17">
        <v>18.52</v>
      </c>
      <c r="G3692" s="3">
        <v>5</v>
      </c>
      <c r="H3692" s="17">
        <f>Table1[[#This Row],[Unit price]]*Table1[[#This Row],[Quantity]]</f>
        <v>92.6</v>
      </c>
      <c r="I3692" s="29">
        <f>Table1[[#This Row],[Total Revenue]]/$H$5056*100</f>
        <v>9.8244661779224515E-3</v>
      </c>
      <c r="J3692" s="3" t="s">
        <v>12</v>
      </c>
      <c r="K3692" s="4">
        <v>6.8</v>
      </c>
      <c r="M3692"/>
    </row>
    <row r="3693" spans="1:13" x14ac:dyDescent="0.25">
      <c r="A3693" s="3" t="s">
        <v>188</v>
      </c>
      <c r="B3693" s="3" t="s">
        <v>243</v>
      </c>
      <c r="C3693" s="3" t="s">
        <v>13</v>
      </c>
      <c r="D3693" s="3" t="s">
        <v>10</v>
      </c>
      <c r="E3693" s="5" t="s">
        <v>11</v>
      </c>
      <c r="F3693" s="17">
        <v>6.24</v>
      </c>
      <c r="G3693" s="3">
        <v>8</v>
      </c>
      <c r="H3693" s="17">
        <f>Table1[[#This Row],[Unit price]]*Table1[[#This Row],[Quantity]]</f>
        <v>49.92</v>
      </c>
      <c r="I3693" s="29">
        <f>Table1[[#This Row],[Total Revenue]]/$H$5056*100</f>
        <v>5.2962996933249339E-3</v>
      </c>
      <c r="J3693" s="3" t="s">
        <v>17</v>
      </c>
      <c r="K3693" s="4">
        <v>9.3000000000000007</v>
      </c>
      <c r="M3693"/>
    </row>
    <row r="3694" spans="1:13" x14ac:dyDescent="0.25">
      <c r="A3694" s="3" t="s">
        <v>188</v>
      </c>
      <c r="B3694" s="3" t="s">
        <v>245</v>
      </c>
      <c r="C3694" s="3" t="s">
        <v>13</v>
      </c>
      <c r="D3694" s="3" t="s">
        <v>19</v>
      </c>
      <c r="E3694" s="5" t="s">
        <v>14</v>
      </c>
      <c r="F3694" s="17">
        <v>87.35</v>
      </c>
      <c r="G3694" s="3">
        <v>7</v>
      </c>
      <c r="H3694" s="17">
        <f>Table1[[#This Row],[Unit price]]*Table1[[#This Row],[Quantity]]</f>
        <v>611.44999999999993</v>
      </c>
      <c r="I3694" s="29">
        <f>Table1[[#This Row],[Total Revenue]]/$H$5056*100</f>
        <v>6.4872244540936111E-2</v>
      </c>
      <c r="J3694" s="3" t="s">
        <v>17</v>
      </c>
      <c r="K3694" s="4">
        <v>7</v>
      </c>
      <c r="M3694"/>
    </row>
    <row r="3695" spans="1:13" x14ac:dyDescent="0.25">
      <c r="A3695" s="3" t="s">
        <v>188</v>
      </c>
      <c r="B3695" s="3" t="s">
        <v>244</v>
      </c>
      <c r="C3695" s="3" t="s">
        <v>13</v>
      </c>
      <c r="D3695" s="3" t="s">
        <v>19</v>
      </c>
      <c r="E3695" s="5" t="s">
        <v>21</v>
      </c>
      <c r="F3695" s="17">
        <v>37.53</v>
      </c>
      <c r="G3695" s="3">
        <v>3</v>
      </c>
      <c r="H3695" s="17">
        <f>Table1[[#This Row],[Unit price]]*Table1[[#This Row],[Quantity]]</f>
        <v>112.59</v>
      </c>
      <c r="I3695" s="29">
        <f>Table1[[#This Row],[Total Revenue]]/$H$5056*100</f>
        <v>1.1945320161687787E-2</v>
      </c>
      <c r="J3695" s="3" t="s">
        <v>12</v>
      </c>
      <c r="K3695" s="4">
        <v>4.4000000000000004</v>
      </c>
      <c r="M3695"/>
    </row>
    <row r="3696" spans="1:13" x14ac:dyDescent="0.25">
      <c r="A3696" s="3" t="s">
        <v>188</v>
      </c>
      <c r="B3696" s="3" t="s">
        <v>244</v>
      </c>
      <c r="C3696" s="3" t="s">
        <v>13</v>
      </c>
      <c r="D3696" s="3" t="s">
        <v>10</v>
      </c>
      <c r="E3696" s="5" t="s">
        <v>14</v>
      </c>
      <c r="F3696" s="17">
        <v>81.91</v>
      </c>
      <c r="G3696" s="3">
        <v>5</v>
      </c>
      <c r="H3696" s="17">
        <f>Table1[[#This Row],[Unit price]]*Table1[[#This Row],[Quantity]]</f>
        <v>409.54999999999995</v>
      </c>
      <c r="I3696" s="29">
        <f>Table1[[#This Row],[Total Revenue]]/$H$5056*100</f>
        <v>4.3451513209159187E-2</v>
      </c>
      <c r="J3696" s="3" t="s">
        <v>12</v>
      </c>
      <c r="K3696" s="4">
        <v>7.9</v>
      </c>
      <c r="M3696"/>
    </row>
    <row r="3697" spans="1:13" x14ac:dyDescent="0.25">
      <c r="A3697" s="3" t="s">
        <v>188</v>
      </c>
      <c r="B3697" s="3" t="s">
        <v>243</v>
      </c>
      <c r="C3697" s="3" t="s">
        <v>9</v>
      </c>
      <c r="D3697" s="3" t="s">
        <v>19</v>
      </c>
      <c r="E3697" s="5" t="s">
        <v>11</v>
      </c>
      <c r="F3697" s="17">
        <v>4.1900000000000004</v>
      </c>
      <c r="G3697" s="3">
        <v>5</v>
      </c>
      <c r="H3697" s="17">
        <f>Table1[[#This Row],[Unit price]]*Table1[[#This Row],[Quantity]]</f>
        <v>20.950000000000003</v>
      </c>
      <c r="I3697" s="29">
        <f>Table1[[#This Row],[Total Revenue]]/$H$5056*100</f>
        <v>2.2227059009446589E-3</v>
      </c>
      <c r="J3697" s="3" t="s">
        <v>12</v>
      </c>
      <c r="K3697" s="4">
        <v>5.6</v>
      </c>
      <c r="M3697"/>
    </row>
    <row r="3698" spans="1:13" x14ac:dyDescent="0.25">
      <c r="A3698" s="3" t="s">
        <v>188</v>
      </c>
      <c r="B3698" s="3" t="s">
        <v>243</v>
      </c>
      <c r="C3698" s="3" t="s">
        <v>13</v>
      </c>
      <c r="D3698" s="3" t="s">
        <v>19</v>
      </c>
      <c r="E3698" s="5" t="s">
        <v>18</v>
      </c>
      <c r="F3698" s="17">
        <v>15.81</v>
      </c>
      <c r="G3698" s="3">
        <v>2</v>
      </c>
      <c r="H3698" s="17">
        <f>Table1[[#This Row],[Unit price]]*Table1[[#This Row],[Quantity]]</f>
        <v>31.62</v>
      </c>
      <c r="I3698" s="29">
        <f>Table1[[#This Row],[Total Revenue]]/$H$5056*100</f>
        <v>3.3547475220940389E-3</v>
      </c>
      <c r="J3698" s="3" t="s">
        <v>12</v>
      </c>
      <c r="K3698" s="4">
        <v>7.5</v>
      </c>
      <c r="M3698"/>
    </row>
    <row r="3699" spans="1:13" x14ac:dyDescent="0.25">
      <c r="A3699" s="3" t="s">
        <v>188</v>
      </c>
      <c r="B3699" s="3" t="s">
        <v>245</v>
      </c>
      <c r="C3699" s="3" t="s">
        <v>13</v>
      </c>
      <c r="D3699" s="3" t="s">
        <v>10</v>
      </c>
      <c r="E3699" s="5" t="s">
        <v>11</v>
      </c>
      <c r="F3699" s="17">
        <v>14.55</v>
      </c>
      <c r="G3699" s="3">
        <v>3</v>
      </c>
      <c r="H3699" s="17">
        <f>Table1[[#This Row],[Unit price]]*Table1[[#This Row],[Quantity]]</f>
        <v>43.650000000000006</v>
      </c>
      <c r="I3699" s="29">
        <f>Table1[[#This Row],[Total Revenue]]/$H$5056*100</f>
        <v>4.6310793592474631E-3</v>
      </c>
      <c r="J3699" s="3" t="s">
        <v>15</v>
      </c>
      <c r="K3699" s="4">
        <v>3.2</v>
      </c>
      <c r="M3699"/>
    </row>
    <row r="3700" spans="1:13" x14ac:dyDescent="0.25">
      <c r="A3700" s="3" t="s">
        <v>188</v>
      </c>
      <c r="B3700" s="3" t="s">
        <v>244</v>
      </c>
      <c r="C3700" s="3" t="s">
        <v>13</v>
      </c>
      <c r="D3700" s="3" t="s">
        <v>19</v>
      </c>
      <c r="E3700" s="5" t="s">
        <v>16</v>
      </c>
      <c r="F3700" s="17">
        <v>66.400000000000006</v>
      </c>
      <c r="G3700" s="3">
        <v>4</v>
      </c>
      <c r="H3700" s="17">
        <f>Table1[[#This Row],[Unit price]]*Table1[[#This Row],[Quantity]]</f>
        <v>265.60000000000002</v>
      </c>
      <c r="I3700" s="29">
        <f>Table1[[#This Row],[Total Revenue]]/$H$5056*100</f>
        <v>2.8179030419613435E-2</v>
      </c>
      <c r="J3700" s="3" t="s">
        <v>17</v>
      </c>
      <c r="K3700" s="4">
        <v>7.3</v>
      </c>
      <c r="M3700"/>
    </row>
    <row r="3701" spans="1:13" x14ac:dyDescent="0.25">
      <c r="A3701" s="3" t="s">
        <v>188</v>
      </c>
      <c r="B3701" s="3" t="s">
        <v>244</v>
      </c>
      <c r="C3701" s="3" t="s">
        <v>13</v>
      </c>
      <c r="D3701" s="3" t="s">
        <v>10</v>
      </c>
      <c r="E3701" s="5" t="s">
        <v>21</v>
      </c>
      <c r="F3701" s="17">
        <v>25.26</v>
      </c>
      <c r="G3701" s="3">
        <v>8</v>
      </c>
      <c r="H3701" s="17">
        <f>Table1[[#This Row],[Unit price]]*Table1[[#This Row],[Quantity]]</f>
        <v>202.08</v>
      </c>
      <c r="I3701" s="29">
        <f>Table1[[#This Row],[Total Revenue]]/$H$5056*100</f>
        <v>2.1439828566248053E-2</v>
      </c>
      <c r="J3701" s="3" t="s">
        <v>15</v>
      </c>
      <c r="K3701" s="4">
        <v>3.2</v>
      </c>
      <c r="M3701"/>
    </row>
    <row r="3702" spans="1:13" x14ac:dyDescent="0.25">
      <c r="A3702" s="3" t="s">
        <v>188</v>
      </c>
      <c r="B3702" s="3" t="s">
        <v>244</v>
      </c>
      <c r="C3702" s="3" t="s">
        <v>9</v>
      </c>
      <c r="D3702" s="3" t="s">
        <v>10</v>
      </c>
      <c r="E3702" s="5" t="s">
        <v>21</v>
      </c>
      <c r="F3702" s="17">
        <v>27.99</v>
      </c>
      <c r="G3702" s="3">
        <v>6</v>
      </c>
      <c r="H3702" s="17">
        <f>Table1[[#This Row],[Unit price]]*Table1[[#This Row],[Quantity]]</f>
        <v>167.94</v>
      </c>
      <c r="I3702" s="29">
        <f>Table1[[#This Row],[Total Revenue]]/$H$5056*100</f>
        <v>1.7817719761558281E-2</v>
      </c>
      <c r="J3702" s="3" t="s">
        <v>17</v>
      </c>
      <c r="K3702" s="4">
        <v>8.1</v>
      </c>
      <c r="M3702"/>
    </row>
    <row r="3703" spans="1:13" x14ac:dyDescent="0.25">
      <c r="A3703" s="3" t="s">
        <v>188</v>
      </c>
      <c r="B3703" s="3" t="s">
        <v>245</v>
      </c>
      <c r="C3703" s="3" t="s">
        <v>9</v>
      </c>
      <c r="D3703" s="3" t="s">
        <v>19</v>
      </c>
      <c r="E3703" s="5" t="s">
        <v>21</v>
      </c>
      <c r="F3703" s="17">
        <v>36.619999999999997</v>
      </c>
      <c r="G3703" s="3">
        <v>10</v>
      </c>
      <c r="H3703" s="17">
        <f>Table1[[#This Row],[Unit price]]*Table1[[#This Row],[Quantity]]</f>
        <v>366.2</v>
      </c>
      <c r="I3703" s="29">
        <f>Table1[[#This Row],[Total Revenue]]/$H$5056*100</f>
        <v>3.8852262574030266E-2</v>
      </c>
      <c r="J3703" s="3" t="s">
        <v>15</v>
      </c>
      <c r="K3703" s="4">
        <v>6.2</v>
      </c>
      <c r="M3703"/>
    </row>
    <row r="3704" spans="1:13" x14ac:dyDescent="0.25">
      <c r="A3704" s="3" t="s">
        <v>188</v>
      </c>
      <c r="B3704" s="3" t="s">
        <v>243</v>
      </c>
      <c r="C3704" s="3" t="s">
        <v>13</v>
      </c>
      <c r="D3704" s="3" t="s">
        <v>10</v>
      </c>
      <c r="E3704" s="5" t="s">
        <v>14</v>
      </c>
      <c r="F3704" s="17">
        <v>84.82</v>
      </c>
      <c r="G3704" s="3">
        <v>4</v>
      </c>
      <c r="H3704" s="17">
        <f>Table1[[#This Row],[Unit price]]*Table1[[#This Row],[Quantity]]</f>
        <v>339.28</v>
      </c>
      <c r="I3704" s="29">
        <f>Table1[[#This Row],[Total Revenue]]/$H$5056*100</f>
        <v>3.5996165063126667E-2</v>
      </c>
      <c r="J3704" s="3" t="s">
        <v>12</v>
      </c>
      <c r="K3704" s="4">
        <v>3.8</v>
      </c>
      <c r="M3704"/>
    </row>
    <row r="3705" spans="1:13" x14ac:dyDescent="0.25">
      <c r="A3705" s="3" t="s">
        <v>189</v>
      </c>
      <c r="B3705" s="3" t="s">
        <v>243</v>
      </c>
      <c r="C3705" s="3" t="s">
        <v>13</v>
      </c>
      <c r="D3705" s="3" t="s">
        <v>19</v>
      </c>
      <c r="E3705" s="5" t="s">
        <v>18</v>
      </c>
      <c r="F3705" s="17">
        <v>20</v>
      </c>
      <c r="G3705" s="3">
        <v>6</v>
      </c>
      <c r="H3705" s="17">
        <f>Table1[[#This Row],[Unit price]]*Table1[[#This Row],[Quantity]]</f>
        <v>120</v>
      </c>
      <c r="I3705" s="29">
        <f>Table1[[#This Row],[Total Revenue]]/$H$5056*100</f>
        <v>1.2731489647415706E-2</v>
      </c>
      <c r="J3705" s="3" t="s">
        <v>17</v>
      </c>
      <c r="K3705" s="4">
        <v>6.7</v>
      </c>
      <c r="M3705"/>
    </row>
    <row r="3706" spans="1:13" x14ac:dyDescent="0.25">
      <c r="A3706" s="3" t="s">
        <v>189</v>
      </c>
      <c r="B3706" s="3" t="s">
        <v>245</v>
      </c>
      <c r="C3706" s="3" t="s">
        <v>13</v>
      </c>
      <c r="D3706" s="3" t="s">
        <v>10</v>
      </c>
      <c r="E3706" s="5" t="s">
        <v>18</v>
      </c>
      <c r="F3706" s="17">
        <v>11.96</v>
      </c>
      <c r="G3706" s="3">
        <v>8</v>
      </c>
      <c r="H3706" s="17">
        <f>Table1[[#This Row],[Unit price]]*Table1[[#This Row],[Quantity]]</f>
        <v>95.68</v>
      </c>
      <c r="I3706" s="29">
        <f>Table1[[#This Row],[Total Revenue]]/$H$5056*100</f>
        <v>1.015124107887279E-2</v>
      </c>
      <c r="J3706" s="3" t="s">
        <v>17</v>
      </c>
      <c r="K3706" s="4">
        <v>3.5</v>
      </c>
      <c r="M3706"/>
    </row>
    <row r="3707" spans="1:13" x14ac:dyDescent="0.25">
      <c r="A3707" s="3" t="s">
        <v>189</v>
      </c>
      <c r="B3707" s="3" t="s">
        <v>245</v>
      </c>
      <c r="C3707" s="3" t="s">
        <v>13</v>
      </c>
      <c r="D3707" s="3" t="s">
        <v>19</v>
      </c>
      <c r="E3707" s="5" t="s">
        <v>20</v>
      </c>
      <c r="F3707" s="17">
        <v>59.34</v>
      </c>
      <c r="G3707" s="3">
        <v>5</v>
      </c>
      <c r="H3707" s="17">
        <f>Table1[[#This Row],[Unit price]]*Table1[[#This Row],[Quantity]]</f>
        <v>296.70000000000005</v>
      </c>
      <c r="I3707" s="29">
        <f>Table1[[#This Row],[Total Revenue]]/$H$5056*100</f>
        <v>3.1478608153235339E-2</v>
      </c>
      <c r="J3707" s="3" t="s">
        <v>17</v>
      </c>
      <c r="K3707" s="4">
        <v>7.4</v>
      </c>
      <c r="M3707"/>
    </row>
    <row r="3708" spans="1:13" x14ac:dyDescent="0.25">
      <c r="A3708" s="3" t="s">
        <v>189</v>
      </c>
      <c r="B3708" s="3" t="s">
        <v>244</v>
      </c>
      <c r="C3708" s="3" t="s">
        <v>9</v>
      </c>
      <c r="D3708" s="3" t="s">
        <v>19</v>
      </c>
      <c r="E3708" s="5" t="s">
        <v>14</v>
      </c>
      <c r="F3708" s="17">
        <v>81.3</v>
      </c>
      <c r="G3708" s="3">
        <v>8</v>
      </c>
      <c r="H3708" s="17">
        <f>Table1[[#This Row],[Unit price]]*Table1[[#This Row],[Quantity]]</f>
        <v>650.4</v>
      </c>
      <c r="I3708" s="29">
        <f>Table1[[#This Row],[Total Revenue]]/$H$5056*100</f>
        <v>6.9004673888993132E-2</v>
      </c>
      <c r="J3708" s="3" t="s">
        <v>12</v>
      </c>
      <c r="K3708" s="4">
        <v>9.8000000000000007</v>
      </c>
      <c r="M3708"/>
    </row>
    <row r="3709" spans="1:13" x14ac:dyDescent="0.25">
      <c r="A3709" s="3" t="s">
        <v>189</v>
      </c>
      <c r="B3709" s="3" t="s">
        <v>245</v>
      </c>
      <c r="C3709" s="3" t="s">
        <v>9</v>
      </c>
      <c r="D3709" s="3" t="s">
        <v>19</v>
      </c>
      <c r="E3709" s="5" t="s">
        <v>14</v>
      </c>
      <c r="F3709" s="17">
        <v>91.9</v>
      </c>
      <c r="G3709" s="3">
        <v>7</v>
      </c>
      <c r="H3709" s="17">
        <f>Table1[[#This Row],[Unit price]]*Table1[[#This Row],[Quantity]]</f>
        <v>643.30000000000007</v>
      </c>
      <c r="I3709" s="29">
        <f>Table1[[#This Row],[Total Revenue]]/$H$5056*100</f>
        <v>6.825139408485438E-2</v>
      </c>
      <c r="J3709" s="3" t="s">
        <v>15</v>
      </c>
      <c r="K3709" s="4">
        <v>8.1999999999999993</v>
      </c>
      <c r="M3709"/>
    </row>
    <row r="3710" spans="1:13" x14ac:dyDescent="0.25">
      <c r="A3710" s="3" t="s">
        <v>189</v>
      </c>
      <c r="B3710" s="3" t="s">
        <v>244</v>
      </c>
      <c r="C3710" s="3" t="s">
        <v>13</v>
      </c>
      <c r="D3710" s="3" t="s">
        <v>10</v>
      </c>
      <c r="E3710" s="5" t="s">
        <v>14</v>
      </c>
      <c r="F3710" s="17">
        <v>92.39</v>
      </c>
      <c r="G3710" s="3">
        <v>3</v>
      </c>
      <c r="H3710" s="17">
        <f>Table1[[#This Row],[Unit price]]*Table1[[#This Row],[Quantity]]</f>
        <v>277.17</v>
      </c>
      <c r="I3710" s="29">
        <f>Table1[[#This Row],[Total Revenue]]/$H$5056*100</f>
        <v>2.9406558213118428E-2</v>
      </c>
      <c r="J3710" s="3" t="s">
        <v>12</v>
      </c>
      <c r="K3710" s="4">
        <v>6.9</v>
      </c>
      <c r="M3710"/>
    </row>
    <row r="3711" spans="1:13" x14ac:dyDescent="0.25">
      <c r="A3711" s="3" t="s">
        <v>189</v>
      </c>
      <c r="B3711" s="3" t="s">
        <v>244</v>
      </c>
      <c r="C3711" s="3" t="s">
        <v>9</v>
      </c>
      <c r="D3711" s="3" t="s">
        <v>19</v>
      </c>
      <c r="E3711" s="5" t="s">
        <v>16</v>
      </c>
      <c r="F3711" s="17">
        <v>51.8</v>
      </c>
      <c r="G3711" s="3">
        <v>1</v>
      </c>
      <c r="H3711" s="17">
        <f>Table1[[#This Row],[Unit price]]*Table1[[#This Row],[Quantity]]</f>
        <v>51.8</v>
      </c>
      <c r="I3711" s="29">
        <f>Table1[[#This Row],[Total Revenue]]/$H$5056*100</f>
        <v>5.4957596978011131E-3</v>
      </c>
      <c r="J3711" s="3" t="s">
        <v>17</v>
      </c>
      <c r="K3711" s="4">
        <v>3.7</v>
      </c>
      <c r="M3711"/>
    </row>
    <row r="3712" spans="1:13" x14ac:dyDescent="0.25">
      <c r="A3712" s="3" t="s">
        <v>189</v>
      </c>
      <c r="B3712" s="3" t="s">
        <v>244</v>
      </c>
      <c r="C3712" s="3" t="s">
        <v>9</v>
      </c>
      <c r="D3712" s="3" t="s">
        <v>10</v>
      </c>
      <c r="E3712" s="5" t="s">
        <v>20</v>
      </c>
      <c r="F3712" s="17">
        <v>44.73</v>
      </c>
      <c r="G3712" s="3">
        <v>4</v>
      </c>
      <c r="H3712" s="17">
        <f>Table1[[#This Row],[Unit price]]*Table1[[#This Row],[Quantity]]</f>
        <v>178.92</v>
      </c>
      <c r="I3712" s="29">
        <f>Table1[[#This Row],[Total Revenue]]/$H$5056*100</f>
        <v>1.8982651064296814E-2</v>
      </c>
      <c r="J3712" s="3" t="s">
        <v>12</v>
      </c>
      <c r="K3712" s="4">
        <v>7.8</v>
      </c>
      <c r="M3712"/>
    </row>
    <row r="3713" spans="1:13" x14ac:dyDescent="0.25">
      <c r="A3713" s="3" t="s">
        <v>189</v>
      </c>
      <c r="B3713" s="3" t="s">
        <v>244</v>
      </c>
      <c r="C3713" s="3" t="s">
        <v>13</v>
      </c>
      <c r="D3713" s="3" t="s">
        <v>10</v>
      </c>
      <c r="E3713" s="5" t="s">
        <v>21</v>
      </c>
      <c r="F3713" s="17">
        <v>19.600000000000001</v>
      </c>
      <c r="G3713" s="3">
        <v>9</v>
      </c>
      <c r="H3713" s="17">
        <f>Table1[[#This Row],[Unit price]]*Table1[[#This Row],[Quantity]]</f>
        <v>176.4</v>
      </c>
      <c r="I3713" s="29">
        <f>Table1[[#This Row],[Total Revenue]]/$H$5056*100</f>
        <v>1.8715289781701089E-2</v>
      </c>
      <c r="J3713" s="3" t="s">
        <v>15</v>
      </c>
      <c r="K3713" s="4">
        <v>7.5</v>
      </c>
      <c r="M3713"/>
    </row>
    <row r="3714" spans="1:13" x14ac:dyDescent="0.25">
      <c r="A3714" s="3" t="s">
        <v>189</v>
      </c>
      <c r="B3714" s="3" t="s">
        <v>245</v>
      </c>
      <c r="C3714" s="3" t="s">
        <v>9</v>
      </c>
      <c r="D3714" s="3" t="s">
        <v>19</v>
      </c>
      <c r="E3714" s="5" t="s">
        <v>11</v>
      </c>
      <c r="F3714" s="17">
        <v>13.28</v>
      </c>
      <c r="G3714" s="3">
        <v>10</v>
      </c>
      <c r="H3714" s="17">
        <f>Table1[[#This Row],[Unit price]]*Table1[[#This Row],[Quantity]]</f>
        <v>132.79999999999998</v>
      </c>
      <c r="I3714" s="29">
        <f>Table1[[#This Row],[Total Revenue]]/$H$5056*100</f>
        <v>1.4089515209806714E-2</v>
      </c>
      <c r="J3714" s="3" t="s">
        <v>15</v>
      </c>
      <c r="K3714" s="4">
        <v>3.3</v>
      </c>
      <c r="M3714"/>
    </row>
    <row r="3715" spans="1:13" x14ac:dyDescent="0.25">
      <c r="A3715" s="3" t="s">
        <v>189</v>
      </c>
      <c r="B3715" s="3" t="s">
        <v>245</v>
      </c>
      <c r="C3715" s="3" t="s">
        <v>13</v>
      </c>
      <c r="D3715" s="3" t="s">
        <v>10</v>
      </c>
      <c r="E3715" s="5" t="s">
        <v>11</v>
      </c>
      <c r="F3715" s="17">
        <v>13.47</v>
      </c>
      <c r="G3715" s="3">
        <v>1</v>
      </c>
      <c r="H3715" s="17">
        <f>Table1[[#This Row],[Unit price]]*Table1[[#This Row],[Quantity]]</f>
        <v>13.47</v>
      </c>
      <c r="I3715" s="29">
        <f>Table1[[#This Row],[Total Revenue]]/$H$5056*100</f>
        <v>1.429109712922413E-3</v>
      </c>
      <c r="J3715" s="3" t="s">
        <v>15</v>
      </c>
      <c r="K3715" s="4">
        <v>8.4</v>
      </c>
      <c r="M3715"/>
    </row>
    <row r="3716" spans="1:13" x14ac:dyDescent="0.25">
      <c r="A3716" s="3" t="s">
        <v>189</v>
      </c>
      <c r="B3716" s="3" t="s">
        <v>243</v>
      </c>
      <c r="C3716" s="3" t="s">
        <v>9</v>
      </c>
      <c r="D3716" s="3" t="s">
        <v>19</v>
      </c>
      <c r="E3716" s="5" t="s">
        <v>20</v>
      </c>
      <c r="F3716" s="17">
        <v>40.54</v>
      </c>
      <c r="G3716" s="3">
        <v>2</v>
      </c>
      <c r="H3716" s="17">
        <f>Table1[[#This Row],[Unit price]]*Table1[[#This Row],[Quantity]]</f>
        <v>81.08</v>
      </c>
      <c r="I3716" s="29">
        <f>Table1[[#This Row],[Total Revenue]]/$H$5056*100</f>
        <v>8.6022431717705464E-3</v>
      </c>
      <c r="J3716" s="3" t="s">
        <v>17</v>
      </c>
      <c r="K3716" s="4">
        <v>6.5</v>
      </c>
      <c r="M3716"/>
    </row>
    <row r="3717" spans="1:13" x14ac:dyDescent="0.25">
      <c r="A3717" s="3" t="s">
        <v>189</v>
      </c>
      <c r="B3717" s="3" t="s">
        <v>245</v>
      </c>
      <c r="C3717" s="3" t="s">
        <v>13</v>
      </c>
      <c r="D3717" s="3" t="s">
        <v>10</v>
      </c>
      <c r="E3717" s="5" t="s">
        <v>20</v>
      </c>
      <c r="F3717" s="17">
        <v>52.02</v>
      </c>
      <c r="G3717" s="3">
        <v>2</v>
      </c>
      <c r="H3717" s="17">
        <f>Table1[[#This Row],[Unit price]]*Table1[[#This Row],[Quantity]]</f>
        <v>104.04</v>
      </c>
      <c r="I3717" s="29">
        <f>Table1[[#This Row],[Total Revenue]]/$H$5056*100</f>
        <v>1.1038201524309418E-2</v>
      </c>
      <c r="J3717" s="3" t="s">
        <v>15</v>
      </c>
      <c r="K3717" s="4">
        <v>5.9</v>
      </c>
      <c r="M3717"/>
    </row>
    <row r="3718" spans="1:13" x14ac:dyDescent="0.25">
      <c r="A3718" s="3" t="s">
        <v>189</v>
      </c>
      <c r="B3718" s="3" t="s">
        <v>244</v>
      </c>
      <c r="C3718" s="3" t="s">
        <v>9</v>
      </c>
      <c r="D3718" s="3" t="s">
        <v>10</v>
      </c>
      <c r="E3718" s="5" t="s">
        <v>21</v>
      </c>
      <c r="F3718" s="17">
        <v>39.04</v>
      </c>
      <c r="G3718" s="3">
        <v>4</v>
      </c>
      <c r="H3718" s="17">
        <f>Table1[[#This Row],[Unit price]]*Table1[[#This Row],[Quantity]]</f>
        <v>156.16</v>
      </c>
      <c r="I3718" s="29">
        <f>Table1[[#This Row],[Total Revenue]]/$H$5056*100</f>
        <v>1.6567911861170303E-2</v>
      </c>
      <c r="J3718" s="3" t="s">
        <v>12</v>
      </c>
      <c r="K3718" s="4">
        <v>8.4</v>
      </c>
      <c r="M3718"/>
    </row>
    <row r="3719" spans="1:13" x14ac:dyDescent="0.25">
      <c r="A3719" s="3" t="s">
        <v>189</v>
      </c>
      <c r="B3719" s="3" t="s">
        <v>243</v>
      </c>
      <c r="C3719" s="3" t="s">
        <v>13</v>
      </c>
      <c r="D3719" s="3" t="s">
        <v>10</v>
      </c>
      <c r="E3719" s="5" t="s">
        <v>21</v>
      </c>
      <c r="F3719" s="17">
        <v>23.85</v>
      </c>
      <c r="G3719" s="3">
        <v>8</v>
      </c>
      <c r="H3719" s="17">
        <f>Table1[[#This Row],[Unit price]]*Table1[[#This Row],[Quantity]]</f>
        <v>190.8</v>
      </c>
      <c r="I3719" s="29">
        <f>Table1[[#This Row],[Total Revenue]]/$H$5056*100</f>
        <v>2.0243068539390976E-2</v>
      </c>
      <c r="J3719" s="3" t="s">
        <v>12</v>
      </c>
      <c r="K3719" s="4">
        <v>5.8</v>
      </c>
      <c r="M3719"/>
    </row>
    <row r="3720" spans="1:13" x14ac:dyDescent="0.25">
      <c r="A3720" s="3" t="s">
        <v>189</v>
      </c>
      <c r="B3720" s="3" t="s">
        <v>243</v>
      </c>
      <c r="C3720" s="3" t="s">
        <v>13</v>
      </c>
      <c r="D3720" s="3" t="s">
        <v>19</v>
      </c>
      <c r="E3720" s="5" t="s">
        <v>20</v>
      </c>
      <c r="F3720" s="17">
        <v>49.51</v>
      </c>
      <c r="G3720" s="3">
        <v>1</v>
      </c>
      <c r="H3720" s="17">
        <f>Table1[[#This Row],[Unit price]]*Table1[[#This Row],[Quantity]]</f>
        <v>49.51</v>
      </c>
      <c r="I3720" s="29">
        <f>Table1[[#This Row],[Total Revenue]]/$H$5056*100</f>
        <v>5.2528004370295967E-3</v>
      </c>
      <c r="J3720" s="3" t="s">
        <v>15</v>
      </c>
      <c r="K3720" s="4">
        <v>6.3</v>
      </c>
      <c r="M3720"/>
    </row>
    <row r="3721" spans="1:13" x14ac:dyDescent="0.25">
      <c r="A3721" s="3" t="s">
        <v>189</v>
      </c>
      <c r="B3721" s="3" t="s">
        <v>245</v>
      </c>
      <c r="C3721" s="3" t="s">
        <v>9</v>
      </c>
      <c r="D3721" s="3" t="s">
        <v>10</v>
      </c>
      <c r="E3721" s="5" t="s">
        <v>21</v>
      </c>
      <c r="F3721" s="17">
        <v>33.04</v>
      </c>
      <c r="G3721" s="3">
        <v>6</v>
      </c>
      <c r="H3721" s="17">
        <f>Table1[[#This Row],[Unit price]]*Table1[[#This Row],[Quantity]]</f>
        <v>198.24</v>
      </c>
      <c r="I3721" s="29">
        <f>Table1[[#This Row],[Total Revenue]]/$H$5056*100</f>
        <v>2.1032420897530747E-2</v>
      </c>
      <c r="J3721" s="3" t="s">
        <v>17</v>
      </c>
      <c r="K3721" s="4">
        <v>4.2</v>
      </c>
      <c r="M3721"/>
    </row>
    <row r="3722" spans="1:13" x14ac:dyDescent="0.25">
      <c r="A3722" s="3" t="s">
        <v>189</v>
      </c>
      <c r="B3722" s="3" t="s">
        <v>243</v>
      </c>
      <c r="C3722" s="3" t="s">
        <v>13</v>
      </c>
      <c r="D3722" s="3" t="s">
        <v>10</v>
      </c>
      <c r="E3722" s="5" t="s">
        <v>20</v>
      </c>
      <c r="F3722" s="17">
        <v>66.69</v>
      </c>
      <c r="G3722" s="3">
        <v>2</v>
      </c>
      <c r="H3722" s="17">
        <f>Table1[[#This Row],[Unit price]]*Table1[[#This Row],[Quantity]]</f>
        <v>133.38</v>
      </c>
      <c r="I3722" s="29">
        <f>Table1[[#This Row],[Total Revenue]]/$H$5056*100</f>
        <v>1.4151050743102557E-2</v>
      </c>
      <c r="J3722" s="3" t="s">
        <v>15</v>
      </c>
      <c r="K3722" s="4">
        <v>5.2</v>
      </c>
      <c r="M3722"/>
    </row>
    <row r="3723" spans="1:13" x14ac:dyDescent="0.25">
      <c r="A3723" s="3" t="s">
        <v>190</v>
      </c>
      <c r="B3723" s="3" t="s">
        <v>245</v>
      </c>
      <c r="C3723" s="3" t="s">
        <v>13</v>
      </c>
      <c r="D3723" s="3" t="s">
        <v>10</v>
      </c>
      <c r="E3723" s="5" t="s">
        <v>11</v>
      </c>
      <c r="F3723" s="17">
        <v>12</v>
      </c>
      <c r="G3723" s="3">
        <v>7</v>
      </c>
      <c r="H3723" s="17">
        <f>Table1[[#This Row],[Unit price]]*Table1[[#This Row],[Quantity]]</f>
        <v>84</v>
      </c>
      <c r="I3723" s="29">
        <f>Table1[[#This Row],[Total Revenue]]/$H$5056*100</f>
        <v>8.9120427531909942E-3</v>
      </c>
      <c r="J3723" s="3" t="s">
        <v>17</v>
      </c>
      <c r="K3723" s="4">
        <v>8.6999999999999993</v>
      </c>
      <c r="M3723"/>
    </row>
    <row r="3724" spans="1:13" x14ac:dyDescent="0.25">
      <c r="A3724" s="3" t="s">
        <v>190</v>
      </c>
      <c r="B3724" s="3" t="s">
        <v>245</v>
      </c>
      <c r="C3724" s="3" t="s">
        <v>9</v>
      </c>
      <c r="D3724" s="3" t="s">
        <v>19</v>
      </c>
      <c r="E3724" s="5" t="s">
        <v>21</v>
      </c>
      <c r="F3724" s="17">
        <v>19.61</v>
      </c>
      <c r="G3724" s="3">
        <v>1</v>
      </c>
      <c r="H3724" s="17">
        <f>Table1[[#This Row],[Unit price]]*Table1[[#This Row],[Quantity]]</f>
        <v>19.61</v>
      </c>
      <c r="I3724" s="29">
        <f>Table1[[#This Row],[Total Revenue]]/$H$5056*100</f>
        <v>2.0805375998818503E-3</v>
      </c>
      <c r="J3724" s="3" t="s">
        <v>12</v>
      </c>
      <c r="K3724" s="4">
        <v>4.3</v>
      </c>
      <c r="M3724"/>
    </row>
    <row r="3725" spans="1:13" x14ac:dyDescent="0.25">
      <c r="A3725" s="3" t="s">
        <v>190</v>
      </c>
      <c r="B3725" s="3" t="s">
        <v>244</v>
      </c>
      <c r="C3725" s="3" t="s">
        <v>13</v>
      </c>
      <c r="D3725" s="3" t="s">
        <v>10</v>
      </c>
      <c r="E3725" s="5" t="s">
        <v>21</v>
      </c>
      <c r="F3725" s="17">
        <v>18.399999999999999</v>
      </c>
      <c r="G3725" s="3">
        <v>3</v>
      </c>
      <c r="H3725" s="17">
        <f>Table1[[#This Row],[Unit price]]*Table1[[#This Row],[Quantity]]</f>
        <v>55.199999999999996</v>
      </c>
      <c r="I3725" s="29">
        <f>Table1[[#This Row],[Total Revenue]]/$H$5056*100</f>
        <v>5.8564852378112245E-3</v>
      </c>
      <c r="J3725" s="3" t="s">
        <v>17</v>
      </c>
      <c r="K3725" s="4">
        <v>5.8</v>
      </c>
      <c r="M3725"/>
    </row>
    <row r="3726" spans="1:13" x14ac:dyDescent="0.25">
      <c r="A3726" s="3" t="s">
        <v>190</v>
      </c>
      <c r="B3726" s="3" t="s">
        <v>245</v>
      </c>
      <c r="C3726" s="3" t="s">
        <v>9</v>
      </c>
      <c r="D3726" s="3" t="s">
        <v>19</v>
      </c>
      <c r="E3726" s="5" t="s">
        <v>11</v>
      </c>
      <c r="F3726" s="17">
        <v>13.63</v>
      </c>
      <c r="G3726" s="3">
        <v>6</v>
      </c>
      <c r="H3726" s="17">
        <f>Table1[[#This Row],[Unit price]]*Table1[[#This Row],[Quantity]]</f>
        <v>81.78</v>
      </c>
      <c r="I3726" s="29">
        <f>Table1[[#This Row],[Total Revenue]]/$H$5056*100</f>
        <v>8.6765101947138042E-3</v>
      </c>
      <c r="J3726" s="3" t="s">
        <v>12</v>
      </c>
      <c r="K3726" s="4">
        <v>9.6999999999999993</v>
      </c>
      <c r="M3726"/>
    </row>
    <row r="3727" spans="1:13" x14ac:dyDescent="0.25">
      <c r="A3727" s="3" t="s">
        <v>190</v>
      </c>
      <c r="B3727" s="3" t="s">
        <v>245</v>
      </c>
      <c r="C3727" s="3" t="s">
        <v>9</v>
      </c>
      <c r="D3727" s="3" t="s">
        <v>10</v>
      </c>
      <c r="E3727" s="5" t="s">
        <v>11</v>
      </c>
      <c r="F3727" s="17">
        <v>9.99</v>
      </c>
      <c r="G3727" s="3">
        <v>4</v>
      </c>
      <c r="H3727" s="17">
        <f>Table1[[#This Row],[Unit price]]*Table1[[#This Row],[Quantity]]</f>
        <v>39.96</v>
      </c>
      <c r="I3727" s="29">
        <f>Table1[[#This Row],[Total Revenue]]/$H$5056*100</f>
        <v>4.2395860525894303E-3</v>
      </c>
      <c r="J3727" s="3" t="s">
        <v>12</v>
      </c>
      <c r="K3727" s="4">
        <v>4.5999999999999996</v>
      </c>
      <c r="M3727"/>
    </row>
    <row r="3728" spans="1:13" x14ac:dyDescent="0.25">
      <c r="A3728" s="3" t="s">
        <v>190</v>
      </c>
      <c r="B3728" s="3" t="s">
        <v>245</v>
      </c>
      <c r="C3728" s="3" t="s">
        <v>9</v>
      </c>
      <c r="D3728" s="3" t="s">
        <v>10</v>
      </c>
      <c r="E3728" s="5" t="s">
        <v>11</v>
      </c>
      <c r="F3728" s="17">
        <v>5.38</v>
      </c>
      <c r="G3728" s="3">
        <v>1</v>
      </c>
      <c r="H3728" s="17">
        <f>Table1[[#This Row],[Unit price]]*Table1[[#This Row],[Quantity]]</f>
        <v>5.38</v>
      </c>
      <c r="I3728" s="29">
        <f>Table1[[#This Row],[Total Revenue]]/$H$5056*100</f>
        <v>5.7079511919247081E-4</v>
      </c>
      <c r="J3728" s="3" t="s">
        <v>15</v>
      </c>
      <c r="K3728" s="4">
        <v>9.1999999999999993</v>
      </c>
      <c r="M3728"/>
    </row>
    <row r="3729" spans="1:13" x14ac:dyDescent="0.25">
      <c r="A3729" s="3" t="s">
        <v>190</v>
      </c>
      <c r="B3729" s="3" t="s">
        <v>245</v>
      </c>
      <c r="C3729" s="3" t="s">
        <v>9</v>
      </c>
      <c r="D3729" s="3" t="s">
        <v>19</v>
      </c>
      <c r="E3729" s="5" t="s">
        <v>11</v>
      </c>
      <c r="F3729" s="17">
        <v>8.0299999999999994</v>
      </c>
      <c r="G3729" s="3">
        <v>10</v>
      </c>
      <c r="H3729" s="17">
        <f>Table1[[#This Row],[Unit price]]*Table1[[#This Row],[Quantity]]</f>
        <v>80.3</v>
      </c>
      <c r="I3729" s="29">
        <f>Table1[[#This Row],[Total Revenue]]/$H$5056*100</f>
        <v>8.5194884890623431E-3</v>
      </c>
      <c r="J3729" s="3" t="s">
        <v>15</v>
      </c>
      <c r="K3729" s="4">
        <v>9.1999999999999993</v>
      </c>
      <c r="M3729"/>
    </row>
    <row r="3730" spans="1:13" x14ac:dyDescent="0.25">
      <c r="A3730" s="3" t="s">
        <v>190</v>
      </c>
      <c r="B3730" s="3" t="s">
        <v>244</v>
      </c>
      <c r="C3730" s="3" t="s">
        <v>13</v>
      </c>
      <c r="D3730" s="3" t="s">
        <v>19</v>
      </c>
      <c r="E3730" s="5" t="s">
        <v>18</v>
      </c>
      <c r="F3730" s="17">
        <v>13.56</v>
      </c>
      <c r="G3730" s="3">
        <v>9</v>
      </c>
      <c r="H3730" s="17">
        <f>Table1[[#This Row],[Unit price]]*Table1[[#This Row],[Quantity]]</f>
        <v>122.04</v>
      </c>
      <c r="I3730" s="29">
        <f>Table1[[#This Row],[Total Revenue]]/$H$5056*100</f>
        <v>1.2947924971421776E-2</v>
      </c>
      <c r="J3730" s="3" t="s">
        <v>15</v>
      </c>
      <c r="K3730" s="4">
        <v>3.6</v>
      </c>
      <c r="M3730"/>
    </row>
    <row r="3731" spans="1:13" x14ac:dyDescent="0.25">
      <c r="A3731" s="3" t="s">
        <v>190</v>
      </c>
      <c r="B3731" s="3" t="s">
        <v>244</v>
      </c>
      <c r="C3731" s="3" t="s">
        <v>9</v>
      </c>
      <c r="D3731" s="3" t="s">
        <v>10</v>
      </c>
      <c r="E3731" s="5" t="s">
        <v>21</v>
      </c>
      <c r="F3731" s="17">
        <v>38.01</v>
      </c>
      <c r="G3731" s="3">
        <v>6</v>
      </c>
      <c r="H3731" s="17">
        <f>Table1[[#This Row],[Unit price]]*Table1[[#This Row],[Quantity]]</f>
        <v>228.06</v>
      </c>
      <c r="I3731" s="29">
        <f>Table1[[#This Row],[Total Revenue]]/$H$5056*100</f>
        <v>2.4196196074913551E-2</v>
      </c>
      <c r="J3731" s="3" t="s">
        <v>12</v>
      </c>
      <c r="K3731" s="4">
        <v>6.2</v>
      </c>
      <c r="M3731"/>
    </row>
    <row r="3732" spans="1:13" x14ac:dyDescent="0.25">
      <c r="A3732" s="3" t="s">
        <v>190</v>
      </c>
      <c r="B3732" s="3" t="s">
        <v>244</v>
      </c>
      <c r="C3732" s="3" t="s">
        <v>9</v>
      </c>
      <c r="D3732" s="3" t="s">
        <v>10</v>
      </c>
      <c r="E3732" s="5" t="s">
        <v>21</v>
      </c>
      <c r="F3732" s="17">
        <v>27.95</v>
      </c>
      <c r="G3732" s="3">
        <v>4</v>
      </c>
      <c r="H3732" s="17">
        <f>Table1[[#This Row],[Unit price]]*Table1[[#This Row],[Quantity]]</f>
        <v>111.8</v>
      </c>
      <c r="I3732" s="29">
        <f>Table1[[#This Row],[Total Revenue]]/$H$5056*100</f>
        <v>1.1861504521508966E-2</v>
      </c>
      <c r="J3732" s="3" t="s">
        <v>17</v>
      </c>
      <c r="K3732" s="4">
        <v>6.4</v>
      </c>
      <c r="M3732"/>
    </row>
    <row r="3733" spans="1:13" x14ac:dyDescent="0.25">
      <c r="A3733" s="3" t="s">
        <v>190</v>
      </c>
      <c r="B3733" s="3" t="s">
        <v>243</v>
      </c>
      <c r="C3733" s="3" t="s">
        <v>13</v>
      </c>
      <c r="D3733" s="3" t="s">
        <v>19</v>
      </c>
      <c r="E3733" s="5" t="s">
        <v>11</v>
      </c>
      <c r="F3733" s="17">
        <v>4.07</v>
      </c>
      <c r="G3733" s="3">
        <v>3</v>
      </c>
      <c r="H3733" s="17">
        <f>Table1[[#This Row],[Unit price]]*Table1[[#This Row],[Quantity]]</f>
        <v>12.21</v>
      </c>
      <c r="I3733" s="29">
        <f>Table1[[#This Row],[Total Revenue]]/$H$5056*100</f>
        <v>1.2954290716245482E-3</v>
      </c>
      <c r="J3733" s="3" t="s">
        <v>12</v>
      </c>
      <c r="K3733" s="4">
        <v>5.0999999999999996</v>
      </c>
      <c r="M3733"/>
    </row>
    <row r="3734" spans="1:13" x14ac:dyDescent="0.25">
      <c r="A3734" s="3" t="s">
        <v>190</v>
      </c>
      <c r="B3734" s="3" t="s">
        <v>243</v>
      </c>
      <c r="C3734" s="3" t="s">
        <v>13</v>
      </c>
      <c r="D3734" s="3" t="s">
        <v>10</v>
      </c>
      <c r="E3734" s="5" t="s">
        <v>11</v>
      </c>
      <c r="F3734" s="17">
        <v>14.76</v>
      </c>
      <c r="G3734" s="3">
        <v>9</v>
      </c>
      <c r="H3734" s="17">
        <f>Table1[[#This Row],[Unit price]]*Table1[[#This Row],[Quantity]]</f>
        <v>132.84</v>
      </c>
      <c r="I3734" s="29">
        <f>Table1[[#This Row],[Total Revenue]]/$H$5056*100</f>
        <v>1.4093759039689189E-2</v>
      </c>
      <c r="J3734" s="3" t="s">
        <v>12</v>
      </c>
      <c r="K3734" s="4">
        <v>3.3</v>
      </c>
      <c r="M3734"/>
    </row>
    <row r="3735" spans="1:13" x14ac:dyDescent="0.25">
      <c r="A3735" s="3" t="s">
        <v>190</v>
      </c>
      <c r="B3735" s="3" t="s">
        <v>244</v>
      </c>
      <c r="C3735" s="3" t="s">
        <v>13</v>
      </c>
      <c r="D3735" s="3" t="s">
        <v>10</v>
      </c>
      <c r="E3735" s="5" t="s">
        <v>20</v>
      </c>
      <c r="F3735" s="17">
        <v>67.47</v>
      </c>
      <c r="G3735" s="3">
        <v>9</v>
      </c>
      <c r="H3735" s="17">
        <f>Table1[[#This Row],[Unit price]]*Table1[[#This Row],[Quantity]]</f>
        <v>607.23</v>
      </c>
      <c r="I3735" s="29">
        <f>Table1[[#This Row],[Total Revenue]]/$H$5056*100</f>
        <v>6.442452048833533E-2</v>
      </c>
      <c r="J3735" s="3" t="s">
        <v>15</v>
      </c>
      <c r="K3735" s="4">
        <v>4.5999999999999996</v>
      </c>
      <c r="M3735"/>
    </row>
    <row r="3736" spans="1:13" x14ac:dyDescent="0.25">
      <c r="A3736" s="3" t="s">
        <v>190</v>
      </c>
      <c r="B3736" s="3" t="s">
        <v>245</v>
      </c>
      <c r="C3736" s="3" t="s">
        <v>13</v>
      </c>
      <c r="D3736" s="3" t="s">
        <v>19</v>
      </c>
      <c r="E3736" s="5" t="s">
        <v>18</v>
      </c>
      <c r="F3736" s="17">
        <v>24.24</v>
      </c>
      <c r="G3736" s="3">
        <v>8</v>
      </c>
      <c r="H3736" s="17">
        <f>Table1[[#This Row],[Unit price]]*Table1[[#This Row],[Quantity]]</f>
        <v>193.92</v>
      </c>
      <c r="I3736" s="29">
        <f>Table1[[#This Row],[Total Revenue]]/$H$5056*100</f>
        <v>2.0574087270223782E-2</v>
      </c>
      <c r="J3736" s="3" t="s">
        <v>15</v>
      </c>
      <c r="K3736" s="4">
        <v>3.6</v>
      </c>
      <c r="M3736"/>
    </row>
    <row r="3737" spans="1:13" x14ac:dyDescent="0.25">
      <c r="A3737" s="3" t="s">
        <v>190</v>
      </c>
      <c r="B3737" s="3" t="s">
        <v>244</v>
      </c>
      <c r="C3737" s="3" t="s">
        <v>13</v>
      </c>
      <c r="D3737" s="3" t="s">
        <v>19</v>
      </c>
      <c r="E3737" s="5" t="s">
        <v>20</v>
      </c>
      <c r="F3737" s="17">
        <v>42.02</v>
      </c>
      <c r="G3737" s="3">
        <v>3</v>
      </c>
      <c r="H3737" s="17">
        <f>Table1[[#This Row],[Unit price]]*Table1[[#This Row],[Quantity]]</f>
        <v>126.06</v>
      </c>
      <c r="I3737" s="29">
        <f>Table1[[#This Row],[Total Revenue]]/$H$5056*100</f>
        <v>1.33744298746102E-2</v>
      </c>
      <c r="J3737" s="3" t="s">
        <v>15</v>
      </c>
      <c r="K3737" s="4">
        <v>4.5999999999999996</v>
      </c>
      <c r="M3737"/>
    </row>
    <row r="3738" spans="1:13" x14ac:dyDescent="0.25">
      <c r="A3738" s="3" t="s">
        <v>191</v>
      </c>
      <c r="B3738" s="3" t="s">
        <v>245</v>
      </c>
      <c r="C3738" s="3" t="s">
        <v>9</v>
      </c>
      <c r="D3738" s="3" t="s">
        <v>19</v>
      </c>
      <c r="E3738" s="5" t="s">
        <v>14</v>
      </c>
      <c r="F3738" s="17">
        <v>84.4</v>
      </c>
      <c r="G3738" s="3">
        <v>9</v>
      </c>
      <c r="H3738" s="17">
        <f>Table1[[#This Row],[Unit price]]*Table1[[#This Row],[Quantity]]</f>
        <v>759.6</v>
      </c>
      <c r="I3738" s="29">
        <f>Table1[[#This Row],[Total Revenue]]/$H$5056*100</f>
        <v>8.0590329468141417E-2</v>
      </c>
      <c r="J3738" s="3" t="s">
        <v>17</v>
      </c>
      <c r="K3738" s="4">
        <v>8.5</v>
      </c>
      <c r="M3738"/>
    </row>
    <row r="3739" spans="1:13" x14ac:dyDescent="0.25">
      <c r="A3739" s="3" t="s">
        <v>191</v>
      </c>
      <c r="B3739" s="3" t="s">
        <v>245</v>
      </c>
      <c r="C3739" s="3" t="s">
        <v>13</v>
      </c>
      <c r="D3739" s="3" t="s">
        <v>19</v>
      </c>
      <c r="E3739" s="5" t="s">
        <v>11</v>
      </c>
      <c r="F3739" s="17">
        <v>3.45</v>
      </c>
      <c r="G3739" s="3">
        <v>8</v>
      </c>
      <c r="H3739" s="17">
        <f>Table1[[#This Row],[Unit price]]*Table1[[#This Row],[Quantity]]</f>
        <v>27.6</v>
      </c>
      <c r="I3739" s="29">
        <f>Table1[[#This Row],[Total Revenue]]/$H$5056*100</f>
        <v>2.9282426189056127E-3</v>
      </c>
      <c r="J3739" s="3" t="s">
        <v>15</v>
      </c>
      <c r="K3739" s="4">
        <v>9.1</v>
      </c>
      <c r="M3739"/>
    </row>
    <row r="3740" spans="1:13" x14ac:dyDescent="0.25">
      <c r="A3740" s="3" t="s">
        <v>191</v>
      </c>
      <c r="B3740" s="3" t="s">
        <v>243</v>
      </c>
      <c r="C3740" s="3" t="s">
        <v>13</v>
      </c>
      <c r="D3740" s="3" t="s">
        <v>19</v>
      </c>
      <c r="E3740" s="5" t="s">
        <v>11</v>
      </c>
      <c r="F3740" s="17">
        <v>2.96</v>
      </c>
      <c r="G3740" s="3">
        <v>2</v>
      </c>
      <c r="H3740" s="17">
        <f>Table1[[#This Row],[Unit price]]*Table1[[#This Row],[Quantity]]</f>
        <v>5.92</v>
      </c>
      <c r="I3740" s="29">
        <f>Table1[[#This Row],[Total Revenue]]/$H$5056*100</f>
        <v>6.2808682260584144E-4</v>
      </c>
      <c r="J3740" s="3" t="s">
        <v>17</v>
      </c>
      <c r="K3740" s="4">
        <v>3.3</v>
      </c>
      <c r="M3740"/>
    </row>
    <row r="3741" spans="1:13" x14ac:dyDescent="0.25">
      <c r="A3741" s="3" t="s">
        <v>191</v>
      </c>
      <c r="B3741" s="3" t="s">
        <v>243</v>
      </c>
      <c r="C3741" s="3" t="s">
        <v>9</v>
      </c>
      <c r="D3741" s="3" t="s">
        <v>19</v>
      </c>
      <c r="E3741" s="5" t="s">
        <v>18</v>
      </c>
      <c r="F3741" s="17">
        <v>21.58</v>
      </c>
      <c r="G3741" s="3">
        <v>1</v>
      </c>
      <c r="H3741" s="17">
        <f>Table1[[#This Row],[Unit price]]*Table1[[#This Row],[Quantity]]</f>
        <v>21.58</v>
      </c>
      <c r="I3741" s="29">
        <f>Table1[[#This Row],[Total Revenue]]/$H$5056*100</f>
        <v>2.2895462215935911E-3</v>
      </c>
      <c r="J3741" s="3" t="s">
        <v>12</v>
      </c>
      <c r="K3741" s="4">
        <v>5.0999999999999996</v>
      </c>
      <c r="M3741"/>
    </row>
    <row r="3742" spans="1:13" x14ac:dyDescent="0.25">
      <c r="A3742" s="3" t="s">
        <v>191</v>
      </c>
      <c r="B3742" s="3" t="s">
        <v>243</v>
      </c>
      <c r="C3742" s="3" t="s">
        <v>9</v>
      </c>
      <c r="D3742" s="3" t="s">
        <v>10</v>
      </c>
      <c r="E3742" s="5" t="s">
        <v>20</v>
      </c>
      <c r="F3742" s="17">
        <v>48.35</v>
      </c>
      <c r="G3742" s="3">
        <v>8</v>
      </c>
      <c r="H3742" s="17">
        <f>Table1[[#This Row],[Unit price]]*Table1[[#This Row],[Quantity]]</f>
        <v>386.8</v>
      </c>
      <c r="I3742" s="29">
        <f>Table1[[#This Row],[Total Revenue]]/$H$5056*100</f>
        <v>4.1037834963503293E-2</v>
      </c>
      <c r="J3742" s="3" t="s">
        <v>17</v>
      </c>
      <c r="K3742" s="4">
        <v>9.6999999999999993</v>
      </c>
      <c r="M3742"/>
    </row>
    <row r="3743" spans="1:13" x14ac:dyDescent="0.25">
      <c r="A3743" s="3" t="s">
        <v>191</v>
      </c>
      <c r="B3743" s="3" t="s">
        <v>243</v>
      </c>
      <c r="C3743" s="3" t="s">
        <v>9</v>
      </c>
      <c r="D3743" s="3" t="s">
        <v>19</v>
      </c>
      <c r="E3743" s="5" t="s">
        <v>18</v>
      </c>
      <c r="F3743" s="17">
        <v>11.55</v>
      </c>
      <c r="G3743" s="3">
        <v>4</v>
      </c>
      <c r="H3743" s="17">
        <f>Table1[[#This Row],[Unit price]]*Table1[[#This Row],[Quantity]]</f>
        <v>46.2</v>
      </c>
      <c r="I3743" s="29">
        <f>Table1[[#This Row],[Total Revenue]]/$H$5056*100</f>
        <v>4.9016235142550473E-3</v>
      </c>
      <c r="J3743" s="3" t="s">
        <v>12</v>
      </c>
      <c r="K3743" s="4">
        <v>6.7</v>
      </c>
      <c r="M3743"/>
    </row>
    <row r="3744" spans="1:13" x14ac:dyDescent="0.25">
      <c r="A3744" s="3" t="s">
        <v>191</v>
      </c>
      <c r="B3744" s="3" t="s">
        <v>244</v>
      </c>
      <c r="C3744" s="3" t="s">
        <v>13</v>
      </c>
      <c r="D3744" s="3" t="s">
        <v>19</v>
      </c>
      <c r="E3744" s="5" t="s">
        <v>20</v>
      </c>
      <c r="F3744" s="17">
        <v>65.319999999999993</v>
      </c>
      <c r="G3744" s="3">
        <v>8</v>
      </c>
      <c r="H3744" s="17">
        <f>Table1[[#This Row],[Unit price]]*Table1[[#This Row],[Quantity]]</f>
        <v>522.55999999999995</v>
      </c>
      <c r="I3744" s="29">
        <f>Table1[[#This Row],[Total Revenue]]/$H$5056*100</f>
        <v>5.5441393584612926E-2</v>
      </c>
      <c r="J3744" s="3" t="s">
        <v>15</v>
      </c>
      <c r="K3744" s="4">
        <v>7.3</v>
      </c>
      <c r="M3744"/>
    </row>
    <row r="3745" spans="1:13" x14ac:dyDescent="0.25">
      <c r="A3745" s="3" t="s">
        <v>191</v>
      </c>
      <c r="B3745" s="3" t="s">
        <v>243</v>
      </c>
      <c r="C3745" s="3" t="s">
        <v>13</v>
      </c>
      <c r="D3745" s="3" t="s">
        <v>19</v>
      </c>
      <c r="E3745" s="5" t="s">
        <v>18</v>
      </c>
      <c r="F3745" s="17">
        <v>14.12</v>
      </c>
      <c r="G3745" s="3">
        <v>7</v>
      </c>
      <c r="H3745" s="17">
        <f>Table1[[#This Row],[Unit price]]*Table1[[#This Row],[Quantity]]</f>
        <v>98.839999999999989</v>
      </c>
      <c r="I3745" s="29">
        <f>Table1[[#This Row],[Total Revenue]]/$H$5056*100</f>
        <v>1.0486503639588069E-2</v>
      </c>
      <c r="J3745" s="3" t="s">
        <v>12</v>
      </c>
      <c r="K3745" s="4">
        <v>3</v>
      </c>
      <c r="M3745"/>
    </row>
    <row r="3746" spans="1:13" x14ac:dyDescent="0.25">
      <c r="A3746" s="3" t="s">
        <v>191</v>
      </c>
      <c r="B3746" s="3" t="s">
        <v>245</v>
      </c>
      <c r="C3746" s="3" t="s">
        <v>13</v>
      </c>
      <c r="D3746" s="3" t="s">
        <v>10</v>
      </c>
      <c r="E3746" s="5" t="s">
        <v>18</v>
      </c>
      <c r="F3746" s="17">
        <v>19.149999999999999</v>
      </c>
      <c r="G3746" s="3">
        <v>6</v>
      </c>
      <c r="H3746" s="17">
        <f>Table1[[#This Row],[Unit price]]*Table1[[#This Row],[Quantity]]</f>
        <v>114.89999999999999</v>
      </c>
      <c r="I3746" s="29">
        <f>Table1[[#This Row],[Total Revenue]]/$H$5056*100</f>
        <v>1.2190401337400538E-2</v>
      </c>
      <c r="J3746" s="3" t="s">
        <v>17</v>
      </c>
      <c r="K3746" s="4">
        <v>6.3</v>
      </c>
      <c r="M3746"/>
    </row>
    <row r="3747" spans="1:13" x14ac:dyDescent="0.25">
      <c r="A3747" s="3" t="s">
        <v>191</v>
      </c>
      <c r="B3747" s="3" t="s">
        <v>245</v>
      </c>
      <c r="C3747" s="3" t="s">
        <v>13</v>
      </c>
      <c r="D3747" s="3" t="s">
        <v>10</v>
      </c>
      <c r="E3747" s="5" t="s">
        <v>21</v>
      </c>
      <c r="F3747" s="17">
        <v>30.33</v>
      </c>
      <c r="G3747" s="3">
        <v>9</v>
      </c>
      <c r="H3747" s="17">
        <f>Table1[[#This Row],[Unit price]]*Table1[[#This Row],[Quantity]]</f>
        <v>272.96999999999997</v>
      </c>
      <c r="I3747" s="29">
        <f>Table1[[#This Row],[Total Revenue]]/$H$5056*100</f>
        <v>2.8960956075458871E-2</v>
      </c>
      <c r="J3747" s="3" t="s">
        <v>15</v>
      </c>
      <c r="K3747" s="4">
        <v>9.6999999999999993</v>
      </c>
      <c r="M3747"/>
    </row>
    <row r="3748" spans="1:13" x14ac:dyDescent="0.25">
      <c r="A3748" s="3" t="s">
        <v>191</v>
      </c>
      <c r="B3748" s="3" t="s">
        <v>244</v>
      </c>
      <c r="C3748" s="3" t="s">
        <v>13</v>
      </c>
      <c r="D3748" s="3" t="s">
        <v>19</v>
      </c>
      <c r="E3748" s="5" t="s">
        <v>18</v>
      </c>
      <c r="F3748" s="17">
        <v>12.63</v>
      </c>
      <c r="G3748" s="3">
        <v>1</v>
      </c>
      <c r="H3748" s="17">
        <f>Table1[[#This Row],[Unit price]]*Table1[[#This Row],[Quantity]]</f>
        <v>12.63</v>
      </c>
      <c r="I3748" s="29">
        <f>Table1[[#This Row],[Total Revenue]]/$H$5056*100</f>
        <v>1.3399892853905033E-3</v>
      </c>
      <c r="J3748" s="3" t="s">
        <v>17</v>
      </c>
      <c r="K3748" s="4">
        <v>5.6</v>
      </c>
      <c r="M3748"/>
    </row>
    <row r="3749" spans="1:13" x14ac:dyDescent="0.25">
      <c r="A3749" s="3" t="s">
        <v>191</v>
      </c>
      <c r="B3749" s="3" t="s">
        <v>244</v>
      </c>
      <c r="C3749" s="3" t="s">
        <v>13</v>
      </c>
      <c r="D3749" s="3" t="s">
        <v>19</v>
      </c>
      <c r="E3749" s="5" t="s">
        <v>11</v>
      </c>
      <c r="F3749" s="17">
        <v>10.85</v>
      </c>
      <c r="G3749" s="3">
        <v>8</v>
      </c>
      <c r="H3749" s="17">
        <f>Table1[[#This Row],[Unit price]]*Table1[[#This Row],[Quantity]]</f>
        <v>86.8</v>
      </c>
      <c r="I3749" s="29">
        <f>Table1[[#This Row],[Total Revenue]]/$H$5056*100</f>
        <v>9.2091108449640271E-3</v>
      </c>
      <c r="J3749" s="3" t="s">
        <v>17</v>
      </c>
      <c r="K3749" s="4">
        <v>3.7</v>
      </c>
      <c r="M3749"/>
    </row>
    <row r="3750" spans="1:13" x14ac:dyDescent="0.25">
      <c r="A3750" s="3" t="s">
        <v>191</v>
      </c>
      <c r="B3750" s="3" t="s">
        <v>244</v>
      </c>
      <c r="C3750" s="3" t="s">
        <v>9</v>
      </c>
      <c r="D3750" s="3" t="s">
        <v>19</v>
      </c>
      <c r="E3750" s="5" t="s">
        <v>14</v>
      </c>
      <c r="F3750" s="17">
        <v>98.58</v>
      </c>
      <c r="G3750" s="3">
        <v>3</v>
      </c>
      <c r="H3750" s="17">
        <f>Table1[[#This Row],[Unit price]]*Table1[[#This Row],[Quantity]]</f>
        <v>295.74</v>
      </c>
      <c r="I3750" s="29">
        <f>Table1[[#This Row],[Total Revenue]]/$H$5056*100</f>
        <v>3.1376756236056007E-2</v>
      </c>
      <c r="J3750" s="3" t="s">
        <v>17</v>
      </c>
      <c r="K3750" s="4">
        <v>6.1</v>
      </c>
      <c r="M3750"/>
    </row>
    <row r="3751" spans="1:13" x14ac:dyDescent="0.25">
      <c r="A3751" s="3" t="s">
        <v>192</v>
      </c>
      <c r="B3751" s="3" t="s">
        <v>243</v>
      </c>
      <c r="C3751" s="3" t="s">
        <v>13</v>
      </c>
      <c r="D3751" s="3" t="s">
        <v>19</v>
      </c>
      <c r="E3751" s="5" t="s">
        <v>11</v>
      </c>
      <c r="F3751" s="17">
        <v>6.66</v>
      </c>
      <c r="G3751" s="3">
        <v>6</v>
      </c>
      <c r="H3751" s="17">
        <f>Table1[[#This Row],[Unit price]]*Table1[[#This Row],[Quantity]]</f>
        <v>39.96</v>
      </c>
      <c r="I3751" s="29">
        <f>Table1[[#This Row],[Total Revenue]]/$H$5056*100</f>
        <v>4.2395860525894303E-3</v>
      </c>
      <c r="J3751" s="3" t="s">
        <v>15</v>
      </c>
      <c r="K3751" s="4">
        <v>9.5</v>
      </c>
      <c r="M3751"/>
    </row>
    <row r="3752" spans="1:13" x14ac:dyDescent="0.25">
      <c r="A3752" s="3" t="s">
        <v>192</v>
      </c>
      <c r="B3752" s="3" t="s">
        <v>244</v>
      </c>
      <c r="C3752" s="3" t="s">
        <v>13</v>
      </c>
      <c r="D3752" s="3" t="s">
        <v>10</v>
      </c>
      <c r="E3752" s="5" t="s">
        <v>21</v>
      </c>
      <c r="F3752" s="17">
        <v>16.399999999999999</v>
      </c>
      <c r="G3752" s="3">
        <v>9</v>
      </c>
      <c r="H3752" s="17">
        <f>Table1[[#This Row],[Unit price]]*Table1[[#This Row],[Quantity]]</f>
        <v>147.6</v>
      </c>
      <c r="I3752" s="29">
        <f>Table1[[#This Row],[Total Revenue]]/$H$5056*100</f>
        <v>1.5659732266321318E-2</v>
      </c>
      <c r="J3752" s="3" t="s">
        <v>12</v>
      </c>
      <c r="K3752" s="4">
        <v>5.3</v>
      </c>
      <c r="M3752"/>
    </row>
    <row r="3753" spans="1:13" x14ac:dyDescent="0.25">
      <c r="A3753" s="3" t="s">
        <v>192</v>
      </c>
      <c r="B3753" s="3" t="s">
        <v>244</v>
      </c>
      <c r="C3753" s="3" t="s">
        <v>13</v>
      </c>
      <c r="D3753" s="3" t="s">
        <v>19</v>
      </c>
      <c r="E3753" s="5" t="s">
        <v>14</v>
      </c>
      <c r="F3753" s="17">
        <v>83.08</v>
      </c>
      <c r="G3753" s="3">
        <v>8</v>
      </c>
      <c r="H3753" s="17">
        <f>Table1[[#This Row],[Unit price]]*Table1[[#This Row],[Quantity]]</f>
        <v>664.64</v>
      </c>
      <c r="I3753" s="29">
        <f>Table1[[#This Row],[Total Revenue]]/$H$5056*100</f>
        <v>7.0515477327153131E-2</v>
      </c>
      <c r="J3753" s="3" t="s">
        <v>15</v>
      </c>
      <c r="K3753" s="4">
        <v>8.4</v>
      </c>
      <c r="M3753"/>
    </row>
    <row r="3754" spans="1:13" x14ac:dyDescent="0.25">
      <c r="A3754" s="3" t="s">
        <v>192</v>
      </c>
      <c r="B3754" s="3" t="s">
        <v>244</v>
      </c>
      <c r="C3754" s="3" t="s">
        <v>13</v>
      </c>
      <c r="D3754" s="3" t="s">
        <v>10</v>
      </c>
      <c r="E3754" s="5" t="s">
        <v>21</v>
      </c>
      <c r="F3754" s="17">
        <v>15.44</v>
      </c>
      <c r="G3754" s="3">
        <v>2</v>
      </c>
      <c r="H3754" s="17">
        <f>Table1[[#This Row],[Unit price]]*Table1[[#This Row],[Quantity]]</f>
        <v>30.88</v>
      </c>
      <c r="I3754" s="29">
        <f>Table1[[#This Row],[Total Revenue]]/$H$5056*100</f>
        <v>3.2762366692683084E-3</v>
      </c>
      <c r="J3754" s="3" t="s">
        <v>12</v>
      </c>
      <c r="K3754" s="4">
        <v>8.4</v>
      </c>
      <c r="M3754"/>
    </row>
    <row r="3755" spans="1:13" x14ac:dyDescent="0.25">
      <c r="A3755" s="3" t="s">
        <v>192</v>
      </c>
      <c r="B3755" s="3" t="s">
        <v>245</v>
      </c>
      <c r="C3755" s="3" t="s">
        <v>9</v>
      </c>
      <c r="D3755" s="3" t="s">
        <v>10</v>
      </c>
      <c r="E3755" s="5" t="s">
        <v>20</v>
      </c>
      <c r="F3755" s="17">
        <v>59.34</v>
      </c>
      <c r="G3755" s="3">
        <v>5</v>
      </c>
      <c r="H3755" s="17">
        <f>Table1[[#This Row],[Unit price]]*Table1[[#This Row],[Quantity]]</f>
        <v>296.70000000000005</v>
      </c>
      <c r="I3755" s="29">
        <f>Table1[[#This Row],[Total Revenue]]/$H$5056*100</f>
        <v>3.1478608153235339E-2</v>
      </c>
      <c r="J3755" s="3" t="s">
        <v>12</v>
      </c>
      <c r="K3755" s="4">
        <v>4.4000000000000004</v>
      </c>
      <c r="M3755"/>
    </row>
    <row r="3756" spans="1:13" x14ac:dyDescent="0.25">
      <c r="A3756" s="3" t="s">
        <v>192</v>
      </c>
      <c r="B3756" s="3" t="s">
        <v>244</v>
      </c>
      <c r="C3756" s="3" t="s">
        <v>9</v>
      </c>
      <c r="D3756" s="3" t="s">
        <v>19</v>
      </c>
      <c r="E3756" s="5" t="s">
        <v>21</v>
      </c>
      <c r="F3756" s="17">
        <v>39.32</v>
      </c>
      <c r="G3756" s="3">
        <v>9</v>
      </c>
      <c r="H3756" s="17">
        <f>Table1[[#This Row],[Unit price]]*Table1[[#This Row],[Quantity]]</f>
        <v>353.88</v>
      </c>
      <c r="I3756" s="29">
        <f>Table1[[#This Row],[Total Revenue]]/$H$5056*100</f>
        <v>3.7545162970228918E-2</v>
      </c>
      <c r="J3756" s="3" t="s">
        <v>17</v>
      </c>
      <c r="K3756" s="4">
        <v>6</v>
      </c>
      <c r="M3756"/>
    </row>
    <row r="3757" spans="1:13" x14ac:dyDescent="0.25">
      <c r="A3757" s="3" t="s">
        <v>192</v>
      </c>
      <c r="B3757" s="3" t="s">
        <v>245</v>
      </c>
      <c r="C3757" s="3" t="s">
        <v>9</v>
      </c>
      <c r="D3757" s="3" t="s">
        <v>19</v>
      </c>
      <c r="E3757" s="5" t="s">
        <v>11</v>
      </c>
      <c r="F3757" s="17">
        <v>11.05</v>
      </c>
      <c r="G3757" s="3">
        <v>3</v>
      </c>
      <c r="H3757" s="17">
        <f>Table1[[#This Row],[Unit price]]*Table1[[#This Row],[Quantity]]</f>
        <v>33.150000000000006</v>
      </c>
      <c r="I3757" s="29">
        <f>Table1[[#This Row],[Total Revenue]]/$H$5056*100</f>
        <v>3.5170740150985893E-3</v>
      </c>
      <c r="J3757" s="3" t="s">
        <v>12</v>
      </c>
      <c r="K3757" s="4">
        <v>7.9</v>
      </c>
      <c r="M3757"/>
    </row>
    <row r="3758" spans="1:13" x14ac:dyDescent="0.25">
      <c r="A3758" s="3" t="s">
        <v>192</v>
      </c>
      <c r="B3758" s="3" t="s">
        <v>245</v>
      </c>
      <c r="C3758" s="3" t="s">
        <v>9</v>
      </c>
      <c r="D3758" s="3" t="s">
        <v>10</v>
      </c>
      <c r="E3758" s="5" t="s">
        <v>11</v>
      </c>
      <c r="F3758" s="17">
        <v>5.91</v>
      </c>
      <c r="G3758" s="3">
        <v>2</v>
      </c>
      <c r="H3758" s="17">
        <f>Table1[[#This Row],[Unit price]]*Table1[[#This Row],[Quantity]]</f>
        <v>11.82</v>
      </c>
      <c r="I3758" s="29">
        <f>Table1[[#This Row],[Total Revenue]]/$H$5056*100</f>
        <v>1.2540517302704471E-3</v>
      </c>
      <c r="J3758" s="3" t="s">
        <v>12</v>
      </c>
      <c r="K3758" s="4">
        <v>5.8</v>
      </c>
      <c r="M3758"/>
    </row>
    <row r="3759" spans="1:13" x14ac:dyDescent="0.25">
      <c r="A3759" s="3" t="s">
        <v>193</v>
      </c>
      <c r="B3759" s="3" t="s">
        <v>243</v>
      </c>
      <c r="C3759" s="3" t="s">
        <v>9</v>
      </c>
      <c r="D3759" s="3" t="s">
        <v>19</v>
      </c>
      <c r="E3759" s="5" t="s">
        <v>18</v>
      </c>
      <c r="F3759" s="17">
        <v>9.94</v>
      </c>
      <c r="G3759" s="3">
        <v>10</v>
      </c>
      <c r="H3759" s="17">
        <f>Table1[[#This Row],[Unit price]]*Table1[[#This Row],[Quantity]]</f>
        <v>99.399999999999991</v>
      </c>
      <c r="I3759" s="29">
        <f>Table1[[#This Row],[Total Revenue]]/$H$5056*100</f>
        <v>1.0545917257942676E-2</v>
      </c>
      <c r="J3759" s="3" t="s">
        <v>15</v>
      </c>
      <c r="K3759" s="4">
        <v>4.3</v>
      </c>
      <c r="M3759"/>
    </row>
    <row r="3760" spans="1:13" x14ac:dyDescent="0.25">
      <c r="A3760" s="3" t="s">
        <v>193</v>
      </c>
      <c r="B3760" s="3" t="s">
        <v>243</v>
      </c>
      <c r="C3760" s="3" t="s">
        <v>13</v>
      </c>
      <c r="D3760" s="3" t="s">
        <v>10</v>
      </c>
      <c r="E3760" s="5" t="s">
        <v>21</v>
      </c>
      <c r="F3760" s="17">
        <v>28.7</v>
      </c>
      <c r="G3760" s="3">
        <v>10</v>
      </c>
      <c r="H3760" s="17">
        <f>Table1[[#This Row],[Unit price]]*Table1[[#This Row],[Quantity]]</f>
        <v>287</v>
      </c>
      <c r="I3760" s="29">
        <f>Table1[[#This Row],[Total Revenue]]/$H$5056*100</f>
        <v>3.04494794067359E-2</v>
      </c>
      <c r="J3760" s="3" t="s">
        <v>17</v>
      </c>
      <c r="K3760" s="4">
        <v>9.6</v>
      </c>
      <c r="M3760"/>
    </row>
    <row r="3761" spans="1:13" x14ac:dyDescent="0.25">
      <c r="A3761" s="3" t="s">
        <v>193</v>
      </c>
      <c r="B3761" s="3" t="s">
        <v>243</v>
      </c>
      <c r="C3761" s="3" t="s">
        <v>13</v>
      </c>
      <c r="D3761" s="3" t="s">
        <v>10</v>
      </c>
      <c r="E3761" s="5" t="s">
        <v>18</v>
      </c>
      <c r="F3761" s="17">
        <v>24.7</v>
      </c>
      <c r="G3761" s="3">
        <v>2</v>
      </c>
      <c r="H3761" s="17">
        <f>Table1[[#This Row],[Unit price]]*Table1[[#This Row],[Quantity]]</f>
        <v>49.4</v>
      </c>
      <c r="I3761" s="29">
        <f>Table1[[#This Row],[Total Revenue]]/$H$5056*100</f>
        <v>5.2411299048527992E-3</v>
      </c>
      <c r="J3761" s="3" t="s">
        <v>17</v>
      </c>
      <c r="K3761" s="4">
        <v>7.4</v>
      </c>
      <c r="M3761"/>
    </row>
    <row r="3762" spans="1:13" x14ac:dyDescent="0.25">
      <c r="A3762" s="3" t="s">
        <v>193</v>
      </c>
      <c r="B3762" s="3" t="s">
        <v>245</v>
      </c>
      <c r="C3762" s="3" t="s">
        <v>13</v>
      </c>
      <c r="D3762" s="3" t="s">
        <v>10</v>
      </c>
      <c r="E3762" s="5" t="s">
        <v>21</v>
      </c>
      <c r="F3762" s="17">
        <v>20.49</v>
      </c>
      <c r="G3762" s="3">
        <v>5</v>
      </c>
      <c r="H3762" s="17">
        <f>Table1[[#This Row],[Unit price]]*Table1[[#This Row],[Quantity]]</f>
        <v>102.44999999999999</v>
      </c>
      <c r="I3762" s="29">
        <f>Table1[[#This Row],[Total Revenue]]/$H$5056*100</f>
        <v>1.0869509286481159E-2</v>
      </c>
      <c r="J3762" s="3" t="s">
        <v>17</v>
      </c>
      <c r="K3762" s="4">
        <v>8.9</v>
      </c>
      <c r="M3762"/>
    </row>
    <row r="3763" spans="1:13" x14ac:dyDescent="0.25">
      <c r="A3763" s="3" t="s">
        <v>193</v>
      </c>
      <c r="B3763" s="3" t="s">
        <v>244</v>
      </c>
      <c r="C3763" s="3" t="s">
        <v>9</v>
      </c>
      <c r="D3763" s="3" t="s">
        <v>19</v>
      </c>
      <c r="E3763" s="5" t="s">
        <v>21</v>
      </c>
      <c r="F3763" s="17">
        <v>30.19</v>
      </c>
      <c r="G3763" s="3">
        <v>2</v>
      </c>
      <c r="H3763" s="17">
        <f>Table1[[#This Row],[Unit price]]*Table1[[#This Row],[Quantity]]</f>
        <v>60.38</v>
      </c>
      <c r="I3763" s="29">
        <f>Table1[[#This Row],[Total Revenue]]/$H$5056*100</f>
        <v>6.4060612075913367E-3</v>
      </c>
      <c r="J3763" s="3" t="s">
        <v>17</v>
      </c>
      <c r="K3763" s="4">
        <v>3.2</v>
      </c>
      <c r="M3763"/>
    </row>
    <row r="3764" spans="1:13" x14ac:dyDescent="0.25">
      <c r="A3764" s="3" t="s">
        <v>193</v>
      </c>
      <c r="B3764" s="3" t="s">
        <v>245</v>
      </c>
      <c r="C3764" s="3" t="s">
        <v>9</v>
      </c>
      <c r="D3764" s="3" t="s">
        <v>19</v>
      </c>
      <c r="E3764" s="5" t="s">
        <v>11</v>
      </c>
      <c r="F3764" s="17">
        <v>2.66</v>
      </c>
      <c r="G3764" s="3">
        <v>4</v>
      </c>
      <c r="H3764" s="17">
        <f>Table1[[#This Row],[Unit price]]*Table1[[#This Row],[Quantity]]</f>
        <v>10.64</v>
      </c>
      <c r="I3764" s="29">
        <f>Table1[[#This Row],[Total Revenue]]/$H$5056*100</f>
        <v>1.1288587487375259E-3</v>
      </c>
      <c r="J3764" s="3" t="s">
        <v>12</v>
      </c>
      <c r="K3764" s="4">
        <v>4.8</v>
      </c>
      <c r="M3764"/>
    </row>
    <row r="3765" spans="1:13" x14ac:dyDescent="0.25">
      <c r="A3765" s="3" t="s">
        <v>193</v>
      </c>
      <c r="B3765" s="3" t="s">
        <v>243</v>
      </c>
      <c r="C3765" s="3" t="s">
        <v>13</v>
      </c>
      <c r="D3765" s="3" t="s">
        <v>19</v>
      </c>
      <c r="E3765" s="5" t="s">
        <v>11</v>
      </c>
      <c r="F3765" s="17">
        <v>9.91</v>
      </c>
      <c r="G3765" s="3">
        <v>2</v>
      </c>
      <c r="H3765" s="17">
        <f>Table1[[#This Row],[Unit price]]*Table1[[#This Row],[Quantity]]</f>
        <v>19.82</v>
      </c>
      <c r="I3765" s="29">
        <f>Table1[[#This Row],[Total Revenue]]/$H$5056*100</f>
        <v>2.1028177067648275E-3</v>
      </c>
      <c r="J3765" s="3" t="s">
        <v>12</v>
      </c>
      <c r="K3765" s="4">
        <v>6.4</v>
      </c>
      <c r="M3765"/>
    </row>
    <row r="3766" spans="1:13" x14ac:dyDescent="0.25">
      <c r="A3766" s="3" t="s">
        <v>193</v>
      </c>
      <c r="B3766" s="3" t="s">
        <v>245</v>
      </c>
      <c r="C3766" s="3" t="s">
        <v>13</v>
      </c>
      <c r="D3766" s="3" t="s">
        <v>10</v>
      </c>
      <c r="E3766" s="5" t="s">
        <v>16</v>
      </c>
      <c r="F3766" s="17">
        <v>74.540000000000006</v>
      </c>
      <c r="G3766" s="3">
        <v>2</v>
      </c>
      <c r="H3766" s="17">
        <f>Table1[[#This Row],[Unit price]]*Table1[[#This Row],[Quantity]]</f>
        <v>149.08000000000001</v>
      </c>
      <c r="I3766" s="29">
        <f>Table1[[#This Row],[Total Revenue]]/$H$5056*100</f>
        <v>1.5816753971972779E-2</v>
      </c>
      <c r="J3766" s="3" t="s">
        <v>15</v>
      </c>
      <c r="K3766" s="4">
        <v>3.5</v>
      </c>
      <c r="M3766"/>
    </row>
    <row r="3767" spans="1:13" x14ac:dyDescent="0.25">
      <c r="A3767" s="3" t="s">
        <v>193</v>
      </c>
      <c r="B3767" s="3" t="s">
        <v>243</v>
      </c>
      <c r="C3767" s="3" t="s">
        <v>13</v>
      </c>
      <c r="D3767" s="3" t="s">
        <v>19</v>
      </c>
      <c r="E3767" s="5" t="s">
        <v>16</v>
      </c>
      <c r="F3767" s="17">
        <v>51.04</v>
      </c>
      <c r="G3767" s="3">
        <v>5</v>
      </c>
      <c r="H3767" s="17">
        <f>Table1[[#This Row],[Unit price]]*Table1[[#This Row],[Quantity]]</f>
        <v>255.2</v>
      </c>
      <c r="I3767" s="29">
        <f>Table1[[#This Row],[Total Revenue]]/$H$5056*100</f>
        <v>2.7075634650170734E-2</v>
      </c>
      <c r="J3767" s="3" t="s">
        <v>17</v>
      </c>
      <c r="K3767" s="4">
        <v>9.8000000000000007</v>
      </c>
      <c r="M3767"/>
    </row>
    <row r="3768" spans="1:13" x14ac:dyDescent="0.25">
      <c r="A3768" s="3" t="s">
        <v>193</v>
      </c>
      <c r="B3768" s="3" t="s">
        <v>244</v>
      </c>
      <c r="C3768" s="3" t="s">
        <v>9</v>
      </c>
      <c r="D3768" s="3" t="s">
        <v>19</v>
      </c>
      <c r="E3768" s="5" t="s">
        <v>11</v>
      </c>
      <c r="F3768" s="17">
        <v>6.08</v>
      </c>
      <c r="G3768" s="3">
        <v>10</v>
      </c>
      <c r="H3768" s="17">
        <f>Table1[[#This Row],[Unit price]]*Table1[[#This Row],[Quantity]]</f>
        <v>60.8</v>
      </c>
      <c r="I3768" s="29">
        <f>Table1[[#This Row],[Total Revenue]]/$H$5056*100</f>
        <v>6.4506214213572912E-3</v>
      </c>
      <c r="J3768" s="3" t="s">
        <v>12</v>
      </c>
      <c r="K3768" s="4">
        <v>4.5999999999999996</v>
      </c>
      <c r="M3768"/>
    </row>
    <row r="3769" spans="1:13" x14ac:dyDescent="0.25">
      <c r="A3769" s="3" t="s">
        <v>193</v>
      </c>
      <c r="B3769" s="3" t="s">
        <v>243</v>
      </c>
      <c r="C3769" s="3" t="s">
        <v>13</v>
      </c>
      <c r="D3769" s="3" t="s">
        <v>19</v>
      </c>
      <c r="E3769" s="5" t="s">
        <v>18</v>
      </c>
      <c r="F3769" s="17">
        <v>14.26</v>
      </c>
      <c r="G3769" s="3">
        <v>5</v>
      </c>
      <c r="H3769" s="17">
        <f>Table1[[#This Row],[Unit price]]*Table1[[#This Row],[Quantity]]</f>
        <v>71.3</v>
      </c>
      <c r="I3769" s="29">
        <f>Table1[[#This Row],[Total Revenue]]/$H$5056*100</f>
        <v>7.564626765506165E-3</v>
      </c>
      <c r="J3769" s="3" t="s">
        <v>15</v>
      </c>
      <c r="K3769" s="4">
        <v>5.5</v>
      </c>
      <c r="M3769"/>
    </row>
    <row r="3770" spans="1:13" x14ac:dyDescent="0.25">
      <c r="A3770" s="3" t="s">
        <v>193</v>
      </c>
      <c r="B3770" s="3" t="s">
        <v>244</v>
      </c>
      <c r="C3770" s="3" t="s">
        <v>13</v>
      </c>
      <c r="D3770" s="3" t="s">
        <v>19</v>
      </c>
      <c r="E3770" s="5" t="s">
        <v>11</v>
      </c>
      <c r="F3770" s="17">
        <v>4.95</v>
      </c>
      <c r="G3770" s="3">
        <v>7</v>
      </c>
      <c r="H3770" s="17">
        <f>Table1[[#This Row],[Unit price]]*Table1[[#This Row],[Quantity]]</f>
        <v>34.65</v>
      </c>
      <c r="I3770" s="29">
        <f>Table1[[#This Row],[Total Revenue]]/$H$5056*100</f>
        <v>3.6762176356912851E-3</v>
      </c>
      <c r="J3770" s="3" t="s">
        <v>17</v>
      </c>
      <c r="K3770" s="4">
        <v>4.5</v>
      </c>
      <c r="M3770"/>
    </row>
    <row r="3771" spans="1:13" x14ac:dyDescent="0.25">
      <c r="A3771" s="3" t="s">
        <v>193</v>
      </c>
      <c r="B3771" s="3" t="s">
        <v>243</v>
      </c>
      <c r="C3771" s="3" t="s">
        <v>13</v>
      </c>
      <c r="D3771" s="3" t="s">
        <v>10</v>
      </c>
      <c r="E3771" s="5" t="s">
        <v>16</v>
      </c>
      <c r="F3771" s="17">
        <v>63.05</v>
      </c>
      <c r="G3771" s="3">
        <v>8</v>
      </c>
      <c r="H3771" s="17">
        <f>Table1[[#This Row],[Unit price]]*Table1[[#This Row],[Quantity]]</f>
        <v>504.4</v>
      </c>
      <c r="I3771" s="29">
        <f>Table1[[#This Row],[Total Revenue]]/$H$5056*100</f>
        <v>5.3514694817970686E-2</v>
      </c>
      <c r="J3771" s="3" t="s">
        <v>15</v>
      </c>
      <c r="K3771" s="4">
        <v>3.7</v>
      </c>
      <c r="M3771"/>
    </row>
    <row r="3772" spans="1:13" x14ac:dyDescent="0.25">
      <c r="A3772" s="3" t="s">
        <v>193</v>
      </c>
      <c r="B3772" s="3" t="s">
        <v>244</v>
      </c>
      <c r="C3772" s="3" t="s">
        <v>9</v>
      </c>
      <c r="D3772" s="3" t="s">
        <v>10</v>
      </c>
      <c r="E3772" s="5" t="s">
        <v>18</v>
      </c>
      <c r="F3772" s="17">
        <v>12.73</v>
      </c>
      <c r="G3772" s="3">
        <v>6</v>
      </c>
      <c r="H3772" s="17">
        <f>Table1[[#This Row],[Unit price]]*Table1[[#This Row],[Quantity]]</f>
        <v>76.38</v>
      </c>
      <c r="I3772" s="29">
        <f>Table1[[#This Row],[Total Revenue]]/$H$5056*100</f>
        <v>8.103593160580097E-3</v>
      </c>
      <c r="J3772" s="3" t="s">
        <v>17</v>
      </c>
      <c r="K3772" s="4">
        <v>4.5999999999999996</v>
      </c>
      <c r="M3772"/>
    </row>
    <row r="3773" spans="1:13" x14ac:dyDescent="0.25">
      <c r="A3773" s="3" t="s">
        <v>193</v>
      </c>
      <c r="B3773" s="3" t="s">
        <v>243</v>
      </c>
      <c r="C3773" s="3" t="s">
        <v>9</v>
      </c>
      <c r="D3773" s="3" t="s">
        <v>19</v>
      </c>
      <c r="E3773" s="5" t="s">
        <v>20</v>
      </c>
      <c r="F3773" s="17">
        <v>69.95</v>
      </c>
      <c r="G3773" s="3">
        <v>7</v>
      </c>
      <c r="H3773" s="17">
        <f>Table1[[#This Row],[Unit price]]*Table1[[#This Row],[Quantity]]</f>
        <v>489.65000000000003</v>
      </c>
      <c r="I3773" s="29">
        <f>Table1[[#This Row],[Total Revenue]]/$H$5056*100</f>
        <v>5.1949782548809179E-2</v>
      </c>
      <c r="J3773" s="3" t="s">
        <v>17</v>
      </c>
      <c r="K3773" s="4">
        <v>5</v>
      </c>
      <c r="M3773"/>
    </row>
    <row r="3774" spans="1:13" x14ac:dyDescent="0.25">
      <c r="A3774" s="3" t="s">
        <v>193</v>
      </c>
      <c r="B3774" s="3" t="s">
        <v>243</v>
      </c>
      <c r="C3774" s="3" t="s">
        <v>13</v>
      </c>
      <c r="D3774" s="3" t="s">
        <v>19</v>
      </c>
      <c r="E3774" s="5" t="s">
        <v>11</v>
      </c>
      <c r="F3774" s="17">
        <v>5.23</v>
      </c>
      <c r="G3774" s="3">
        <v>5</v>
      </c>
      <c r="H3774" s="17">
        <f>Table1[[#This Row],[Unit price]]*Table1[[#This Row],[Quantity]]</f>
        <v>26.150000000000002</v>
      </c>
      <c r="I3774" s="29">
        <f>Table1[[#This Row],[Total Revenue]]/$H$5056*100</f>
        <v>2.7744037856660062E-3</v>
      </c>
      <c r="J3774" s="3" t="s">
        <v>12</v>
      </c>
      <c r="K3774" s="4">
        <v>7.3</v>
      </c>
      <c r="M3774"/>
    </row>
    <row r="3775" spans="1:13" x14ac:dyDescent="0.25">
      <c r="A3775" s="3" t="s">
        <v>193</v>
      </c>
      <c r="B3775" s="3" t="s">
        <v>245</v>
      </c>
      <c r="C3775" s="3" t="s">
        <v>13</v>
      </c>
      <c r="D3775" s="3" t="s">
        <v>10</v>
      </c>
      <c r="E3775" s="5" t="s">
        <v>11</v>
      </c>
      <c r="F3775" s="17">
        <v>12.06</v>
      </c>
      <c r="G3775" s="3">
        <v>10</v>
      </c>
      <c r="H3775" s="17">
        <f>Table1[[#This Row],[Unit price]]*Table1[[#This Row],[Quantity]]</f>
        <v>120.60000000000001</v>
      </c>
      <c r="I3775" s="29">
        <f>Table1[[#This Row],[Total Revenue]]/$H$5056*100</f>
        <v>1.2795147095652786E-2</v>
      </c>
      <c r="J3775" s="3" t="s">
        <v>17</v>
      </c>
      <c r="K3775" s="4">
        <v>4.9000000000000004</v>
      </c>
      <c r="M3775"/>
    </row>
    <row r="3776" spans="1:13" x14ac:dyDescent="0.25">
      <c r="A3776" s="3" t="s">
        <v>193</v>
      </c>
      <c r="B3776" s="3" t="s">
        <v>245</v>
      </c>
      <c r="C3776" s="3" t="s">
        <v>13</v>
      </c>
      <c r="D3776" s="3" t="s">
        <v>19</v>
      </c>
      <c r="E3776" s="5" t="s">
        <v>18</v>
      </c>
      <c r="F3776" s="17">
        <v>10.33</v>
      </c>
      <c r="G3776" s="3">
        <v>4</v>
      </c>
      <c r="H3776" s="17">
        <f>Table1[[#This Row],[Unit price]]*Table1[[#This Row],[Quantity]]</f>
        <v>41.32</v>
      </c>
      <c r="I3776" s="29">
        <f>Table1[[#This Row],[Total Revenue]]/$H$5056*100</f>
        <v>4.3838762685934748E-3</v>
      </c>
      <c r="J3776" s="3" t="s">
        <v>12</v>
      </c>
      <c r="K3776" s="4">
        <v>5.5</v>
      </c>
      <c r="M3776"/>
    </row>
    <row r="3777" spans="1:13" x14ac:dyDescent="0.25">
      <c r="A3777" s="3" t="s">
        <v>193</v>
      </c>
      <c r="B3777" s="3" t="s">
        <v>244</v>
      </c>
      <c r="C3777" s="3" t="s">
        <v>9</v>
      </c>
      <c r="D3777" s="3" t="s">
        <v>19</v>
      </c>
      <c r="E3777" s="5" t="s">
        <v>11</v>
      </c>
      <c r="F3777" s="17">
        <v>9.5399999999999991</v>
      </c>
      <c r="G3777" s="3">
        <v>7</v>
      </c>
      <c r="H3777" s="17">
        <f>Table1[[#This Row],[Unit price]]*Table1[[#This Row],[Quantity]]</f>
        <v>66.78</v>
      </c>
      <c r="I3777" s="29">
        <f>Table1[[#This Row],[Total Revenue]]/$H$5056*100</f>
        <v>7.0850739887868405E-3</v>
      </c>
      <c r="J3777" s="3" t="s">
        <v>15</v>
      </c>
      <c r="K3777" s="4">
        <v>3</v>
      </c>
      <c r="M3777"/>
    </row>
    <row r="3778" spans="1:13" x14ac:dyDescent="0.25">
      <c r="A3778" s="3" t="s">
        <v>193</v>
      </c>
      <c r="B3778" s="3" t="s">
        <v>243</v>
      </c>
      <c r="C3778" s="3" t="s">
        <v>13</v>
      </c>
      <c r="D3778" s="3" t="s">
        <v>10</v>
      </c>
      <c r="E3778" s="5" t="s">
        <v>16</v>
      </c>
      <c r="F3778" s="17">
        <v>64.430000000000007</v>
      </c>
      <c r="G3778" s="3">
        <v>6</v>
      </c>
      <c r="H3778" s="17">
        <f>Table1[[#This Row],[Unit price]]*Table1[[#This Row],[Quantity]]</f>
        <v>386.58000000000004</v>
      </c>
      <c r="I3778" s="29">
        <f>Table1[[#This Row],[Total Revenue]]/$H$5056*100</f>
        <v>4.1014493899149698E-2</v>
      </c>
      <c r="J3778" s="3" t="s">
        <v>17</v>
      </c>
      <c r="K3778" s="4">
        <v>5.5</v>
      </c>
      <c r="M3778"/>
    </row>
    <row r="3779" spans="1:13" x14ac:dyDescent="0.25">
      <c r="A3779" s="3" t="s">
        <v>193</v>
      </c>
      <c r="B3779" s="3" t="s">
        <v>245</v>
      </c>
      <c r="C3779" s="3" t="s">
        <v>9</v>
      </c>
      <c r="D3779" s="3" t="s">
        <v>10</v>
      </c>
      <c r="E3779" s="5" t="s">
        <v>18</v>
      </c>
      <c r="F3779" s="17">
        <v>10.130000000000001</v>
      </c>
      <c r="G3779" s="3">
        <v>6</v>
      </c>
      <c r="H3779" s="17">
        <f>Table1[[#This Row],[Unit price]]*Table1[[#This Row],[Quantity]]</f>
        <v>60.78</v>
      </c>
      <c r="I3779" s="29">
        <f>Table1[[#This Row],[Total Revenue]]/$H$5056*100</f>
        <v>6.4484995064160557E-3</v>
      </c>
      <c r="J3779" s="3" t="s">
        <v>17</v>
      </c>
      <c r="K3779" s="4">
        <v>6.6</v>
      </c>
      <c r="M3779"/>
    </row>
    <row r="3780" spans="1:13" x14ac:dyDescent="0.25">
      <c r="A3780" s="3" t="s">
        <v>194</v>
      </c>
      <c r="B3780" s="3" t="s">
        <v>243</v>
      </c>
      <c r="C3780" s="3" t="s">
        <v>9</v>
      </c>
      <c r="D3780" s="3" t="s">
        <v>10</v>
      </c>
      <c r="E3780" s="5" t="s">
        <v>21</v>
      </c>
      <c r="F3780" s="17">
        <v>30.77</v>
      </c>
      <c r="G3780" s="3">
        <v>5</v>
      </c>
      <c r="H3780" s="17">
        <f>Table1[[#This Row],[Unit price]]*Table1[[#This Row],[Quantity]]</f>
        <v>153.85</v>
      </c>
      <c r="I3780" s="29">
        <f>Table1[[#This Row],[Total Revenue]]/$H$5056*100</f>
        <v>1.6322830685457555E-2</v>
      </c>
      <c r="J3780" s="3" t="s">
        <v>17</v>
      </c>
      <c r="K3780" s="4">
        <v>4.0999999999999996</v>
      </c>
      <c r="M3780"/>
    </row>
    <row r="3781" spans="1:13" x14ac:dyDescent="0.25">
      <c r="A3781" s="3" t="s">
        <v>194</v>
      </c>
      <c r="B3781" s="3" t="s">
        <v>244</v>
      </c>
      <c r="C3781" s="3" t="s">
        <v>13</v>
      </c>
      <c r="D3781" s="3" t="s">
        <v>10</v>
      </c>
      <c r="E3781" s="5" t="s">
        <v>18</v>
      </c>
      <c r="F3781" s="17">
        <v>7.85</v>
      </c>
      <c r="G3781" s="3">
        <v>9</v>
      </c>
      <c r="H3781" s="17">
        <f>Table1[[#This Row],[Unit price]]*Table1[[#This Row],[Quantity]]</f>
        <v>70.649999999999991</v>
      </c>
      <c r="I3781" s="29">
        <f>Table1[[#This Row],[Total Revenue]]/$H$5056*100</f>
        <v>7.4956645299159965E-3</v>
      </c>
      <c r="J3781" s="3" t="s">
        <v>12</v>
      </c>
      <c r="K3781" s="4">
        <v>7.1</v>
      </c>
      <c r="M3781"/>
    </row>
    <row r="3782" spans="1:13" x14ac:dyDescent="0.25">
      <c r="A3782" s="3" t="s">
        <v>194</v>
      </c>
      <c r="B3782" s="3" t="s">
        <v>244</v>
      </c>
      <c r="C3782" s="3" t="s">
        <v>13</v>
      </c>
      <c r="D3782" s="3" t="s">
        <v>19</v>
      </c>
      <c r="E3782" s="5" t="s">
        <v>18</v>
      </c>
      <c r="F3782" s="17">
        <v>8.3000000000000007</v>
      </c>
      <c r="G3782" s="3">
        <v>8</v>
      </c>
      <c r="H3782" s="17">
        <f>Table1[[#This Row],[Unit price]]*Table1[[#This Row],[Quantity]]</f>
        <v>66.400000000000006</v>
      </c>
      <c r="I3782" s="29">
        <f>Table1[[#This Row],[Total Revenue]]/$H$5056*100</f>
        <v>7.0447576049033588E-3</v>
      </c>
      <c r="J3782" s="3" t="s">
        <v>12</v>
      </c>
      <c r="K3782" s="4">
        <v>5</v>
      </c>
      <c r="M3782"/>
    </row>
    <row r="3783" spans="1:13" x14ac:dyDescent="0.25">
      <c r="A3783" s="3" t="s">
        <v>194</v>
      </c>
      <c r="B3783" s="3" t="s">
        <v>244</v>
      </c>
      <c r="C3783" s="3" t="s">
        <v>13</v>
      </c>
      <c r="D3783" s="3" t="s">
        <v>19</v>
      </c>
      <c r="E3783" s="5" t="s">
        <v>18</v>
      </c>
      <c r="F3783" s="17">
        <v>16.57</v>
      </c>
      <c r="G3783" s="3">
        <v>7</v>
      </c>
      <c r="H3783" s="17">
        <f>Table1[[#This Row],[Unit price]]*Table1[[#This Row],[Quantity]]</f>
        <v>115.99000000000001</v>
      </c>
      <c r="I3783" s="29">
        <f>Table1[[#This Row],[Total Revenue]]/$H$5056*100</f>
        <v>1.2306045701697898E-2</v>
      </c>
      <c r="J3783" s="3" t="s">
        <v>12</v>
      </c>
      <c r="K3783" s="4">
        <v>7.3</v>
      </c>
      <c r="M3783"/>
    </row>
    <row r="3784" spans="1:13" x14ac:dyDescent="0.25">
      <c r="A3784" s="3" t="s">
        <v>194</v>
      </c>
      <c r="B3784" s="3" t="s">
        <v>243</v>
      </c>
      <c r="C3784" s="3" t="s">
        <v>13</v>
      </c>
      <c r="D3784" s="3" t="s">
        <v>19</v>
      </c>
      <c r="E3784" s="5" t="s">
        <v>11</v>
      </c>
      <c r="F3784" s="17">
        <v>7.75</v>
      </c>
      <c r="G3784" s="3">
        <v>9</v>
      </c>
      <c r="H3784" s="17">
        <f>Table1[[#This Row],[Unit price]]*Table1[[#This Row],[Quantity]]</f>
        <v>69.75</v>
      </c>
      <c r="I3784" s="29">
        <f>Table1[[#This Row],[Total Revenue]]/$H$5056*100</f>
        <v>7.4001783575603792E-3</v>
      </c>
      <c r="J3784" s="3" t="s">
        <v>17</v>
      </c>
      <c r="K3784" s="4">
        <v>3.2</v>
      </c>
      <c r="M3784"/>
    </row>
    <row r="3785" spans="1:13" x14ac:dyDescent="0.25">
      <c r="A3785" s="3" t="s">
        <v>194</v>
      </c>
      <c r="B3785" s="3" t="s">
        <v>243</v>
      </c>
      <c r="C3785" s="3" t="s">
        <v>13</v>
      </c>
      <c r="D3785" s="3" t="s">
        <v>19</v>
      </c>
      <c r="E3785" s="5" t="s">
        <v>21</v>
      </c>
      <c r="F3785" s="17">
        <v>34.51</v>
      </c>
      <c r="G3785" s="3">
        <v>4</v>
      </c>
      <c r="H3785" s="17">
        <f>Table1[[#This Row],[Unit price]]*Table1[[#This Row],[Quantity]]</f>
        <v>138.04</v>
      </c>
      <c r="I3785" s="29">
        <f>Table1[[#This Row],[Total Revenue]]/$H$5056*100</f>
        <v>1.4645456924410532E-2</v>
      </c>
      <c r="J3785" s="3" t="s">
        <v>15</v>
      </c>
      <c r="K3785" s="4">
        <v>9</v>
      </c>
      <c r="M3785"/>
    </row>
    <row r="3786" spans="1:13" x14ac:dyDescent="0.25">
      <c r="A3786" s="3" t="s">
        <v>194</v>
      </c>
      <c r="B3786" s="3" t="s">
        <v>245</v>
      </c>
      <c r="C3786" s="3" t="s">
        <v>13</v>
      </c>
      <c r="D3786" s="3" t="s">
        <v>10</v>
      </c>
      <c r="E3786" s="5" t="s">
        <v>14</v>
      </c>
      <c r="F3786" s="17">
        <v>97.37</v>
      </c>
      <c r="G3786" s="3">
        <v>2</v>
      </c>
      <c r="H3786" s="17">
        <f>Table1[[#This Row],[Unit price]]*Table1[[#This Row],[Quantity]]</f>
        <v>194.74</v>
      </c>
      <c r="I3786" s="29">
        <f>Table1[[#This Row],[Total Revenue]]/$H$5056*100</f>
        <v>2.0661085782814458E-2</v>
      </c>
      <c r="J3786" s="3" t="s">
        <v>15</v>
      </c>
      <c r="K3786" s="4">
        <v>3.1</v>
      </c>
      <c r="M3786"/>
    </row>
    <row r="3787" spans="1:13" x14ac:dyDescent="0.25">
      <c r="A3787" s="3" t="s">
        <v>194</v>
      </c>
      <c r="B3787" s="3" t="s">
        <v>244</v>
      </c>
      <c r="C3787" s="3" t="s">
        <v>13</v>
      </c>
      <c r="D3787" s="3" t="s">
        <v>19</v>
      </c>
      <c r="E3787" s="5" t="s">
        <v>21</v>
      </c>
      <c r="F3787" s="17">
        <v>21.33</v>
      </c>
      <c r="G3787" s="3">
        <v>3</v>
      </c>
      <c r="H3787" s="17">
        <f>Table1[[#This Row],[Unit price]]*Table1[[#This Row],[Quantity]]</f>
        <v>63.989999999999995</v>
      </c>
      <c r="I3787" s="29">
        <f>Table1[[#This Row],[Total Revenue]]/$H$5056*100</f>
        <v>6.789066854484424E-3</v>
      </c>
      <c r="J3787" s="3" t="s">
        <v>17</v>
      </c>
      <c r="K3787" s="4">
        <v>3.9</v>
      </c>
      <c r="M3787"/>
    </row>
    <row r="3788" spans="1:13" x14ac:dyDescent="0.25">
      <c r="A3788" s="3" t="s">
        <v>194</v>
      </c>
      <c r="B3788" s="3" t="s">
        <v>245</v>
      </c>
      <c r="C3788" s="3" t="s">
        <v>13</v>
      </c>
      <c r="D3788" s="3" t="s">
        <v>10</v>
      </c>
      <c r="E3788" s="5" t="s">
        <v>21</v>
      </c>
      <c r="F3788" s="17">
        <v>19.03</v>
      </c>
      <c r="G3788" s="3">
        <v>9</v>
      </c>
      <c r="H3788" s="17">
        <f>Table1[[#This Row],[Unit price]]*Table1[[#This Row],[Quantity]]</f>
        <v>171.27</v>
      </c>
      <c r="I3788" s="29">
        <f>Table1[[#This Row],[Total Revenue]]/$H$5056*100</f>
        <v>1.8171018599274068E-2</v>
      </c>
      <c r="J3788" s="3" t="s">
        <v>12</v>
      </c>
      <c r="K3788" s="4">
        <v>8.3000000000000007</v>
      </c>
      <c r="M3788"/>
    </row>
    <row r="3789" spans="1:13" x14ac:dyDescent="0.25">
      <c r="A3789" s="3" t="s">
        <v>194</v>
      </c>
      <c r="B3789" s="3" t="s">
        <v>245</v>
      </c>
      <c r="C3789" s="3" t="s">
        <v>9</v>
      </c>
      <c r="D3789" s="3" t="s">
        <v>19</v>
      </c>
      <c r="E3789" s="5" t="s">
        <v>21</v>
      </c>
      <c r="F3789" s="17">
        <v>28.47</v>
      </c>
      <c r="G3789" s="3">
        <v>1</v>
      </c>
      <c r="H3789" s="17">
        <f>Table1[[#This Row],[Unit price]]*Table1[[#This Row],[Quantity]]</f>
        <v>28.47</v>
      </c>
      <c r="I3789" s="29">
        <f>Table1[[#This Row],[Total Revenue]]/$H$5056*100</f>
        <v>3.0205459188493763E-3</v>
      </c>
      <c r="J3789" s="3" t="s">
        <v>17</v>
      </c>
      <c r="K3789" s="4">
        <v>3.3</v>
      </c>
      <c r="M3789"/>
    </row>
    <row r="3790" spans="1:13" x14ac:dyDescent="0.25">
      <c r="A3790" s="3" t="s">
        <v>195</v>
      </c>
      <c r="B3790" s="3" t="s">
        <v>245</v>
      </c>
      <c r="C3790" s="3" t="s">
        <v>9</v>
      </c>
      <c r="D3790" s="3" t="s">
        <v>19</v>
      </c>
      <c r="E3790" s="5" t="s">
        <v>18</v>
      </c>
      <c r="F3790" s="17">
        <v>22.25</v>
      </c>
      <c r="G3790" s="3">
        <v>7</v>
      </c>
      <c r="H3790" s="17">
        <f>Table1[[#This Row],[Unit price]]*Table1[[#This Row],[Quantity]]</f>
        <v>155.75</v>
      </c>
      <c r="I3790" s="29">
        <f>Table1[[#This Row],[Total Revenue]]/$H$5056*100</f>
        <v>1.6524412604874968E-2</v>
      </c>
      <c r="J3790" s="3" t="s">
        <v>12</v>
      </c>
      <c r="K3790" s="4">
        <v>7.8</v>
      </c>
      <c r="M3790"/>
    </row>
    <row r="3791" spans="1:13" x14ac:dyDescent="0.25">
      <c r="A3791" s="3" t="s">
        <v>195</v>
      </c>
      <c r="B3791" s="3" t="s">
        <v>245</v>
      </c>
      <c r="C3791" s="3" t="s">
        <v>13</v>
      </c>
      <c r="D3791" s="3" t="s">
        <v>10</v>
      </c>
      <c r="E3791" s="5" t="s">
        <v>20</v>
      </c>
      <c r="F3791" s="17">
        <v>63.94</v>
      </c>
      <c r="G3791" s="3">
        <v>9</v>
      </c>
      <c r="H3791" s="17">
        <f>Table1[[#This Row],[Unit price]]*Table1[[#This Row],[Quantity]]</f>
        <v>575.46</v>
      </c>
      <c r="I3791" s="29">
        <f>Table1[[#This Row],[Total Revenue]]/$H$5056*100</f>
        <v>6.1053858604182019E-2</v>
      </c>
      <c r="J3791" s="3" t="s">
        <v>17</v>
      </c>
      <c r="K3791" s="4">
        <v>9.6</v>
      </c>
      <c r="M3791"/>
    </row>
    <row r="3792" spans="1:13" x14ac:dyDescent="0.25">
      <c r="A3792" s="3" t="s">
        <v>195</v>
      </c>
      <c r="B3792" s="3" t="s">
        <v>243</v>
      </c>
      <c r="C3792" s="3" t="s">
        <v>13</v>
      </c>
      <c r="D3792" s="3" t="s">
        <v>19</v>
      </c>
      <c r="E3792" s="5" t="s">
        <v>11</v>
      </c>
      <c r="F3792" s="17">
        <v>9.3699999999999992</v>
      </c>
      <c r="G3792" s="3">
        <v>8</v>
      </c>
      <c r="H3792" s="17">
        <f>Table1[[#This Row],[Unit price]]*Table1[[#This Row],[Quantity]]</f>
        <v>74.959999999999994</v>
      </c>
      <c r="I3792" s="29">
        <f>Table1[[#This Row],[Total Revenue]]/$H$5056*100</f>
        <v>7.9529371997523451E-3</v>
      </c>
      <c r="J3792" s="3" t="s">
        <v>17</v>
      </c>
      <c r="K3792" s="4">
        <v>8.9</v>
      </c>
      <c r="M3792"/>
    </row>
    <row r="3793" spans="1:13" x14ac:dyDescent="0.25">
      <c r="A3793" s="3" t="s">
        <v>195</v>
      </c>
      <c r="B3793" s="3" t="s">
        <v>245</v>
      </c>
      <c r="C3793" s="3" t="s">
        <v>9</v>
      </c>
      <c r="D3793" s="3" t="s">
        <v>19</v>
      </c>
      <c r="E3793" s="5" t="s">
        <v>11</v>
      </c>
      <c r="F3793" s="17">
        <v>13.83</v>
      </c>
      <c r="G3793" s="3">
        <v>5</v>
      </c>
      <c r="H3793" s="17">
        <f>Table1[[#This Row],[Unit price]]*Table1[[#This Row],[Quantity]]</f>
        <v>69.150000000000006</v>
      </c>
      <c r="I3793" s="29">
        <f>Table1[[#This Row],[Total Revenue]]/$H$5056*100</f>
        <v>7.3365209093233016E-3</v>
      </c>
      <c r="J3793" s="3" t="s">
        <v>12</v>
      </c>
      <c r="K3793" s="4">
        <v>7.8</v>
      </c>
      <c r="M3793"/>
    </row>
    <row r="3794" spans="1:13" x14ac:dyDescent="0.25">
      <c r="A3794" s="3" t="s">
        <v>195</v>
      </c>
      <c r="B3794" s="3" t="s">
        <v>243</v>
      </c>
      <c r="C3794" s="3" t="s">
        <v>13</v>
      </c>
      <c r="D3794" s="3" t="s">
        <v>10</v>
      </c>
      <c r="E3794" s="5" t="s">
        <v>18</v>
      </c>
      <c r="F3794" s="17">
        <v>8.64</v>
      </c>
      <c r="G3794" s="3">
        <v>3</v>
      </c>
      <c r="H3794" s="17">
        <f>Table1[[#This Row],[Unit price]]*Table1[[#This Row],[Quantity]]</f>
        <v>25.92</v>
      </c>
      <c r="I3794" s="29">
        <f>Table1[[#This Row],[Total Revenue]]/$H$5056*100</f>
        <v>2.7500017638417929E-3</v>
      </c>
      <c r="J3794" s="3" t="s">
        <v>17</v>
      </c>
      <c r="K3794" s="4">
        <v>9.5</v>
      </c>
      <c r="M3794"/>
    </row>
    <row r="3795" spans="1:13" x14ac:dyDescent="0.25">
      <c r="A3795" s="3" t="s">
        <v>195</v>
      </c>
      <c r="B3795" s="3" t="s">
        <v>244</v>
      </c>
      <c r="C3795" s="3" t="s">
        <v>9</v>
      </c>
      <c r="D3795" s="3" t="s">
        <v>10</v>
      </c>
      <c r="E3795" s="5" t="s">
        <v>11</v>
      </c>
      <c r="F3795" s="17">
        <v>14.77</v>
      </c>
      <c r="G3795" s="3">
        <v>4</v>
      </c>
      <c r="H3795" s="17">
        <f>Table1[[#This Row],[Unit price]]*Table1[[#This Row],[Quantity]]</f>
        <v>59.08</v>
      </c>
      <c r="I3795" s="29">
        <f>Table1[[#This Row],[Total Revenue]]/$H$5056*100</f>
        <v>6.2681367364109987E-3</v>
      </c>
      <c r="J3795" s="3" t="s">
        <v>12</v>
      </c>
      <c r="K3795" s="4">
        <v>5.9</v>
      </c>
      <c r="M3795"/>
    </row>
    <row r="3796" spans="1:13" x14ac:dyDescent="0.25">
      <c r="A3796" s="3" t="s">
        <v>195</v>
      </c>
      <c r="B3796" s="3" t="s">
        <v>245</v>
      </c>
      <c r="C3796" s="3" t="s">
        <v>13</v>
      </c>
      <c r="D3796" s="3" t="s">
        <v>10</v>
      </c>
      <c r="E3796" s="5" t="s">
        <v>11</v>
      </c>
      <c r="F3796" s="17">
        <v>14.34</v>
      </c>
      <c r="G3796" s="3">
        <v>7</v>
      </c>
      <c r="H3796" s="17">
        <f>Table1[[#This Row],[Unit price]]*Table1[[#This Row],[Quantity]]</f>
        <v>100.38</v>
      </c>
      <c r="I3796" s="29">
        <f>Table1[[#This Row],[Total Revenue]]/$H$5056*100</f>
        <v>1.0649891090063238E-2</v>
      </c>
      <c r="J3796" s="3" t="s">
        <v>15</v>
      </c>
      <c r="K3796" s="4">
        <v>8.9</v>
      </c>
      <c r="M3796"/>
    </row>
    <row r="3797" spans="1:13" x14ac:dyDescent="0.25">
      <c r="A3797" s="3" t="s">
        <v>195</v>
      </c>
      <c r="B3797" s="3" t="s">
        <v>245</v>
      </c>
      <c r="C3797" s="3" t="s">
        <v>13</v>
      </c>
      <c r="D3797" s="3" t="s">
        <v>10</v>
      </c>
      <c r="E3797" s="5" t="s">
        <v>20</v>
      </c>
      <c r="F3797" s="17">
        <v>59.16</v>
      </c>
      <c r="G3797" s="3">
        <v>3</v>
      </c>
      <c r="H3797" s="17">
        <f>Table1[[#This Row],[Unit price]]*Table1[[#This Row],[Quantity]]</f>
        <v>177.48</v>
      </c>
      <c r="I3797" s="29">
        <f>Table1[[#This Row],[Total Revenue]]/$H$5056*100</f>
        <v>1.8829873188527829E-2</v>
      </c>
      <c r="J3797" s="3" t="s">
        <v>15</v>
      </c>
      <c r="K3797" s="4">
        <v>5.4</v>
      </c>
      <c r="M3797"/>
    </row>
    <row r="3798" spans="1:13" x14ac:dyDescent="0.25">
      <c r="A3798" s="3" t="s">
        <v>195</v>
      </c>
      <c r="B3798" s="3" t="s">
        <v>244</v>
      </c>
      <c r="C3798" s="3" t="s">
        <v>13</v>
      </c>
      <c r="D3798" s="3" t="s">
        <v>19</v>
      </c>
      <c r="E3798" s="5" t="s">
        <v>16</v>
      </c>
      <c r="F3798" s="17">
        <v>71.099999999999994</v>
      </c>
      <c r="G3798" s="3">
        <v>4</v>
      </c>
      <c r="H3798" s="17">
        <f>Table1[[#This Row],[Unit price]]*Table1[[#This Row],[Quantity]]</f>
        <v>284.39999999999998</v>
      </c>
      <c r="I3798" s="29">
        <f>Table1[[#This Row],[Total Revenue]]/$H$5056*100</f>
        <v>3.0173630464375222E-2</v>
      </c>
      <c r="J3798" s="3" t="s">
        <v>15</v>
      </c>
      <c r="K3798" s="4">
        <v>9.3000000000000007</v>
      </c>
      <c r="M3798"/>
    </row>
    <row r="3799" spans="1:13" x14ac:dyDescent="0.25">
      <c r="A3799" s="3" t="s">
        <v>195</v>
      </c>
      <c r="B3799" s="3" t="s">
        <v>245</v>
      </c>
      <c r="C3799" s="3" t="s">
        <v>9</v>
      </c>
      <c r="D3799" s="3" t="s">
        <v>10</v>
      </c>
      <c r="E3799" s="5" t="s">
        <v>16</v>
      </c>
      <c r="F3799" s="17">
        <v>52.28</v>
      </c>
      <c r="G3799" s="3">
        <v>4</v>
      </c>
      <c r="H3799" s="17">
        <f>Table1[[#This Row],[Unit price]]*Table1[[#This Row],[Quantity]]</f>
        <v>209.12</v>
      </c>
      <c r="I3799" s="29">
        <f>Table1[[#This Row],[Total Revenue]]/$H$5056*100</f>
        <v>2.2186742625563104E-2</v>
      </c>
      <c r="J3799" s="3" t="s">
        <v>17</v>
      </c>
      <c r="K3799" s="4">
        <v>4</v>
      </c>
      <c r="M3799"/>
    </row>
    <row r="3800" spans="1:13" x14ac:dyDescent="0.25">
      <c r="A3800" s="3" t="s">
        <v>195</v>
      </c>
      <c r="B3800" s="3" t="s">
        <v>244</v>
      </c>
      <c r="C3800" s="3" t="s">
        <v>13</v>
      </c>
      <c r="D3800" s="3" t="s">
        <v>10</v>
      </c>
      <c r="E3800" s="5" t="s">
        <v>18</v>
      </c>
      <c r="F3800" s="17">
        <v>19.48</v>
      </c>
      <c r="G3800" s="3">
        <v>3</v>
      </c>
      <c r="H3800" s="17">
        <f>Table1[[#This Row],[Unit price]]*Table1[[#This Row],[Quantity]]</f>
        <v>58.44</v>
      </c>
      <c r="I3800" s="29">
        <f>Table1[[#This Row],[Total Revenue]]/$H$5056*100</f>
        <v>6.2002354582914483E-3</v>
      </c>
      <c r="J3800" s="3" t="s">
        <v>15</v>
      </c>
      <c r="K3800" s="4">
        <v>9.4</v>
      </c>
      <c r="M3800"/>
    </row>
    <row r="3801" spans="1:13" x14ac:dyDescent="0.25">
      <c r="A3801" s="3" t="s">
        <v>195</v>
      </c>
      <c r="B3801" s="3" t="s">
        <v>243</v>
      </c>
      <c r="C3801" s="3" t="s">
        <v>9</v>
      </c>
      <c r="D3801" s="3" t="s">
        <v>10</v>
      </c>
      <c r="E3801" s="5" t="s">
        <v>11</v>
      </c>
      <c r="F3801" s="17">
        <v>4.92</v>
      </c>
      <c r="G3801" s="3">
        <v>2</v>
      </c>
      <c r="H3801" s="17">
        <f>Table1[[#This Row],[Unit price]]*Table1[[#This Row],[Quantity]]</f>
        <v>9.84</v>
      </c>
      <c r="I3801" s="29">
        <f>Table1[[#This Row],[Total Revenue]]/$H$5056*100</f>
        <v>1.0439821510880879E-3</v>
      </c>
      <c r="J3801" s="3" t="s">
        <v>15</v>
      </c>
      <c r="K3801" s="4">
        <v>8.6999999999999993</v>
      </c>
      <c r="M3801"/>
    </row>
    <row r="3802" spans="1:13" x14ac:dyDescent="0.25">
      <c r="A3802" s="3" t="s">
        <v>195</v>
      </c>
      <c r="B3802" s="3" t="s">
        <v>243</v>
      </c>
      <c r="C3802" s="3" t="s">
        <v>9</v>
      </c>
      <c r="D3802" s="3" t="s">
        <v>19</v>
      </c>
      <c r="E3802" s="5" t="s">
        <v>18</v>
      </c>
      <c r="F3802" s="17">
        <v>20.55</v>
      </c>
      <c r="G3802" s="3">
        <v>9</v>
      </c>
      <c r="H3802" s="17">
        <f>Table1[[#This Row],[Unit price]]*Table1[[#This Row],[Quantity]]</f>
        <v>184.95000000000002</v>
      </c>
      <c r="I3802" s="29">
        <f>Table1[[#This Row],[Total Revenue]]/$H$5056*100</f>
        <v>1.962240841907946E-2</v>
      </c>
      <c r="J3802" s="3" t="s">
        <v>17</v>
      </c>
      <c r="K3802" s="4">
        <v>8.8000000000000007</v>
      </c>
      <c r="M3802"/>
    </row>
    <row r="3803" spans="1:13" x14ac:dyDescent="0.25">
      <c r="A3803" s="3" t="s">
        <v>195</v>
      </c>
      <c r="B3803" s="3" t="s">
        <v>244</v>
      </c>
      <c r="C3803" s="3" t="s">
        <v>13</v>
      </c>
      <c r="D3803" s="3" t="s">
        <v>10</v>
      </c>
      <c r="E3803" s="5" t="s">
        <v>20</v>
      </c>
      <c r="F3803" s="17">
        <v>65.790000000000006</v>
      </c>
      <c r="G3803" s="3">
        <v>4</v>
      </c>
      <c r="H3803" s="17">
        <f>Table1[[#This Row],[Unit price]]*Table1[[#This Row],[Quantity]]</f>
        <v>263.16000000000003</v>
      </c>
      <c r="I3803" s="29">
        <f>Table1[[#This Row],[Total Revenue]]/$H$5056*100</f>
        <v>2.7920156796782645E-2</v>
      </c>
      <c r="J3803" s="3" t="s">
        <v>15</v>
      </c>
      <c r="K3803" s="4">
        <v>3.8</v>
      </c>
      <c r="M3803"/>
    </row>
    <row r="3804" spans="1:13" x14ac:dyDescent="0.25">
      <c r="A3804" s="3" t="s">
        <v>195</v>
      </c>
      <c r="B3804" s="3" t="s">
        <v>245</v>
      </c>
      <c r="C3804" s="3" t="s">
        <v>13</v>
      </c>
      <c r="D3804" s="3" t="s">
        <v>10</v>
      </c>
      <c r="E3804" s="5" t="s">
        <v>11</v>
      </c>
      <c r="F3804" s="17">
        <v>8.5399999999999991</v>
      </c>
      <c r="G3804" s="3">
        <v>5</v>
      </c>
      <c r="H3804" s="17">
        <f>Table1[[#This Row],[Unit price]]*Table1[[#This Row],[Quantity]]</f>
        <v>42.699999999999996</v>
      </c>
      <c r="I3804" s="29">
        <f>Table1[[#This Row],[Total Revenue]]/$H$5056*100</f>
        <v>4.5302883995387549E-3</v>
      </c>
      <c r="J3804" s="3" t="s">
        <v>12</v>
      </c>
      <c r="K3804" s="4">
        <v>7.1</v>
      </c>
      <c r="M3804"/>
    </row>
    <row r="3805" spans="1:13" x14ac:dyDescent="0.25">
      <c r="A3805" s="3" t="s">
        <v>195</v>
      </c>
      <c r="B3805" s="3" t="s">
        <v>244</v>
      </c>
      <c r="C3805" s="3" t="s">
        <v>9</v>
      </c>
      <c r="D3805" s="3" t="s">
        <v>10</v>
      </c>
      <c r="E3805" s="5" t="s">
        <v>11</v>
      </c>
      <c r="F3805" s="17">
        <v>6.37</v>
      </c>
      <c r="G3805" s="3">
        <v>3</v>
      </c>
      <c r="H3805" s="17">
        <f>Table1[[#This Row],[Unit price]]*Table1[[#This Row],[Quantity]]</f>
        <v>19.11</v>
      </c>
      <c r="I3805" s="29">
        <f>Table1[[#This Row],[Total Revenue]]/$H$5056*100</f>
        <v>2.0274897263509515E-3</v>
      </c>
      <c r="J3805" s="3" t="s">
        <v>15</v>
      </c>
      <c r="K3805" s="4">
        <v>3.1</v>
      </c>
      <c r="M3805"/>
    </row>
    <row r="3806" spans="1:13" x14ac:dyDescent="0.25">
      <c r="A3806" s="3" t="s">
        <v>195</v>
      </c>
      <c r="B3806" s="3" t="s">
        <v>245</v>
      </c>
      <c r="C3806" s="3" t="s">
        <v>13</v>
      </c>
      <c r="D3806" s="3" t="s">
        <v>10</v>
      </c>
      <c r="E3806" s="5" t="s">
        <v>14</v>
      </c>
      <c r="F3806" s="17">
        <v>95.05</v>
      </c>
      <c r="G3806" s="3">
        <v>4</v>
      </c>
      <c r="H3806" s="17">
        <f>Table1[[#This Row],[Unit price]]*Table1[[#This Row],[Quantity]]</f>
        <v>380.2</v>
      </c>
      <c r="I3806" s="29">
        <f>Table1[[#This Row],[Total Revenue]]/$H$5056*100</f>
        <v>4.0337603032895429E-2</v>
      </c>
      <c r="J3806" s="3" t="s">
        <v>12</v>
      </c>
      <c r="K3806" s="4">
        <v>7.9</v>
      </c>
      <c r="M3806"/>
    </row>
    <row r="3807" spans="1:13" x14ac:dyDescent="0.25">
      <c r="A3807" s="3" t="s">
        <v>195</v>
      </c>
      <c r="B3807" s="3" t="s">
        <v>245</v>
      </c>
      <c r="C3807" s="3" t="s">
        <v>13</v>
      </c>
      <c r="D3807" s="3" t="s">
        <v>10</v>
      </c>
      <c r="E3807" s="5" t="s">
        <v>11</v>
      </c>
      <c r="F3807" s="17">
        <v>7.76</v>
      </c>
      <c r="G3807" s="3">
        <v>2</v>
      </c>
      <c r="H3807" s="17">
        <f>Table1[[#This Row],[Unit price]]*Table1[[#This Row],[Quantity]]</f>
        <v>15.52</v>
      </c>
      <c r="I3807" s="29">
        <f>Table1[[#This Row],[Total Revenue]]/$H$5056*100</f>
        <v>1.6466059943990978E-3</v>
      </c>
      <c r="J3807" s="3" t="s">
        <v>17</v>
      </c>
      <c r="K3807" s="4">
        <v>3.1</v>
      </c>
      <c r="M3807"/>
    </row>
    <row r="3808" spans="1:13" x14ac:dyDescent="0.25">
      <c r="A3808" s="3" t="s">
        <v>195</v>
      </c>
      <c r="B3808" s="3" t="s">
        <v>244</v>
      </c>
      <c r="C3808" s="3" t="s">
        <v>9</v>
      </c>
      <c r="D3808" s="3" t="s">
        <v>10</v>
      </c>
      <c r="E3808" s="5" t="s">
        <v>11</v>
      </c>
      <c r="F3808" s="17">
        <v>2.77</v>
      </c>
      <c r="G3808" s="3">
        <v>5</v>
      </c>
      <c r="H3808" s="17">
        <f>Table1[[#This Row],[Unit price]]*Table1[[#This Row],[Quantity]]</f>
        <v>13.85</v>
      </c>
      <c r="I3808" s="29">
        <f>Table1[[#This Row],[Total Revenue]]/$H$5056*100</f>
        <v>1.469426096805896E-3</v>
      </c>
      <c r="J3808" s="3" t="s">
        <v>15</v>
      </c>
      <c r="K3808" s="4">
        <v>3.6</v>
      </c>
      <c r="M3808"/>
    </row>
    <row r="3809" spans="1:13" x14ac:dyDescent="0.25">
      <c r="A3809" s="3" t="s">
        <v>195</v>
      </c>
      <c r="B3809" s="3" t="s">
        <v>243</v>
      </c>
      <c r="C3809" s="3" t="s">
        <v>9</v>
      </c>
      <c r="D3809" s="3" t="s">
        <v>10</v>
      </c>
      <c r="E3809" s="5" t="s">
        <v>20</v>
      </c>
      <c r="F3809" s="17">
        <v>44.48</v>
      </c>
      <c r="G3809" s="3">
        <v>9</v>
      </c>
      <c r="H3809" s="17">
        <f>Table1[[#This Row],[Unit price]]*Table1[[#This Row],[Quantity]]</f>
        <v>400.32</v>
      </c>
      <c r="I3809" s="29">
        <f>Table1[[#This Row],[Total Revenue]]/$H$5056*100</f>
        <v>4.2472249463778797E-2</v>
      </c>
      <c r="J3809" s="3" t="s">
        <v>12</v>
      </c>
      <c r="K3809" s="4">
        <v>4.5</v>
      </c>
      <c r="M3809"/>
    </row>
    <row r="3810" spans="1:13" x14ac:dyDescent="0.25">
      <c r="A3810" s="3" t="s">
        <v>196</v>
      </c>
      <c r="B3810" s="3" t="s">
        <v>244</v>
      </c>
      <c r="C3810" s="3" t="s">
        <v>13</v>
      </c>
      <c r="D3810" s="3" t="s">
        <v>19</v>
      </c>
      <c r="E3810" s="5" t="s">
        <v>21</v>
      </c>
      <c r="F3810" s="17">
        <v>18.329999999999998</v>
      </c>
      <c r="G3810" s="3">
        <v>5</v>
      </c>
      <c r="H3810" s="17">
        <f>Table1[[#This Row],[Unit price]]*Table1[[#This Row],[Quantity]]</f>
        <v>91.649999999999991</v>
      </c>
      <c r="I3810" s="29">
        <f>Table1[[#This Row],[Total Revenue]]/$H$5056*100</f>
        <v>9.723675218213745E-3</v>
      </c>
      <c r="J3810" s="3" t="s">
        <v>12</v>
      </c>
      <c r="K3810" s="4">
        <v>9</v>
      </c>
      <c r="M3810"/>
    </row>
    <row r="3811" spans="1:13" x14ac:dyDescent="0.25">
      <c r="A3811" s="3" t="s">
        <v>196</v>
      </c>
      <c r="B3811" s="3" t="s">
        <v>244</v>
      </c>
      <c r="C3811" s="3" t="s">
        <v>9</v>
      </c>
      <c r="D3811" s="3" t="s">
        <v>19</v>
      </c>
      <c r="E3811" s="5" t="s">
        <v>18</v>
      </c>
      <c r="F3811" s="17">
        <v>5.37</v>
      </c>
      <c r="G3811" s="3">
        <v>2</v>
      </c>
      <c r="H3811" s="17">
        <f>Table1[[#This Row],[Unit price]]*Table1[[#This Row],[Quantity]]</f>
        <v>10.74</v>
      </c>
      <c r="I3811" s="29">
        <f>Table1[[#This Row],[Total Revenue]]/$H$5056*100</f>
        <v>1.1394683234437057E-3</v>
      </c>
      <c r="J3811" s="3" t="s">
        <v>15</v>
      </c>
      <c r="K3811" s="4">
        <v>5.5</v>
      </c>
      <c r="M3811"/>
    </row>
    <row r="3812" spans="1:13" x14ac:dyDescent="0.25">
      <c r="A3812" s="3" t="s">
        <v>196</v>
      </c>
      <c r="B3812" s="3" t="s">
        <v>244</v>
      </c>
      <c r="C3812" s="3" t="s">
        <v>13</v>
      </c>
      <c r="D3812" s="3" t="s">
        <v>19</v>
      </c>
      <c r="E3812" s="5" t="s">
        <v>20</v>
      </c>
      <c r="F3812" s="17">
        <v>44.98</v>
      </c>
      <c r="G3812" s="3">
        <v>4</v>
      </c>
      <c r="H3812" s="17">
        <f>Table1[[#This Row],[Unit price]]*Table1[[#This Row],[Quantity]]</f>
        <v>179.92</v>
      </c>
      <c r="I3812" s="29">
        <f>Table1[[#This Row],[Total Revenue]]/$H$5056*100</f>
        <v>1.9088746811358612E-2</v>
      </c>
      <c r="J3812" s="3" t="s">
        <v>17</v>
      </c>
      <c r="K3812" s="4">
        <v>6.7</v>
      </c>
      <c r="M3812"/>
    </row>
    <row r="3813" spans="1:13" x14ac:dyDescent="0.25">
      <c r="A3813" s="3" t="s">
        <v>196</v>
      </c>
      <c r="B3813" s="3" t="s">
        <v>245</v>
      </c>
      <c r="C3813" s="3" t="s">
        <v>9</v>
      </c>
      <c r="D3813" s="3" t="s">
        <v>19</v>
      </c>
      <c r="E3813" s="5" t="s">
        <v>21</v>
      </c>
      <c r="F3813" s="17">
        <v>39.86</v>
      </c>
      <c r="G3813" s="3">
        <v>6</v>
      </c>
      <c r="H3813" s="17">
        <f>Table1[[#This Row],[Unit price]]*Table1[[#This Row],[Quantity]]</f>
        <v>239.16</v>
      </c>
      <c r="I3813" s="29">
        <f>Table1[[#This Row],[Total Revenue]]/$H$5056*100</f>
        <v>2.5373858867299506E-2</v>
      </c>
      <c r="J3813" s="3" t="s">
        <v>17</v>
      </c>
      <c r="K3813" s="4">
        <v>6.9</v>
      </c>
      <c r="M3813"/>
    </row>
    <row r="3814" spans="1:13" x14ac:dyDescent="0.25">
      <c r="A3814" s="3" t="s">
        <v>196</v>
      </c>
      <c r="B3814" s="3" t="s">
        <v>244</v>
      </c>
      <c r="C3814" s="3" t="s">
        <v>9</v>
      </c>
      <c r="D3814" s="3" t="s">
        <v>19</v>
      </c>
      <c r="E3814" s="5" t="s">
        <v>16</v>
      </c>
      <c r="F3814" s="17">
        <v>64.94</v>
      </c>
      <c r="G3814" s="3">
        <v>9</v>
      </c>
      <c r="H3814" s="17">
        <f>Table1[[#This Row],[Unit price]]*Table1[[#This Row],[Quantity]]</f>
        <v>584.46</v>
      </c>
      <c r="I3814" s="29">
        <f>Table1[[#This Row],[Total Revenue]]/$H$5056*100</f>
        <v>6.2008720327738201E-2</v>
      </c>
      <c r="J3814" s="3" t="s">
        <v>12</v>
      </c>
      <c r="K3814" s="4">
        <v>4.5</v>
      </c>
      <c r="M3814"/>
    </row>
    <row r="3815" spans="1:13" x14ac:dyDescent="0.25">
      <c r="A3815" s="3" t="s">
        <v>196</v>
      </c>
      <c r="B3815" s="3" t="s">
        <v>243</v>
      </c>
      <c r="C3815" s="3" t="s">
        <v>13</v>
      </c>
      <c r="D3815" s="3" t="s">
        <v>10</v>
      </c>
      <c r="E3815" s="5" t="s">
        <v>14</v>
      </c>
      <c r="F3815" s="17">
        <v>82.92</v>
      </c>
      <c r="G3815" s="3">
        <v>6</v>
      </c>
      <c r="H3815" s="17">
        <f>Table1[[#This Row],[Unit price]]*Table1[[#This Row],[Quantity]]</f>
        <v>497.52</v>
      </c>
      <c r="I3815" s="29">
        <f>Table1[[#This Row],[Total Revenue]]/$H$5056*100</f>
        <v>5.2784756078185523E-2</v>
      </c>
      <c r="J3815" s="3" t="s">
        <v>17</v>
      </c>
      <c r="K3815" s="4">
        <v>6.9</v>
      </c>
      <c r="M3815"/>
    </row>
    <row r="3816" spans="1:13" x14ac:dyDescent="0.25">
      <c r="A3816" s="3" t="s">
        <v>196</v>
      </c>
      <c r="B3816" s="3" t="s">
        <v>243</v>
      </c>
      <c r="C3816" s="3" t="s">
        <v>9</v>
      </c>
      <c r="D3816" s="3" t="s">
        <v>19</v>
      </c>
      <c r="E3816" s="5" t="s">
        <v>16</v>
      </c>
      <c r="F3816" s="17">
        <v>52.97</v>
      </c>
      <c r="G3816" s="3">
        <v>5</v>
      </c>
      <c r="H3816" s="17">
        <f>Table1[[#This Row],[Unit price]]*Table1[[#This Row],[Quantity]]</f>
        <v>264.85000000000002</v>
      </c>
      <c r="I3816" s="29">
        <f>Table1[[#This Row],[Total Revenue]]/$H$5056*100</f>
        <v>2.8099458609317087E-2</v>
      </c>
      <c r="J3816" s="3" t="s">
        <v>15</v>
      </c>
      <c r="K3816" s="4">
        <v>7.5</v>
      </c>
      <c r="M3816"/>
    </row>
    <row r="3817" spans="1:13" x14ac:dyDescent="0.25">
      <c r="A3817" s="3" t="s">
        <v>196</v>
      </c>
      <c r="B3817" s="3" t="s">
        <v>244</v>
      </c>
      <c r="C3817" s="3" t="s">
        <v>9</v>
      </c>
      <c r="D3817" s="3" t="s">
        <v>19</v>
      </c>
      <c r="E3817" s="5" t="s">
        <v>21</v>
      </c>
      <c r="F3817" s="17">
        <v>36.01</v>
      </c>
      <c r="G3817" s="3">
        <v>5</v>
      </c>
      <c r="H3817" s="17">
        <f>Table1[[#This Row],[Unit price]]*Table1[[#This Row],[Quantity]]</f>
        <v>180.04999999999998</v>
      </c>
      <c r="I3817" s="29">
        <f>Table1[[#This Row],[Total Revenue]]/$H$5056*100</f>
        <v>1.9102539258476648E-2</v>
      </c>
      <c r="J3817" s="3" t="s">
        <v>12</v>
      </c>
      <c r="K3817" s="4">
        <v>5</v>
      </c>
      <c r="M3817"/>
    </row>
    <row r="3818" spans="1:13" x14ac:dyDescent="0.25">
      <c r="A3818" s="3" t="s">
        <v>196</v>
      </c>
      <c r="B3818" s="3" t="s">
        <v>244</v>
      </c>
      <c r="C3818" s="3" t="s">
        <v>9</v>
      </c>
      <c r="D3818" s="3" t="s">
        <v>19</v>
      </c>
      <c r="E3818" s="5" t="s">
        <v>18</v>
      </c>
      <c r="F3818" s="17">
        <v>15.95</v>
      </c>
      <c r="G3818" s="3">
        <v>1</v>
      </c>
      <c r="H3818" s="17">
        <f>Table1[[#This Row],[Unit price]]*Table1[[#This Row],[Quantity]]</f>
        <v>15.95</v>
      </c>
      <c r="I3818" s="29">
        <f>Table1[[#This Row],[Total Revenue]]/$H$5056*100</f>
        <v>1.6922271656356709E-3</v>
      </c>
      <c r="J3818" s="3" t="s">
        <v>17</v>
      </c>
      <c r="K3818" s="4">
        <v>5.8</v>
      </c>
      <c r="M3818"/>
    </row>
    <row r="3819" spans="1:13" x14ac:dyDescent="0.25">
      <c r="A3819" s="3" t="s">
        <v>196</v>
      </c>
      <c r="B3819" s="3" t="s">
        <v>245</v>
      </c>
      <c r="C3819" s="3" t="s">
        <v>13</v>
      </c>
      <c r="D3819" s="3" t="s">
        <v>19</v>
      </c>
      <c r="E3819" s="5" t="s">
        <v>11</v>
      </c>
      <c r="F3819" s="17">
        <v>6.95</v>
      </c>
      <c r="G3819" s="3">
        <v>3</v>
      </c>
      <c r="H3819" s="17">
        <f>Table1[[#This Row],[Unit price]]*Table1[[#This Row],[Quantity]]</f>
        <v>20.85</v>
      </c>
      <c r="I3819" s="29">
        <f>Table1[[#This Row],[Total Revenue]]/$H$5056*100</f>
        <v>2.2120963262384791E-3</v>
      </c>
      <c r="J3819" s="3" t="s">
        <v>12</v>
      </c>
      <c r="K3819" s="4">
        <v>6.1</v>
      </c>
      <c r="M3819"/>
    </row>
    <row r="3820" spans="1:13" x14ac:dyDescent="0.25">
      <c r="A3820" s="3" t="s">
        <v>197</v>
      </c>
      <c r="B3820" s="3" t="s">
        <v>244</v>
      </c>
      <c r="C3820" s="3" t="s">
        <v>13</v>
      </c>
      <c r="D3820" s="3" t="s">
        <v>19</v>
      </c>
      <c r="E3820" s="5" t="s">
        <v>11</v>
      </c>
      <c r="F3820" s="17">
        <v>13.85</v>
      </c>
      <c r="G3820" s="3">
        <v>4</v>
      </c>
      <c r="H3820" s="17">
        <f>Table1[[#This Row],[Unit price]]*Table1[[#This Row],[Quantity]]</f>
        <v>55.4</v>
      </c>
      <c r="I3820" s="29">
        <f>Table1[[#This Row],[Total Revenue]]/$H$5056*100</f>
        <v>5.877704387223584E-3</v>
      </c>
      <c r="J3820" s="3" t="s">
        <v>12</v>
      </c>
      <c r="K3820" s="4">
        <v>9.3000000000000007</v>
      </c>
      <c r="M3820"/>
    </row>
    <row r="3821" spans="1:13" x14ac:dyDescent="0.25">
      <c r="A3821" s="3" t="s">
        <v>197</v>
      </c>
      <c r="B3821" s="3" t="s">
        <v>245</v>
      </c>
      <c r="C3821" s="3" t="s">
        <v>13</v>
      </c>
      <c r="D3821" s="3" t="s">
        <v>10</v>
      </c>
      <c r="E3821" s="5" t="s">
        <v>16</v>
      </c>
      <c r="F3821" s="17">
        <v>63.15</v>
      </c>
      <c r="G3821" s="3">
        <v>2</v>
      </c>
      <c r="H3821" s="17">
        <f>Table1[[#This Row],[Unit price]]*Table1[[#This Row],[Quantity]]</f>
        <v>126.3</v>
      </c>
      <c r="I3821" s="29">
        <f>Table1[[#This Row],[Total Revenue]]/$H$5056*100</f>
        <v>1.339989285390503E-2</v>
      </c>
      <c r="J3821" s="3" t="s">
        <v>17</v>
      </c>
      <c r="K3821" s="4">
        <v>7</v>
      </c>
      <c r="M3821"/>
    </row>
    <row r="3822" spans="1:13" x14ac:dyDescent="0.25">
      <c r="A3822" s="3" t="s">
        <v>197</v>
      </c>
      <c r="B3822" s="3" t="s">
        <v>245</v>
      </c>
      <c r="C3822" s="3" t="s">
        <v>9</v>
      </c>
      <c r="D3822" s="3" t="s">
        <v>10</v>
      </c>
      <c r="E3822" s="5" t="s">
        <v>21</v>
      </c>
      <c r="F3822" s="17">
        <v>30.54</v>
      </c>
      <c r="G3822" s="3">
        <v>9</v>
      </c>
      <c r="H3822" s="17">
        <f>Table1[[#This Row],[Unit price]]*Table1[[#This Row],[Quantity]]</f>
        <v>274.86</v>
      </c>
      <c r="I3822" s="29">
        <f>Table1[[#This Row],[Total Revenue]]/$H$5056*100</f>
        <v>2.9161477037405674E-2</v>
      </c>
      <c r="J3822" s="3" t="s">
        <v>17</v>
      </c>
      <c r="K3822" s="4">
        <v>9.4</v>
      </c>
      <c r="M3822"/>
    </row>
    <row r="3823" spans="1:13" x14ac:dyDescent="0.25">
      <c r="A3823" s="3" t="s">
        <v>197</v>
      </c>
      <c r="B3823" s="3" t="s">
        <v>244</v>
      </c>
      <c r="C3823" s="3" t="s">
        <v>13</v>
      </c>
      <c r="D3823" s="3" t="s">
        <v>19</v>
      </c>
      <c r="E3823" s="5" t="s">
        <v>16</v>
      </c>
      <c r="F3823" s="17">
        <v>76.290000000000006</v>
      </c>
      <c r="G3823" s="3">
        <v>5</v>
      </c>
      <c r="H3823" s="17">
        <f>Table1[[#This Row],[Unit price]]*Table1[[#This Row],[Quantity]]</f>
        <v>381.45000000000005</v>
      </c>
      <c r="I3823" s="29">
        <f>Table1[[#This Row],[Total Revenue]]/$H$5056*100</f>
        <v>4.0470222716722681E-2</v>
      </c>
      <c r="J3823" s="3" t="s">
        <v>17</v>
      </c>
      <c r="K3823" s="4">
        <v>6.8</v>
      </c>
      <c r="M3823"/>
    </row>
    <row r="3824" spans="1:13" x14ac:dyDescent="0.25">
      <c r="A3824" s="3" t="s">
        <v>197</v>
      </c>
      <c r="B3824" s="3" t="s">
        <v>243</v>
      </c>
      <c r="C3824" s="3" t="s">
        <v>9</v>
      </c>
      <c r="D3824" s="3" t="s">
        <v>19</v>
      </c>
      <c r="E3824" s="5" t="s">
        <v>21</v>
      </c>
      <c r="F3824" s="17">
        <v>19.62</v>
      </c>
      <c r="G3824" s="3">
        <v>7</v>
      </c>
      <c r="H3824" s="17">
        <f>Table1[[#This Row],[Unit price]]*Table1[[#This Row],[Quantity]]</f>
        <v>137.34</v>
      </c>
      <c r="I3824" s="29">
        <f>Table1[[#This Row],[Total Revenue]]/$H$5056*100</f>
        <v>1.4571189901467276E-2</v>
      </c>
      <c r="J3824" s="3" t="s">
        <v>17</v>
      </c>
      <c r="K3824" s="4">
        <v>6.4</v>
      </c>
      <c r="M3824"/>
    </row>
    <row r="3825" spans="1:13" x14ac:dyDescent="0.25">
      <c r="A3825" s="3" t="s">
        <v>197</v>
      </c>
      <c r="B3825" s="3" t="s">
        <v>244</v>
      </c>
      <c r="C3825" s="3" t="s">
        <v>9</v>
      </c>
      <c r="D3825" s="3" t="s">
        <v>10</v>
      </c>
      <c r="E3825" s="5" t="s">
        <v>20</v>
      </c>
      <c r="F3825" s="17">
        <v>67.91</v>
      </c>
      <c r="G3825" s="3">
        <v>7</v>
      </c>
      <c r="H3825" s="17">
        <f>Table1[[#This Row],[Unit price]]*Table1[[#This Row],[Quantity]]</f>
        <v>475.37</v>
      </c>
      <c r="I3825" s="29">
        <f>Table1[[#This Row],[Total Revenue]]/$H$5056*100</f>
        <v>5.0434735280766703E-2</v>
      </c>
      <c r="J3825" s="3" t="s">
        <v>15</v>
      </c>
      <c r="K3825" s="4">
        <v>3</v>
      </c>
      <c r="M3825"/>
    </row>
    <row r="3826" spans="1:13" x14ac:dyDescent="0.25">
      <c r="A3826" s="3" t="s">
        <v>197</v>
      </c>
      <c r="B3826" s="3" t="s">
        <v>244</v>
      </c>
      <c r="C3826" s="3" t="s">
        <v>13</v>
      </c>
      <c r="D3826" s="3" t="s">
        <v>19</v>
      </c>
      <c r="E3826" s="5" t="s">
        <v>11</v>
      </c>
      <c r="F3826" s="17">
        <v>10.28</v>
      </c>
      <c r="G3826" s="3">
        <v>6</v>
      </c>
      <c r="H3826" s="17">
        <f>Table1[[#This Row],[Unit price]]*Table1[[#This Row],[Quantity]]</f>
        <v>61.679999999999993</v>
      </c>
      <c r="I3826" s="29">
        <f>Table1[[#This Row],[Total Revenue]]/$H$5056*100</f>
        <v>6.5439856787716721E-3</v>
      </c>
      <c r="J3826" s="3" t="s">
        <v>15</v>
      </c>
      <c r="K3826" s="4">
        <v>6.3</v>
      </c>
      <c r="M3826"/>
    </row>
    <row r="3827" spans="1:13" x14ac:dyDescent="0.25">
      <c r="A3827" s="3" t="s">
        <v>197</v>
      </c>
      <c r="B3827" s="3" t="s">
        <v>243</v>
      </c>
      <c r="C3827" s="3" t="s">
        <v>9</v>
      </c>
      <c r="D3827" s="3" t="s">
        <v>10</v>
      </c>
      <c r="E3827" s="5" t="s">
        <v>14</v>
      </c>
      <c r="F3827" s="17">
        <v>87.6</v>
      </c>
      <c r="G3827" s="3">
        <v>9</v>
      </c>
      <c r="H3827" s="17">
        <f>Table1[[#This Row],[Unit price]]*Table1[[#This Row],[Quantity]]</f>
        <v>788.4</v>
      </c>
      <c r="I3827" s="29">
        <f>Table1[[#This Row],[Total Revenue]]/$H$5056*100</f>
        <v>8.3645886983521184E-2</v>
      </c>
      <c r="J3827" s="3" t="s">
        <v>12</v>
      </c>
      <c r="K3827" s="4">
        <v>9.3000000000000007</v>
      </c>
      <c r="M3827"/>
    </row>
    <row r="3828" spans="1:13" x14ac:dyDescent="0.25">
      <c r="A3828" s="3" t="s">
        <v>198</v>
      </c>
      <c r="B3828" s="3" t="s">
        <v>244</v>
      </c>
      <c r="C3828" s="3" t="s">
        <v>9</v>
      </c>
      <c r="D3828" s="3" t="s">
        <v>19</v>
      </c>
      <c r="E3828" s="5" t="s">
        <v>11</v>
      </c>
      <c r="F3828" s="17">
        <v>5.05</v>
      </c>
      <c r="G3828" s="3">
        <v>8</v>
      </c>
      <c r="H3828" s="17">
        <f>Table1[[#This Row],[Unit price]]*Table1[[#This Row],[Quantity]]</f>
        <v>40.4</v>
      </c>
      <c r="I3828" s="29">
        <f>Table1[[#This Row],[Total Revenue]]/$H$5056*100</f>
        <v>4.2862681812966211E-3</v>
      </c>
      <c r="J3828" s="3" t="s">
        <v>12</v>
      </c>
      <c r="K3828" s="4">
        <v>4.3</v>
      </c>
      <c r="M3828"/>
    </row>
    <row r="3829" spans="1:13" x14ac:dyDescent="0.25">
      <c r="A3829" s="3" t="s">
        <v>198</v>
      </c>
      <c r="B3829" s="3" t="s">
        <v>245</v>
      </c>
      <c r="C3829" s="3" t="s">
        <v>13</v>
      </c>
      <c r="D3829" s="3" t="s">
        <v>10</v>
      </c>
      <c r="E3829" s="5" t="s">
        <v>16</v>
      </c>
      <c r="F3829" s="17">
        <v>50.97</v>
      </c>
      <c r="G3829" s="3">
        <v>5</v>
      </c>
      <c r="H3829" s="17">
        <f>Table1[[#This Row],[Unit price]]*Table1[[#This Row],[Quantity]]</f>
        <v>254.85</v>
      </c>
      <c r="I3829" s="29">
        <f>Table1[[#This Row],[Total Revenue]]/$H$5056*100</f>
        <v>2.7038501138699107E-2</v>
      </c>
      <c r="J3829" s="3" t="s">
        <v>15</v>
      </c>
      <c r="K3829" s="4">
        <v>3.4</v>
      </c>
      <c r="M3829"/>
    </row>
    <row r="3830" spans="1:13" x14ac:dyDescent="0.25">
      <c r="A3830" s="3" t="s">
        <v>198</v>
      </c>
      <c r="B3830" s="3" t="s">
        <v>243</v>
      </c>
      <c r="C3830" s="3" t="s">
        <v>13</v>
      </c>
      <c r="D3830" s="3" t="s">
        <v>10</v>
      </c>
      <c r="E3830" s="5" t="s">
        <v>18</v>
      </c>
      <c r="F3830" s="17">
        <v>23.84</v>
      </c>
      <c r="G3830" s="3">
        <v>9</v>
      </c>
      <c r="H3830" s="17">
        <f>Table1[[#This Row],[Unit price]]*Table1[[#This Row],[Quantity]]</f>
        <v>214.56</v>
      </c>
      <c r="I3830" s="29">
        <f>Table1[[#This Row],[Total Revenue]]/$H$5056*100</f>
        <v>2.2763903489579285E-2</v>
      </c>
      <c r="J3830" s="3" t="s">
        <v>17</v>
      </c>
      <c r="K3830" s="4">
        <v>5.8</v>
      </c>
      <c r="M3830"/>
    </row>
    <row r="3831" spans="1:13" x14ac:dyDescent="0.25">
      <c r="A3831" s="3" t="s">
        <v>198</v>
      </c>
      <c r="B3831" s="3" t="s">
        <v>243</v>
      </c>
      <c r="C3831" s="3" t="s">
        <v>9</v>
      </c>
      <c r="D3831" s="3" t="s">
        <v>19</v>
      </c>
      <c r="E3831" s="5" t="s">
        <v>21</v>
      </c>
      <c r="F3831" s="17">
        <v>25.38</v>
      </c>
      <c r="G3831" s="3">
        <v>6</v>
      </c>
      <c r="H3831" s="17">
        <f>Table1[[#This Row],[Unit price]]*Table1[[#This Row],[Quantity]]</f>
        <v>152.28</v>
      </c>
      <c r="I3831" s="29">
        <f>Table1[[#This Row],[Total Revenue]]/$H$5056*100</f>
        <v>1.6156260362570531E-2</v>
      </c>
      <c r="J3831" s="3" t="s">
        <v>17</v>
      </c>
      <c r="K3831" s="4">
        <v>5.5</v>
      </c>
      <c r="M3831"/>
    </row>
    <row r="3832" spans="1:13" x14ac:dyDescent="0.25">
      <c r="A3832" s="3" t="s">
        <v>198</v>
      </c>
      <c r="B3832" s="3" t="s">
        <v>245</v>
      </c>
      <c r="C3832" s="3" t="s">
        <v>9</v>
      </c>
      <c r="D3832" s="3" t="s">
        <v>19</v>
      </c>
      <c r="E3832" s="5" t="s">
        <v>14</v>
      </c>
      <c r="F3832" s="17">
        <v>80.900000000000006</v>
      </c>
      <c r="G3832" s="3">
        <v>7</v>
      </c>
      <c r="H3832" s="17">
        <f>Table1[[#This Row],[Unit price]]*Table1[[#This Row],[Quantity]]</f>
        <v>566.30000000000007</v>
      </c>
      <c r="I3832" s="29">
        <f>Table1[[#This Row],[Total Revenue]]/$H$5056*100</f>
        <v>6.0082021561095961E-2</v>
      </c>
      <c r="J3832" s="3" t="s">
        <v>15</v>
      </c>
      <c r="K3832" s="4">
        <v>8.8000000000000007</v>
      </c>
      <c r="M3832"/>
    </row>
    <row r="3833" spans="1:13" x14ac:dyDescent="0.25">
      <c r="A3833" s="3" t="s">
        <v>198</v>
      </c>
      <c r="B3833" s="3" t="s">
        <v>243</v>
      </c>
      <c r="C3833" s="3" t="s">
        <v>13</v>
      </c>
      <c r="D3833" s="3" t="s">
        <v>19</v>
      </c>
      <c r="E3833" s="5" t="s">
        <v>14</v>
      </c>
      <c r="F3833" s="17">
        <v>96.66</v>
      </c>
      <c r="G3833" s="3">
        <v>5</v>
      </c>
      <c r="H3833" s="17">
        <f>Table1[[#This Row],[Unit price]]*Table1[[#This Row],[Quantity]]</f>
        <v>483.29999999999995</v>
      </c>
      <c r="I3833" s="29">
        <f>Table1[[#This Row],[Total Revenue]]/$H$5056*100</f>
        <v>5.1276074554966751E-2</v>
      </c>
      <c r="J3833" s="3" t="s">
        <v>17</v>
      </c>
      <c r="K3833" s="4">
        <v>3.2</v>
      </c>
      <c r="M3833"/>
    </row>
    <row r="3834" spans="1:13" x14ac:dyDescent="0.25">
      <c r="A3834" s="3" t="s">
        <v>198</v>
      </c>
      <c r="B3834" s="3" t="s">
        <v>243</v>
      </c>
      <c r="C3834" s="3" t="s">
        <v>13</v>
      </c>
      <c r="D3834" s="3" t="s">
        <v>19</v>
      </c>
      <c r="E3834" s="5" t="s">
        <v>11</v>
      </c>
      <c r="F3834" s="17">
        <v>7.98</v>
      </c>
      <c r="G3834" s="3">
        <v>9</v>
      </c>
      <c r="H3834" s="17">
        <f>Table1[[#This Row],[Unit price]]*Table1[[#This Row],[Quantity]]</f>
        <v>71.820000000000007</v>
      </c>
      <c r="I3834" s="29">
        <f>Table1[[#This Row],[Total Revenue]]/$H$5056*100</f>
        <v>7.6197965539783015E-3</v>
      </c>
      <c r="J3834" s="3" t="s">
        <v>17</v>
      </c>
      <c r="K3834" s="4">
        <v>9.3000000000000007</v>
      </c>
      <c r="M3834"/>
    </row>
    <row r="3835" spans="1:13" x14ac:dyDescent="0.25">
      <c r="A3835" s="3" t="s">
        <v>198</v>
      </c>
      <c r="B3835" s="3" t="s">
        <v>244</v>
      </c>
      <c r="C3835" s="3" t="s">
        <v>9</v>
      </c>
      <c r="D3835" s="3" t="s">
        <v>19</v>
      </c>
      <c r="E3835" s="5" t="s">
        <v>11</v>
      </c>
      <c r="F3835" s="17">
        <v>10.220000000000001</v>
      </c>
      <c r="G3835" s="3">
        <v>5</v>
      </c>
      <c r="H3835" s="17">
        <f>Table1[[#This Row],[Unit price]]*Table1[[#This Row],[Quantity]]</f>
        <v>51.1</v>
      </c>
      <c r="I3835" s="29">
        <f>Table1[[#This Row],[Total Revenue]]/$H$5056*100</f>
        <v>5.4214926748578553E-3</v>
      </c>
      <c r="J3835" s="3" t="s">
        <v>12</v>
      </c>
      <c r="K3835" s="4">
        <v>7.6</v>
      </c>
      <c r="M3835"/>
    </row>
    <row r="3836" spans="1:13" x14ac:dyDescent="0.25">
      <c r="A3836" s="3" t="s">
        <v>198</v>
      </c>
      <c r="B3836" s="3" t="s">
        <v>244</v>
      </c>
      <c r="C3836" s="3" t="s">
        <v>9</v>
      </c>
      <c r="D3836" s="3" t="s">
        <v>10</v>
      </c>
      <c r="E3836" s="5" t="s">
        <v>11</v>
      </c>
      <c r="F3836" s="17">
        <v>7.17</v>
      </c>
      <c r="G3836" s="3">
        <v>4</v>
      </c>
      <c r="H3836" s="17">
        <f>Table1[[#This Row],[Unit price]]*Table1[[#This Row],[Quantity]]</f>
        <v>28.68</v>
      </c>
      <c r="I3836" s="29">
        <f>Table1[[#This Row],[Total Revenue]]/$H$5056*100</f>
        <v>3.042826025732354E-3</v>
      </c>
      <c r="J3836" s="3" t="s">
        <v>12</v>
      </c>
      <c r="K3836" s="4">
        <v>9.1</v>
      </c>
      <c r="M3836"/>
    </row>
    <row r="3837" spans="1:13" x14ac:dyDescent="0.25">
      <c r="A3837" s="3" t="s">
        <v>198</v>
      </c>
      <c r="B3837" s="3" t="s">
        <v>243</v>
      </c>
      <c r="C3837" s="3" t="s">
        <v>13</v>
      </c>
      <c r="D3837" s="3" t="s">
        <v>19</v>
      </c>
      <c r="E3837" s="5" t="s">
        <v>18</v>
      </c>
      <c r="F3837" s="17">
        <v>8.2799999999999994</v>
      </c>
      <c r="G3837" s="3">
        <v>7</v>
      </c>
      <c r="H3837" s="17">
        <f>Table1[[#This Row],[Unit price]]*Table1[[#This Row],[Quantity]]</f>
        <v>57.959999999999994</v>
      </c>
      <c r="I3837" s="29">
        <f>Table1[[#This Row],[Total Revenue]]/$H$5056*100</f>
        <v>6.1493094997017847E-3</v>
      </c>
      <c r="J3837" s="3" t="s">
        <v>15</v>
      </c>
      <c r="K3837" s="4">
        <v>7.1</v>
      </c>
      <c r="M3837"/>
    </row>
    <row r="3838" spans="1:13" x14ac:dyDescent="0.25">
      <c r="A3838" s="3" t="s">
        <v>198</v>
      </c>
      <c r="B3838" s="3" t="s">
        <v>245</v>
      </c>
      <c r="C3838" s="3" t="s">
        <v>13</v>
      </c>
      <c r="D3838" s="3" t="s">
        <v>19</v>
      </c>
      <c r="E3838" s="5" t="s">
        <v>16</v>
      </c>
      <c r="F3838" s="17">
        <v>70.89</v>
      </c>
      <c r="G3838" s="3">
        <v>5</v>
      </c>
      <c r="H3838" s="17">
        <f>Table1[[#This Row],[Unit price]]*Table1[[#This Row],[Quantity]]</f>
        <v>354.45</v>
      </c>
      <c r="I3838" s="29">
        <f>Table1[[#This Row],[Total Revenue]]/$H$5056*100</f>
        <v>3.7605637546054137E-2</v>
      </c>
      <c r="J3838" s="3" t="s">
        <v>17</v>
      </c>
      <c r="K3838" s="4">
        <v>8.5</v>
      </c>
      <c r="M3838"/>
    </row>
    <row r="3839" spans="1:13" x14ac:dyDescent="0.25">
      <c r="A3839" s="3" t="s">
        <v>198</v>
      </c>
      <c r="B3839" s="3" t="s">
        <v>245</v>
      </c>
      <c r="C3839" s="3" t="s">
        <v>9</v>
      </c>
      <c r="D3839" s="3" t="s">
        <v>19</v>
      </c>
      <c r="E3839" s="5" t="s">
        <v>11</v>
      </c>
      <c r="F3839" s="17">
        <v>3.64</v>
      </c>
      <c r="G3839" s="3">
        <v>5</v>
      </c>
      <c r="H3839" s="17">
        <f>Table1[[#This Row],[Unit price]]*Table1[[#This Row],[Quantity]]</f>
        <v>18.2</v>
      </c>
      <c r="I3839" s="29">
        <f>Table1[[#This Row],[Total Revenue]]/$H$5056*100</f>
        <v>1.9309425965247152E-3</v>
      </c>
      <c r="J3839" s="3" t="s">
        <v>12</v>
      </c>
      <c r="K3839" s="4">
        <v>5.3</v>
      </c>
      <c r="M3839"/>
    </row>
    <row r="3840" spans="1:13" x14ac:dyDescent="0.25">
      <c r="A3840" s="3" t="s">
        <v>198</v>
      </c>
      <c r="B3840" s="3" t="s">
        <v>244</v>
      </c>
      <c r="C3840" s="3" t="s">
        <v>13</v>
      </c>
      <c r="D3840" s="3" t="s">
        <v>19</v>
      </c>
      <c r="E3840" s="5" t="s">
        <v>20</v>
      </c>
      <c r="F3840" s="17">
        <v>67.19</v>
      </c>
      <c r="G3840" s="3">
        <v>9</v>
      </c>
      <c r="H3840" s="17">
        <f>Table1[[#This Row],[Unit price]]*Table1[[#This Row],[Quantity]]</f>
        <v>604.71</v>
      </c>
      <c r="I3840" s="29">
        <f>Table1[[#This Row],[Total Revenue]]/$H$5056*100</f>
        <v>6.4157159205739597E-2</v>
      </c>
      <c r="J3840" s="3" t="s">
        <v>12</v>
      </c>
      <c r="K3840" s="4">
        <v>5.4</v>
      </c>
      <c r="M3840"/>
    </row>
    <row r="3841" spans="1:13" x14ac:dyDescent="0.25">
      <c r="A3841" s="3" t="s">
        <v>198</v>
      </c>
      <c r="B3841" s="3" t="s">
        <v>243</v>
      </c>
      <c r="C3841" s="3" t="s">
        <v>13</v>
      </c>
      <c r="D3841" s="3" t="s">
        <v>10</v>
      </c>
      <c r="E3841" s="5" t="s">
        <v>21</v>
      </c>
      <c r="F3841" s="17">
        <v>36.82</v>
      </c>
      <c r="G3841" s="3">
        <v>8</v>
      </c>
      <c r="H3841" s="17">
        <f>Table1[[#This Row],[Unit price]]*Table1[[#This Row],[Quantity]]</f>
        <v>294.56</v>
      </c>
      <c r="I3841" s="29">
        <f>Table1[[#This Row],[Total Revenue]]/$H$5056*100</f>
        <v>3.1251563254523093E-2</v>
      </c>
      <c r="J3841" s="3" t="s">
        <v>12</v>
      </c>
      <c r="K3841" s="4">
        <v>5.7</v>
      </c>
      <c r="M3841"/>
    </row>
    <row r="3842" spans="1:13" x14ac:dyDescent="0.25">
      <c r="A3842" s="3" t="s">
        <v>198</v>
      </c>
      <c r="B3842" s="3" t="s">
        <v>245</v>
      </c>
      <c r="C3842" s="3" t="s">
        <v>9</v>
      </c>
      <c r="D3842" s="3" t="s">
        <v>10</v>
      </c>
      <c r="E3842" s="5" t="s">
        <v>18</v>
      </c>
      <c r="F3842" s="17">
        <v>6.32</v>
      </c>
      <c r="G3842" s="3">
        <v>7</v>
      </c>
      <c r="H3842" s="17">
        <f>Table1[[#This Row],[Unit price]]*Table1[[#This Row],[Quantity]]</f>
        <v>44.24</v>
      </c>
      <c r="I3842" s="29">
        <f>Table1[[#This Row],[Total Revenue]]/$H$5056*100</f>
        <v>4.6936758500139243E-3</v>
      </c>
      <c r="J3842" s="3" t="s">
        <v>17</v>
      </c>
      <c r="K3842" s="4">
        <v>8.1</v>
      </c>
      <c r="M3842"/>
    </row>
    <row r="3843" spans="1:13" x14ac:dyDescent="0.25">
      <c r="A3843" s="3" t="s">
        <v>198</v>
      </c>
      <c r="B3843" s="3" t="s">
        <v>244</v>
      </c>
      <c r="C3843" s="3" t="s">
        <v>13</v>
      </c>
      <c r="D3843" s="3" t="s">
        <v>19</v>
      </c>
      <c r="E3843" s="5" t="s">
        <v>11</v>
      </c>
      <c r="F3843" s="17">
        <v>3.53</v>
      </c>
      <c r="G3843" s="3">
        <v>7</v>
      </c>
      <c r="H3843" s="17">
        <f>Table1[[#This Row],[Unit price]]*Table1[[#This Row],[Quantity]]</f>
        <v>24.709999999999997</v>
      </c>
      <c r="I3843" s="29">
        <f>Table1[[#This Row],[Total Revenue]]/$H$5056*100</f>
        <v>2.6216259098970174E-3</v>
      </c>
      <c r="J3843" s="3" t="s">
        <v>17</v>
      </c>
      <c r="K3843" s="4">
        <v>5.5</v>
      </c>
      <c r="M3843"/>
    </row>
    <row r="3844" spans="1:13" x14ac:dyDescent="0.25">
      <c r="A3844" s="3" t="s">
        <v>198</v>
      </c>
      <c r="B3844" s="3" t="s">
        <v>245</v>
      </c>
      <c r="C3844" s="3" t="s">
        <v>9</v>
      </c>
      <c r="D3844" s="3" t="s">
        <v>10</v>
      </c>
      <c r="E3844" s="5" t="s">
        <v>20</v>
      </c>
      <c r="F3844" s="17">
        <v>66.709999999999994</v>
      </c>
      <c r="G3844" s="3">
        <v>5</v>
      </c>
      <c r="H3844" s="17">
        <f>Table1[[#This Row],[Unit price]]*Table1[[#This Row],[Quantity]]</f>
        <v>333.54999999999995</v>
      </c>
      <c r="I3844" s="29">
        <f>Table1[[#This Row],[Total Revenue]]/$H$5056*100</f>
        <v>3.5388236432462569E-2</v>
      </c>
      <c r="J3844" s="3" t="s">
        <v>15</v>
      </c>
      <c r="K3844" s="4">
        <v>4.5999999999999996</v>
      </c>
      <c r="M3844"/>
    </row>
    <row r="3845" spans="1:13" x14ac:dyDescent="0.25">
      <c r="A3845" s="3" t="s">
        <v>198</v>
      </c>
      <c r="B3845" s="3" t="s">
        <v>243</v>
      </c>
      <c r="C3845" s="3" t="s">
        <v>13</v>
      </c>
      <c r="D3845" s="3" t="s">
        <v>10</v>
      </c>
      <c r="E3845" s="5" t="s">
        <v>21</v>
      </c>
      <c r="F3845" s="17">
        <v>35.49</v>
      </c>
      <c r="G3845" s="3">
        <v>1</v>
      </c>
      <c r="H3845" s="17">
        <f>Table1[[#This Row],[Unit price]]*Table1[[#This Row],[Quantity]]</f>
        <v>35.49</v>
      </c>
      <c r="I3845" s="29">
        <f>Table1[[#This Row],[Total Revenue]]/$H$5056*100</f>
        <v>3.7653380632231949E-3</v>
      </c>
      <c r="J3845" s="3" t="s">
        <v>12</v>
      </c>
      <c r="K3845" s="4">
        <v>9.4</v>
      </c>
      <c r="M3845"/>
    </row>
    <row r="3846" spans="1:13" x14ac:dyDescent="0.25">
      <c r="A3846" s="3" t="s">
        <v>199</v>
      </c>
      <c r="B3846" s="3" t="s">
        <v>245</v>
      </c>
      <c r="C3846" s="3" t="s">
        <v>13</v>
      </c>
      <c r="D3846" s="3" t="s">
        <v>10</v>
      </c>
      <c r="E3846" s="5" t="s">
        <v>16</v>
      </c>
      <c r="F3846" s="17">
        <v>71.239999999999995</v>
      </c>
      <c r="G3846" s="3">
        <v>9</v>
      </c>
      <c r="H3846" s="17">
        <f>Table1[[#This Row],[Unit price]]*Table1[[#This Row],[Quantity]]</f>
        <v>641.16</v>
      </c>
      <c r="I3846" s="29">
        <f>Table1[[#This Row],[Total Revenue]]/$H$5056*100</f>
        <v>6.8024349186142113E-2</v>
      </c>
      <c r="J3846" s="3" t="s">
        <v>12</v>
      </c>
      <c r="K3846" s="4">
        <v>9.1999999999999993</v>
      </c>
      <c r="M3846"/>
    </row>
    <row r="3847" spans="1:13" x14ac:dyDescent="0.25">
      <c r="A3847" s="3" t="s">
        <v>199</v>
      </c>
      <c r="B3847" s="3" t="s">
        <v>244</v>
      </c>
      <c r="C3847" s="3" t="s">
        <v>9</v>
      </c>
      <c r="D3847" s="3" t="s">
        <v>19</v>
      </c>
      <c r="E3847" s="5" t="s">
        <v>18</v>
      </c>
      <c r="F3847" s="17">
        <v>11.49</v>
      </c>
      <c r="G3847" s="3">
        <v>6</v>
      </c>
      <c r="H3847" s="17">
        <f>Table1[[#This Row],[Unit price]]*Table1[[#This Row],[Quantity]]</f>
        <v>68.94</v>
      </c>
      <c r="I3847" s="29">
        <f>Table1[[#This Row],[Total Revenue]]/$H$5056*100</f>
        <v>7.314240802440323E-3</v>
      </c>
      <c r="J3847" s="3" t="s">
        <v>17</v>
      </c>
      <c r="K3847" s="4">
        <v>5.4</v>
      </c>
      <c r="M3847"/>
    </row>
    <row r="3848" spans="1:13" x14ac:dyDescent="0.25">
      <c r="A3848" s="3" t="s">
        <v>199</v>
      </c>
      <c r="B3848" s="3" t="s">
        <v>245</v>
      </c>
      <c r="C3848" s="3" t="s">
        <v>13</v>
      </c>
      <c r="D3848" s="3" t="s">
        <v>19</v>
      </c>
      <c r="E3848" s="5" t="s">
        <v>11</v>
      </c>
      <c r="F3848" s="17">
        <v>2.21</v>
      </c>
      <c r="G3848" s="3">
        <v>2</v>
      </c>
      <c r="H3848" s="17">
        <f>Table1[[#This Row],[Unit price]]*Table1[[#This Row],[Quantity]]</f>
        <v>4.42</v>
      </c>
      <c r="I3848" s="29">
        <f>Table1[[#This Row],[Total Revenue]]/$H$5056*100</f>
        <v>4.6894320201314518E-4</v>
      </c>
      <c r="J3848" s="3" t="s">
        <v>12</v>
      </c>
      <c r="K3848" s="4">
        <v>7.3</v>
      </c>
      <c r="M3848"/>
    </row>
    <row r="3849" spans="1:13" x14ac:dyDescent="0.25">
      <c r="A3849" s="3" t="s">
        <v>199</v>
      </c>
      <c r="B3849" s="3" t="s">
        <v>245</v>
      </c>
      <c r="C3849" s="3" t="s">
        <v>13</v>
      </c>
      <c r="D3849" s="3" t="s">
        <v>19</v>
      </c>
      <c r="E3849" s="5" t="s">
        <v>21</v>
      </c>
      <c r="F3849" s="17">
        <v>19.13</v>
      </c>
      <c r="G3849" s="3">
        <v>4</v>
      </c>
      <c r="H3849" s="17">
        <f>Table1[[#This Row],[Unit price]]*Table1[[#This Row],[Quantity]]</f>
        <v>76.52</v>
      </c>
      <c r="I3849" s="29">
        <f>Table1[[#This Row],[Total Revenue]]/$H$5056*100</f>
        <v>8.1184465651687483E-3</v>
      </c>
      <c r="J3849" s="3" t="s">
        <v>17</v>
      </c>
      <c r="K3849" s="4">
        <v>4.9000000000000004</v>
      </c>
      <c r="M3849"/>
    </row>
    <row r="3850" spans="1:13" x14ac:dyDescent="0.25">
      <c r="A3850" s="3" t="s">
        <v>199</v>
      </c>
      <c r="B3850" s="3" t="s">
        <v>244</v>
      </c>
      <c r="C3850" s="3" t="s">
        <v>9</v>
      </c>
      <c r="D3850" s="3" t="s">
        <v>19</v>
      </c>
      <c r="E3850" s="5" t="s">
        <v>11</v>
      </c>
      <c r="F3850" s="17">
        <v>3.5</v>
      </c>
      <c r="G3850" s="3">
        <v>5</v>
      </c>
      <c r="H3850" s="17">
        <f>Table1[[#This Row],[Unit price]]*Table1[[#This Row],[Quantity]]</f>
        <v>17.5</v>
      </c>
      <c r="I3850" s="29">
        <f>Table1[[#This Row],[Total Revenue]]/$H$5056*100</f>
        <v>1.856675573581457E-3</v>
      </c>
      <c r="J3850" s="3" t="s">
        <v>12</v>
      </c>
      <c r="K3850" s="4">
        <v>4.4000000000000004</v>
      </c>
      <c r="M3850"/>
    </row>
    <row r="3851" spans="1:13" x14ac:dyDescent="0.25">
      <c r="A3851" s="3" t="s">
        <v>199</v>
      </c>
      <c r="B3851" s="3" t="s">
        <v>243</v>
      </c>
      <c r="C3851" s="3" t="s">
        <v>13</v>
      </c>
      <c r="D3851" s="3" t="s">
        <v>19</v>
      </c>
      <c r="E3851" s="5" t="s">
        <v>21</v>
      </c>
      <c r="F3851" s="17">
        <v>38.08</v>
      </c>
      <c r="G3851" s="3">
        <v>7</v>
      </c>
      <c r="H3851" s="17">
        <f>Table1[[#This Row],[Unit price]]*Table1[[#This Row],[Quantity]]</f>
        <v>266.56</v>
      </c>
      <c r="I3851" s="29">
        <f>Table1[[#This Row],[Total Revenue]]/$H$5056*100</f>
        <v>2.8280882336792757E-2</v>
      </c>
      <c r="J3851" s="3" t="s">
        <v>12</v>
      </c>
      <c r="K3851" s="4">
        <v>5.3</v>
      </c>
      <c r="M3851"/>
    </row>
    <row r="3852" spans="1:13" x14ac:dyDescent="0.25">
      <c r="A3852" s="3" t="s">
        <v>199</v>
      </c>
      <c r="B3852" s="3" t="s">
        <v>243</v>
      </c>
      <c r="C3852" s="3" t="s">
        <v>9</v>
      </c>
      <c r="D3852" s="3" t="s">
        <v>10</v>
      </c>
      <c r="E3852" s="5" t="s">
        <v>21</v>
      </c>
      <c r="F3852" s="17">
        <v>30.01</v>
      </c>
      <c r="G3852" s="3">
        <v>7</v>
      </c>
      <c r="H3852" s="17">
        <f>Table1[[#This Row],[Unit price]]*Table1[[#This Row],[Quantity]]</f>
        <v>210.07000000000002</v>
      </c>
      <c r="I3852" s="29">
        <f>Table1[[#This Row],[Total Revenue]]/$H$5056*100</f>
        <v>2.2287533585271815E-2</v>
      </c>
      <c r="J3852" s="3" t="s">
        <v>15</v>
      </c>
      <c r="K3852" s="4">
        <v>5.2</v>
      </c>
      <c r="M3852"/>
    </row>
    <row r="3853" spans="1:13" x14ac:dyDescent="0.25">
      <c r="A3853" s="3" t="s">
        <v>199</v>
      </c>
      <c r="B3853" s="3" t="s">
        <v>244</v>
      </c>
      <c r="C3853" s="3" t="s">
        <v>13</v>
      </c>
      <c r="D3853" s="3" t="s">
        <v>10</v>
      </c>
      <c r="E3853" s="5" t="s">
        <v>11</v>
      </c>
      <c r="F3853" s="17">
        <v>7.9</v>
      </c>
      <c r="G3853" s="3">
        <v>10</v>
      </c>
      <c r="H3853" s="17">
        <f>Table1[[#This Row],[Unit price]]*Table1[[#This Row],[Quantity]]</f>
        <v>79</v>
      </c>
      <c r="I3853" s="29">
        <f>Table1[[#This Row],[Total Revenue]]/$H$5056*100</f>
        <v>8.381564017882006E-3</v>
      </c>
      <c r="J3853" s="3" t="s">
        <v>12</v>
      </c>
      <c r="K3853" s="4">
        <v>9</v>
      </c>
      <c r="M3853"/>
    </row>
    <row r="3854" spans="1:13" x14ac:dyDescent="0.25">
      <c r="A3854" s="3" t="s">
        <v>199</v>
      </c>
      <c r="B3854" s="3" t="s">
        <v>245</v>
      </c>
      <c r="C3854" s="3" t="s">
        <v>13</v>
      </c>
      <c r="D3854" s="3" t="s">
        <v>19</v>
      </c>
      <c r="E3854" s="5" t="s">
        <v>16</v>
      </c>
      <c r="F3854" s="17">
        <v>79.59</v>
      </c>
      <c r="G3854" s="3">
        <v>2</v>
      </c>
      <c r="H3854" s="17">
        <f>Table1[[#This Row],[Unit price]]*Table1[[#This Row],[Quantity]]</f>
        <v>159.18</v>
      </c>
      <c r="I3854" s="29">
        <f>Table1[[#This Row],[Total Revenue]]/$H$5056*100</f>
        <v>1.6888321017296936E-2</v>
      </c>
      <c r="J3854" s="3" t="s">
        <v>17</v>
      </c>
      <c r="K3854" s="4">
        <v>8.6</v>
      </c>
      <c r="M3854"/>
    </row>
    <row r="3855" spans="1:13" x14ac:dyDescent="0.25">
      <c r="A3855" s="3" t="s">
        <v>199</v>
      </c>
      <c r="B3855" s="3" t="s">
        <v>243</v>
      </c>
      <c r="C3855" s="3" t="s">
        <v>13</v>
      </c>
      <c r="D3855" s="3" t="s">
        <v>19</v>
      </c>
      <c r="E3855" s="5" t="s">
        <v>21</v>
      </c>
      <c r="F3855" s="17">
        <v>19.75</v>
      </c>
      <c r="G3855" s="3">
        <v>4</v>
      </c>
      <c r="H3855" s="17">
        <f>Table1[[#This Row],[Unit price]]*Table1[[#This Row],[Quantity]]</f>
        <v>79</v>
      </c>
      <c r="I3855" s="29">
        <f>Table1[[#This Row],[Total Revenue]]/$H$5056*100</f>
        <v>8.381564017882006E-3</v>
      </c>
      <c r="J3855" s="3" t="s">
        <v>12</v>
      </c>
      <c r="K3855" s="4">
        <v>7.8</v>
      </c>
      <c r="M3855"/>
    </row>
    <row r="3856" spans="1:13" x14ac:dyDescent="0.25">
      <c r="A3856" s="3" t="s">
        <v>199</v>
      </c>
      <c r="B3856" s="3" t="s">
        <v>245</v>
      </c>
      <c r="C3856" s="3" t="s">
        <v>9</v>
      </c>
      <c r="D3856" s="3" t="s">
        <v>10</v>
      </c>
      <c r="E3856" s="5" t="s">
        <v>14</v>
      </c>
      <c r="F3856" s="17">
        <v>90.71</v>
      </c>
      <c r="G3856" s="3">
        <v>3</v>
      </c>
      <c r="H3856" s="17">
        <f>Table1[[#This Row],[Unit price]]*Table1[[#This Row],[Quantity]]</f>
        <v>272.13</v>
      </c>
      <c r="I3856" s="29">
        <f>Table1[[#This Row],[Total Revenue]]/$H$5056*100</f>
        <v>2.8871835647926971E-2</v>
      </c>
      <c r="J3856" s="3" t="s">
        <v>15</v>
      </c>
      <c r="K3856" s="4">
        <v>9.5</v>
      </c>
      <c r="M3856"/>
    </row>
    <row r="3857" spans="1:13" x14ac:dyDescent="0.25">
      <c r="A3857" s="3" t="s">
        <v>199</v>
      </c>
      <c r="B3857" s="3" t="s">
        <v>245</v>
      </c>
      <c r="C3857" s="3" t="s">
        <v>13</v>
      </c>
      <c r="D3857" s="3" t="s">
        <v>19</v>
      </c>
      <c r="E3857" s="5" t="s">
        <v>11</v>
      </c>
      <c r="F3857" s="17">
        <v>14.08</v>
      </c>
      <c r="G3857" s="3">
        <v>7</v>
      </c>
      <c r="H3857" s="17">
        <f>Table1[[#This Row],[Unit price]]*Table1[[#This Row],[Quantity]]</f>
        <v>98.56</v>
      </c>
      <c r="I3857" s="29">
        <f>Table1[[#This Row],[Total Revenue]]/$H$5056*100</f>
        <v>1.0456796830410767E-2</v>
      </c>
      <c r="J3857" s="3" t="s">
        <v>12</v>
      </c>
      <c r="K3857" s="4">
        <v>5.9</v>
      </c>
      <c r="M3857"/>
    </row>
    <row r="3858" spans="1:13" x14ac:dyDescent="0.25">
      <c r="A3858" s="3" t="s">
        <v>199</v>
      </c>
      <c r="B3858" s="3" t="s">
        <v>244</v>
      </c>
      <c r="C3858" s="3" t="s">
        <v>13</v>
      </c>
      <c r="D3858" s="3" t="s">
        <v>10</v>
      </c>
      <c r="E3858" s="5" t="s">
        <v>18</v>
      </c>
      <c r="F3858" s="17">
        <v>18.41</v>
      </c>
      <c r="G3858" s="3">
        <v>8</v>
      </c>
      <c r="H3858" s="17">
        <f>Table1[[#This Row],[Unit price]]*Table1[[#This Row],[Quantity]]</f>
        <v>147.28</v>
      </c>
      <c r="I3858" s="29">
        <f>Table1[[#This Row],[Total Revenue]]/$H$5056*100</f>
        <v>1.5625781627261547E-2</v>
      </c>
      <c r="J3858" s="3" t="s">
        <v>15</v>
      </c>
      <c r="K3858" s="4">
        <v>4.7</v>
      </c>
      <c r="M3858"/>
    </row>
    <row r="3859" spans="1:13" x14ac:dyDescent="0.25">
      <c r="A3859" s="3" t="s">
        <v>199</v>
      </c>
      <c r="B3859" s="3" t="s">
        <v>244</v>
      </c>
      <c r="C3859" s="3" t="s">
        <v>13</v>
      </c>
      <c r="D3859" s="3" t="s">
        <v>10</v>
      </c>
      <c r="E3859" s="5" t="s">
        <v>20</v>
      </c>
      <c r="F3859" s="17">
        <v>62.84</v>
      </c>
      <c r="G3859" s="3">
        <v>3</v>
      </c>
      <c r="H3859" s="17">
        <f>Table1[[#This Row],[Unit price]]*Table1[[#This Row],[Quantity]]</f>
        <v>188.52</v>
      </c>
      <c r="I3859" s="29">
        <f>Table1[[#This Row],[Total Revenue]]/$H$5056*100</f>
        <v>2.0001170236090077E-2</v>
      </c>
      <c r="J3859" s="3" t="s">
        <v>15</v>
      </c>
      <c r="K3859" s="4">
        <v>3.8</v>
      </c>
      <c r="M3859"/>
    </row>
    <row r="3860" spans="1:13" x14ac:dyDescent="0.25">
      <c r="A3860" s="3" t="s">
        <v>199</v>
      </c>
      <c r="B3860" s="3" t="s">
        <v>243</v>
      </c>
      <c r="C3860" s="3" t="s">
        <v>9</v>
      </c>
      <c r="D3860" s="3" t="s">
        <v>10</v>
      </c>
      <c r="E3860" s="5" t="s">
        <v>11</v>
      </c>
      <c r="F3860" s="17">
        <v>13.46</v>
      </c>
      <c r="G3860" s="3">
        <v>8</v>
      </c>
      <c r="H3860" s="17">
        <f>Table1[[#This Row],[Unit price]]*Table1[[#This Row],[Quantity]]</f>
        <v>107.68</v>
      </c>
      <c r="I3860" s="29">
        <f>Table1[[#This Row],[Total Revenue]]/$H$5056*100</f>
        <v>1.1424390043614362E-2</v>
      </c>
      <c r="J3860" s="3" t="s">
        <v>15</v>
      </c>
      <c r="K3860" s="4">
        <v>5</v>
      </c>
      <c r="M3860"/>
    </row>
    <row r="3861" spans="1:13" x14ac:dyDescent="0.25">
      <c r="A3861" s="3" t="s">
        <v>199</v>
      </c>
      <c r="B3861" s="3" t="s">
        <v>243</v>
      </c>
      <c r="C3861" s="3" t="s">
        <v>13</v>
      </c>
      <c r="D3861" s="3" t="s">
        <v>19</v>
      </c>
      <c r="E3861" s="5" t="s">
        <v>14</v>
      </c>
      <c r="F3861" s="17">
        <v>80.69</v>
      </c>
      <c r="G3861" s="3">
        <v>5</v>
      </c>
      <c r="H3861" s="17">
        <f>Table1[[#This Row],[Unit price]]*Table1[[#This Row],[Quantity]]</f>
        <v>403.45</v>
      </c>
      <c r="I3861" s="29">
        <f>Table1[[#This Row],[Total Revenue]]/$H$5056*100</f>
        <v>4.2804329152082224E-2</v>
      </c>
      <c r="J3861" s="3" t="s">
        <v>17</v>
      </c>
      <c r="K3861" s="4">
        <v>4</v>
      </c>
      <c r="M3861"/>
    </row>
    <row r="3862" spans="1:13" x14ac:dyDescent="0.25">
      <c r="A3862" s="3" t="s">
        <v>199</v>
      </c>
      <c r="B3862" s="3" t="s">
        <v>245</v>
      </c>
      <c r="C3862" s="3" t="s">
        <v>13</v>
      </c>
      <c r="D3862" s="3" t="s">
        <v>19</v>
      </c>
      <c r="E3862" s="5" t="s">
        <v>18</v>
      </c>
      <c r="F3862" s="17">
        <v>12.19</v>
      </c>
      <c r="G3862" s="3">
        <v>6</v>
      </c>
      <c r="H3862" s="17">
        <f>Table1[[#This Row],[Unit price]]*Table1[[#This Row],[Quantity]]</f>
        <v>73.14</v>
      </c>
      <c r="I3862" s="29">
        <f>Table1[[#This Row],[Total Revenue]]/$H$5056*100</f>
        <v>7.7598429400998741E-3</v>
      </c>
      <c r="J3862" s="3" t="s">
        <v>17</v>
      </c>
      <c r="K3862" s="4">
        <v>3.6</v>
      </c>
      <c r="M3862"/>
    </row>
    <row r="3863" spans="1:13" x14ac:dyDescent="0.25">
      <c r="A3863" s="3" t="s">
        <v>199</v>
      </c>
      <c r="B3863" s="3" t="s">
        <v>245</v>
      </c>
      <c r="C3863" s="3" t="s">
        <v>13</v>
      </c>
      <c r="D3863" s="3" t="s">
        <v>19</v>
      </c>
      <c r="E3863" s="5" t="s">
        <v>21</v>
      </c>
      <c r="F3863" s="17">
        <v>23.99</v>
      </c>
      <c r="G3863" s="3">
        <v>6</v>
      </c>
      <c r="H3863" s="17">
        <f>Table1[[#This Row],[Unit price]]*Table1[[#This Row],[Quantity]]</f>
        <v>143.94</v>
      </c>
      <c r="I3863" s="29">
        <f>Table1[[#This Row],[Total Revenue]]/$H$5056*100</f>
        <v>1.527142183207514E-2</v>
      </c>
      <c r="J3863" s="3" t="s">
        <v>17</v>
      </c>
      <c r="K3863" s="4">
        <v>7.1</v>
      </c>
      <c r="M3863"/>
    </row>
    <row r="3864" spans="1:13" x14ac:dyDescent="0.25">
      <c r="A3864" s="3" t="s">
        <v>199</v>
      </c>
      <c r="B3864" s="3" t="s">
        <v>244</v>
      </c>
      <c r="C3864" s="3" t="s">
        <v>9</v>
      </c>
      <c r="D3864" s="3" t="s">
        <v>19</v>
      </c>
      <c r="E3864" s="5" t="s">
        <v>21</v>
      </c>
      <c r="F3864" s="17">
        <v>26.63</v>
      </c>
      <c r="G3864" s="3">
        <v>5</v>
      </c>
      <c r="H3864" s="17">
        <f>Table1[[#This Row],[Unit price]]*Table1[[#This Row],[Quantity]]</f>
        <v>133.15</v>
      </c>
      <c r="I3864" s="29">
        <f>Table1[[#This Row],[Total Revenue]]/$H$5056*100</f>
        <v>1.4126648721278343E-2</v>
      </c>
      <c r="J3864" s="3" t="s">
        <v>17</v>
      </c>
      <c r="K3864" s="4">
        <v>5.5</v>
      </c>
      <c r="M3864"/>
    </row>
    <row r="3865" spans="1:13" x14ac:dyDescent="0.25">
      <c r="A3865" s="3" t="s">
        <v>199</v>
      </c>
      <c r="B3865" s="3" t="s">
        <v>243</v>
      </c>
      <c r="C3865" s="3" t="s">
        <v>9</v>
      </c>
      <c r="D3865" s="3" t="s">
        <v>10</v>
      </c>
      <c r="E3865" s="5" t="s">
        <v>11</v>
      </c>
      <c r="F3865" s="17">
        <v>12.31</v>
      </c>
      <c r="G3865" s="3">
        <v>3</v>
      </c>
      <c r="H3865" s="17">
        <f>Table1[[#This Row],[Unit price]]*Table1[[#This Row],[Quantity]]</f>
        <v>36.93</v>
      </c>
      <c r="I3865" s="29">
        <f>Table1[[#This Row],[Total Revenue]]/$H$5056*100</f>
        <v>3.9181159389921841E-3</v>
      </c>
      <c r="J3865" s="3" t="s">
        <v>17</v>
      </c>
      <c r="K3865" s="4">
        <v>6.8</v>
      </c>
      <c r="M3865"/>
    </row>
    <row r="3866" spans="1:13" x14ac:dyDescent="0.25">
      <c r="A3866" s="3" t="s">
        <v>199</v>
      </c>
      <c r="B3866" s="3" t="s">
        <v>244</v>
      </c>
      <c r="C3866" s="3" t="s">
        <v>13</v>
      </c>
      <c r="D3866" s="3" t="s">
        <v>19</v>
      </c>
      <c r="E3866" s="5" t="s">
        <v>11</v>
      </c>
      <c r="F3866" s="17">
        <v>7.31</v>
      </c>
      <c r="G3866" s="3">
        <v>6</v>
      </c>
      <c r="H3866" s="17">
        <f>Table1[[#This Row],[Unit price]]*Table1[[#This Row],[Quantity]]</f>
        <v>43.86</v>
      </c>
      <c r="I3866" s="29">
        <f>Table1[[#This Row],[Total Revenue]]/$H$5056*100</f>
        <v>4.6533594661304408E-3</v>
      </c>
      <c r="J3866" s="3" t="s">
        <v>15</v>
      </c>
      <c r="K3866" s="4">
        <v>4.3</v>
      </c>
      <c r="M3866"/>
    </row>
    <row r="3867" spans="1:13" x14ac:dyDescent="0.25">
      <c r="A3867" s="3" t="s">
        <v>199</v>
      </c>
      <c r="B3867" s="3" t="s">
        <v>244</v>
      </c>
      <c r="C3867" s="3" t="s">
        <v>9</v>
      </c>
      <c r="D3867" s="3" t="s">
        <v>19</v>
      </c>
      <c r="E3867" s="5" t="s">
        <v>11</v>
      </c>
      <c r="F3867" s="17">
        <v>3.05</v>
      </c>
      <c r="G3867" s="3">
        <v>8</v>
      </c>
      <c r="H3867" s="17">
        <f>Table1[[#This Row],[Unit price]]*Table1[[#This Row],[Quantity]]</f>
        <v>24.4</v>
      </c>
      <c r="I3867" s="29">
        <f>Table1[[#This Row],[Total Revenue]]/$H$5056*100</f>
        <v>2.5887362283078604E-3</v>
      </c>
      <c r="J3867" s="3" t="s">
        <v>17</v>
      </c>
      <c r="K3867" s="4">
        <v>7.6</v>
      </c>
      <c r="M3867"/>
    </row>
    <row r="3868" spans="1:13" x14ac:dyDescent="0.25">
      <c r="A3868" s="3" t="s">
        <v>200</v>
      </c>
      <c r="B3868" s="3" t="s">
        <v>244</v>
      </c>
      <c r="C3868" s="3" t="s">
        <v>13</v>
      </c>
      <c r="D3868" s="3" t="s">
        <v>10</v>
      </c>
      <c r="E3868" s="5" t="s">
        <v>16</v>
      </c>
      <c r="F3868" s="17">
        <v>71.39</v>
      </c>
      <c r="G3868" s="3">
        <v>1</v>
      </c>
      <c r="H3868" s="17">
        <f>Table1[[#This Row],[Unit price]]*Table1[[#This Row],[Quantity]]</f>
        <v>71.39</v>
      </c>
      <c r="I3868" s="29">
        <f>Table1[[#This Row],[Total Revenue]]/$H$5056*100</f>
        <v>7.574175382741727E-3</v>
      </c>
      <c r="J3868" s="3" t="s">
        <v>17</v>
      </c>
      <c r="K3868" s="4">
        <v>4.5</v>
      </c>
      <c r="M3868"/>
    </row>
    <row r="3869" spans="1:13" x14ac:dyDescent="0.25">
      <c r="A3869" s="3" t="s">
        <v>200</v>
      </c>
      <c r="B3869" s="3" t="s">
        <v>243</v>
      </c>
      <c r="C3869" s="3" t="s">
        <v>13</v>
      </c>
      <c r="D3869" s="3" t="s">
        <v>10</v>
      </c>
      <c r="E3869" s="5" t="s">
        <v>18</v>
      </c>
      <c r="F3869" s="17">
        <v>5.9</v>
      </c>
      <c r="G3869" s="3">
        <v>5</v>
      </c>
      <c r="H3869" s="17">
        <f>Table1[[#This Row],[Unit price]]*Table1[[#This Row],[Quantity]]</f>
        <v>29.5</v>
      </c>
      <c r="I3869" s="29">
        <f>Table1[[#This Row],[Total Revenue]]/$H$5056*100</f>
        <v>3.1298245383230279E-3</v>
      </c>
      <c r="J3869" s="3" t="s">
        <v>17</v>
      </c>
      <c r="K3869" s="4">
        <v>4.9000000000000004</v>
      </c>
      <c r="M3869"/>
    </row>
    <row r="3870" spans="1:13" x14ac:dyDescent="0.25">
      <c r="A3870" s="3" t="s">
        <v>200</v>
      </c>
      <c r="B3870" s="3" t="s">
        <v>243</v>
      </c>
      <c r="C3870" s="3" t="s">
        <v>9</v>
      </c>
      <c r="D3870" s="3" t="s">
        <v>10</v>
      </c>
      <c r="E3870" s="5" t="s">
        <v>16</v>
      </c>
      <c r="F3870" s="17">
        <v>74.52</v>
      </c>
      <c r="G3870" s="3">
        <v>3</v>
      </c>
      <c r="H3870" s="17">
        <f>Table1[[#This Row],[Unit price]]*Table1[[#This Row],[Quantity]]</f>
        <v>223.56</v>
      </c>
      <c r="I3870" s="29">
        <f>Table1[[#This Row],[Total Revenue]]/$H$5056*100</f>
        <v>2.3718765213135463E-2</v>
      </c>
      <c r="J3870" s="3" t="s">
        <v>17</v>
      </c>
      <c r="K3870" s="4">
        <v>8</v>
      </c>
      <c r="M3870"/>
    </row>
    <row r="3871" spans="1:13" x14ac:dyDescent="0.25">
      <c r="A3871" s="3" t="s">
        <v>200</v>
      </c>
      <c r="B3871" s="3" t="s">
        <v>243</v>
      </c>
      <c r="C3871" s="3" t="s">
        <v>13</v>
      </c>
      <c r="D3871" s="3" t="s">
        <v>19</v>
      </c>
      <c r="E3871" s="5" t="s">
        <v>21</v>
      </c>
      <c r="F3871" s="17">
        <v>30</v>
      </c>
      <c r="G3871" s="3">
        <v>6</v>
      </c>
      <c r="H3871" s="17">
        <f>Table1[[#This Row],[Unit price]]*Table1[[#This Row],[Quantity]]</f>
        <v>180</v>
      </c>
      <c r="I3871" s="29">
        <f>Table1[[#This Row],[Total Revenue]]/$H$5056*100</f>
        <v>1.9097234471123561E-2</v>
      </c>
      <c r="J3871" s="3" t="s">
        <v>12</v>
      </c>
      <c r="K3871" s="4">
        <v>6.8</v>
      </c>
      <c r="M3871"/>
    </row>
    <row r="3872" spans="1:13" x14ac:dyDescent="0.25">
      <c r="A3872" s="3" t="s">
        <v>200</v>
      </c>
      <c r="B3872" s="3" t="s">
        <v>243</v>
      </c>
      <c r="C3872" s="3" t="s">
        <v>9</v>
      </c>
      <c r="D3872" s="3" t="s">
        <v>10</v>
      </c>
      <c r="E3872" s="5" t="s">
        <v>18</v>
      </c>
      <c r="F3872" s="17">
        <v>12.38</v>
      </c>
      <c r="G3872" s="3">
        <v>5</v>
      </c>
      <c r="H3872" s="17">
        <f>Table1[[#This Row],[Unit price]]*Table1[[#This Row],[Quantity]]</f>
        <v>61.900000000000006</v>
      </c>
      <c r="I3872" s="29">
        <f>Table1[[#This Row],[Total Revenue]]/$H$5056*100</f>
        <v>6.5673267431252689E-3</v>
      </c>
      <c r="J3872" s="3" t="s">
        <v>15</v>
      </c>
      <c r="K3872" s="4">
        <v>5.3</v>
      </c>
      <c r="M3872"/>
    </row>
    <row r="3873" spans="1:13" x14ac:dyDescent="0.25">
      <c r="A3873" s="3" t="s">
        <v>200</v>
      </c>
      <c r="B3873" s="3" t="s">
        <v>244</v>
      </c>
      <c r="C3873" s="3" t="s">
        <v>9</v>
      </c>
      <c r="D3873" s="3" t="s">
        <v>19</v>
      </c>
      <c r="E3873" s="5" t="s">
        <v>18</v>
      </c>
      <c r="F3873" s="17">
        <v>11.68</v>
      </c>
      <c r="G3873" s="3">
        <v>4</v>
      </c>
      <c r="H3873" s="17">
        <f>Table1[[#This Row],[Unit price]]*Table1[[#This Row],[Quantity]]</f>
        <v>46.72</v>
      </c>
      <c r="I3873" s="29">
        <f>Table1[[#This Row],[Total Revenue]]/$H$5056*100</f>
        <v>4.956793302727182E-3</v>
      </c>
      <c r="J3873" s="3" t="s">
        <v>17</v>
      </c>
      <c r="K3873" s="4">
        <v>6.7</v>
      </c>
      <c r="M3873"/>
    </row>
    <row r="3874" spans="1:13" x14ac:dyDescent="0.25">
      <c r="A3874" s="3" t="s">
        <v>200</v>
      </c>
      <c r="B3874" s="3" t="s">
        <v>243</v>
      </c>
      <c r="C3874" s="3" t="s">
        <v>9</v>
      </c>
      <c r="D3874" s="3" t="s">
        <v>19</v>
      </c>
      <c r="E3874" s="5" t="s">
        <v>20</v>
      </c>
      <c r="F3874" s="17">
        <v>63.21</v>
      </c>
      <c r="G3874" s="3">
        <v>4</v>
      </c>
      <c r="H3874" s="17">
        <f>Table1[[#This Row],[Unit price]]*Table1[[#This Row],[Quantity]]</f>
        <v>252.84</v>
      </c>
      <c r="I3874" s="29">
        <f>Table1[[#This Row],[Total Revenue]]/$H$5056*100</f>
        <v>2.6825248687104893E-2</v>
      </c>
      <c r="J3874" s="3" t="s">
        <v>15</v>
      </c>
      <c r="K3874" s="4">
        <v>7.7</v>
      </c>
      <c r="M3874"/>
    </row>
    <row r="3875" spans="1:13" x14ac:dyDescent="0.25">
      <c r="A3875" s="3" t="s">
        <v>200</v>
      </c>
      <c r="B3875" s="3" t="s">
        <v>245</v>
      </c>
      <c r="C3875" s="3" t="s">
        <v>13</v>
      </c>
      <c r="D3875" s="3" t="s">
        <v>19</v>
      </c>
      <c r="E3875" s="5" t="s">
        <v>16</v>
      </c>
      <c r="F3875" s="17">
        <v>53.55</v>
      </c>
      <c r="G3875" s="3">
        <v>2</v>
      </c>
      <c r="H3875" s="17">
        <f>Table1[[#This Row],[Unit price]]*Table1[[#This Row],[Quantity]]</f>
        <v>107.1</v>
      </c>
      <c r="I3875" s="29">
        <f>Table1[[#This Row],[Total Revenue]]/$H$5056*100</f>
        <v>1.1362854510318517E-2</v>
      </c>
      <c r="J3875" s="3" t="s">
        <v>17</v>
      </c>
      <c r="K3875" s="4">
        <v>9.1999999999999993</v>
      </c>
      <c r="M3875"/>
    </row>
    <row r="3876" spans="1:13" x14ac:dyDescent="0.25">
      <c r="A3876" s="3" t="s">
        <v>200</v>
      </c>
      <c r="B3876" s="3" t="s">
        <v>244</v>
      </c>
      <c r="C3876" s="3" t="s">
        <v>9</v>
      </c>
      <c r="D3876" s="3" t="s">
        <v>19</v>
      </c>
      <c r="E3876" s="5" t="s">
        <v>21</v>
      </c>
      <c r="F3876" s="17">
        <v>29.89</v>
      </c>
      <c r="G3876" s="3">
        <v>2</v>
      </c>
      <c r="H3876" s="17">
        <f>Table1[[#This Row],[Unit price]]*Table1[[#This Row],[Quantity]]</f>
        <v>59.78</v>
      </c>
      <c r="I3876" s="29">
        <f>Table1[[#This Row],[Total Revenue]]/$H$5056*100</f>
        <v>6.3424037593542582E-3</v>
      </c>
      <c r="J3876" s="3" t="s">
        <v>12</v>
      </c>
      <c r="K3876" s="4">
        <v>6.9</v>
      </c>
      <c r="M3876"/>
    </row>
    <row r="3877" spans="1:13" x14ac:dyDescent="0.25">
      <c r="A3877" s="3" t="s">
        <v>200</v>
      </c>
      <c r="B3877" s="3" t="s">
        <v>244</v>
      </c>
      <c r="C3877" s="3" t="s">
        <v>9</v>
      </c>
      <c r="D3877" s="3" t="s">
        <v>10</v>
      </c>
      <c r="E3877" s="5" t="s">
        <v>14</v>
      </c>
      <c r="F3877" s="17">
        <v>95.34</v>
      </c>
      <c r="G3877" s="3">
        <v>8</v>
      </c>
      <c r="H3877" s="17">
        <f>Table1[[#This Row],[Unit price]]*Table1[[#This Row],[Quantity]]</f>
        <v>762.72</v>
      </c>
      <c r="I3877" s="29">
        <f>Table1[[#This Row],[Total Revenue]]/$H$5056*100</f>
        <v>8.092134819897423E-2</v>
      </c>
      <c r="J3877" s="3" t="s">
        <v>15</v>
      </c>
      <c r="K3877" s="4">
        <v>4.5999999999999996</v>
      </c>
      <c r="M3877"/>
    </row>
    <row r="3878" spans="1:13" x14ac:dyDescent="0.25">
      <c r="A3878" s="3" t="s">
        <v>200</v>
      </c>
      <c r="B3878" s="3" t="s">
        <v>244</v>
      </c>
      <c r="C3878" s="3" t="s">
        <v>9</v>
      </c>
      <c r="D3878" s="3" t="s">
        <v>19</v>
      </c>
      <c r="E3878" s="5" t="s">
        <v>16</v>
      </c>
      <c r="F3878" s="17">
        <v>50.08</v>
      </c>
      <c r="G3878" s="3">
        <v>1</v>
      </c>
      <c r="H3878" s="17">
        <f>Table1[[#This Row],[Unit price]]*Table1[[#This Row],[Quantity]]</f>
        <v>50.08</v>
      </c>
      <c r="I3878" s="29">
        <f>Table1[[#This Row],[Total Revenue]]/$H$5056*100</f>
        <v>5.3132750128548215E-3</v>
      </c>
      <c r="J3878" s="3" t="s">
        <v>17</v>
      </c>
      <c r="K3878" s="4">
        <v>8.1</v>
      </c>
      <c r="M3878"/>
    </row>
    <row r="3879" spans="1:13" x14ac:dyDescent="0.25">
      <c r="A3879" s="3" t="s">
        <v>201</v>
      </c>
      <c r="B3879" s="3" t="s">
        <v>244</v>
      </c>
      <c r="C3879" s="3" t="s">
        <v>13</v>
      </c>
      <c r="D3879" s="3" t="s">
        <v>10</v>
      </c>
      <c r="E3879" s="5" t="s">
        <v>20</v>
      </c>
      <c r="F3879" s="17">
        <v>45.16</v>
      </c>
      <c r="G3879" s="3">
        <v>9</v>
      </c>
      <c r="H3879" s="17">
        <f>Table1[[#This Row],[Unit price]]*Table1[[#This Row],[Quantity]]</f>
        <v>406.43999999999994</v>
      </c>
      <c r="I3879" s="29">
        <f>Table1[[#This Row],[Total Revenue]]/$H$5056*100</f>
        <v>4.3121555435796995E-2</v>
      </c>
      <c r="J3879" s="3" t="s">
        <v>12</v>
      </c>
      <c r="K3879" s="4">
        <v>8.3000000000000007</v>
      </c>
      <c r="M3879"/>
    </row>
    <row r="3880" spans="1:13" x14ac:dyDescent="0.25">
      <c r="A3880" s="3" t="s">
        <v>201</v>
      </c>
      <c r="B3880" s="3" t="s">
        <v>243</v>
      </c>
      <c r="C3880" s="3" t="s">
        <v>13</v>
      </c>
      <c r="D3880" s="3" t="s">
        <v>10</v>
      </c>
      <c r="E3880" s="5" t="s">
        <v>20</v>
      </c>
      <c r="F3880" s="17">
        <v>41.14</v>
      </c>
      <c r="G3880" s="3">
        <v>8</v>
      </c>
      <c r="H3880" s="17">
        <f>Table1[[#This Row],[Unit price]]*Table1[[#This Row],[Quantity]]</f>
        <v>329.12</v>
      </c>
      <c r="I3880" s="29">
        <f>Table1[[#This Row],[Total Revenue]]/$H$5056*100</f>
        <v>3.4918232272978814E-2</v>
      </c>
      <c r="J3880" s="3" t="s">
        <v>12</v>
      </c>
      <c r="K3880" s="4">
        <v>4.4000000000000004</v>
      </c>
      <c r="M3880"/>
    </row>
    <row r="3881" spans="1:13" x14ac:dyDescent="0.25">
      <c r="A3881" s="3" t="s">
        <v>201</v>
      </c>
      <c r="B3881" s="3" t="s">
        <v>244</v>
      </c>
      <c r="C3881" s="3" t="s">
        <v>13</v>
      </c>
      <c r="D3881" s="3" t="s">
        <v>10</v>
      </c>
      <c r="E3881" s="5" t="s">
        <v>20</v>
      </c>
      <c r="F3881" s="17">
        <v>61.48</v>
      </c>
      <c r="G3881" s="3">
        <v>2</v>
      </c>
      <c r="H3881" s="17">
        <f>Table1[[#This Row],[Unit price]]*Table1[[#This Row],[Quantity]]</f>
        <v>122.96</v>
      </c>
      <c r="I3881" s="29">
        <f>Table1[[#This Row],[Total Revenue]]/$H$5056*100</f>
        <v>1.3045533058718625E-2</v>
      </c>
      <c r="J3881" s="3" t="s">
        <v>12</v>
      </c>
      <c r="K3881" s="4">
        <v>8.6</v>
      </c>
      <c r="M3881"/>
    </row>
    <row r="3882" spans="1:13" x14ac:dyDescent="0.25">
      <c r="A3882" s="3" t="s">
        <v>201</v>
      </c>
      <c r="B3882" s="3" t="s">
        <v>244</v>
      </c>
      <c r="C3882" s="3" t="s">
        <v>9</v>
      </c>
      <c r="D3882" s="3" t="s">
        <v>19</v>
      </c>
      <c r="E3882" s="5" t="s">
        <v>21</v>
      </c>
      <c r="F3882" s="17">
        <v>27.26</v>
      </c>
      <c r="G3882" s="3">
        <v>8</v>
      </c>
      <c r="H3882" s="17">
        <f>Table1[[#This Row],[Unit price]]*Table1[[#This Row],[Quantity]]</f>
        <v>218.08</v>
      </c>
      <c r="I3882" s="29">
        <f>Table1[[#This Row],[Total Revenue]]/$H$5056*100</f>
        <v>2.3137360519236812E-2</v>
      </c>
      <c r="J3882" s="3" t="s">
        <v>15</v>
      </c>
      <c r="K3882" s="4">
        <v>6.2</v>
      </c>
      <c r="M3882"/>
    </row>
    <row r="3883" spans="1:13" x14ac:dyDescent="0.25">
      <c r="A3883" s="3" t="s">
        <v>201</v>
      </c>
      <c r="B3883" s="3" t="s">
        <v>243</v>
      </c>
      <c r="C3883" s="3" t="s">
        <v>9</v>
      </c>
      <c r="D3883" s="3" t="s">
        <v>10</v>
      </c>
      <c r="E3883" s="5" t="s">
        <v>21</v>
      </c>
      <c r="F3883" s="17">
        <v>24.31</v>
      </c>
      <c r="G3883" s="3">
        <v>10</v>
      </c>
      <c r="H3883" s="17">
        <f>Table1[[#This Row],[Unit price]]*Table1[[#This Row],[Quantity]]</f>
        <v>243.1</v>
      </c>
      <c r="I3883" s="29">
        <f>Table1[[#This Row],[Total Revenue]]/$H$5056*100</f>
        <v>2.5791876110722985E-2</v>
      </c>
      <c r="J3883" s="3" t="s">
        <v>17</v>
      </c>
      <c r="K3883" s="4">
        <v>8.3000000000000007</v>
      </c>
      <c r="M3883"/>
    </row>
    <row r="3884" spans="1:13" x14ac:dyDescent="0.25">
      <c r="A3884" s="3" t="s">
        <v>201</v>
      </c>
      <c r="B3884" s="3" t="s">
        <v>245</v>
      </c>
      <c r="C3884" s="3" t="s">
        <v>13</v>
      </c>
      <c r="D3884" s="3" t="s">
        <v>19</v>
      </c>
      <c r="E3884" s="5" t="s">
        <v>18</v>
      </c>
      <c r="F3884" s="17">
        <v>12.6</v>
      </c>
      <c r="G3884" s="3">
        <v>3</v>
      </c>
      <c r="H3884" s="17">
        <f>Table1[[#This Row],[Unit price]]*Table1[[#This Row],[Quantity]]</f>
        <v>37.799999999999997</v>
      </c>
      <c r="I3884" s="29">
        <f>Table1[[#This Row],[Total Revenue]]/$H$5056*100</f>
        <v>4.0104192389359469E-3</v>
      </c>
      <c r="J3884" s="3" t="s">
        <v>12</v>
      </c>
      <c r="K3884" s="4">
        <v>4.5999999999999996</v>
      </c>
      <c r="M3884"/>
    </row>
    <row r="3885" spans="1:13" x14ac:dyDescent="0.25">
      <c r="A3885" s="3" t="s">
        <v>201</v>
      </c>
      <c r="B3885" s="3" t="s">
        <v>245</v>
      </c>
      <c r="C3885" s="3" t="s">
        <v>13</v>
      </c>
      <c r="D3885" s="3" t="s">
        <v>10</v>
      </c>
      <c r="E3885" s="5" t="s">
        <v>21</v>
      </c>
      <c r="F3885" s="17">
        <v>24.72</v>
      </c>
      <c r="G3885" s="3">
        <v>10</v>
      </c>
      <c r="H3885" s="17">
        <f>Table1[[#This Row],[Unit price]]*Table1[[#This Row],[Quantity]]</f>
        <v>247.2</v>
      </c>
      <c r="I3885" s="29">
        <f>Table1[[#This Row],[Total Revenue]]/$H$5056*100</f>
        <v>2.6226868673676355E-2</v>
      </c>
      <c r="J3885" s="3" t="s">
        <v>12</v>
      </c>
      <c r="K3885" s="4">
        <v>5.3</v>
      </c>
      <c r="M3885"/>
    </row>
    <row r="3886" spans="1:13" x14ac:dyDescent="0.25">
      <c r="A3886" s="3" t="s">
        <v>201</v>
      </c>
      <c r="B3886" s="3" t="s">
        <v>244</v>
      </c>
      <c r="C3886" s="3" t="s">
        <v>13</v>
      </c>
      <c r="D3886" s="3" t="s">
        <v>10</v>
      </c>
      <c r="E3886" s="5" t="s">
        <v>11</v>
      </c>
      <c r="F3886" s="17">
        <v>4.3099999999999996</v>
      </c>
      <c r="G3886" s="3">
        <v>3</v>
      </c>
      <c r="H3886" s="17">
        <f>Table1[[#This Row],[Unit price]]*Table1[[#This Row],[Quantity]]</f>
        <v>12.93</v>
      </c>
      <c r="I3886" s="29">
        <f>Table1[[#This Row],[Total Revenue]]/$H$5056*100</f>
        <v>1.3718180095090423E-3</v>
      </c>
      <c r="J3886" s="3" t="s">
        <v>12</v>
      </c>
      <c r="K3886" s="4">
        <v>9.5</v>
      </c>
      <c r="M3886"/>
    </row>
    <row r="3887" spans="1:13" x14ac:dyDescent="0.25">
      <c r="A3887" s="3" t="s">
        <v>201</v>
      </c>
      <c r="B3887" s="3" t="s">
        <v>245</v>
      </c>
      <c r="C3887" s="3" t="s">
        <v>13</v>
      </c>
      <c r="D3887" s="3" t="s">
        <v>10</v>
      </c>
      <c r="E3887" s="5" t="s">
        <v>18</v>
      </c>
      <c r="F3887" s="17">
        <v>23.76</v>
      </c>
      <c r="G3887" s="3">
        <v>10</v>
      </c>
      <c r="H3887" s="17">
        <f>Table1[[#This Row],[Unit price]]*Table1[[#This Row],[Quantity]]</f>
        <v>237.60000000000002</v>
      </c>
      <c r="I3887" s="29">
        <f>Table1[[#This Row],[Total Revenue]]/$H$5056*100</f>
        <v>2.5208349501883099E-2</v>
      </c>
      <c r="J3887" s="3" t="s">
        <v>17</v>
      </c>
      <c r="K3887" s="4">
        <v>7.5</v>
      </c>
      <c r="M3887"/>
    </row>
    <row r="3888" spans="1:13" x14ac:dyDescent="0.25">
      <c r="A3888" s="3" t="s">
        <v>202</v>
      </c>
      <c r="B3888" s="3" t="s">
        <v>244</v>
      </c>
      <c r="C3888" s="3" t="s">
        <v>9</v>
      </c>
      <c r="D3888" s="3" t="s">
        <v>19</v>
      </c>
      <c r="E3888" s="5" t="s">
        <v>11</v>
      </c>
      <c r="F3888" s="17">
        <v>8.4499999999999993</v>
      </c>
      <c r="G3888" s="3">
        <v>2</v>
      </c>
      <c r="H3888" s="17">
        <f>Table1[[#This Row],[Unit price]]*Table1[[#This Row],[Quantity]]</f>
        <v>16.899999999999999</v>
      </c>
      <c r="I3888" s="29">
        <f>Table1[[#This Row],[Total Revenue]]/$H$5056*100</f>
        <v>1.7930181253443785E-3</v>
      </c>
      <c r="J3888" s="3" t="s">
        <v>15</v>
      </c>
      <c r="K3888" s="4">
        <v>8.3000000000000007</v>
      </c>
      <c r="M3888"/>
    </row>
    <row r="3889" spans="1:13" x14ac:dyDescent="0.25">
      <c r="A3889" s="3" t="s">
        <v>202</v>
      </c>
      <c r="B3889" s="3" t="s">
        <v>244</v>
      </c>
      <c r="C3889" s="3" t="s">
        <v>13</v>
      </c>
      <c r="D3889" s="3" t="s">
        <v>10</v>
      </c>
      <c r="E3889" s="5" t="s">
        <v>21</v>
      </c>
      <c r="F3889" s="17">
        <v>16.25</v>
      </c>
      <c r="G3889" s="3">
        <v>2</v>
      </c>
      <c r="H3889" s="17">
        <f>Table1[[#This Row],[Unit price]]*Table1[[#This Row],[Quantity]]</f>
        <v>32.5</v>
      </c>
      <c r="I3889" s="29">
        <f>Table1[[#This Row],[Total Revenue]]/$H$5056*100</f>
        <v>3.4481117795084203E-3</v>
      </c>
      <c r="J3889" s="3" t="s">
        <v>12</v>
      </c>
      <c r="K3889" s="4">
        <v>7.7</v>
      </c>
      <c r="M3889"/>
    </row>
    <row r="3890" spans="1:13" x14ac:dyDescent="0.25">
      <c r="A3890" s="3" t="s">
        <v>202</v>
      </c>
      <c r="B3890" s="3" t="s">
        <v>244</v>
      </c>
      <c r="C3890" s="3" t="s">
        <v>13</v>
      </c>
      <c r="D3890" s="3" t="s">
        <v>10</v>
      </c>
      <c r="E3890" s="5" t="s">
        <v>20</v>
      </c>
      <c r="F3890" s="17">
        <v>56.99</v>
      </c>
      <c r="G3890" s="3">
        <v>7</v>
      </c>
      <c r="H3890" s="17">
        <f>Table1[[#This Row],[Unit price]]*Table1[[#This Row],[Quantity]]</f>
        <v>398.93</v>
      </c>
      <c r="I3890" s="29">
        <f>Table1[[#This Row],[Total Revenue]]/$H$5056*100</f>
        <v>4.2324776375362902E-2</v>
      </c>
      <c r="J3890" s="3" t="s">
        <v>15</v>
      </c>
      <c r="K3890" s="4">
        <v>4.4000000000000004</v>
      </c>
      <c r="M3890"/>
    </row>
    <row r="3891" spans="1:13" x14ac:dyDescent="0.25">
      <c r="A3891" s="3" t="s">
        <v>202</v>
      </c>
      <c r="B3891" s="3" t="s">
        <v>245</v>
      </c>
      <c r="C3891" s="3" t="s">
        <v>13</v>
      </c>
      <c r="D3891" s="3" t="s">
        <v>19</v>
      </c>
      <c r="E3891" s="5" t="s">
        <v>20</v>
      </c>
      <c r="F3891" s="17">
        <v>59.57</v>
      </c>
      <c r="G3891" s="3">
        <v>3</v>
      </c>
      <c r="H3891" s="17">
        <f>Table1[[#This Row],[Unit price]]*Table1[[#This Row],[Quantity]]</f>
        <v>178.71</v>
      </c>
      <c r="I3891" s="29">
        <f>Table1[[#This Row],[Total Revenue]]/$H$5056*100</f>
        <v>1.8960370957413843E-2</v>
      </c>
      <c r="J3891" s="3" t="s">
        <v>12</v>
      </c>
      <c r="K3891" s="4">
        <v>6.2</v>
      </c>
      <c r="M3891"/>
    </row>
    <row r="3892" spans="1:13" x14ac:dyDescent="0.25">
      <c r="A3892" s="3" t="s">
        <v>202</v>
      </c>
      <c r="B3892" s="3" t="s">
        <v>244</v>
      </c>
      <c r="C3892" s="3" t="s">
        <v>13</v>
      </c>
      <c r="D3892" s="3" t="s">
        <v>19</v>
      </c>
      <c r="E3892" s="5" t="s">
        <v>11</v>
      </c>
      <c r="F3892" s="17">
        <v>4.18</v>
      </c>
      <c r="G3892" s="3">
        <v>4</v>
      </c>
      <c r="H3892" s="17">
        <f>Table1[[#This Row],[Unit price]]*Table1[[#This Row],[Quantity]]</f>
        <v>16.72</v>
      </c>
      <c r="I3892" s="29">
        <f>Table1[[#This Row],[Total Revenue]]/$H$5056*100</f>
        <v>1.7739208908732552E-3</v>
      </c>
      <c r="J3892" s="3" t="s">
        <v>15</v>
      </c>
      <c r="K3892" s="4">
        <v>8.5</v>
      </c>
      <c r="M3892"/>
    </row>
    <row r="3893" spans="1:13" x14ac:dyDescent="0.25">
      <c r="A3893" s="3" t="s">
        <v>202</v>
      </c>
      <c r="B3893" s="3" t="s">
        <v>243</v>
      </c>
      <c r="C3893" s="3" t="s">
        <v>13</v>
      </c>
      <c r="D3893" s="3" t="s">
        <v>19</v>
      </c>
      <c r="E3893" s="5" t="s">
        <v>21</v>
      </c>
      <c r="F3893" s="17">
        <v>34.58</v>
      </c>
      <c r="G3893" s="3">
        <v>9</v>
      </c>
      <c r="H3893" s="17">
        <f>Table1[[#This Row],[Unit price]]*Table1[[#This Row],[Quantity]]</f>
        <v>311.21999999999997</v>
      </c>
      <c r="I3893" s="29">
        <f>Table1[[#This Row],[Total Revenue]]/$H$5056*100</f>
        <v>3.3019118400572631E-2</v>
      </c>
      <c r="J3893" s="3" t="s">
        <v>15</v>
      </c>
      <c r="K3893" s="4">
        <v>7.6</v>
      </c>
      <c r="M3893"/>
    </row>
    <row r="3894" spans="1:13" x14ac:dyDescent="0.25">
      <c r="A3894" s="3" t="s">
        <v>202</v>
      </c>
      <c r="B3894" s="3" t="s">
        <v>245</v>
      </c>
      <c r="C3894" s="3" t="s">
        <v>9</v>
      </c>
      <c r="D3894" s="3" t="s">
        <v>10</v>
      </c>
      <c r="E3894" s="5" t="s">
        <v>21</v>
      </c>
      <c r="F3894" s="17">
        <v>16.62</v>
      </c>
      <c r="G3894" s="3">
        <v>8</v>
      </c>
      <c r="H3894" s="17">
        <f>Table1[[#This Row],[Unit price]]*Table1[[#This Row],[Quantity]]</f>
        <v>132.96</v>
      </c>
      <c r="I3894" s="29">
        <f>Table1[[#This Row],[Total Revenue]]/$H$5056*100</f>
        <v>1.4106490529336603E-2</v>
      </c>
      <c r="J3894" s="3" t="s">
        <v>17</v>
      </c>
      <c r="K3894" s="4">
        <v>3</v>
      </c>
      <c r="M3894"/>
    </row>
    <row r="3895" spans="1:13" x14ac:dyDescent="0.25">
      <c r="A3895" s="3" t="s">
        <v>202</v>
      </c>
      <c r="B3895" s="3" t="s">
        <v>244</v>
      </c>
      <c r="C3895" s="3" t="s">
        <v>9</v>
      </c>
      <c r="D3895" s="3" t="s">
        <v>19</v>
      </c>
      <c r="E3895" s="5" t="s">
        <v>20</v>
      </c>
      <c r="F3895" s="17">
        <v>48.11</v>
      </c>
      <c r="G3895" s="3">
        <v>9</v>
      </c>
      <c r="H3895" s="17">
        <f>Table1[[#This Row],[Unit price]]*Table1[[#This Row],[Quantity]]</f>
        <v>432.99</v>
      </c>
      <c r="I3895" s="29">
        <f>Table1[[#This Row],[Total Revenue]]/$H$5056*100</f>
        <v>4.5938397520287721E-2</v>
      </c>
      <c r="J3895" s="3" t="s">
        <v>15</v>
      </c>
      <c r="K3895" s="4">
        <v>3.6</v>
      </c>
      <c r="M3895"/>
    </row>
    <row r="3896" spans="1:13" x14ac:dyDescent="0.25">
      <c r="A3896" s="3" t="s">
        <v>202</v>
      </c>
      <c r="B3896" s="3" t="s">
        <v>245</v>
      </c>
      <c r="C3896" s="3" t="s">
        <v>9</v>
      </c>
      <c r="D3896" s="3" t="s">
        <v>19</v>
      </c>
      <c r="E3896" s="5" t="s">
        <v>16</v>
      </c>
      <c r="F3896" s="17">
        <v>55.77</v>
      </c>
      <c r="G3896" s="3">
        <v>5</v>
      </c>
      <c r="H3896" s="17">
        <f>Table1[[#This Row],[Unit price]]*Table1[[#This Row],[Quantity]]</f>
        <v>278.85000000000002</v>
      </c>
      <c r="I3896" s="29">
        <f>Table1[[#This Row],[Total Revenue]]/$H$5056*100</f>
        <v>2.958479906818225E-2</v>
      </c>
      <c r="J3896" s="3" t="s">
        <v>15</v>
      </c>
      <c r="K3896" s="4">
        <v>5.4</v>
      </c>
      <c r="M3896"/>
    </row>
    <row r="3897" spans="1:13" x14ac:dyDescent="0.25">
      <c r="A3897" s="3" t="s">
        <v>202</v>
      </c>
      <c r="B3897" s="3" t="s">
        <v>244</v>
      </c>
      <c r="C3897" s="3" t="s">
        <v>13</v>
      </c>
      <c r="D3897" s="3" t="s">
        <v>10</v>
      </c>
      <c r="E3897" s="5" t="s">
        <v>11</v>
      </c>
      <c r="F3897" s="17">
        <v>8.99</v>
      </c>
      <c r="G3897" s="3">
        <v>10</v>
      </c>
      <c r="H3897" s="17">
        <f>Table1[[#This Row],[Unit price]]*Table1[[#This Row],[Quantity]]</f>
        <v>89.9</v>
      </c>
      <c r="I3897" s="29">
        <f>Table1[[#This Row],[Total Revenue]]/$H$5056*100</f>
        <v>9.5380076608556005E-3</v>
      </c>
      <c r="J3897" s="3" t="s">
        <v>17</v>
      </c>
      <c r="K3897" s="4">
        <v>9.4</v>
      </c>
      <c r="M3897"/>
    </row>
    <row r="3898" spans="1:13" x14ac:dyDescent="0.25">
      <c r="A3898" s="3" t="s">
        <v>203</v>
      </c>
      <c r="B3898" s="3" t="s">
        <v>245</v>
      </c>
      <c r="C3898" s="3" t="s">
        <v>9</v>
      </c>
      <c r="D3898" s="3" t="s">
        <v>19</v>
      </c>
      <c r="E3898" s="5" t="s">
        <v>11</v>
      </c>
      <c r="F3898" s="17">
        <v>8.57</v>
      </c>
      <c r="G3898" s="3">
        <v>9</v>
      </c>
      <c r="H3898" s="17">
        <f>Table1[[#This Row],[Unit price]]*Table1[[#This Row],[Quantity]]</f>
        <v>77.13</v>
      </c>
      <c r="I3898" s="29">
        <f>Table1[[#This Row],[Total Revenue]]/$H$5056*100</f>
        <v>8.1831649708764449E-3</v>
      </c>
      <c r="J3898" s="3" t="s">
        <v>17</v>
      </c>
      <c r="K3898" s="4">
        <v>6.3</v>
      </c>
      <c r="M3898"/>
    </row>
    <row r="3899" spans="1:13" x14ac:dyDescent="0.25">
      <c r="A3899" s="3" t="s">
        <v>203</v>
      </c>
      <c r="B3899" s="3" t="s">
        <v>245</v>
      </c>
      <c r="C3899" s="3" t="s">
        <v>9</v>
      </c>
      <c r="D3899" s="3" t="s">
        <v>19</v>
      </c>
      <c r="E3899" s="5" t="s">
        <v>14</v>
      </c>
      <c r="F3899" s="17">
        <v>87.14</v>
      </c>
      <c r="G3899" s="3">
        <v>8</v>
      </c>
      <c r="H3899" s="17">
        <f>Table1[[#This Row],[Unit price]]*Table1[[#This Row],[Quantity]]</f>
        <v>697.12</v>
      </c>
      <c r="I3899" s="29">
        <f>Table1[[#This Row],[Total Revenue]]/$H$5056*100</f>
        <v>7.3961467191720309E-2</v>
      </c>
      <c r="J3899" s="3" t="s">
        <v>12</v>
      </c>
      <c r="K3899" s="4">
        <v>4.8</v>
      </c>
      <c r="M3899"/>
    </row>
    <row r="3900" spans="1:13" x14ac:dyDescent="0.25">
      <c r="A3900" s="3" t="s">
        <v>203</v>
      </c>
      <c r="B3900" s="3" t="s">
        <v>243</v>
      </c>
      <c r="C3900" s="3" t="s">
        <v>9</v>
      </c>
      <c r="D3900" s="3" t="s">
        <v>19</v>
      </c>
      <c r="E3900" s="5" t="s">
        <v>20</v>
      </c>
      <c r="F3900" s="17">
        <v>43.83</v>
      </c>
      <c r="G3900" s="3">
        <v>6</v>
      </c>
      <c r="H3900" s="17">
        <f>Table1[[#This Row],[Unit price]]*Table1[[#This Row],[Quantity]]</f>
        <v>262.98</v>
      </c>
      <c r="I3900" s="29">
        <f>Table1[[#This Row],[Total Revenue]]/$H$5056*100</f>
        <v>2.7901059562311523E-2</v>
      </c>
      <c r="J3900" s="3" t="s">
        <v>15</v>
      </c>
      <c r="K3900" s="4">
        <v>5.5</v>
      </c>
      <c r="M3900"/>
    </row>
    <row r="3901" spans="1:13" x14ac:dyDescent="0.25">
      <c r="A3901" s="3" t="s">
        <v>203</v>
      </c>
      <c r="B3901" s="3" t="s">
        <v>243</v>
      </c>
      <c r="C3901" s="3" t="s">
        <v>13</v>
      </c>
      <c r="D3901" s="3" t="s">
        <v>10</v>
      </c>
      <c r="E3901" s="5" t="s">
        <v>20</v>
      </c>
      <c r="F3901" s="17">
        <v>68.41</v>
      </c>
      <c r="G3901" s="3">
        <v>2</v>
      </c>
      <c r="H3901" s="17">
        <f>Table1[[#This Row],[Unit price]]*Table1[[#This Row],[Quantity]]</f>
        <v>136.82</v>
      </c>
      <c r="I3901" s="29">
        <f>Table1[[#This Row],[Total Revenue]]/$H$5056*100</f>
        <v>1.451602011299514E-2</v>
      </c>
      <c r="J3901" s="3" t="s">
        <v>12</v>
      </c>
      <c r="K3901" s="4">
        <v>4.4000000000000004</v>
      </c>
      <c r="M3901"/>
    </row>
    <row r="3902" spans="1:13" x14ac:dyDescent="0.25">
      <c r="A3902" s="3" t="s">
        <v>203</v>
      </c>
      <c r="B3902" s="3" t="s">
        <v>244</v>
      </c>
      <c r="C3902" s="3" t="s">
        <v>9</v>
      </c>
      <c r="D3902" s="3" t="s">
        <v>10</v>
      </c>
      <c r="E3902" s="5" t="s">
        <v>18</v>
      </c>
      <c r="F3902" s="17">
        <v>17.21</v>
      </c>
      <c r="G3902" s="3">
        <v>8</v>
      </c>
      <c r="H3902" s="17">
        <f>Table1[[#This Row],[Unit price]]*Table1[[#This Row],[Quantity]]</f>
        <v>137.68</v>
      </c>
      <c r="I3902" s="29">
        <f>Table1[[#This Row],[Total Revenue]]/$H$5056*100</f>
        <v>1.4607262455468287E-2</v>
      </c>
      <c r="J3902" s="3" t="s">
        <v>12</v>
      </c>
      <c r="K3902" s="4">
        <v>5.9</v>
      </c>
      <c r="M3902"/>
    </row>
    <row r="3903" spans="1:13" x14ac:dyDescent="0.25">
      <c r="A3903" s="3" t="s">
        <v>203</v>
      </c>
      <c r="B3903" s="3" t="s">
        <v>244</v>
      </c>
      <c r="C3903" s="3" t="s">
        <v>13</v>
      </c>
      <c r="D3903" s="3" t="s">
        <v>10</v>
      </c>
      <c r="E3903" s="5" t="s">
        <v>16</v>
      </c>
      <c r="F3903" s="17">
        <v>76.8</v>
      </c>
      <c r="G3903" s="3">
        <v>3</v>
      </c>
      <c r="H3903" s="17">
        <f>Table1[[#This Row],[Unit price]]*Table1[[#This Row],[Quantity]]</f>
        <v>230.39999999999998</v>
      </c>
      <c r="I3903" s="29">
        <f>Table1[[#This Row],[Total Revenue]]/$H$5056*100</f>
        <v>2.4444460123038154E-2</v>
      </c>
      <c r="J3903" s="3" t="s">
        <v>12</v>
      </c>
      <c r="K3903" s="4">
        <v>4.5</v>
      </c>
      <c r="M3903"/>
    </row>
    <row r="3904" spans="1:13" x14ac:dyDescent="0.25">
      <c r="A3904" s="3" t="s">
        <v>203</v>
      </c>
      <c r="B3904" s="3" t="s">
        <v>244</v>
      </c>
      <c r="C3904" s="3" t="s">
        <v>9</v>
      </c>
      <c r="D3904" s="3" t="s">
        <v>10</v>
      </c>
      <c r="E3904" s="5" t="s">
        <v>11</v>
      </c>
      <c r="F3904" s="17">
        <v>5.09</v>
      </c>
      <c r="G3904" s="3">
        <v>5</v>
      </c>
      <c r="H3904" s="17">
        <f>Table1[[#This Row],[Unit price]]*Table1[[#This Row],[Quantity]]</f>
        <v>25.45</v>
      </c>
      <c r="I3904" s="29">
        <f>Table1[[#This Row],[Total Revenue]]/$H$5056*100</f>
        <v>2.7001367627227475E-3</v>
      </c>
      <c r="J3904" s="3" t="s">
        <v>15</v>
      </c>
      <c r="K3904" s="4">
        <v>8.8000000000000007</v>
      </c>
      <c r="M3904"/>
    </row>
    <row r="3905" spans="1:13" x14ac:dyDescent="0.25">
      <c r="A3905" s="3" t="s">
        <v>203</v>
      </c>
      <c r="B3905" s="3" t="s">
        <v>243</v>
      </c>
      <c r="C3905" s="3" t="s">
        <v>13</v>
      </c>
      <c r="D3905" s="3" t="s">
        <v>19</v>
      </c>
      <c r="E3905" s="5" t="s">
        <v>11</v>
      </c>
      <c r="F3905" s="17">
        <v>14.95</v>
      </c>
      <c r="G3905" s="3">
        <v>10</v>
      </c>
      <c r="H3905" s="17">
        <f>Table1[[#This Row],[Unit price]]*Table1[[#This Row],[Quantity]]</f>
        <v>149.5</v>
      </c>
      <c r="I3905" s="29">
        <f>Table1[[#This Row],[Total Revenue]]/$H$5056*100</f>
        <v>1.5861314185738735E-2</v>
      </c>
      <c r="J3905" s="3" t="s">
        <v>12</v>
      </c>
      <c r="K3905" s="4">
        <v>6.1</v>
      </c>
      <c r="M3905"/>
    </row>
    <row r="3906" spans="1:13" x14ac:dyDescent="0.25">
      <c r="A3906" s="3" t="s">
        <v>203</v>
      </c>
      <c r="B3906" s="3" t="s">
        <v>245</v>
      </c>
      <c r="C3906" s="3" t="s">
        <v>13</v>
      </c>
      <c r="D3906" s="3" t="s">
        <v>10</v>
      </c>
      <c r="E3906" s="5" t="s">
        <v>18</v>
      </c>
      <c r="F3906" s="17">
        <v>11.12</v>
      </c>
      <c r="G3906" s="3">
        <v>5</v>
      </c>
      <c r="H3906" s="17">
        <f>Table1[[#This Row],[Unit price]]*Table1[[#This Row],[Quantity]]</f>
        <v>55.599999999999994</v>
      </c>
      <c r="I3906" s="29">
        <f>Table1[[#This Row],[Total Revenue]]/$H$5056*100</f>
        <v>5.8989235366359435E-3</v>
      </c>
      <c r="J3906" s="3" t="s">
        <v>17</v>
      </c>
      <c r="K3906" s="4">
        <v>4.9000000000000004</v>
      </c>
      <c r="M3906"/>
    </row>
    <row r="3907" spans="1:13" x14ac:dyDescent="0.25">
      <c r="A3907" s="3" t="s">
        <v>203</v>
      </c>
      <c r="B3907" s="3" t="s">
        <v>243</v>
      </c>
      <c r="C3907" s="3" t="s">
        <v>9</v>
      </c>
      <c r="D3907" s="3" t="s">
        <v>10</v>
      </c>
      <c r="E3907" s="5" t="s">
        <v>18</v>
      </c>
      <c r="F3907" s="17">
        <v>7.91</v>
      </c>
      <c r="G3907" s="3">
        <v>9</v>
      </c>
      <c r="H3907" s="17">
        <f>Table1[[#This Row],[Unit price]]*Table1[[#This Row],[Quantity]]</f>
        <v>71.19</v>
      </c>
      <c r="I3907" s="29">
        <f>Table1[[#This Row],[Total Revenue]]/$H$5056*100</f>
        <v>7.5529562333293675E-3</v>
      </c>
      <c r="J3907" s="3" t="s">
        <v>12</v>
      </c>
      <c r="K3907" s="4">
        <v>9.3000000000000007</v>
      </c>
      <c r="M3907"/>
    </row>
    <row r="3908" spans="1:13" x14ac:dyDescent="0.25">
      <c r="A3908" s="3" t="s">
        <v>203</v>
      </c>
      <c r="B3908" s="3" t="s">
        <v>245</v>
      </c>
      <c r="C3908" s="3" t="s">
        <v>13</v>
      </c>
      <c r="D3908" s="3" t="s">
        <v>19</v>
      </c>
      <c r="E3908" s="5" t="s">
        <v>11</v>
      </c>
      <c r="F3908" s="17">
        <v>11.71</v>
      </c>
      <c r="G3908" s="3">
        <v>5</v>
      </c>
      <c r="H3908" s="17">
        <f>Table1[[#This Row],[Unit price]]*Table1[[#This Row],[Quantity]]</f>
        <v>58.550000000000004</v>
      </c>
      <c r="I3908" s="29">
        <f>Table1[[#This Row],[Total Revenue]]/$H$5056*100</f>
        <v>6.2119059904682476E-3</v>
      </c>
      <c r="J3908" s="3" t="s">
        <v>15</v>
      </c>
      <c r="K3908" s="4">
        <v>5.0999999999999996</v>
      </c>
      <c r="M3908"/>
    </row>
    <row r="3909" spans="1:13" x14ac:dyDescent="0.25">
      <c r="A3909" s="3" t="s">
        <v>203</v>
      </c>
      <c r="B3909" s="3" t="s">
        <v>245</v>
      </c>
      <c r="C3909" s="3" t="s">
        <v>9</v>
      </c>
      <c r="D3909" s="3" t="s">
        <v>19</v>
      </c>
      <c r="E3909" s="5" t="s">
        <v>18</v>
      </c>
      <c r="F3909" s="17">
        <v>14</v>
      </c>
      <c r="G3909" s="3">
        <v>2</v>
      </c>
      <c r="H3909" s="17">
        <f>Table1[[#This Row],[Unit price]]*Table1[[#This Row],[Quantity]]</f>
        <v>28</v>
      </c>
      <c r="I3909" s="29">
        <f>Table1[[#This Row],[Total Revenue]]/$H$5056*100</f>
        <v>2.9706809177303312E-3</v>
      </c>
      <c r="J3909" s="3" t="s">
        <v>15</v>
      </c>
      <c r="K3909" s="4">
        <v>9.1999999999999993</v>
      </c>
      <c r="M3909"/>
    </row>
    <row r="3910" spans="1:13" x14ac:dyDescent="0.25">
      <c r="A3910" s="3" t="s">
        <v>204</v>
      </c>
      <c r="B3910" s="3" t="s">
        <v>245</v>
      </c>
      <c r="C3910" s="3" t="s">
        <v>13</v>
      </c>
      <c r="D3910" s="3" t="s">
        <v>19</v>
      </c>
      <c r="E3910" s="5" t="s">
        <v>20</v>
      </c>
      <c r="F3910" s="17">
        <v>44.42</v>
      </c>
      <c r="G3910" s="3">
        <v>6</v>
      </c>
      <c r="H3910" s="17">
        <f>Table1[[#This Row],[Unit price]]*Table1[[#This Row],[Quantity]]</f>
        <v>266.52</v>
      </c>
      <c r="I3910" s="29">
        <f>Table1[[#This Row],[Total Revenue]]/$H$5056*100</f>
        <v>2.8276638506910284E-2</v>
      </c>
      <c r="J3910" s="3" t="s">
        <v>17</v>
      </c>
      <c r="K3910" s="4">
        <v>3.3</v>
      </c>
      <c r="M3910"/>
    </row>
    <row r="3911" spans="1:13" x14ac:dyDescent="0.25">
      <c r="A3911" s="3" t="s">
        <v>204</v>
      </c>
      <c r="B3911" s="3" t="s">
        <v>245</v>
      </c>
      <c r="C3911" s="3" t="s">
        <v>9</v>
      </c>
      <c r="D3911" s="3" t="s">
        <v>10</v>
      </c>
      <c r="E3911" s="5" t="s">
        <v>20</v>
      </c>
      <c r="F3911" s="17">
        <v>53.82</v>
      </c>
      <c r="G3911" s="3">
        <v>1</v>
      </c>
      <c r="H3911" s="17">
        <f>Table1[[#This Row],[Unit price]]*Table1[[#This Row],[Quantity]]</f>
        <v>53.82</v>
      </c>
      <c r="I3911" s="29">
        <f>Table1[[#This Row],[Total Revenue]]/$H$5056*100</f>
        <v>5.7100731068659445E-3</v>
      </c>
      <c r="J3911" s="3" t="s">
        <v>17</v>
      </c>
      <c r="K3911" s="4">
        <v>7.8</v>
      </c>
      <c r="M3911"/>
    </row>
    <row r="3912" spans="1:13" x14ac:dyDescent="0.25">
      <c r="A3912" s="3" t="s">
        <v>204</v>
      </c>
      <c r="B3912" s="3" t="s">
        <v>243</v>
      </c>
      <c r="C3912" s="3" t="s">
        <v>13</v>
      </c>
      <c r="D3912" s="3" t="s">
        <v>10</v>
      </c>
      <c r="E3912" s="5" t="s">
        <v>16</v>
      </c>
      <c r="F3912" s="17">
        <v>72.510000000000005</v>
      </c>
      <c r="G3912" s="3">
        <v>8</v>
      </c>
      <c r="H3912" s="17">
        <f>Table1[[#This Row],[Unit price]]*Table1[[#This Row],[Quantity]]</f>
        <v>580.08000000000004</v>
      </c>
      <c r="I3912" s="29">
        <f>Table1[[#This Row],[Total Revenue]]/$H$5056*100</f>
        <v>6.1544020955607529E-2</v>
      </c>
      <c r="J3912" s="3" t="s">
        <v>15</v>
      </c>
      <c r="K3912" s="4">
        <v>6.3</v>
      </c>
      <c r="M3912"/>
    </row>
    <row r="3913" spans="1:13" x14ac:dyDescent="0.25">
      <c r="A3913" s="3" t="s">
        <v>204</v>
      </c>
      <c r="B3913" s="3" t="s">
        <v>244</v>
      </c>
      <c r="C3913" s="3" t="s">
        <v>13</v>
      </c>
      <c r="D3913" s="3" t="s">
        <v>19</v>
      </c>
      <c r="E3913" s="5" t="s">
        <v>18</v>
      </c>
      <c r="F3913" s="17">
        <v>9.93</v>
      </c>
      <c r="G3913" s="3">
        <v>8</v>
      </c>
      <c r="H3913" s="17">
        <f>Table1[[#This Row],[Unit price]]*Table1[[#This Row],[Quantity]]</f>
        <v>79.44</v>
      </c>
      <c r="I3913" s="29">
        <f>Table1[[#This Row],[Total Revenue]]/$H$5056*100</f>
        <v>8.4282461465891977E-3</v>
      </c>
      <c r="J3913" s="3" t="s">
        <v>12</v>
      </c>
      <c r="K3913" s="4">
        <v>6</v>
      </c>
      <c r="M3913"/>
    </row>
    <row r="3914" spans="1:13" x14ac:dyDescent="0.25">
      <c r="A3914" s="3" t="s">
        <v>204</v>
      </c>
      <c r="B3914" s="3" t="s">
        <v>245</v>
      </c>
      <c r="C3914" s="3" t="s">
        <v>9</v>
      </c>
      <c r="D3914" s="3" t="s">
        <v>10</v>
      </c>
      <c r="E3914" s="5" t="s">
        <v>20</v>
      </c>
      <c r="F3914" s="17">
        <v>61.52</v>
      </c>
      <c r="G3914" s="3">
        <v>6</v>
      </c>
      <c r="H3914" s="17">
        <f>Table1[[#This Row],[Unit price]]*Table1[[#This Row],[Quantity]]</f>
        <v>369.12</v>
      </c>
      <c r="I3914" s="29">
        <f>Table1[[#This Row],[Total Revenue]]/$H$5056*100</f>
        <v>3.9162062155450719E-2</v>
      </c>
      <c r="J3914" s="3" t="s">
        <v>12</v>
      </c>
      <c r="K3914" s="4">
        <v>3.2</v>
      </c>
      <c r="M3914"/>
    </row>
    <row r="3915" spans="1:13" x14ac:dyDescent="0.25">
      <c r="A3915" s="3" t="s">
        <v>204</v>
      </c>
      <c r="B3915" s="3" t="s">
        <v>243</v>
      </c>
      <c r="C3915" s="3" t="s">
        <v>13</v>
      </c>
      <c r="D3915" s="3" t="s">
        <v>19</v>
      </c>
      <c r="E3915" s="5" t="s">
        <v>16</v>
      </c>
      <c r="F3915" s="17">
        <v>74.08</v>
      </c>
      <c r="G3915" s="3">
        <v>2</v>
      </c>
      <c r="H3915" s="17">
        <f>Table1[[#This Row],[Unit price]]*Table1[[#This Row],[Quantity]]</f>
        <v>148.16</v>
      </c>
      <c r="I3915" s="29">
        <f>Table1[[#This Row],[Total Revenue]]/$H$5056*100</f>
        <v>1.5719145884675923E-2</v>
      </c>
      <c r="J3915" s="3" t="s">
        <v>12</v>
      </c>
      <c r="K3915" s="4">
        <v>3.3</v>
      </c>
      <c r="M3915"/>
    </row>
    <row r="3916" spans="1:13" x14ac:dyDescent="0.25">
      <c r="A3916" s="3" t="s">
        <v>204</v>
      </c>
      <c r="B3916" s="3" t="s">
        <v>245</v>
      </c>
      <c r="C3916" s="3" t="s">
        <v>13</v>
      </c>
      <c r="D3916" s="3" t="s">
        <v>10</v>
      </c>
      <c r="E3916" s="5" t="s">
        <v>20</v>
      </c>
      <c r="F3916" s="17">
        <v>48.09</v>
      </c>
      <c r="G3916" s="3">
        <v>7</v>
      </c>
      <c r="H3916" s="17">
        <f>Table1[[#This Row],[Unit price]]*Table1[[#This Row],[Quantity]]</f>
        <v>336.63</v>
      </c>
      <c r="I3916" s="29">
        <f>Table1[[#This Row],[Total Revenue]]/$H$5056*100</f>
        <v>3.5715011333412913E-2</v>
      </c>
      <c r="J3916" s="3" t="s">
        <v>17</v>
      </c>
      <c r="K3916" s="4">
        <v>5.3</v>
      </c>
      <c r="M3916"/>
    </row>
    <row r="3917" spans="1:13" x14ac:dyDescent="0.25">
      <c r="A3917" s="3" t="s">
        <v>204</v>
      </c>
      <c r="B3917" s="3" t="s">
        <v>243</v>
      </c>
      <c r="C3917" s="3" t="s">
        <v>9</v>
      </c>
      <c r="D3917" s="3" t="s">
        <v>10</v>
      </c>
      <c r="E3917" s="5" t="s">
        <v>14</v>
      </c>
      <c r="F3917" s="17">
        <v>89</v>
      </c>
      <c r="G3917" s="3">
        <v>8</v>
      </c>
      <c r="H3917" s="17">
        <f>Table1[[#This Row],[Unit price]]*Table1[[#This Row],[Quantity]]</f>
        <v>712</v>
      </c>
      <c r="I3917" s="29">
        <f>Table1[[#This Row],[Total Revenue]]/$H$5056*100</f>
        <v>7.5540171907999859E-2</v>
      </c>
      <c r="J3917" s="3" t="s">
        <v>12</v>
      </c>
      <c r="K3917" s="4">
        <v>9.4</v>
      </c>
      <c r="M3917"/>
    </row>
    <row r="3918" spans="1:13" x14ac:dyDescent="0.25">
      <c r="A3918" s="3" t="s">
        <v>204</v>
      </c>
      <c r="B3918" s="3" t="s">
        <v>244</v>
      </c>
      <c r="C3918" s="3" t="s">
        <v>9</v>
      </c>
      <c r="D3918" s="3" t="s">
        <v>19</v>
      </c>
      <c r="E3918" s="5" t="s">
        <v>20</v>
      </c>
      <c r="F3918" s="17">
        <v>69.38</v>
      </c>
      <c r="G3918" s="3">
        <v>9</v>
      </c>
      <c r="H3918" s="17">
        <f>Table1[[#This Row],[Unit price]]*Table1[[#This Row],[Quantity]]</f>
        <v>624.41999999999996</v>
      </c>
      <c r="I3918" s="29">
        <f>Table1[[#This Row],[Total Revenue]]/$H$5056*100</f>
        <v>6.6248306380327623E-2</v>
      </c>
      <c r="J3918" s="3" t="s">
        <v>12</v>
      </c>
      <c r="K3918" s="4">
        <v>7.2</v>
      </c>
      <c r="M3918"/>
    </row>
    <row r="3919" spans="1:13" x14ac:dyDescent="0.25">
      <c r="A3919" s="3" t="s">
        <v>204</v>
      </c>
      <c r="B3919" s="3" t="s">
        <v>243</v>
      </c>
      <c r="C3919" s="3" t="s">
        <v>9</v>
      </c>
      <c r="D3919" s="3" t="s">
        <v>19</v>
      </c>
      <c r="E3919" s="5" t="s">
        <v>21</v>
      </c>
      <c r="F3919" s="17">
        <v>24.56</v>
      </c>
      <c r="G3919" s="3">
        <v>3</v>
      </c>
      <c r="H3919" s="17">
        <f>Table1[[#This Row],[Unit price]]*Table1[[#This Row],[Quantity]]</f>
        <v>73.679999999999993</v>
      </c>
      <c r="I3919" s="29">
        <f>Table1[[#This Row],[Total Revenue]]/$H$5056*100</f>
        <v>7.8171346435132426E-3</v>
      </c>
      <c r="J3919" s="3" t="s">
        <v>17</v>
      </c>
      <c r="K3919" s="4">
        <v>5.5</v>
      </c>
      <c r="M3919"/>
    </row>
    <row r="3920" spans="1:13" x14ac:dyDescent="0.25">
      <c r="A3920" s="3" t="s">
        <v>204</v>
      </c>
      <c r="B3920" s="3" t="s">
        <v>243</v>
      </c>
      <c r="C3920" s="3" t="s">
        <v>13</v>
      </c>
      <c r="D3920" s="3" t="s">
        <v>10</v>
      </c>
      <c r="E3920" s="5" t="s">
        <v>14</v>
      </c>
      <c r="F3920" s="17">
        <v>87.38</v>
      </c>
      <c r="G3920" s="3">
        <v>9</v>
      </c>
      <c r="H3920" s="17">
        <f>Table1[[#This Row],[Unit price]]*Table1[[#This Row],[Quantity]]</f>
        <v>786.42</v>
      </c>
      <c r="I3920" s="29">
        <f>Table1[[#This Row],[Total Revenue]]/$H$5056*100</f>
        <v>8.3435817404338836E-2</v>
      </c>
      <c r="J3920" s="3" t="s">
        <v>17</v>
      </c>
      <c r="K3920" s="4">
        <v>7.2</v>
      </c>
      <c r="M3920"/>
    </row>
    <row r="3921" spans="1:13" x14ac:dyDescent="0.25">
      <c r="A3921" s="3" t="s">
        <v>204</v>
      </c>
      <c r="B3921" s="3" t="s">
        <v>243</v>
      </c>
      <c r="C3921" s="3" t="s">
        <v>9</v>
      </c>
      <c r="D3921" s="3" t="s">
        <v>19</v>
      </c>
      <c r="E3921" s="5" t="s">
        <v>11</v>
      </c>
      <c r="F3921" s="17">
        <v>5.83</v>
      </c>
      <c r="G3921" s="3">
        <v>4</v>
      </c>
      <c r="H3921" s="17">
        <f>Table1[[#This Row],[Unit price]]*Table1[[#This Row],[Quantity]]</f>
        <v>23.32</v>
      </c>
      <c r="I3921" s="29">
        <f>Table1[[#This Row],[Total Revenue]]/$H$5056*100</f>
        <v>2.4741528214811191E-3</v>
      </c>
      <c r="J3921" s="3" t="s">
        <v>12</v>
      </c>
      <c r="K3921" s="4">
        <v>4.4000000000000004</v>
      </c>
      <c r="M3921"/>
    </row>
    <row r="3922" spans="1:13" x14ac:dyDescent="0.25">
      <c r="A3922" s="3" t="s">
        <v>205</v>
      </c>
      <c r="B3922" s="3" t="s">
        <v>244</v>
      </c>
      <c r="C3922" s="3" t="s">
        <v>13</v>
      </c>
      <c r="D3922" s="3" t="s">
        <v>10</v>
      </c>
      <c r="E3922" s="5" t="s">
        <v>20</v>
      </c>
      <c r="F3922" s="17">
        <v>47.64</v>
      </c>
      <c r="G3922" s="3">
        <v>6</v>
      </c>
      <c r="H3922" s="17">
        <f>Table1[[#This Row],[Unit price]]*Table1[[#This Row],[Quantity]]</f>
        <v>285.84000000000003</v>
      </c>
      <c r="I3922" s="29">
        <f>Table1[[#This Row],[Total Revenue]]/$H$5056*100</f>
        <v>3.0326408340144214E-2</v>
      </c>
      <c r="J3922" s="3" t="s">
        <v>17</v>
      </c>
      <c r="K3922" s="4">
        <v>4.0999999999999996</v>
      </c>
      <c r="M3922"/>
    </row>
    <row r="3923" spans="1:13" x14ac:dyDescent="0.25">
      <c r="A3923" s="3" t="s">
        <v>205</v>
      </c>
      <c r="B3923" s="3" t="s">
        <v>243</v>
      </c>
      <c r="C3923" s="3" t="s">
        <v>13</v>
      </c>
      <c r="D3923" s="3" t="s">
        <v>10</v>
      </c>
      <c r="E3923" s="5" t="s">
        <v>21</v>
      </c>
      <c r="F3923" s="17">
        <v>15.96</v>
      </c>
      <c r="G3923" s="3">
        <v>4</v>
      </c>
      <c r="H3923" s="17">
        <f>Table1[[#This Row],[Unit price]]*Table1[[#This Row],[Quantity]]</f>
        <v>63.84</v>
      </c>
      <c r="I3923" s="29">
        <f>Table1[[#This Row],[Total Revenue]]/$H$5056*100</f>
        <v>6.7731524924251564E-3</v>
      </c>
      <c r="J3923" s="3" t="s">
        <v>12</v>
      </c>
      <c r="K3923" s="4">
        <v>5.5</v>
      </c>
      <c r="M3923"/>
    </row>
    <row r="3924" spans="1:13" x14ac:dyDescent="0.25">
      <c r="A3924" s="3" t="s">
        <v>205</v>
      </c>
      <c r="B3924" s="3" t="s">
        <v>245</v>
      </c>
      <c r="C3924" s="3" t="s">
        <v>13</v>
      </c>
      <c r="D3924" s="3" t="s">
        <v>10</v>
      </c>
      <c r="E3924" s="5" t="s">
        <v>21</v>
      </c>
      <c r="F3924" s="17">
        <v>16.47</v>
      </c>
      <c r="G3924" s="3">
        <v>10</v>
      </c>
      <c r="H3924" s="17">
        <f>Table1[[#This Row],[Unit price]]*Table1[[#This Row],[Quantity]]</f>
        <v>164.7</v>
      </c>
      <c r="I3924" s="29">
        <f>Table1[[#This Row],[Total Revenue]]/$H$5056*100</f>
        <v>1.7473969541078056E-2</v>
      </c>
      <c r="J3924" s="3" t="s">
        <v>17</v>
      </c>
      <c r="K3924" s="4">
        <v>8.9</v>
      </c>
      <c r="M3924"/>
    </row>
    <row r="3925" spans="1:13" x14ac:dyDescent="0.25">
      <c r="A3925" s="3" t="s">
        <v>205</v>
      </c>
      <c r="B3925" s="3" t="s">
        <v>245</v>
      </c>
      <c r="C3925" s="3" t="s">
        <v>9</v>
      </c>
      <c r="D3925" s="3" t="s">
        <v>19</v>
      </c>
      <c r="E3925" s="5" t="s">
        <v>11</v>
      </c>
      <c r="F3925" s="17">
        <v>12.67</v>
      </c>
      <c r="G3925" s="3">
        <v>1</v>
      </c>
      <c r="H3925" s="17">
        <f>Table1[[#This Row],[Unit price]]*Table1[[#This Row],[Quantity]]</f>
        <v>12.67</v>
      </c>
      <c r="I3925" s="29">
        <f>Table1[[#This Row],[Total Revenue]]/$H$5056*100</f>
        <v>1.344233115272975E-3</v>
      </c>
      <c r="J3925" s="3" t="s">
        <v>15</v>
      </c>
      <c r="K3925" s="4">
        <v>6.5</v>
      </c>
      <c r="M3925"/>
    </row>
    <row r="3926" spans="1:13" x14ac:dyDescent="0.25">
      <c r="A3926" s="3" t="s">
        <v>205</v>
      </c>
      <c r="B3926" s="3" t="s">
        <v>244</v>
      </c>
      <c r="C3926" s="3" t="s">
        <v>9</v>
      </c>
      <c r="D3926" s="3" t="s">
        <v>10</v>
      </c>
      <c r="E3926" s="5" t="s">
        <v>21</v>
      </c>
      <c r="F3926" s="17">
        <v>33.01</v>
      </c>
      <c r="G3926" s="3">
        <v>3</v>
      </c>
      <c r="H3926" s="17">
        <f>Table1[[#This Row],[Unit price]]*Table1[[#This Row],[Quantity]]</f>
        <v>99.03</v>
      </c>
      <c r="I3926" s="29">
        <f>Table1[[#This Row],[Total Revenue]]/$H$5056*100</f>
        <v>1.0506661831529812E-2</v>
      </c>
      <c r="J3926" s="3" t="s">
        <v>15</v>
      </c>
      <c r="K3926" s="4">
        <v>5</v>
      </c>
      <c r="M3926"/>
    </row>
    <row r="3927" spans="1:13" x14ac:dyDescent="0.25">
      <c r="A3927" s="3" t="s">
        <v>205</v>
      </c>
      <c r="B3927" s="3" t="s">
        <v>243</v>
      </c>
      <c r="C3927" s="3" t="s">
        <v>9</v>
      </c>
      <c r="D3927" s="3" t="s">
        <v>19</v>
      </c>
      <c r="E3927" s="5" t="s">
        <v>11</v>
      </c>
      <c r="F3927" s="17">
        <v>13.28</v>
      </c>
      <c r="G3927" s="3">
        <v>3</v>
      </c>
      <c r="H3927" s="17">
        <f>Table1[[#This Row],[Unit price]]*Table1[[#This Row],[Quantity]]</f>
        <v>39.839999999999996</v>
      </c>
      <c r="I3927" s="29">
        <f>Table1[[#This Row],[Total Revenue]]/$H$5056*100</f>
        <v>4.2268545629420137E-3</v>
      </c>
      <c r="J3927" s="3" t="s">
        <v>15</v>
      </c>
      <c r="K3927" s="4">
        <v>9.5</v>
      </c>
      <c r="M3927"/>
    </row>
    <row r="3928" spans="1:13" x14ac:dyDescent="0.25">
      <c r="A3928" s="3" t="s">
        <v>205</v>
      </c>
      <c r="B3928" s="3" t="s">
        <v>245</v>
      </c>
      <c r="C3928" s="3" t="s">
        <v>13</v>
      </c>
      <c r="D3928" s="3" t="s">
        <v>19</v>
      </c>
      <c r="E3928" s="5" t="s">
        <v>20</v>
      </c>
      <c r="F3928" s="17">
        <v>57.56</v>
      </c>
      <c r="G3928" s="3">
        <v>7</v>
      </c>
      <c r="H3928" s="17">
        <f>Table1[[#This Row],[Unit price]]*Table1[[#This Row],[Quantity]]</f>
        <v>402.92</v>
      </c>
      <c r="I3928" s="29">
        <f>Table1[[#This Row],[Total Revenue]]/$H$5056*100</f>
        <v>4.2748098406139468E-2</v>
      </c>
      <c r="J3928" s="3" t="s">
        <v>12</v>
      </c>
      <c r="K3928" s="4">
        <v>8.5</v>
      </c>
      <c r="M3928"/>
    </row>
    <row r="3929" spans="1:13" x14ac:dyDescent="0.25">
      <c r="A3929" s="3" t="s">
        <v>205</v>
      </c>
      <c r="B3929" s="3" t="s">
        <v>244</v>
      </c>
      <c r="C3929" s="3" t="s">
        <v>13</v>
      </c>
      <c r="D3929" s="3" t="s">
        <v>19</v>
      </c>
      <c r="E3929" s="5" t="s">
        <v>16</v>
      </c>
      <c r="F3929" s="17">
        <v>68.930000000000007</v>
      </c>
      <c r="G3929" s="3">
        <v>4</v>
      </c>
      <c r="H3929" s="17">
        <f>Table1[[#This Row],[Unit price]]*Table1[[#This Row],[Quantity]]</f>
        <v>275.72000000000003</v>
      </c>
      <c r="I3929" s="29">
        <f>Table1[[#This Row],[Total Revenue]]/$H$5056*100</f>
        <v>2.9252719379878826E-2</v>
      </c>
      <c r="J3929" s="3" t="s">
        <v>17</v>
      </c>
      <c r="K3929" s="4">
        <v>5.2</v>
      </c>
      <c r="M3929"/>
    </row>
    <row r="3930" spans="1:13" x14ac:dyDescent="0.25">
      <c r="A3930" s="2">
        <v>45302</v>
      </c>
      <c r="B3930" s="3" t="s">
        <v>245</v>
      </c>
      <c r="C3930" s="3" t="s">
        <v>13</v>
      </c>
      <c r="D3930" s="3" t="s">
        <v>19</v>
      </c>
      <c r="E3930" s="5" t="s">
        <v>18</v>
      </c>
      <c r="F3930" s="17">
        <v>23.62</v>
      </c>
      <c r="G3930" s="3">
        <v>9</v>
      </c>
      <c r="H3930" s="17">
        <f>Table1[[#This Row],[Unit price]]*Table1[[#This Row],[Quantity]]</f>
        <v>212.58</v>
      </c>
      <c r="I3930" s="29">
        <f>Table1[[#This Row],[Total Revenue]]/$H$5056*100</f>
        <v>2.2553833910396927E-2</v>
      </c>
      <c r="J3930" s="3" t="s">
        <v>12</v>
      </c>
      <c r="K3930" s="4">
        <v>9</v>
      </c>
      <c r="M3930"/>
    </row>
    <row r="3931" spans="1:13" x14ac:dyDescent="0.25">
      <c r="A3931" s="2">
        <v>45302</v>
      </c>
      <c r="B3931" s="3" t="s">
        <v>245</v>
      </c>
      <c r="C3931" s="3" t="s">
        <v>13</v>
      </c>
      <c r="D3931" s="3" t="s">
        <v>19</v>
      </c>
      <c r="E3931" s="5" t="s">
        <v>20</v>
      </c>
      <c r="F3931" s="17">
        <v>67.94</v>
      </c>
      <c r="G3931" s="3">
        <v>9</v>
      </c>
      <c r="H3931" s="17">
        <f>Table1[[#This Row],[Unit price]]*Table1[[#This Row],[Quantity]]</f>
        <v>611.46</v>
      </c>
      <c r="I3931" s="29">
        <f>Table1[[#This Row],[Total Revenue]]/$H$5056*100</f>
        <v>6.4873305498406739E-2</v>
      </c>
      <c r="J3931" s="3" t="s">
        <v>12</v>
      </c>
      <c r="K3931" s="4">
        <v>3.5</v>
      </c>
      <c r="M3931"/>
    </row>
    <row r="3932" spans="1:13" x14ac:dyDescent="0.25">
      <c r="A3932" s="2">
        <v>45302</v>
      </c>
      <c r="B3932" s="3" t="s">
        <v>245</v>
      </c>
      <c r="C3932" s="3" t="s">
        <v>13</v>
      </c>
      <c r="D3932" s="3" t="s">
        <v>10</v>
      </c>
      <c r="E3932" s="5" t="s">
        <v>21</v>
      </c>
      <c r="F3932" s="17">
        <v>32.39</v>
      </c>
      <c r="G3932" s="3">
        <v>5</v>
      </c>
      <c r="H3932" s="17">
        <f>Table1[[#This Row],[Unit price]]*Table1[[#This Row],[Quantity]]</f>
        <v>161.94999999999999</v>
      </c>
      <c r="I3932" s="29">
        <f>Table1[[#This Row],[Total Revenue]]/$H$5056*100</f>
        <v>1.7182206236658112E-2</v>
      </c>
      <c r="J3932" s="3" t="s">
        <v>15</v>
      </c>
      <c r="K3932" s="4">
        <v>9.6999999999999993</v>
      </c>
      <c r="M3932"/>
    </row>
    <row r="3933" spans="1:13" x14ac:dyDescent="0.25">
      <c r="A3933" s="2">
        <v>45302</v>
      </c>
      <c r="B3933" s="3" t="s">
        <v>243</v>
      </c>
      <c r="C3933" s="3" t="s">
        <v>9</v>
      </c>
      <c r="D3933" s="3" t="s">
        <v>19</v>
      </c>
      <c r="E3933" s="5" t="s">
        <v>11</v>
      </c>
      <c r="F3933" s="17">
        <v>8.3699999999999992</v>
      </c>
      <c r="G3933" s="3">
        <v>5</v>
      </c>
      <c r="H3933" s="17">
        <f>Table1[[#This Row],[Unit price]]*Table1[[#This Row],[Quantity]]</f>
        <v>41.849999999999994</v>
      </c>
      <c r="I3933" s="29">
        <f>Table1[[#This Row],[Total Revenue]]/$H$5056*100</f>
        <v>4.4401070145362268E-3</v>
      </c>
      <c r="J3933" s="3" t="s">
        <v>15</v>
      </c>
      <c r="K3933" s="4">
        <v>4.7</v>
      </c>
      <c r="M3933"/>
    </row>
    <row r="3934" spans="1:13" x14ac:dyDescent="0.25">
      <c r="A3934" s="2">
        <v>45302</v>
      </c>
      <c r="B3934" s="3" t="s">
        <v>244</v>
      </c>
      <c r="C3934" s="3" t="s">
        <v>13</v>
      </c>
      <c r="D3934" s="3" t="s">
        <v>10</v>
      </c>
      <c r="E3934" s="5" t="s">
        <v>18</v>
      </c>
      <c r="F3934" s="17">
        <v>5.62</v>
      </c>
      <c r="G3934" s="3">
        <v>8</v>
      </c>
      <c r="H3934" s="17">
        <f>Table1[[#This Row],[Unit price]]*Table1[[#This Row],[Quantity]]</f>
        <v>44.96</v>
      </c>
      <c r="I3934" s="29">
        <f>Table1[[#This Row],[Total Revenue]]/$H$5056*100</f>
        <v>4.7700647878984176E-3</v>
      </c>
      <c r="J3934" s="3" t="s">
        <v>17</v>
      </c>
      <c r="K3934" s="4">
        <v>8.1</v>
      </c>
      <c r="M3934"/>
    </row>
    <row r="3935" spans="1:13" x14ac:dyDescent="0.25">
      <c r="A3935" s="2">
        <v>45302</v>
      </c>
      <c r="B3935" s="3" t="s">
        <v>245</v>
      </c>
      <c r="C3935" s="3" t="s">
        <v>13</v>
      </c>
      <c r="D3935" s="3" t="s">
        <v>10</v>
      </c>
      <c r="E3935" s="5" t="s">
        <v>14</v>
      </c>
      <c r="F3935" s="17">
        <v>93.56</v>
      </c>
      <c r="G3935" s="3">
        <v>6</v>
      </c>
      <c r="H3935" s="17">
        <f>Table1[[#This Row],[Unit price]]*Table1[[#This Row],[Quantity]]</f>
        <v>561.36</v>
      </c>
      <c r="I3935" s="29">
        <f>Table1[[#This Row],[Total Revenue]]/$H$5056*100</f>
        <v>5.9557908570610676E-2</v>
      </c>
      <c r="J3935" s="3" t="s">
        <v>17</v>
      </c>
      <c r="K3935" s="4">
        <v>6.6</v>
      </c>
      <c r="M3935"/>
    </row>
    <row r="3936" spans="1:13" x14ac:dyDescent="0.25">
      <c r="A3936" s="2">
        <v>45302</v>
      </c>
      <c r="B3936" s="3" t="s">
        <v>243</v>
      </c>
      <c r="C3936" s="3" t="s">
        <v>13</v>
      </c>
      <c r="D3936" s="3" t="s">
        <v>19</v>
      </c>
      <c r="E3936" s="5" t="s">
        <v>21</v>
      </c>
      <c r="F3936" s="17">
        <v>21.07</v>
      </c>
      <c r="G3936" s="3">
        <v>3</v>
      </c>
      <c r="H3936" s="17">
        <f>Table1[[#This Row],[Unit price]]*Table1[[#This Row],[Quantity]]</f>
        <v>63.21</v>
      </c>
      <c r="I3936" s="29">
        <f>Table1[[#This Row],[Total Revenue]]/$H$5056*100</f>
        <v>6.7063121717762233E-3</v>
      </c>
      <c r="J3936" s="3" t="s">
        <v>12</v>
      </c>
      <c r="K3936" s="4">
        <v>9.1999999999999993</v>
      </c>
      <c r="M3936"/>
    </row>
    <row r="3937" spans="1:13" x14ac:dyDescent="0.25">
      <c r="A3937" s="2">
        <v>45302</v>
      </c>
      <c r="B3937" s="3" t="s">
        <v>245</v>
      </c>
      <c r="C3937" s="3" t="s">
        <v>13</v>
      </c>
      <c r="D3937" s="3" t="s">
        <v>19</v>
      </c>
      <c r="E3937" s="5" t="s">
        <v>11</v>
      </c>
      <c r="F3937" s="17">
        <v>4.97</v>
      </c>
      <c r="G3937" s="3">
        <v>9</v>
      </c>
      <c r="H3937" s="17">
        <f>Table1[[#This Row],[Unit price]]*Table1[[#This Row],[Quantity]]</f>
        <v>44.73</v>
      </c>
      <c r="I3937" s="29">
        <f>Table1[[#This Row],[Total Revenue]]/$H$5056*100</f>
        <v>4.7456627660742035E-3</v>
      </c>
      <c r="J3937" s="3" t="s">
        <v>12</v>
      </c>
      <c r="K3937" s="4">
        <v>9</v>
      </c>
      <c r="M3937"/>
    </row>
    <row r="3938" spans="1:13" x14ac:dyDescent="0.25">
      <c r="A3938" s="2">
        <v>45302</v>
      </c>
      <c r="B3938" s="3" t="s">
        <v>244</v>
      </c>
      <c r="C3938" s="3" t="s">
        <v>13</v>
      </c>
      <c r="D3938" s="3" t="s">
        <v>10</v>
      </c>
      <c r="E3938" s="5" t="s">
        <v>21</v>
      </c>
      <c r="F3938" s="17">
        <v>39.64</v>
      </c>
      <c r="G3938" s="3">
        <v>4</v>
      </c>
      <c r="H3938" s="17">
        <f>Table1[[#This Row],[Unit price]]*Table1[[#This Row],[Quantity]]</f>
        <v>158.56</v>
      </c>
      <c r="I3938" s="29">
        <f>Table1[[#This Row],[Total Revenue]]/$H$5056*100</f>
        <v>1.682254165411862E-2</v>
      </c>
      <c r="J3938" s="3" t="s">
        <v>17</v>
      </c>
      <c r="K3938" s="4">
        <v>3.6</v>
      </c>
      <c r="M3938"/>
    </row>
    <row r="3939" spans="1:13" x14ac:dyDescent="0.25">
      <c r="A3939" s="2">
        <v>45302</v>
      </c>
      <c r="B3939" s="3" t="s">
        <v>245</v>
      </c>
      <c r="C3939" s="3" t="s">
        <v>13</v>
      </c>
      <c r="D3939" s="3" t="s">
        <v>10</v>
      </c>
      <c r="E3939" s="5" t="s">
        <v>11</v>
      </c>
      <c r="F3939" s="17">
        <v>9.1999999999999993</v>
      </c>
      <c r="G3939" s="3">
        <v>6</v>
      </c>
      <c r="H3939" s="17">
        <f>Table1[[#This Row],[Unit price]]*Table1[[#This Row],[Quantity]]</f>
        <v>55.199999999999996</v>
      </c>
      <c r="I3939" s="29">
        <f>Table1[[#This Row],[Total Revenue]]/$H$5056*100</f>
        <v>5.8564852378112245E-3</v>
      </c>
      <c r="J3939" s="3" t="s">
        <v>15</v>
      </c>
      <c r="K3939" s="4">
        <v>6.5</v>
      </c>
      <c r="M3939"/>
    </row>
    <row r="3940" spans="1:13" x14ac:dyDescent="0.25">
      <c r="A3940" s="2">
        <v>45302</v>
      </c>
      <c r="B3940" s="3" t="s">
        <v>245</v>
      </c>
      <c r="C3940" s="3" t="s">
        <v>13</v>
      </c>
      <c r="D3940" s="3" t="s">
        <v>10</v>
      </c>
      <c r="E3940" s="5" t="s">
        <v>16</v>
      </c>
      <c r="F3940" s="17">
        <v>62.68</v>
      </c>
      <c r="G3940" s="3">
        <v>8</v>
      </c>
      <c r="H3940" s="17">
        <f>Table1[[#This Row],[Unit price]]*Table1[[#This Row],[Quantity]]</f>
        <v>501.44</v>
      </c>
      <c r="I3940" s="29">
        <f>Table1[[#This Row],[Total Revenue]]/$H$5056*100</f>
        <v>5.320065140666777E-2</v>
      </c>
      <c r="J3940" s="3" t="s">
        <v>15</v>
      </c>
      <c r="K3940" s="4">
        <v>5.3</v>
      </c>
      <c r="M3940"/>
    </row>
    <row r="3941" spans="1:13" x14ac:dyDescent="0.25">
      <c r="A3941" s="2">
        <v>45302</v>
      </c>
      <c r="B3941" s="3" t="s">
        <v>245</v>
      </c>
      <c r="C3941" s="3" t="s">
        <v>13</v>
      </c>
      <c r="D3941" s="3" t="s">
        <v>19</v>
      </c>
      <c r="E3941" s="5" t="s">
        <v>20</v>
      </c>
      <c r="F3941" s="17">
        <v>60.56</v>
      </c>
      <c r="G3941" s="3">
        <v>2</v>
      </c>
      <c r="H3941" s="17">
        <f>Table1[[#This Row],[Unit price]]*Table1[[#This Row],[Quantity]]</f>
        <v>121.12</v>
      </c>
      <c r="I3941" s="29">
        <f>Table1[[#This Row],[Total Revenue]]/$H$5056*100</f>
        <v>1.285031688412492E-2</v>
      </c>
      <c r="J3941" s="3" t="s">
        <v>12</v>
      </c>
      <c r="K3941" s="4">
        <v>4.4000000000000004</v>
      </c>
      <c r="M3941"/>
    </row>
    <row r="3942" spans="1:13" x14ac:dyDescent="0.25">
      <c r="A3942" s="2">
        <v>45302</v>
      </c>
      <c r="B3942" s="3" t="s">
        <v>243</v>
      </c>
      <c r="C3942" s="3" t="s">
        <v>13</v>
      </c>
      <c r="D3942" s="3" t="s">
        <v>10</v>
      </c>
      <c r="E3942" s="5" t="s">
        <v>18</v>
      </c>
      <c r="F3942" s="17">
        <v>19.12</v>
      </c>
      <c r="G3942" s="3">
        <v>7</v>
      </c>
      <c r="H3942" s="17">
        <f>Table1[[#This Row],[Unit price]]*Table1[[#This Row],[Quantity]]</f>
        <v>133.84</v>
      </c>
      <c r="I3942" s="29">
        <f>Table1[[#This Row],[Total Revenue]]/$H$5056*100</f>
        <v>1.4199854786750985E-2</v>
      </c>
      <c r="J3942" s="3" t="s">
        <v>15</v>
      </c>
      <c r="K3942" s="4">
        <v>5.5</v>
      </c>
      <c r="M3942"/>
    </row>
    <row r="3943" spans="1:13" x14ac:dyDescent="0.25">
      <c r="A3943" s="2">
        <v>45302</v>
      </c>
      <c r="B3943" s="3" t="s">
        <v>244</v>
      </c>
      <c r="C3943" s="3" t="s">
        <v>9</v>
      </c>
      <c r="D3943" s="3" t="s">
        <v>19</v>
      </c>
      <c r="E3943" s="5" t="s">
        <v>18</v>
      </c>
      <c r="F3943" s="17">
        <v>9.5500000000000007</v>
      </c>
      <c r="G3943" s="3">
        <v>3</v>
      </c>
      <c r="H3943" s="17">
        <f>Table1[[#This Row],[Unit price]]*Table1[[#This Row],[Quantity]]</f>
        <v>28.650000000000002</v>
      </c>
      <c r="I3943" s="29">
        <f>Table1[[#This Row],[Total Revenue]]/$H$5056*100</f>
        <v>3.0396431533205003E-3</v>
      </c>
      <c r="J3943" s="3" t="s">
        <v>17</v>
      </c>
      <c r="K3943" s="4">
        <v>4.8</v>
      </c>
      <c r="M3943"/>
    </row>
    <row r="3944" spans="1:13" x14ac:dyDescent="0.25">
      <c r="A3944" s="2">
        <v>45302</v>
      </c>
      <c r="B3944" s="3" t="s">
        <v>244</v>
      </c>
      <c r="C3944" s="3" t="s">
        <v>13</v>
      </c>
      <c r="D3944" s="3" t="s">
        <v>19</v>
      </c>
      <c r="E3944" s="5" t="s">
        <v>11</v>
      </c>
      <c r="F3944" s="17">
        <v>3.32</v>
      </c>
      <c r="G3944" s="3">
        <v>4</v>
      </c>
      <c r="H3944" s="17">
        <f>Table1[[#This Row],[Unit price]]*Table1[[#This Row],[Quantity]]</f>
        <v>13.28</v>
      </c>
      <c r="I3944" s="29">
        <f>Table1[[#This Row],[Total Revenue]]/$H$5056*100</f>
        <v>1.4089515209806714E-3</v>
      </c>
      <c r="J3944" s="3" t="s">
        <v>15</v>
      </c>
      <c r="K3944" s="4">
        <v>8.1999999999999993</v>
      </c>
      <c r="M3944"/>
    </row>
    <row r="3945" spans="1:13" x14ac:dyDescent="0.25">
      <c r="A3945" s="2">
        <v>45302</v>
      </c>
      <c r="B3945" s="3" t="s">
        <v>243</v>
      </c>
      <c r="C3945" s="3" t="s">
        <v>13</v>
      </c>
      <c r="D3945" s="3" t="s">
        <v>10</v>
      </c>
      <c r="E3945" s="5" t="s">
        <v>11</v>
      </c>
      <c r="F3945" s="17">
        <v>5.18</v>
      </c>
      <c r="G3945" s="3">
        <v>5</v>
      </c>
      <c r="H3945" s="17">
        <f>Table1[[#This Row],[Unit price]]*Table1[[#This Row],[Quantity]]</f>
        <v>25.9</v>
      </c>
      <c r="I3945" s="29">
        <f>Table1[[#This Row],[Total Revenue]]/$H$5056*100</f>
        <v>2.7478798489005566E-3</v>
      </c>
      <c r="J3945" s="3" t="s">
        <v>17</v>
      </c>
      <c r="K3945" s="4">
        <v>6.3</v>
      </c>
      <c r="M3945"/>
    </row>
    <row r="3946" spans="1:13" x14ac:dyDescent="0.25">
      <c r="A3946" s="2">
        <v>45302</v>
      </c>
      <c r="B3946" s="3" t="s">
        <v>244</v>
      </c>
      <c r="C3946" s="3" t="s">
        <v>9</v>
      </c>
      <c r="D3946" s="3" t="s">
        <v>10</v>
      </c>
      <c r="E3946" s="5" t="s">
        <v>11</v>
      </c>
      <c r="F3946" s="17">
        <v>7.31</v>
      </c>
      <c r="G3946" s="3">
        <v>9</v>
      </c>
      <c r="H3946" s="17">
        <f>Table1[[#This Row],[Unit price]]*Table1[[#This Row],[Quantity]]</f>
        <v>65.789999999999992</v>
      </c>
      <c r="I3946" s="29">
        <f>Table1[[#This Row],[Total Revenue]]/$H$5056*100</f>
        <v>6.9800391991956595E-3</v>
      </c>
      <c r="J3946" s="3" t="s">
        <v>15</v>
      </c>
      <c r="K3946" s="4">
        <v>3.7</v>
      </c>
      <c r="M3946"/>
    </row>
    <row r="3947" spans="1:13" x14ac:dyDescent="0.25">
      <c r="A3947" s="2">
        <v>45333</v>
      </c>
      <c r="B3947" s="3" t="s">
        <v>244</v>
      </c>
      <c r="C3947" s="3" t="s">
        <v>9</v>
      </c>
      <c r="D3947" s="3" t="s">
        <v>19</v>
      </c>
      <c r="E3947" s="5" t="s">
        <v>11</v>
      </c>
      <c r="F3947" s="17">
        <v>11.36</v>
      </c>
      <c r="G3947" s="3">
        <v>8</v>
      </c>
      <c r="H3947" s="17">
        <f>Table1[[#This Row],[Unit price]]*Table1[[#This Row],[Quantity]]</f>
        <v>90.88</v>
      </c>
      <c r="I3947" s="29">
        <f>Table1[[#This Row],[Total Revenue]]/$H$5056*100</f>
        <v>9.6419814929761608E-3</v>
      </c>
      <c r="J3947" s="3" t="s">
        <v>17</v>
      </c>
      <c r="K3947" s="4">
        <v>4.9000000000000004</v>
      </c>
      <c r="M3947"/>
    </row>
    <row r="3948" spans="1:13" x14ac:dyDescent="0.25">
      <c r="A3948" s="2">
        <v>45333</v>
      </c>
      <c r="B3948" s="3" t="s">
        <v>243</v>
      </c>
      <c r="C3948" s="3" t="s">
        <v>13</v>
      </c>
      <c r="D3948" s="3" t="s">
        <v>19</v>
      </c>
      <c r="E3948" s="5" t="s">
        <v>11</v>
      </c>
      <c r="F3948" s="17">
        <v>14.22</v>
      </c>
      <c r="G3948" s="3">
        <v>4</v>
      </c>
      <c r="H3948" s="17">
        <f>Table1[[#This Row],[Unit price]]*Table1[[#This Row],[Quantity]]</f>
        <v>56.88</v>
      </c>
      <c r="I3948" s="29">
        <f>Table1[[#This Row],[Total Revenue]]/$H$5056*100</f>
        <v>6.0347260928750451E-3</v>
      </c>
      <c r="J3948" s="3" t="s">
        <v>15</v>
      </c>
      <c r="K3948" s="4">
        <v>8.4</v>
      </c>
      <c r="M3948"/>
    </row>
    <row r="3949" spans="1:13" x14ac:dyDescent="0.25">
      <c r="A3949" s="2">
        <v>45333</v>
      </c>
      <c r="B3949" s="3" t="s">
        <v>243</v>
      </c>
      <c r="C3949" s="3" t="s">
        <v>9</v>
      </c>
      <c r="D3949" s="3" t="s">
        <v>10</v>
      </c>
      <c r="E3949" s="5" t="s">
        <v>14</v>
      </c>
      <c r="F3949" s="17">
        <v>96.17</v>
      </c>
      <c r="G3949" s="3">
        <v>6</v>
      </c>
      <c r="H3949" s="17">
        <f>Table1[[#This Row],[Unit price]]*Table1[[#This Row],[Quantity]]</f>
        <v>577.02</v>
      </c>
      <c r="I3949" s="29">
        <f>Table1[[#This Row],[Total Revenue]]/$H$5056*100</f>
        <v>6.1219367969598419E-2</v>
      </c>
      <c r="J3949" s="3" t="s">
        <v>12</v>
      </c>
      <c r="K3949" s="4">
        <v>6.5</v>
      </c>
      <c r="M3949"/>
    </row>
    <row r="3950" spans="1:13" x14ac:dyDescent="0.25">
      <c r="A3950" s="2">
        <v>45333</v>
      </c>
      <c r="B3950" s="3" t="s">
        <v>245</v>
      </c>
      <c r="C3950" s="3" t="s">
        <v>9</v>
      </c>
      <c r="D3950" s="3" t="s">
        <v>10</v>
      </c>
      <c r="E3950" s="5" t="s">
        <v>14</v>
      </c>
      <c r="F3950" s="17">
        <v>89.43</v>
      </c>
      <c r="G3950" s="3">
        <v>1</v>
      </c>
      <c r="H3950" s="17">
        <f>Table1[[#This Row],[Unit price]]*Table1[[#This Row],[Quantity]]</f>
        <v>89.43</v>
      </c>
      <c r="I3950" s="29">
        <f>Table1[[#This Row],[Total Revenue]]/$H$5056*100</f>
        <v>9.4881426597365568E-3</v>
      </c>
      <c r="J3950" s="3" t="s">
        <v>12</v>
      </c>
      <c r="K3950" s="4">
        <v>6.1</v>
      </c>
      <c r="M3950"/>
    </row>
    <row r="3951" spans="1:13" x14ac:dyDescent="0.25">
      <c r="A3951" s="2">
        <v>45333</v>
      </c>
      <c r="B3951" s="3" t="s">
        <v>243</v>
      </c>
      <c r="C3951" s="3" t="s">
        <v>9</v>
      </c>
      <c r="D3951" s="3" t="s">
        <v>10</v>
      </c>
      <c r="E3951" s="5" t="s">
        <v>18</v>
      </c>
      <c r="F3951" s="17">
        <v>8.18</v>
      </c>
      <c r="G3951" s="3">
        <v>4</v>
      </c>
      <c r="H3951" s="17">
        <f>Table1[[#This Row],[Unit price]]*Table1[[#This Row],[Quantity]]</f>
        <v>32.72</v>
      </c>
      <c r="I3951" s="29">
        <f>Table1[[#This Row],[Total Revenue]]/$H$5056*100</f>
        <v>3.4714528438620162E-3</v>
      </c>
      <c r="J3951" s="3" t="s">
        <v>12</v>
      </c>
      <c r="K3951" s="4">
        <v>4.7</v>
      </c>
      <c r="M3951"/>
    </row>
    <row r="3952" spans="1:13" x14ac:dyDescent="0.25">
      <c r="A3952" s="2">
        <v>45333</v>
      </c>
      <c r="B3952" s="3" t="s">
        <v>243</v>
      </c>
      <c r="C3952" s="3" t="s">
        <v>9</v>
      </c>
      <c r="D3952" s="3" t="s">
        <v>19</v>
      </c>
      <c r="E3952" s="5" t="s">
        <v>14</v>
      </c>
      <c r="F3952" s="17">
        <v>81.7</v>
      </c>
      <c r="G3952" s="3">
        <v>8</v>
      </c>
      <c r="H3952" s="17">
        <f>Table1[[#This Row],[Unit price]]*Table1[[#This Row],[Quantity]]</f>
        <v>653.6</v>
      </c>
      <c r="I3952" s="29">
        <f>Table1[[#This Row],[Total Revenue]]/$H$5056*100</f>
        <v>6.9344180279590883E-2</v>
      </c>
      <c r="J3952" s="3" t="s">
        <v>17</v>
      </c>
      <c r="K3952" s="4">
        <v>3.8</v>
      </c>
      <c r="M3952"/>
    </row>
    <row r="3953" spans="1:13" x14ac:dyDescent="0.25">
      <c r="A3953" s="2">
        <v>45333</v>
      </c>
      <c r="B3953" s="3" t="s">
        <v>244</v>
      </c>
      <c r="C3953" s="3" t="s">
        <v>9</v>
      </c>
      <c r="D3953" s="3" t="s">
        <v>10</v>
      </c>
      <c r="E3953" s="5" t="s">
        <v>14</v>
      </c>
      <c r="F3953" s="17">
        <v>90.89</v>
      </c>
      <c r="G3953" s="3">
        <v>5</v>
      </c>
      <c r="H3953" s="17">
        <f>Table1[[#This Row],[Unit price]]*Table1[[#This Row],[Quantity]]</f>
        <v>454.45</v>
      </c>
      <c r="I3953" s="29">
        <f>Table1[[#This Row],[Total Revenue]]/$H$5056*100</f>
        <v>4.8215212252233894E-2</v>
      </c>
      <c r="J3953" s="3" t="s">
        <v>12</v>
      </c>
      <c r="K3953" s="4">
        <v>8.6</v>
      </c>
      <c r="M3953"/>
    </row>
    <row r="3954" spans="1:13" x14ac:dyDescent="0.25">
      <c r="A3954" s="2">
        <v>45333</v>
      </c>
      <c r="B3954" s="3" t="s">
        <v>244</v>
      </c>
      <c r="C3954" s="3" t="s">
        <v>13</v>
      </c>
      <c r="D3954" s="3" t="s">
        <v>19</v>
      </c>
      <c r="E3954" s="5" t="s">
        <v>21</v>
      </c>
      <c r="F3954" s="17">
        <v>16.09</v>
      </c>
      <c r="G3954" s="3">
        <v>9</v>
      </c>
      <c r="H3954" s="17">
        <f>Table1[[#This Row],[Unit price]]*Table1[[#This Row],[Quantity]]</f>
        <v>144.81</v>
      </c>
      <c r="I3954" s="29">
        <f>Table1[[#This Row],[Total Revenue]]/$H$5056*100</f>
        <v>1.5363725132018903E-2</v>
      </c>
      <c r="J3954" s="3" t="s">
        <v>17</v>
      </c>
      <c r="K3954" s="4">
        <v>5.2</v>
      </c>
      <c r="M3954"/>
    </row>
    <row r="3955" spans="1:13" x14ac:dyDescent="0.25">
      <c r="A3955" s="2">
        <v>45333</v>
      </c>
      <c r="B3955" s="3" t="s">
        <v>245</v>
      </c>
      <c r="C3955" s="3" t="s">
        <v>9</v>
      </c>
      <c r="D3955" s="3" t="s">
        <v>19</v>
      </c>
      <c r="E3955" s="5" t="s">
        <v>11</v>
      </c>
      <c r="F3955" s="17">
        <v>4.57</v>
      </c>
      <c r="G3955" s="3">
        <v>3</v>
      </c>
      <c r="H3955" s="17">
        <f>Table1[[#This Row],[Unit price]]*Table1[[#This Row],[Quantity]]</f>
        <v>13.71</v>
      </c>
      <c r="I3955" s="29">
        <f>Table1[[#This Row],[Total Revenue]]/$H$5056*100</f>
        <v>1.4545726922172446E-3</v>
      </c>
      <c r="J3955" s="3" t="s">
        <v>17</v>
      </c>
      <c r="K3955" s="4">
        <v>4</v>
      </c>
      <c r="M3955"/>
    </row>
    <row r="3956" spans="1:13" x14ac:dyDescent="0.25">
      <c r="A3956" s="2">
        <v>45333</v>
      </c>
      <c r="B3956" s="3" t="s">
        <v>243</v>
      </c>
      <c r="C3956" s="3" t="s">
        <v>9</v>
      </c>
      <c r="D3956" s="3" t="s">
        <v>10</v>
      </c>
      <c r="E3956" s="5" t="s">
        <v>11</v>
      </c>
      <c r="F3956" s="17">
        <v>14.97</v>
      </c>
      <c r="G3956" s="3">
        <v>2</v>
      </c>
      <c r="H3956" s="17">
        <f>Table1[[#This Row],[Unit price]]*Table1[[#This Row],[Quantity]]</f>
        <v>29.94</v>
      </c>
      <c r="I3956" s="29">
        <f>Table1[[#This Row],[Total Revenue]]/$H$5056*100</f>
        <v>3.1765066670302192E-3</v>
      </c>
      <c r="J3956" s="3" t="s">
        <v>12</v>
      </c>
      <c r="K3956" s="4">
        <v>4.5</v>
      </c>
      <c r="M3956"/>
    </row>
    <row r="3957" spans="1:13" x14ac:dyDescent="0.25">
      <c r="A3957" s="2">
        <v>45333</v>
      </c>
      <c r="B3957" s="3" t="s">
        <v>244</v>
      </c>
      <c r="C3957" s="3" t="s">
        <v>13</v>
      </c>
      <c r="D3957" s="3" t="s">
        <v>10</v>
      </c>
      <c r="E3957" s="5" t="s">
        <v>14</v>
      </c>
      <c r="F3957" s="17">
        <v>83.75</v>
      </c>
      <c r="G3957" s="3">
        <v>2</v>
      </c>
      <c r="H3957" s="17">
        <f>Table1[[#This Row],[Unit price]]*Table1[[#This Row],[Quantity]]</f>
        <v>167.5</v>
      </c>
      <c r="I3957" s="29">
        <f>Table1[[#This Row],[Total Revenue]]/$H$5056*100</f>
        <v>1.7771037632851091E-2</v>
      </c>
      <c r="J3957" s="3" t="s">
        <v>15</v>
      </c>
      <c r="K3957" s="4">
        <v>9.1999999999999993</v>
      </c>
      <c r="M3957"/>
    </row>
    <row r="3958" spans="1:13" x14ac:dyDescent="0.25">
      <c r="A3958" s="2">
        <v>45333</v>
      </c>
      <c r="B3958" s="3" t="s">
        <v>243</v>
      </c>
      <c r="C3958" s="3" t="s">
        <v>13</v>
      </c>
      <c r="D3958" s="3" t="s">
        <v>10</v>
      </c>
      <c r="E3958" s="5" t="s">
        <v>16</v>
      </c>
      <c r="F3958" s="17">
        <v>57.14</v>
      </c>
      <c r="G3958" s="3">
        <v>3</v>
      </c>
      <c r="H3958" s="17">
        <f>Table1[[#This Row],[Unit price]]*Table1[[#This Row],[Quantity]]</f>
        <v>171.42000000000002</v>
      </c>
      <c r="I3958" s="29">
        <f>Table1[[#This Row],[Total Revenue]]/$H$5056*100</f>
        <v>1.8186932961333339E-2</v>
      </c>
      <c r="J3958" s="3" t="s">
        <v>15</v>
      </c>
      <c r="K3958" s="4">
        <v>3.3</v>
      </c>
      <c r="M3958"/>
    </row>
    <row r="3959" spans="1:13" x14ac:dyDescent="0.25">
      <c r="A3959" s="2">
        <v>45333</v>
      </c>
      <c r="B3959" s="3" t="s">
        <v>244</v>
      </c>
      <c r="C3959" s="3" t="s">
        <v>9</v>
      </c>
      <c r="D3959" s="3" t="s">
        <v>19</v>
      </c>
      <c r="E3959" s="5" t="s">
        <v>11</v>
      </c>
      <c r="F3959" s="17">
        <v>5.75</v>
      </c>
      <c r="G3959" s="3">
        <v>2</v>
      </c>
      <c r="H3959" s="17">
        <f>Table1[[#This Row],[Unit price]]*Table1[[#This Row],[Quantity]]</f>
        <v>11.5</v>
      </c>
      <c r="I3959" s="29">
        <f>Table1[[#This Row],[Total Revenue]]/$H$5056*100</f>
        <v>1.220101091210672E-3</v>
      </c>
      <c r="J3959" s="3" t="s">
        <v>17</v>
      </c>
      <c r="K3959" s="4">
        <v>5.6</v>
      </c>
      <c r="M3959"/>
    </row>
    <row r="3960" spans="1:13" x14ac:dyDescent="0.25">
      <c r="A3960" s="2">
        <v>45333</v>
      </c>
      <c r="B3960" s="3" t="s">
        <v>245</v>
      </c>
      <c r="C3960" s="3" t="s">
        <v>13</v>
      </c>
      <c r="D3960" s="3" t="s">
        <v>10</v>
      </c>
      <c r="E3960" s="5" t="s">
        <v>16</v>
      </c>
      <c r="F3960" s="17">
        <v>54.36</v>
      </c>
      <c r="G3960" s="3">
        <v>4</v>
      </c>
      <c r="H3960" s="17">
        <f>Table1[[#This Row],[Unit price]]*Table1[[#This Row],[Quantity]]</f>
        <v>217.44</v>
      </c>
      <c r="I3960" s="29">
        <f>Table1[[#This Row],[Total Revenue]]/$H$5056*100</f>
        <v>2.3069459241117259E-2</v>
      </c>
      <c r="J3960" s="3" t="s">
        <v>17</v>
      </c>
      <c r="K3960" s="4">
        <v>5.2</v>
      </c>
      <c r="M3960"/>
    </row>
    <row r="3961" spans="1:13" x14ac:dyDescent="0.25">
      <c r="A3961" s="2">
        <v>45333</v>
      </c>
      <c r="B3961" s="3" t="s">
        <v>245</v>
      </c>
      <c r="C3961" s="3" t="s">
        <v>9</v>
      </c>
      <c r="D3961" s="3" t="s">
        <v>19</v>
      </c>
      <c r="E3961" s="5" t="s">
        <v>16</v>
      </c>
      <c r="F3961" s="17">
        <v>66.319999999999993</v>
      </c>
      <c r="G3961" s="3">
        <v>10</v>
      </c>
      <c r="H3961" s="17">
        <f>Table1[[#This Row],[Unit price]]*Table1[[#This Row],[Quantity]]</f>
        <v>663.19999999999993</v>
      </c>
      <c r="I3961" s="29">
        <f>Table1[[#This Row],[Total Revenue]]/$H$5056*100</f>
        <v>7.0362699451384139E-2</v>
      </c>
      <c r="J3961" s="3" t="s">
        <v>17</v>
      </c>
      <c r="K3961" s="4">
        <v>5.4</v>
      </c>
      <c r="M3961"/>
    </row>
    <row r="3962" spans="1:13" x14ac:dyDescent="0.25">
      <c r="A3962" s="2">
        <v>45333</v>
      </c>
      <c r="B3962" s="3" t="s">
        <v>243</v>
      </c>
      <c r="C3962" s="3" t="s">
        <v>13</v>
      </c>
      <c r="D3962" s="3" t="s">
        <v>10</v>
      </c>
      <c r="E3962" s="5" t="s">
        <v>11</v>
      </c>
      <c r="F3962" s="17">
        <v>7.48</v>
      </c>
      <c r="G3962" s="3">
        <v>3</v>
      </c>
      <c r="H3962" s="17">
        <f>Table1[[#This Row],[Unit price]]*Table1[[#This Row],[Quantity]]</f>
        <v>22.44</v>
      </c>
      <c r="I3962" s="29">
        <f>Table1[[#This Row],[Total Revenue]]/$H$5056*100</f>
        <v>2.3807885640667373E-3</v>
      </c>
      <c r="J3962" s="3" t="s">
        <v>17</v>
      </c>
      <c r="K3962" s="4">
        <v>9.3000000000000007</v>
      </c>
      <c r="M3962"/>
    </row>
    <row r="3963" spans="1:13" x14ac:dyDescent="0.25">
      <c r="A3963" s="2">
        <v>45333</v>
      </c>
      <c r="B3963" s="3" t="s">
        <v>245</v>
      </c>
      <c r="C3963" s="3" t="s">
        <v>13</v>
      </c>
      <c r="D3963" s="3" t="s">
        <v>10</v>
      </c>
      <c r="E3963" s="5" t="s">
        <v>16</v>
      </c>
      <c r="F3963" s="17">
        <v>79.849999999999994</v>
      </c>
      <c r="G3963" s="3">
        <v>10</v>
      </c>
      <c r="H3963" s="17">
        <f>Table1[[#This Row],[Unit price]]*Table1[[#This Row],[Quantity]]</f>
        <v>798.5</v>
      </c>
      <c r="I3963" s="29">
        <f>Table1[[#This Row],[Total Revenue]]/$H$5056*100</f>
        <v>8.471745402884534E-2</v>
      </c>
      <c r="J3963" s="3" t="s">
        <v>17</v>
      </c>
      <c r="K3963" s="4">
        <v>5.6</v>
      </c>
      <c r="M3963"/>
    </row>
    <row r="3964" spans="1:13" x14ac:dyDescent="0.25">
      <c r="A3964" s="2">
        <v>45333</v>
      </c>
      <c r="B3964" s="3" t="s">
        <v>245</v>
      </c>
      <c r="C3964" s="3" t="s">
        <v>9</v>
      </c>
      <c r="D3964" s="3" t="s">
        <v>19</v>
      </c>
      <c r="E3964" s="5" t="s">
        <v>11</v>
      </c>
      <c r="F3964" s="17">
        <v>4.8499999999999996</v>
      </c>
      <c r="G3964" s="3">
        <v>9</v>
      </c>
      <c r="H3964" s="17">
        <f>Table1[[#This Row],[Unit price]]*Table1[[#This Row],[Quantity]]</f>
        <v>43.65</v>
      </c>
      <c r="I3964" s="29">
        <f>Table1[[#This Row],[Total Revenue]]/$H$5056*100</f>
        <v>4.6310793592474631E-3</v>
      </c>
      <c r="J3964" s="3" t="s">
        <v>12</v>
      </c>
      <c r="K3964" s="4">
        <v>9.1</v>
      </c>
      <c r="M3964"/>
    </row>
    <row r="3965" spans="1:13" x14ac:dyDescent="0.25">
      <c r="A3965" s="2">
        <v>45333</v>
      </c>
      <c r="B3965" s="3" t="s">
        <v>245</v>
      </c>
      <c r="C3965" s="3" t="s">
        <v>13</v>
      </c>
      <c r="D3965" s="3" t="s">
        <v>10</v>
      </c>
      <c r="E3965" s="5" t="s">
        <v>21</v>
      </c>
      <c r="F3965" s="17">
        <v>29.87</v>
      </c>
      <c r="G3965" s="3">
        <v>4</v>
      </c>
      <c r="H3965" s="17">
        <f>Table1[[#This Row],[Unit price]]*Table1[[#This Row],[Quantity]]</f>
        <v>119.48</v>
      </c>
      <c r="I3965" s="29">
        <f>Table1[[#This Row],[Total Revenue]]/$H$5056*100</f>
        <v>1.2676319858943573E-2</v>
      </c>
      <c r="J3965" s="3" t="s">
        <v>15</v>
      </c>
      <c r="K3965" s="4">
        <v>4</v>
      </c>
      <c r="M3965"/>
    </row>
    <row r="3966" spans="1:13" x14ac:dyDescent="0.25">
      <c r="A3966" s="2">
        <v>45333</v>
      </c>
      <c r="B3966" s="3" t="s">
        <v>244</v>
      </c>
      <c r="C3966" s="3" t="s">
        <v>9</v>
      </c>
      <c r="D3966" s="3" t="s">
        <v>10</v>
      </c>
      <c r="E3966" s="5" t="s">
        <v>20</v>
      </c>
      <c r="F3966" s="17">
        <v>55.04</v>
      </c>
      <c r="G3966" s="3">
        <v>1</v>
      </c>
      <c r="H3966" s="17">
        <f>Table1[[#This Row],[Unit price]]*Table1[[#This Row],[Quantity]]</f>
        <v>55.04</v>
      </c>
      <c r="I3966" s="29">
        <f>Table1[[#This Row],[Total Revenue]]/$H$5056*100</f>
        <v>5.8395099182813378E-3</v>
      </c>
      <c r="J3966" s="3" t="s">
        <v>17</v>
      </c>
      <c r="K3966" s="4">
        <v>6.3</v>
      </c>
      <c r="M3966"/>
    </row>
    <row r="3967" spans="1:13" x14ac:dyDescent="0.25">
      <c r="A3967" s="2">
        <v>45333</v>
      </c>
      <c r="B3967" s="3" t="s">
        <v>245</v>
      </c>
      <c r="C3967" s="3" t="s">
        <v>9</v>
      </c>
      <c r="D3967" s="3" t="s">
        <v>10</v>
      </c>
      <c r="E3967" s="5" t="s">
        <v>18</v>
      </c>
      <c r="F3967" s="17">
        <v>20.91</v>
      </c>
      <c r="G3967" s="3">
        <v>4</v>
      </c>
      <c r="H3967" s="17">
        <f>Table1[[#This Row],[Unit price]]*Table1[[#This Row],[Quantity]]</f>
        <v>83.64</v>
      </c>
      <c r="I3967" s="29">
        <f>Table1[[#This Row],[Total Revenue]]/$H$5056*100</f>
        <v>8.873848284248748E-3</v>
      </c>
      <c r="J3967" s="3" t="s">
        <v>17</v>
      </c>
      <c r="K3967" s="4">
        <v>9.3000000000000007</v>
      </c>
      <c r="M3967"/>
    </row>
    <row r="3968" spans="1:13" x14ac:dyDescent="0.25">
      <c r="A3968" s="2">
        <v>45362</v>
      </c>
      <c r="B3968" s="3" t="s">
        <v>244</v>
      </c>
      <c r="C3968" s="3" t="s">
        <v>13</v>
      </c>
      <c r="D3968" s="3" t="s">
        <v>19</v>
      </c>
      <c r="E3968" s="5" t="s">
        <v>11</v>
      </c>
      <c r="F3968" s="17">
        <v>13.91</v>
      </c>
      <c r="G3968" s="3">
        <v>10</v>
      </c>
      <c r="H3968" s="17">
        <f>Table1[[#This Row],[Unit price]]*Table1[[#This Row],[Quantity]]</f>
        <v>139.1</v>
      </c>
      <c r="I3968" s="29">
        <f>Table1[[#This Row],[Total Revenue]]/$H$5056*100</f>
        <v>1.4757918416296038E-2</v>
      </c>
      <c r="J3968" s="3" t="s">
        <v>12</v>
      </c>
      <c r="K3968" s="4">
        <v>8.4</v>
      </c>
      <c r="M3968"/>
    </row>
    <row r="3969" spans="1:13" x14ac:dyDescent="0.25">
      <c r="A3969" s="2">
        <v>45362</v>
      </c>
      <c r="B3969" s="3" t="s">
        <v>244</v>
      </c>
      <c r="C3969" s="3" t="s">
        <v>13</v>
      </c>
      <c r="D3969" s="3" t="s">
        <v>19</v>
      </c>
      <c r="E3969" s="5" t="s">
        <v>21</v>
      </c>
      <c r="F3969" s="17">
        <v>19.37</v>
      </c>
      <c r="G3969" s="3">
        <v>2</v>
      </c>
      <c r="H3969" s="17">
        <f>Table1[[#This Row],[Unit price]]*Table1[[#This Row],[Quantity]]</f>
        <v>38.74</v>
      </c>
      <c r="I3969" s="29">
        <f>Table1[[#This Row],[Total Revenue]]/$H$5056*100</f>
        <v>4.1101492411740378E-3</v>
      </c>
      <c r="J3969" s="3" t="s">
        <v>17</v>
      </c>
      <c r="K3969" s="4">
        <v>8.8000000000000007</v>
      </c>
      <c r="M3969"/>
    </row>
    <row r="3970" spans="1:13" x14ac:dyDescent="0.25">
      <c r="A3970" s="2">
        <v>45362</v>
      </c>
      <c r="B3970" s="3" t="s">
        <v>243</v>
      </c>
      <c r="C3970" s="3" t="s">
        <v>13</v>
      </c>
      <c r="D3970" s="3" t="s">
        <v>10</v>
      </c>
      <c r="E3970" s="5" t="s">
        <v>14</v>
      </c>
      <c r="F3970" s="17">
        <v>96.84</v>
      </c>
      <c r="G3970" s="3">
        <v>7</v>
      </c>
      <c r="H3970" s="17">
        <f>Table1[[#This Row],[Unit price]]*Table1[[#This Row],[Quantity]]</f>
        <v>677.88</v>
      </c>
      <c r="I3970" s="29">
        <f>Table1[[#This Row],[Total Revenue]]/$H$5056*100</f>
        <v>7.1920185018251329E-2</v>
      </c>
      <c r="J3970" s="3" t="s">
        <v>15</v>
      </c>
      <c r="K3970" s="4">
        <v>7.5</v>
      </c>
      <c r="M3970"/>
    </row>
    <row r="3971" spans="1:13" x14ac:dyDescent="0.25">
      <c r="A3971" s="2">
        <v>45362</v>
      </c>
      <c r="B3971" s="3" t="s">
        <v>244</v>
      </c>
      <c r="C3971" s="3" t="s">
        <v>13</v>
      </c>
      <c r="D3971" s="3" t="s">
        <v>19</v>
      </c>
      <c r="E3971" s="5" t="s">
        <v>16</v>
      </c>
      <c r="F3971" s="17">
        <v>55.86</v>
      </c>
      <c r="G3971" s="3">
        <v>8</v>
      </c>
      <c r="H3971" s="17">
        <f>Table1[[#This Row],[Unit price]]*Table1[[#This Row],[Quantity]]</f>
        <v>446.88</v>
      </c>
      <c r="I3971" s="29">
        <f>Table1[[#This Row],[Total Revenue]]/$H$5056*100</f>
        <v>4.741206744697609E-2</v>
      </c>
      <c r="J3971" s="3" t="s">
        <v>15</v>
      </c>
      <c r="K3971" s="4">
        <v>4</v>
      </c>
      <c r="M3971"/>
    </row>
    <row r="3972" spans="1:13" x14ac:dyDescent="0.25">
      <c r="A3972" s="2">
        <v>45362</v>
      </c>
      <c r="B3972" s="3" t="s">
        <v>243</v>
      </c>
      <c r="C3972" s="3" t="s">
        <v>13</v>
      </c>
      <c r="D3972" s="3" t="s">
        <v>19</v>
      </c>
      <c r="E3972" s="5" t="s">
        <v>20</v>
      </c>
      <c r="F3972" s="17">
        <v>55.91</v>
      </c>
      <c r="G3972" s="3">
        <v>10</v>
      </c>
      <c r="H3972" s="17">
        <f>Table1[[#This Row],[Unit price]]*Table1[[#This Row],[Quantity]]</f>
        <v>559.09999999999991</v>
      </c>
      <c r="I3972" s="29">
        <f>Table1[[#This Row],[Total Revenue]]/$H$5056*100</f>
        <v>5.9318132182251009E-2</v>
      </c>
      <c r="J3972" s="3" t="s">
        <v>12</v>
      </c>
      <c r="K3972" s="4">
        <v>3.8</v>
      </c>
      <c r="M3972"/>
    </row>
    <row r="3973" spans="1:13" x14ac:dyDescent="0.25">
      <c r="A3973" s="2">
        <v>45362</v>
      </c>
      <c r="B3973" s="3" t="s">
        <v>244</v>
      </c>
      <c r="C3973" s="3" t="s">
        <v>13</v>
      </c>
      <c r="D3973" s="3" t="s">
        <v>19</v>
      </c>
      <c r="E3973" s="5" t="s">
        <v>11</v>
      </c>
      <c r="F3973" s="17">
        <v>9.19</v>
      </c>
      <c r="G3973" s="3">
        <v>4</v>
      </c>
      <c r="H3973" s="17">
        <f>Table1[[#This Row],[Unit price]]*Table1[[#This Row],[Quantity]]</f>
        <v>36.76</v>
      </c>
      <c r="I3973" s="29">
        <f>Table1[[#This Row],[Total Revenue]]/$H$5056*100</f>
        <v>3.9000796619916779E-3</v>
      </c>
      <c r="J3973" s="3" t="s">
        <v>17</v>
      </c>
      <c r="K3973" s="4">
        <v>3.5</v>
      </c>
      <c r="M3973"/>
    </row>
    <row r="3974" spans="1:13" x14ac:dyDescent="0.25">
      <c r="A3974" s="2">
        <v>45362</v>
      </c>
      <c r="B3974" s="3" t="s">
        <v>245</v>
      </c>
      <c r="C3974" s="3" t="s">
        <v>13</v>
      </c>
      <c r="D3974" s="3" t="s">
        <v>19</v>
      </c>
      <c r="E3974" s="5" t="s">
        <v>16</v>
      </c>
      <c r="F3974" s="17">
        <v>73.290000000000006</v>
      </c>
      <c r="G3974" s="3">
        <v>8</v>
      </c>
      <c r="H3974" s="17">
        <f>Table1[[#This Row],[Unit price]]*Table1[[#This Row],[Quantity]]</f>
        <v>586.32000000000005</v>
      </c>
      <c r="I3974" s="29">
        <f>Table1[[#This Row],[Total Revenue]]/$H$5056*100</f>
        <v>6.2206058417273148E-2</v>
      </c>
      <c r="J3974" s="3" t="s">
        <v>12</v>
      </c>
      <c r="K3974" s="4">
        <v>5.6</v>
      </c>
      <c r="M3974"/>
    </row>
    <row r="3975" spans="1:13" x14ac:dyDescent="0.25">
      <c r="A3975" s="2">
        <v>45362</v>
      </c>
      <c r="B3975" s="3" t="s">
        <v>245</v>
      </c>
      <c r="C3975" s="3" t="s">
        <v>13</v>
      </c>
      <c r="D3975" s="3" t="s">
        <v>10</v>
      </c>
      <c r="E3975" s="5" t="s">
        <v>18</v>
      </c>
      <c r="F3975" s="17">
        <v>11.92</v>
      </c>
      <c r="G3975" s="3">
        <v>5</v>
      </c>
      <c r="H3975" s="17">
        <f>Table1[[#This Row],[Unit price]]*Table1[[#This Row],[Quantity]]</f>
        <v>59.6</v>
      </c>
      <c r="I3975" s="29">
        <f>Table1[[#This Row],[Total Revenue]]/$H$5056*100</f>
        <v>6.3233065248831342E-3</v>
      </c>
      <c r="J3975" s="3" t="s">
        <v>17</v>
      </c>
      <c r="K3975" s="4">
        <v>4</v>
      </c>
      <c r="M3975"/>
    </row>
    <row r="3976" spans="1:13" x14ac:dyDescent="0.25">
      <c r="A3976" s="2">
        <v>45362</v>
      </c>
      <c r="B3976" s="3" t="s">
        <v>243</v>
      </c>
      <c r="C3976" s="3" t="s">
        <v>13</v>
      </c>
      <c r="D3976" s="3" t="s">
        <v>10</v>
      </c>
      <c r="E3976" s="5" t="s">
        <v>11</v>
      </c>
      <c r="F3976" s="17">
        <v>3.53</v>
      </c>
      <c r="G3976" s="3">
        <v>3</v>
      </c>
      <c r="H3976" s="17">
        <f>Table1[[#This Row],[Unit price]]*Table1[[#This Row],[Quantity]]</f>
        <v>10.59</v>
      </c>
      <c r="I3976" s="29">
        <f>Table1[[#This Row],[Total Revenue]]/$H$5056*100</f>
        <v>1.123553961384436E-3</v>
      </c>
      <c r="J3976" s="3" t="s">
        <v>17</v>
      </c>
      <c r="K3976" s="4">
        <v>6</v>
      </c>
      <c r="M3976"/>
    </row>
    <row r="3977" spans="1:13" x14ac:dyDescent="0.25">
      <c r="A3977" s="2">
        <v>45362</v>
      </c>
      <c r="B3977" s="3" t="s">
        <v>245</v>
      </c>
      <c r="C3977" s="3" t="s">
        <v>9</v>
      </c>
      <c r="D3977" s="3" t="s">
        <v>10</v>
      </c>
      <c r="E3977" s="5" t="s">
        <v>14</v>
      </c>
      <c r="F3977" s="17">
        <v>96.68</v>
      </c>
      <c r="G3977" s="3">
        <v>9</v>
      </c>
      <c r="H3977" s="17">
        <f>Table1[[#This Row],[Unit price]]*Table1[[#This Row],[Quantity]]</f>
        <v>870.12000000000012</v>
      </c>
      <c r="I3977" s="29">
        <f>Table1[[#This Row],[Total Revenue]]/$H$5056*100</f>
        <v>9.23160314334113E-2</v>
      </c>
      <c r="J3977" s="3" t="s">
        <v>15</v>
      </c>
      <c r="K3977" s="4">
        <v>5.4</v>
      </c>
      <c r="M3977"/>
    </row>
    <row r="3978" spans="1:13" x14ac:dyDescent="0.25">
      <c r="A3978" s="2">
        <v>45362</v>
      </c>
      <c r="B3978" s="3" t="s">
        <v>245</v>
      </c>
      <c r="C3978" s="3" t="s">
        <v>13</v>
      </c>
      <c r="D3978" s="3" t="s">
        <v>10</v>
      </c>
      <c r="E3978" s="5" t="s">
        <v>21</v>
      </c>
      <c r="F3978" s="17">
        <v>16.07</v>
      </c>
      <c r="G3978" s="3">
        <v>4</v>
      </c>
      <c r="H3978" s="17">
        <f>Table1[[#This Row],[Unit price]]*Table1[[#This Row],[Quantity]]</f>
        <v>64.28</v>
      </c>
      <c r="I3978" s="29">
        <f>Table1[[#This Row],[Total Revenue]]/$H$5056*100</f>
        <v>6.8198346211323473E-3</v>
      </c>
      <c r="J3978" s="3" t="s">
        <v>12</v>
      </c>
      <c r="K3978" s="4">
        <v>5.9</v>
      </c>
      <c r="M3978"/>
    </row>
    <row r="3979" spans="1:13" x14ac:dyDescent="0.25">
      <c r="A3979" s="2">
        <v>45362</v>
      </c>
      <c r="B3979" s="3" t="s">
        <v>244</v>
      </c>
      <c r="C3979" s="3" t="s">
        <v>13</v>
      </c>
      <c r="D3979" s="3" t="s">
        <v>19</v>
      </c>
      <c r="E3979" s="5" t="s">
        <v>21</v>
      </c>
      <c r="F3979" s="17">
        <v>29.73</v>
      </c>
      <c r="G3979" s="3">
        <v>6</v>
      </c>
      <c r="H3979" s="17">
        <f>Table1[[#This Row],[Unit price]]*Table1[[#This Row],[Quantity]]</f>
        <v>178.38</v>
      </c>
      <c r="I3979" s="29">
        <f>Table1[[#This Row],[Total Revenue]]/$H$5056*100</f>
        <v>1.8925359360883447E-2</v>
      </c>
      <c r="J3979" s="3" t="s">
        <v>15</v>
      </c>
      <c r="K3979" s="4">
        <v>8.4</v>
      </c>
      <c r="M3979"/>
    </row>
    <row r="3980" spans="1:13" x14ac:dyDescent="0.25">
      <c r="A3980" s="2">
        <v>45362</v>
      </c>
      <c r="B3980" s="3" t="s">
        <v>243</v>
      </c>
      <c r="C3980" s="3" t="s">
        <v>13</v>
      </c>
      <c r="D3980" s="3" t="s">
        <v>10</v>
      </c>
      <c r="E3980" s="5" t="s">
        <v>18</v>
      </c>
      <c r="F3980" s="17">
        <v>21.88</v>
      </c>
      <c r="G3980" s="3">
        <v>3</v>
      </c>
      <c r="H3980" s="17">
        <f>Table1[[#This Row],[Unit price]]*Table1[[#This Row],[Quantity]]</f>
        <v>65.64</v>
      </c>
      <c r="I3980" s="29">
        <f>Table1[[#This Row],[Total Revenue]]/$H$5056*100</f>
        <v>6.9641248371363918E-3</v>
      </c>
      <c r="J3980" s="3" t="s">
        <v>12</v>
      </c>
      <c r="K3980" s="4">
        <v>5.4</v>
      </c>
      <c r="M3980"/>
    </row>
    <row r="3981" spans="1:13" x14ac:dyDescent="0.25">
      <c r="A3981" s="2">
        <v>45393</v>
      </c>
      <c r="B3981" s="3" t="s">
        <v>245</v>
      </c>
      <c r="C3981" s="3" t="s">
        <v>13</v>
      </c>
      <c r="D3981" s="3" t="s">
        <v>10</v>
      </c>
      <c r="E3981" s="5" t="s">
        <v>18</v>
      </c>
      <c r="F3981" s="17">
        <v>5.9</v>
      </c>
      <c r="G3981" s="3">
        <v>8</v>
      </c>
      <c r="H3981" s="17">
        <f>Table1[[#This Row],[Unit price]]*Table1[[#This Row],[Quantity]]</f>
        <v>47.2</v>
      </c>
      <c r="I3981" s="29">
        <f>Table1[[#This Row],[Total Revenue]]/$H$5056*100</f>
        <v>5.0077192613168448E-3</v>
      </c>
      <c r="J3981" s="3" t="s">
        <v>17</v>
      </c>
      <c r="K3981" s="4">
        <v>3.3</v>
      </c>
      <c r="M3981"/>
    </row>
    <row r="3982" spans="1:13" x14ac:dyDescent="0.25">
      <c r="A3982" s="2">
        <v>45393</v>
      </c>
      <c r="B3982" s="3" t="s">
        <v>244</v>
      </c>
      <c r="C3982" s="3" t="s">
        <v>13</v>
      </c>
      <c r="D3982" s="3" t="s">
        <v>10</v>
      </c>
      <c r="E3982" s="5" t="s">
        <v>18</v>
      </c>
      <c r="F3982" s="17">
        <v>10.66</v>
      </c>
      <c r="G3982" s="3">
        <v>10</v>
      </c>
      <c r="H3982" s="17">
        <f>Table1[[#This Row],[Unit price]]*Table1[[#This Row],[Quantity]]</f>
        <v>106.6</v>
      </c>
      <c r="I3982" s="29">
        <f>Table1[[#This Row],[Total Revenue]]/$H$5056*100</f>
        <v>1.1309806636787618E-2</v>
      </c>
      <c r="J3982" s="3" t="s">
        <v>17</v>
      </c>
      <c r="K3982" s="4">
        <v>8.8000000000000007</v>
      </c>
      <c r="M3982"/>
    </row>
    <row r="3983" spans="1:13" x14ac:dyDescent="0.25">
      <c r="A3983" s="2">
        <v>45393</v>
      </c>
      <c r="B3983" s="3" t="s">
        <v>244</v>
      </c>
      <c r="C3983" s="3" t="s">
        <v>13</v>
      </c>
      <c r="D3983" s="3" t="s">
        <v>10</v>
      </c>
      <c r="E3983" s="5" t="s">
        <v>20</v>
      </c>
      <c r="F3983" s="17">
        <v>63.26</v>
      </c>
      <c r="G3983" s="3">
        <v>1</v>
      </c>
      <c r="H3983" s="17">
        <f>Table1[[#This Row],[Unit price]]*Table1[[#This Row],[Quantity]]</f>
        <v>63.26</v>
      </c>
      <c r="I3983" s="29">
        <f>Table1[[#This Row],[Total Revenue]]/$H$5056*100</f>
        <v>6.7116169591293125E-3</v>
      </c>
      <c r="J3983" s="3" t="s">
        <v>15</v>
      </c>
      <c r="K3983" s="4">
        <v>7.2</v>
      </c>
      <c r="M3983"/>
    </row>
    <row r="3984" spans="1:13" x14ac:dyDescent="0.25">
      <c r="A3984" s="2">
        <v>45393</v>
      </c>
      <c r="B3984" s="3" t="s">
        <v>244</v>
      </c>
      <c r="C3984" s="3" t="s">
        <v>13</v>
      </c>
      <c r="D3984" s="3" t="s">
        <v>10</v>
      </c>
      <c r="E3984" s="5" t="s">
        <v>18</v>
      </c>
      <c r="F3984" s="17">
        <v>13.64</v>
      </c>
      <c r="G3984" s="3">
        <v>10</v>
      </c>
      <c r="H3984" s="17">
        <f>Table1[[#This Row],[Unit price]]*Table1[[#This Row],[Quantity]]</f>
        <v>136.4</v>
      </c>
      <c r="I3984" s="29">
        <f>Table1[[#This Row],[Total Revenue]]/$H$5056*100</f>
        <v>1.4471459899229188E-2</v>
      </c>
      <c r="J3984" s="3" t="s">
        <v>12</v>
      </c>
      <c r="K3984" s="4">
        <v>4</v>
      </c>
      <c r="M3984"/>
    </row>
    <row r="3985" spans="1:13" x14ac:dyDescent="0.25">
      <c r="A3985" s="2">
        <v>45393</v>
      </c>
      <c r="B3985" s="3" t="s">
        <v>244</v>
      </c>
      <c r="C3985" s="3" t="s">
        <v>9</v>
      </c>
      <c r="D3985" s="3" t="s">
        <v>19</v>
      </c>
      <c r="E3985" s="5" t="s">
        <v>16</v>
      </c>
      <c r="F3985" s="17">
        <v>52.39</v>
      </c>
      <c r="G3985" s="3">
        <v>9</v>
      </c>
      <c r="H3985" s="17">
        <f>Table1[[#This Row],[Unit price]]*Table1[[#This Row],[Quantity]]</f>
        <v>471.51</v>
      </c>
      <c r="I3985" s="29">
        <f>Table1[[#This Row],[Total Revenue]]/$H$5056*100</f>
        <v>5.0025205697108166E-2</v>
      </c>
      <c r="J3985" s="3" t="s">
        <v>15</v>
      </c>
      <c r="K3985" s="4">
        <v>9.8000000000000007</v>
      </c>
      <c r="M3985"/>
    </row>
    <row r="3986" spans="1:13" x14ac:dyDescent="0.25">
      <c r="A3986" s="2">
        <v>45393</v>
      </c>
      <c r="B3986" s="3" t="s">
        <v>243</v>
      </c>
      <c r="C3986" s="3" t="s">
        <v>13</v>
      </c>
      <c r="D3986" s="3" t="s">
        <v>19</v>
      </c>
      <c r="E3986" s="5" t="s">
        <v>16</v>
      </c>
      <c r="F3986" s="17">
        <v>53.93</v>
      </c>
      <c r="G3986" s="3">
        <v>6</v>
      </c>
      <c r="H3986" s="17">
        <f>Table1[[#This Row],[Unit price]]*Table1[[#This Row],[Quantity]]</f>
        <v>323.58</v>
      </c>
      <c r="I3986" s="29">
        <f>Table1[[#This Row],[Total Revenue]]/$H$5056*100</f>
        <v>3.4330461834256448E-2</v>
      </c>
      <c r="J3986" s="3" t="s">
        <v>15</v>
      </c>
      <c r="K3986" s="4">
        <v>5.9</v>
      </c>
      <c r="M3986"/>
    </row>
    <row r="3987" spans="1:13" x14ac:dyDescent="0.25">
      <c r="A3987" s="2">
        <v>45393</v>
      </c>
      <c r="B3987" s="3" t="s">
        <v>245</v>
      </c>
      <c r="C3987" s="3" t="s">
        <v>13</v>
      </c>
      <c r="D3987" s="3" t="s">
        <v>10</v>
      </c>
      <c r="E3987" s="5" t="s">
        <v>11</v>
      </c>
      <c r="F3987" s="17">
        <v>13.8</v>
      </c>
      <c r="G3987" s="3">
        <v>10</v>
      </c>
      <c r="H3987" s="17">
        <f>Table1[[#This Row],[Unit price]]*Table1[[#This Row],[Quantity]]</f>
        <v>138</v>
      </c>
      <c r="I3987" s="29">
        <f>Table1[[#This Row],[Total Revenue]]/$H$5056*100</f>
        <v>1.4641213094528061E-2</v>
      </c>
      <c r="J3987" s="3" t="s">
        <v>15</v>
      </c>
      <c r="K3987" s="4">
        <v>9.3000000000000007</v>
      </c>
      <c r="M3987"/>
    </row>
    <row r="3988" spans="1:13" x14ac:dyDescent="0.25">
      <c r="A3988" s="2">
        <v>45393</v>
      </c>
      <c r="B3988" s="3" t="s">
        <v>245</v>
      </c>
      <c r="C3988" s="3" t="s">
        <v>13</v>
      </c>
      <c r="D3988" s="3" t="s">
        <v>10</v>
      </c>
      <c r="E3988" s="5" t="s">
        <v>18</v>
      </c>
      <c r="F3988" s="17">
        <v>12.29</v>
      </c>
      <c r="G3988" s="3">
        <v>5</v>
      </c>
      <c r="H3988" s="17">
        <f>Table1[[#This Row],[Unit price]]*Table1[[#This Row],[Quantity]]</f>
        <v>61.449999999999996</v>
      </c>
      <c r="I3988" s="29">
        <f>Table1[[#This Row],[Total Revenue]]/$H$5056*100</f>
        <v>6.5195836569474598E-3</v>
      </c>
      <c r="J3988" s="3" t="s">
        <v>15</v>
      </c>
      <c r="K3988" s="4">
        <v>4.5999999999999996</v>
      </c>
      <c r="M3988"/>
    </row>
    <row r="3989" spans="1:13" x14ac:dyDescent="0.25">
      <c r="A3989" s="2">
        <v>45393</v>
      </c>
      <c r="B3989" s="3" t="s">
        <v>243</v>
      </c>
      <c r="C3989" s="3" t="s">
        <v>9</v>
      </c>
      <c r="D3989" s="3" t="s">
        <v>10</v>
      </c>
      <c r="E3989" s="5" t="s">
        <v>16</v>
      </c>
      <c r="F3989" s="17">
        <v>55.53</v>
      </c>
      <c r="G3989" s="3">
        <v>3</v>
      </c>
      <c r="H3989" s="17">
        <f>Table1[[#This Row],[Unit price]]*Table1[[#This Row],[Quantity]]</f>
        <v>166.59</v>
      </c>
      <c r="I3989" s="29">
        <f>Table1[[#This Row],[Total Revenue]]/$H$5056*100</f>
        <v>1.7674490503024855E-2</v>
      </c>
      <c r="J3989" s="3" t="s">
        <v>12</v>
      </c>
      <c r="K3989" s="4">
        <v>6.5</v>
      </c>
      <c r="M3989"/>
    </row>
    <row r="3990" spans="1:13" x14ac:dyDescent="0.25">
      <c r="A3990" s="2">
        <v>45393</v>
      </c>
      <c r="B3990" s="3" t="s">
        <v>243</v>
      </c>
      <c r="C3990" s="3" t="s">
        <v>9</v>
      </c>
      <c r="D3990" s="3" t="s">
        <v>19</v>
      </c>
      <c r="E3990" s="5" t="s">
        <v>14</v>
      </c>
      <c r="F3990" s="17">
        <v>89.68</v>
      </c>
      <c r="G3990" s="3">
        <v>1</v>
      </c>
      <c r="H3990" s="17">
        <f>Table1[[#This Row],[Unit price]]*Table1[[#This Row],[Quantity]]</f>
        <v>89.68</v>
      </c>
      <c r="I3990" s="29">
        <f>Table1[[#This Row],[Total Revenue]]/$H$5056*100</f>
        <v>9.5146665965020055E-3</v>
      </c>
      <c r="J3990" s="3" t="s">
        <v>17</v>
      </c>
      <c r="K3990" s="4">
        <v>8</v>
      </c>
      <c r="M3990"/>
    </row>
    <row r="3991" spans="1:13" x14ac:dyDescent="0.25">
      <c r="A3991" s="2">
        <v>45393</v>
      </c>
      <c r="B3991" s="3" t="s">
        <v>243</v>
      </c>
      <c r="C3991" s="3" t="s">
        <v>9</v>
      </c>
      <c r="D3991" s="3" t="s">
        <v>10</v>
      </c>
      <c r="E3991" s="5" t="s">
        <v>11</v>
      </c>
      <c r="F3991" s="17">
        <v>8.74</v>
      </c>
      <c r="G3991" s="3">
        <v>8</v>
      </c>
      <c r="H3991" s="17">
        <f>Table1[[#This Row],[Unit price]]*Table1[[#This Row],[Quantity]]</f>
        <v>69.92</v>
      </c>
      <c r="I3991" s="29">
        <f>Table1[[#This Row],[Total Revenue]]/$H$5056*100</f>
        <v>7.418214634560885E-3</v>
      </c>
      <c r="J3991" s="3" t="s">
        <v>17</v>
      </c>
      <c r="K3991" s="4">
        <v>3.6</v>
      </c>
      <c r="M3991"/>
    </row>
    <row r="3992" spans="1:13" x14ac:dyDescent="0.25">
      <c r="A3992" s="2">
        <v>45393</v>
      </c>
      <c r="B3992" s="3" t="s">
        <v>243</v>
      </c>
      <c r="C3992" s="3" t="s">
        <v>13</v>
      </c>
      <c r="D3992" s="3" t="s">
        <v>19</v>
      </c>
      <c r="E3992" s="5" t="s">
        <v>11</v>
      </c>
      <c r="F3992" s="17">
        <v>8.32</v>
      </c>
      <c r="G3992" s="3">
        <v>3</v>
      </c>
      <c r="H3992" s="17">
        <f>Table1[[#This Row],[Unit price]]*Table1[[#This Row],[Quantity]]</f>
        <v>24.96</v>
      </c>
      <c r="I3992" s="29">
        <f>Table1[[#This Row],[Total Revenue]]/$H$5056*100</f>
        <v>2.6481498466624669E-3</v>
      </c>
      <c r="J3992" s="3" t="s">
        <v>12</v>
      </c>
      <c r="K3992" s="4">
        <v>4.4000000000000004</v>
      </c>
      <c r="M3992"/>
    </row>
    <row r="3993" spans="1:13" x14ac:dyDescent="0.25">
      <c r="A3993" s="2">
        <v>45393</v>
      </c>
      <c r="B3993" s="3" t="s">
        <v>245</v>
      </c>
      <c r="C3993" s="3" t="s">
        <v>13</v>
      </c>
      <c r="D3993" s="3" t="s">
        <v>19</v>
      </c>
      <c r="E3993" s="5" t="s">
        <v>20</v>
      </c>
      <c r="F3993" s="17">
        <v>45.66</v>
      </c>
      <c r="G3993" s="3">
        <v>1</v>
      </c>
      <c r="H3993" s="17">
        <f>Table1[[#This Row],[Unit price]]*Table1[[#This Row],[Quantity]]</f>
        <v>45.66</v>
      </c>
      <c r="I3993" s="29">
        <f>Table1[[#This Row],[Total Revenue]]/$H$5056*100</f>
        <v>4.8443318108416763E-3</v>
      </c>
      <c r="J3993" s="3" t="s">
        <v>15</v>
      </c>
      <c r="K3993" s="4">
        <v>6.8</v>
      </c>
      <c r="M3993"/>
    </row>
    <row r="3994" spans="1:13" x14ac:dyDescent="0.25">
      <c r="A3994" s="2">
        <v>45393</v>
      </c>
      <c r="B3994" s="3" t="s">
        <v>243</v>
      </c>
      <c r="C3994" s="3" t="s">
        <v>9</v>
      </c>
      <c r="D3994" s="3" t="s">
        <v>19</v>
      </c>
      <c r="E3994" s="5" t="s">
        <v>11</v>
      </c>
      <c r="F3994" s="17">
        <v>10.83</v>
      </c>
      <c r="G3994" s="3">
        <v>5</v>
      </c>
      <c r="H3994" s="17">
        <f>Table1[[#This Row],[Unit price]]*Table1[[#This Row],[Quantity]]</f>
        <v>54.15</v>
      </c>
      <c r="I3994" s="29">
        <f>Table1[[#This Row],[Total Revenue]]/$H$5056*100</f>
        <v>5.7450847033963378E-3</v>
      </c>
      <c r="J3994" s="3" t="s">
        <v>17</v>
      </c>
      <c r="K3994" s="4">
        <v>3</v>
      </c>
      <c r="M3994"/>
    </row>
    <row r="3995" spans="1:13" x14ac:dyDescent="0.25">
      <c r="A3995" s="2">
        <v>45393</v>
      </c>
      <c r="B3995" s="3" t="s">
        <v>245</v>
      </c>
      <c r="C3995" s="3" t="s">
        <v>13</v>
      </c>
      <c r="D3995" s="3" t="s">
        <v>10</v>
      </c>
      <c r="E3995" s="5" t="s">
        <v>14</v>
      </c>
      <c r="F3995" s="17">
        <v>86.24</v>
      </c>
      <c r="G3995" s="3">
        <v>9</v>
      </c>
      <c r="H3995" s="17">
        <f>Table1[[#This Row],[Unit price]]*Table1[[#This Row],[Quantity]]</f>
        <v>776.16</v>
      </c>
      <c r="I3995" s="29">
        <f>Table1[[#This Row],[Total Revenue]]/$H$5056*100</f>
        <v>8.2347275039484788E-2</v>
      </c>
      <c r="J3995" s="3" t="s">
        <v>12</v>
      </c>
      <c r="K3995" s="4">
        <v>5.4</v>
      </c>
      <c r="M3995"/>
    </row>
    <row r="3996" spans="1:13" x14ac:dyDescent="0.25">
      <c r="A3996" s="2">
        <v>45393</v>
      </c>
      <c r="B3996" s="3" t="s">
        <v>243</v>
      </c>
      <c r="C3996" s="3" t="s">
        <v>13</v>
      </c>
      <c r="D3996" s="3" t="s">
        <v>10</v>
      </c>
      <c r="E3996" s="5" t="s">
        <v>11</v>
      </c>
      <c r="F3996" s="17">
        <v>14.13</v>
      </c>
      <c r="G3996" s="3">
        <v>5</v>
      </c>
      <c r="H3996" s="17">
        <f>Table1[[#This Row],[Unit price]]*Table1[[#This Row],[Quantity]]</f>
        <v>70.650000000000006</v>
      </c>
      <c r="I3996" s="29">
        <f>Table1[[#This Row],[Total Revenue]]/$H$5056*100</f>
        <v>7.4956645299159982E-3</v>
      </c>
      <c r="J3996" s="3" t="s">
        <v>17</v>
      </c>
      <c r="K3996" s="4">
        <v>8.8000000000000007</v>
      </c>
      <c r="M3996"/>
    </row>
    <row r="3997" spans="1:13" x14ac:dyDescent="0.25">
      <c r="A3997" s="2">
        <v>45393</v>
      </c>
      <c r="B3997" s="3" t="s">
        <v>245</v>
      </c>
      <c r="C3997" s="3" t="s">
        <v>13</v>
      </c>
      <c r="D3997" s="3" t="s">
        <v>10</v>
      </c>
      <c r="E3997" s="5" t="s">
        <v>18</v>
      </c>
      <c r="F3997" s="17">
        <v>9.1999999999999993</v>
      </c>
      <c r="G3997" s="3">
        <v>8</v>
      </c>
      <c r="H3997" s="17">
        <f>Table1[[#This Row],[Unit price]]*Table1[[#This Row],[Quantity]]</f>
        <v>73.599999999999994</v>
      </c>
      <c r="I3997" s="29">
        <f>Table1[[#This Row],[Total Revenue]]/$H$5056*100</f>
        <v>7.8086469837482988E-3</v>
      </c>
      <c r="J3997" s="3" t="s">
        <v>15</v>
      </c>
      <c r="K3997" s="4">
        <v>3.6</v>
      </c>
      <c r="M3997"/>
    </row>
    <row r="3998" spans="1:13" x14ac:dyDescent="0.25">
      <c r="A3998" s="2">
        <v>45393</v>
      </c>
      <c r="B3998" s="3" t="s">
        <v>243</v>
      </c>
      <c r="C3998" s="3" t="s">
        <v>13</v>
      </c>
      <c r="D3998" s="3" t="s">
        <v>19</v>
      </c>
      <c r="E3998" s="5" t="s">
        <v>11</v>
      </c>
      <c r="F3998" s="17">
        <v>3.59</v>
      </c>
      <c r="G3998" s="3">
        <v>10</v>
      </c>
      <c r="H3998" s="17">
        <f>Table1[[#This Row],[Unit price]]*Table1[[#This Row],[Quantity]]</f>
        <v>35.9</v>
      </c>
      <c r="I3998" s="29">
        <f>Table1[[#This Row],[Total Revenue]]/$H$5056*100</f>
        <v>3.8088373195185317E-3</v>
      </c>
      <c r="J3998" s="3" t="s">
        <v>12</v>
      </c>
      <c r="K3998" s="4">
        <v>3.9</v>
      </c>
      <c r="M3998"/>
    </row>
    <row r="3999" spans="1:13" x14ac:dyDescent="0.25">
      <c r="A3999" s="2">
        <v>45393</v>
      </c>
      <c r="B3999" s="3" t="s">
        <v>245</v>
      </c>
      <c r="C3999" s="3" t="s">
        <v>9</v>
      </c>
      <c r="D3999" s="3" t="s">
        <v>10</v>
      </c>
      <c r="E3999" s="5" t="s">
        <v>11</v>
      </c>
      <c r="F3999" s="17">
        <v>6.64</v>
      </c>
      <c r="G3999" s="3">
        <v>1</v>
      </c>
      <c r="H3999" s="17">
        <f>Table1[[#This Row],[Unit price]]*Table1[[#This Row],[Quantity]]</f>
        <v>6.64</v>
      </c>
      <c r="I3999" s="29">
        <f>Table1[[#This Row],[Total Revenue]]/$H$5056*100</f>
        <v>7.0447576049033572E-4</v>
      </c>
      <c r="J3999" s="3" t="s">
        <v>17</v>
      </c>
      <c r="K3999" s="4">
        <v>8.6</v>
      </c>
      <c r="M3999"/>
    </row>
    <row r="4000" spans="1:13" x14ac:dyDescent="0.25">
      <c r="A4000" s="2">
        <v>45393</v>
      </c>
      <c r="B4000" s="3" t="s">
        <v>245</v>
      </c>
      <c r="C4000" s="3" t="s">
        <v>13</v>
      </c>
      <c r="D4000" s="3" t="s">
        <v>10</v>
      </c>
      <c r="E4000" s="5" t="s">
        <v>21</v>
      </c>
      <c r="F4000" s="17">
        <v>19.53</v>
      </c>
      <c r="G4000" s="3">
        <v>2</v>
      </c>
      <c r="H4000" s="17">
        <f>Table1[[#This Row],[Unit price]]*Table1[[#This Row],[Quantity]]</f>
        <v>39.06</v>
      </c>
      <c r="I4000" s="29">
        <f>Table1[[#This Row],[Total Revenue]]/$H$5056*100</f>
        <v>4.144099880233813E-3</v>
      </c>
      <c r="J4000" s="3" t="s">
        <v>15</v>
      </c>
      <c r="K4000" s="4">
        <v>7.8</v>
      </c>
      <c r="M4000"/>
    </row>
    <row r="4001" spans="1:13" x14ac:dyDescent="0.25">
      <c r="A4001" s="2">
        <v>45423</v>
      </c>
      <c r="B4001" s="3" t="s">
        <v>243</v>
      </c>
      <c r="C4001" s="3" t="s">
        <v>9</v>
      </c>
      <c r="D4001" s="3" t="s">
        <v>10</v>
      </c>
      <c r="E4001" s="5" t="s">
        <v>21</v>
      </c>
      <c r="F4001" s="17">
        <v>32.75</v>
      </c>
      <c r="G4001" s="3">
        <v>4</v>
      </c>
      <c r="H4001" s="17">
        <f>Table1[[#This Row],[Unit price]]*Table1[[#This Row],[Quantity]]</f>
        <v>131</v>
      </c>
      <c r="I4001" s="29">
        <f>Table1[[#This Row],[Total Revenue]]/$H$5056*100</f>
        <v>1.3898542865095479E-2</v>
      </c>
      <c r="J4001" s="3" t="s">
        <v>12</v>
      </c>
      <c r="K4001" s="4">
        <v>6.5</v>
      </c>
      <c r="M4001"/>
    </row>
    <row r="4002" spans="1:13" x14ac:dyDescent="0.25">
      <c r="A4002" s="2">
        <v>45423</v>
      </c>
      <c r="B4002" s="3" t="s">
        <v>244</v>
      </c>
      <c r="C4002" s="3" t="s">
        <v>13</v>
      </c>
      <c r="D4002" s="3" t="s">
        <v>10</v>
      </c>
      <c r="E4002" s="5" t="s">
        <v>11</v>
      </c>
      <c r="F4002" s="17">
        <v>9.24</v>
      </c>
      <c r="G4002" s="3">
        <v>1</v>
      </c>
      <c r="H4002" s="17">
        <f>Table1[[#This Row],[Unit price]]*Table1[[#This Row],[Quantity]]</f>
        <v>9.24</v>
      </c>
      <c r="I4002" s="29">
        <f>Table1[[#This Row],[Total Revenue]]/$H$5056*100</f>
        <v>9.8032470285100946E-4</v>
      </c>
      <c r="J4002" s="3" t="s">
        <v>15</v>
      </c>
      <c r="K4002" s="4">
        <v>5.2</v>
      </c>
      <c r="M4002"/>
    </row>
    <row r="4003" spans="1:13" x14ac:dyDescent="0.25">
      <c r="A4003" s="2">
        <v>45423</v>
      </c>
      <c r="B4003" s="3" t="s">
        <v>245</v>
      </c>
      <c r="C4003" s="3" t="s">
        <v>13</v>
      </c>
      <c r="D4003" s="3" t="s">
        <v>19</v>
      </c>
      <c r="E4003" s="5" t="s">
        <v>11</v>
      </c>
      <c r="F4003" s="17">
        <v>5.76</v>
      </c>
      <c r="G4003" s="3">
        <v>2</v>
      </c>
      <c r="H4003" s="17">
        <f>Table1[[#This Row],[Unit price]]*Table1[[#This Row],[Quantity]]</f>
        <v>11.52</v>
      </c>
      <c r="I4003" s="29">
        <f>Table1[[#This Row],[Total Revenue]]/$H$5056*100</f>
        <v>1.2222230061519079E-3</v>
      </c>
      <c r="J4003" s="3" t="s">
        <v>12</v>
      </c>
      <c r="K4003" s="4">
        <v>7.2</v>
      </c>
      <c r="M4003"/>
    </row>
    <row r="4004" spans="1:13" x14ac:dyDescent="0.25">
      <c r="A4004" s="2">
        <v>45423</v>
      </c>
      <c r="B4004" s="3" t="s">
        <v>245</v>
      </c>
      <c r="C4004" s="3" t="s">
        <v>13</v>
      </c>
      <c r="D4004" s="3" t="s">
        <v>10</v>
      </c>
      <c r="E4004" s="5" t="s">
        <v>21</v>
      </c>
      <c r="F4004" s="17">
        <v>26.96</v>
      </c>
      <c r="G4004" s="3">
        <v>9</v>
      </c>
      <c r="H4004" s="17">
        <f>Table1[[#This Row],[Unit price]]*Table1[[#This Row],[Quantity]]</f>
        <v>242.64000000000001</v>
      </c>
      <c r="I4004" s="29">
        <f>Table1[[#This Row],[Total Revenue]]/$H$5056*100</f>
        <v>2.5743072067074557E-2</v>
      </c>
      <c r="J4004" s="3" t="s">
        <v>15</v>
      </c>
      <c r="K4004" s="4">
        <v>8.6</v>
      </c>
      <c r="M4004"/>
    </row>
    <row r="4005" spans="1:13" x14ac:dyDescent="0.25">
      <c r="A4005" s="2">
        <v>45423</v>
      </c>
      <c r="B4005" s="3" t="s">
        <v>243</v>
      </c>
      <c r="C4005" s="3" t="s">
        <v>13</v>
      </c>
      <c r="D4005" s="3" t="s">
        <v>10</v>
      </c>
      <c r="E4005" s="5" t="s">
        <v>18</v>
      </c>
      <c r="F4005" s="17">
        <v>5.0999999999999996</v>
      </c>
      <c r="G4005" s="3">
        <v>7</v>
      </c>
      <c r="H4005" s="17">
        <f>Table1[[#This Row],[Unit price]]*Table1[[#This Row],[Quantity]]</f>
        <v>35.699999999999996</v>
      </c>
      <c r="I4005" s="29">
        <f>Table1[[#This Row],[Total Revenue]]/$H$5056*100</f>
        <v>3.7876181701061722E-3</v>
      </c>
      <c r="J4005" s="3" t="s">
        <v>12</v>
      </c>
      <c r="K4005" s="4">
        <v>6.5</v>
      </c>
      <c r="M4005"/>
    </row>
    <row r="4006" spans="1:13" x14ac:dyDescent="0.25">
      <c r="A4006" s="2">
        <v>45423</v>
      </c>
      <c r="B4006" s="3" t="s">
        <v>243</v>
      </c>
      <c r="C4006" s="3" t="s">
        <v>13</v>
      </c>
      <c r="D4006" s="3" t="s">
        <v>19</v>
      </c>
      <c r="E4006" s="5" t="s">
        <v>16</v>
      </c>
      <c r="F4006" s="17">
        <v>62.61</v>
      </c>
      <c r="G4006" s="3">
        <v>5</v>
      </c>
      <c r="H4006" s="17">
        <f>Table1[[#This Row],[Unit price]]*Table1[[#This Row],[Quantity]]</f>
        <v>313.05</v>
      </c>
      <c r="I4006" s="29">
        <f>Table1[[#This Row],[Total Revenue]]/$H$5056*100</f>
        <v>3.3213273617695722E-2</v>
      </c>
      <c r="J4006" s="3" t="s">
        <v>12</v>
      </c>
      <c r="K4006" s="4">
        <v>7.4</v>
      </c>
      <c r="M4006"/>
    </row>
    <row r="4007" spans="1:13" x14ac:dyDescent="0.25">
      <c r="A4007" s="2">
        <v>45423</v>
      </c>
      <c r="B4007" s="3" t="s">
        <v>243</v>
      </c>
      <c r="C4007" s="3" t="s">
        <v>13</v>
      </c>
      <c r="D4007" s="3" t="s">
        <v>19</v>
      </c>
      <c r="E4007" s="5" t="s">
        <v>20</v>
      </c>
      <c r="F4007" s="17">
        <v>65.87</v>
      </c>
      <c r="G4007" s="3">
        <v>6</v>
      </c>
      <c r="H4007" s="17">
        <f>Table1[[#This Row],[Unit price]]*Table1[[#This Row],[Quantity]]</f>
        <v>395.22</v>
      </c>
      <c r="I4007" s="29">
        <f>Table1[[#This Row],[Total Revenue]]/$H$5056*100</f>
        <v>4.1931161153763628E-2</v>
      </c>
      <c r="J4007" s="3" t="s">
        <v>12</v>
      </c>
      <c r="K4007" s="4">
        <v>8.8000000000000007</v>
      </c>
      <c r="M4007"/>
    </row>
    <row r="4008" spans="1:13" x14ac:dyDescent="0.25">
      <c r="A4008" s="2">
        <v>45423</v>
      </c>
      <c r="B4008" s="3" t="s">
        <v>245</v>
      </c>
      <c r="C4008" s="3" t="s">
        <v>9</v>
      </c>
      <c r="D4008" s="3" t="s">
        <v>10</v>
      </c>
      <c r="E4008" s="5" t="s">
        <v>20</v>
      </c>
      <c r="F4008" s="17">
        <v>64.599999999999994</v>
      </c>
      <c r="G4008" s="3">
        <v>3</v>
      </c>
      <c r="H4008" s="17">
        <f>Table1[[#This Row],[Unit price]]*Table1[[#This Row],[Quantity]]</f>
        <v>193.79999999999998</v>
      </c>
      <c r="I4008" s="29">
        <f>Table1[[#This Row],[Total Revenue]]/$H$5056*100</f>
        <v>2.0561355780576364E-2</v>
      </c>
      <c r="J4008" s="3" t="s">
        <v>15</v>
      </c>
      <c r="K4008" s="4">
        <v>6.3</v>
      </c>
      <c r="M4008"/>
    </row>
    <row r="4009" spans="1:13" x14ac:dyDescent="0.25">
      <c r="A4009" s="2">
        <v>45423</v>
      </c>
      <c r="B4009" s="3" t="s">
        <v>244</v>
      </c>
      <c r="C4009" s="3" t="s">
        <v>9</v>
      </c>
      <c r="D4009" s="3" t="s">
        <v>10</v>
      </c>
      <c r="E4009" s="5" t="s">
        <v>21</v>
      </c>
      <c r="F4009" s="17">
        <v>23.79</v>
      </c>
      <c r="G4009" s="3">
        <v>4</v>
      </c>
      <c r="H4009" s="17">
        <f>Table1[[#This Row],[Unit price]]*Table1[[#This Row],[Quantity]]</f>
        <v>95.16</v>
      </c>
      <c r="I4009" s="29">
        <f>Table1[[#This Row],[Total Revenue]]/$H$5056*100</f>
        <v>1.0096071290400655E-2</v>
      </c>
      <c r="J4009" s="3" t="s">
        <v>12</v>
      </c>
      <c r="K4009" s="4">
        <v>7.9</v>
      </c>
      <c r="M4009"/>
    </row>
    <row r="4010" spans="1:13" x14ac:dyDescent="0.25">
      <c r="A4010" s="2">
        <v>45423</v>
      </c>
      <c r="B4010" s="3" t="s">
        <v>243</v>
      </c>
      <c r="C4010" s="3" t="s">
        <v>9</v>
      </c>
      <c r="D4010" s="3" t="s">
        <v>10</v>
      </c>
      <c r="E4010" s="5" t="s">
        <v>21</v>
      </c>
      <c r="F4010" s="17">
        <v>26.14</v>
      </c>
      <c r="G4010" s="3">
        <v>3</v>
      </c>
      <c r="H4010" s="17">
        <f>Table1[[#This Row],[Unit price]]*Table1[[#This Row],[Quantity]]</f>
        <v>78.42</v>
      </c>
      <c r="I4010" s="29">
        <f>Table1[[#This Row],[Total Revenue]]/$H$5056*100</f>
        <v>8.3200284845861647E-3</v>
      </c>
      <c r="J4010" s="3" t="s">
        <v>12</v>
      </c>
      <c r="K4010" s="4">
        <v>7.8</v>
      </c>
      <c r="M4010"/>
    </row>
    <row r="4011" spans="1:13" x14ac:dyDescent="0.25">
      <c r="A4011" s="2">
        <v>45423</v>
      </c>
      <c r="B4011" s="3" t="s">
        <v>244</v>
      </c>
      <c r="C4011" s="3" t="s">
        <v>13</v>
      </c>
      <c r="D4011" s="3" t="s">
        <v>10</v>
      </c>
      <c r="E4011" s="5" t="s">
        <v>20</v>
      </c>
      <c r="F4011" s="17">
        <v>59.52</v>
      </c>
      <c r="G4011" s="3">
        <v>6</v>
      </c>
      <c r="H4011" s="17">
        <f>Table1[[#This Row],[Unit price]]*Table1[[#This Row],[Quantity]]</f>
        <v>357.12</v>
      </c>
      <c r="I4011" s="29">
        <f>Table1[[#This Row],[Total Revenue]]/$H$5056*100</f>
        <v>3.7888913190709139E-2</v>
      </c>
      <c r="J4011" s="3" t="s">
        <v>15</v>
      </c>
      <c r="K4011" s="4">
        <v>8.3000000000000007</v>
      </c>
      <c r="M4011"/>
    </row>
    <row r="4012" spans="1:13" x14ac:dyDescent="0.25">
      <c r="A4012" s="2">
        <v>45423</v>
      </c>
      <c r="B4012" s="3" t="s">
        <v>244</v>
      </c>
      <c r="C4012" s="3" t="s">
        <v>13</v>
      </c>
      <c r="D4012" s="3" t="s">
        <v>19</v>
      </c>
      <c r="E4012" s="5" t="s">
        <v>11</v>
      </c>
      <c r="F4012" s="17">
        <v>2.6</v>
      </c>
      <c r="G4012" s="3">
        <v>6</v>
      </c>
      <c r="H4012" s="17">
        <f>Table1[[#This Row],[Unit price]]*Table1[[#This Row],[Quantity]]</f>
        <v>15.600000000000001</v>
      </c>
      <c r="I4012" s="29">
        <f>Table1[[#This Row],[Total Revenue]]/$H$5056*100</f>
        <v>1.6550936541640418E-3</v>
      </c>
      <c r="J4012" s="3" t="s">
        <v>17</v>
      </c>
      <c r="K4012" s="4">
        <v>4.0999999999999996</v>
      </c>
      <c r="M4012"/>
    </row>
    <row r="4013" spans="1:13" x14ac:dyDescent="0.25">
      <c r="A4013" s="2">
        <v>45423</v>
      </c>
      <c r="B4013" s="3" t="s">
        <v>243</v>
      </c>
      <c r="C4013" s="3" t="s">
        <v>9</v>
      </c>
      <c r="D4013" s="3" t="s">
        <v>19</v>
      </c>
      <c r="E4013" s="5" t="s">
        <v>16</v>
      </c>
      <c r="F4013" s="17">
        <v>59.23</v>
      </c>
      <c r="G4013" s="3">
        <v>6</v>
      </c>
      <c r="H4013" s="17">
        <f>Table1[[#This Row],[Unit price]]*Table1[[#This Row],[Quantity]]</f>
        <v>355.38</v>
      </c>
      <c r="I4013" s="29">
        <f>Table1[[#This Row],[Total Revenue]]/$H$5056*100</f>
        <v>3.7704306590821614E-2</v>
      </c>
      <c r="J4013" s="3" t="s">
        <v>12</v>
      </c>
      <c r="K4013" s="4">
        <v>3.7</v>
      </c>
      <c r="M4013"/>
    </row>
    <row r="4014" spans="1:13" x14ac:dyDescent="0.25">
      <c r="A4014" s="2">
        <v>45423</v>
      </c>
      <c r="B4014" s="3" t="s">
        <v>244</v>
      </c>
      <c r="C4014" s="3" t="s">
        <v>9</v>
      </c>
      <c r="D4014" s="3" t="s">
        <v>19</v>
      </c>
      <c r="E4014" s="5" t="s">
        <v>11</v>
      </c>
      <c r="F4014" s="17">
        <v>5.85</v>
      </c>
      <c r="G4014" s="3">
        <v>9</v>
      </c>
      <c r="H4014" s="17">
        <f>Table1[[#This Row],[Unit price]]*Table1[[#This Row],[Quantity]]</f>
        <v>52.65</v>
      </c>
      <c r="I4014" s="29">
        <f>Table1[[#This Row],[Total Revenue]]/$H$5056*100</f>
        <v>5.5859410828036412E-3</v>
      </c>
      <c r="J4014" s="3" t="s">
        <v>12</v>
      </c>
      <c r="K4014" s="4">
        <v>7.4</v>
      </c>
      <c r="M4014"/>
    </row>
    <row r="4015" spans="1:13" x14ac:dyDescent="0.25">
      <c r="A4015" s="2">
        <v>45423</v>
      </c>
      <c r="B4015" s="3" t="s">
        <v>243</v>
      </c>
      <c r="C4015" s="3" t="s">
        <v>13</v>
      </c>
      <c r="D4015" s="3" t="s">
        <v>19</v>
      </c>
      <c r="E4015" s="5" t="s">
        <v>11</v>
      </c>
      <c r="F4015" s="17">
        <v>2.16</v>
      </c>
      <c r="G4015" s="3">
        <v>10</v>
      </c>
      <c r="H4015" s="17">
        <f>Table1[[#This Row],[Unit price]]*Table1[[#This Row],[Quantity]]</f>
        <v>21.6</v>
      </c>
      <c r="I4015" s="29">
        <f>Table1[[#This Row],[Total Revenue]]/$H$5056*100</f>
        <v>2.2916681365348275E-3</v>
      </c>
      <c r="J4015" s="3" t="s">
        <v>12</v>
      </c>
      <c r="K4015" s="4">
        <v>3.8</v>
      </c>
      <c r="M4015"/>
    </row>
    <row r="4016" spans="1:13" x14ac:dyDescent="0.25">
      <c r="A4016" s="2">
        <v>45423</v>
      </c>
      <c r="B4016" s="3" t="s">
        <v>245</v>
      </c>
      <c r="C4016" s="3" t="s">
        <v>9</v>
      </c>
      <c r="D4016" s="3" t="s">
        <v>10</v>
      </c>
      <c r="E4016" s="5" t="s">
        <v>21</v>
      </c>
      <c r="F4016" s="17">
        <v>35.729999999999997</v>
      </c>
      <c r="G4016" s="3">
        <v>7</v>
      </c>
      <c r="H4016" s="17">
        <f>Table1[[#This Row],[Unit price]]*Table1[[#This Row],[Quantity]]</f>
        <v>250.10999999999999</v>
      </c>
      <c r="I4016" s="29">
        <f>Table1[[#This Row],[Total Revenue]]/$H$5056*100</f>
        <v>2.6535607297626187E-2</v>
      </c>
      <c r="J4016" s="3" t="s">
        <v>12</v>
      </c>
      <c r="K4016" s="4">
        <v>6.7</v>
      </c>
      <c r="M4016"/>
    </row>
    <row r="4017" spans="1:13" x14ac:dyDescent="0.25">
      <c r="A4017" s="2">
        <v>45423</v>
      </c>
      <c r="B4017" s="3" t="s">
        <v>243</v>
      </c>
      <c r="C4017" s="3" t="s">
        <v>9</v>
      </c>
      <c r="D4017" s="3" t="s">
        <v>19</v>
      </c>
      <c r="E4017" s="5" t="s">
        <v>11</v>
      </c>
      <c r="F4017" s="17">
        <v>6.33</v>
      </c>
      <c r="G4017" s="3">
        <v>4</v>
      </c>
      <c r="H4017" s="17">
        <f>Table1[[#This Row],[Unit price]]*Table1[[#This Row],[Quantity]]</f>
        <v>25.32</v>
      </c>
      <c r="I4017" s="29">
        <f>Table1[[#This Row],[Total Revenue]]/$H$5056*100</f>
        <v>2.686344315604714E-3</v>
      </c>
      <c r="J4017" s="3" t="s">
        <v>17</v>
      </c>
      <c r="K4017" s="4">
        <v>5.9</v>
      </c>
      <c r="M4017"/>
    </row>
    <row r="4018" spans="1:13" x14ac:dyDescent="0.25">
      <c r="A4018" s="2">
        <v>45423</v>
      </c>
      <c r="B4018" s="3" t="s">
        <v>243</v>
      </c>
      <c r="C4018" s="3" t="s">
        <v>13</v>
      </c>
      <c r="D4018" s="3" t="s">
        <v>19</v>
      </c>
      <c r="E4018" s="5" t="s">
        <v>14</v>
      </c>
      <c r="F4018" s="17">
        <v>83.14</v>
      </c>
      <c r="G4018" s="3">
        <v>10</v>
      </c>
      <c r="H4018" s="17">
        <f>Table1[[#This Row],[Unit price]]*Table1[[#This Row],[Quantity]]</f>
        <v>831.4</v>
      </c>
      <c r="I4018" s="29">
        <f>Table1[[#This Row],[Total Revenue]]/$H$5056*100</f>
        <v>8.8208004107178481E-2</v>
      </c>
      <c r="J4018" s="3" t="s">
        <v>17</v>
      </c>
      <c r="K4018" s="4">
        <v>8.1</v>
      </c>
      <c r="M4018"/>
    </row>
    <row r="4019" spans="1:13" x14ac:dyDescent="0.25">
      <c r="A4019" s="2">
        <v>45423</v>
      </c>
      <c r="B4019" s="3" t="s">
        <v>244</v>
      </c>
      <c r="C4019" s="3" t="s">
        <v>13</v>
      </c>
      <c r="D4019" s="3" t="s">
        <v>19</v>
      </c>
      <c r="E4019" s="5" t="s">
        <v>18</v>
      </c>
      <c r="F4019" s="17">
        <v>8</v>
      </c>
      <c r="G4019" s="3">
        <v>6</v>
      </c>
      <c r="H4019" s="17">
        <f>Table1[[#This Row],[Unit price]]*Table1[[#This Row],[Quantity]]</f>
        <v>48</v>
      </c>
      <c r="I4019" s="29">
        <f>Table1[[#This Row],[Total Revenue]]/$H$5056*100</f>
        <v>5.0925958589662828E-3</v>
      </c>
      <c r="J4019" s="3" t="s">
        <v>15</v>
      </c>
      <c r="K4019" s="4">
        <v>3.1</v>
      </c>
      <c r="M4019"/>
    </row>
    <row r="4020" spans="1:13" x14ac:dyDescent="0.25">
      <c r="A4020" s="2">
        <v>45423</v>
      </c>
      <c r="B4020" s="3" t="s">
        <v>243</v>
      </c>
      <c r="C4020" s="3" t="s">
        <v>13</v>
      </c>
      <c r="D4020" s="3" t="s">
        <v>10</v>
      </c>
      <c r="E4020" s="5" t="s">
        <v>21</v>
      </c>
      <c r="F4020" s="17">
        <v>26.45</v>
      </c>
      <c r="G4020" s="3">
        <v>4</v>
      </c>
      <c r="H4020" s="17">
        <f>Table1[[#This Row],[Unit price]]*Table1[[#This Row],[Quantity]]</f>
        <v>105.8</v>
      </c>
      <c r="I4020" s="29">
        <f>Table1[[#This Row],[Total Revenue]]/$H$5056*100</f>
        <v>1.1224930039138182E-2</v>
      </c>
      <c r="J4020" s="3" t="s">
        <v>12</v>
      </c>
      <c r="K4020" s="4">
        <v>8.8000000000000007</v>
      </c>
      <c r="M4020"/>
    </row>
    <row r="4021" spans="1:13" x14ac:dyDescent="0.25">
      <c r="A4021" s="2">
        <v>45423</v>
      </c>
      <c r="B4021" s="3" t="s">
        <v>245</v>
      </c>
      <c r="C4021" s="3" t="s">
        <v>13</v>
      </c>
      <c r="D4021" s="3" t="s">
        <v>10</v>
      </c>
      <c r="E4021" s="5" t="s">
        <v>11</v>
      </c>
      <c r="F4021" s="17">
        <v>6.87</v>
      </c>
      <c r="G4021" s="3">
        <v>1</v>
      </c>
      <c r="H4021" s="17">
        <f>Table1[[#This Row],[Unit price]]*Table1[[#This Row],[Quantity]]</f>
        <v>6.87</v>
      </c>
      <c r="I4021" s="29">
        <f>Table1[[#This Row],[Total Revenue]]/$H$5056*100</f>
        <v>7.2887778231454925E-4</v>
      </c>
      <c r="J4021" s="3" t="s">
        <v>15</v>
      </c>
      <c r="K4021" s="4">
        <v>8.3000000000000007</v>
      </c>
      <c r="M4021"/>
    </row>
    <row r="4022" spans="1:13" x14ac:dyDescent="0.25">
      <c r="A4022" s="2">
        <v>45423</v>
      </c>
      <c r="B4022" s="3" t="s">
        <v>245</v>
      </c>
      <c r="C4022" s="3" t="s">
        <v>9</v>
      </c>
      <c r="D4022" s="3" t="s">
        <v>10</v>
      </c>
      <c r="E4022" s="5" t="s">
        <v>21</v>
      </c>
      <c r="F4022" s="17">
        <v>16.47</v>
      </c>
      <c r="G4022" s="3">
        <v>10</v>
      </c>
      <c r="H4022" s="17">
        <f>Table1[[#This Row],[Unit price]]*Table1[[#This Row],[Quantity]]</f>
        <v>164.7</v>
      </c>
      <c r="I4022" s="29">
        <f>Table1[[#This Row],[Total Revenue]]/$H$5056*100</f>
        <v>1.7473969541078056E-2</v>
      </c>
      <c r="J4022" s="3" t="s">
        <v>15</v>
      </c>
      <c r="K4022" s="4">
        <v>4.5999999999999996</v>
      </c>
      <c r="M4022"/>
    </row>
    <row r="4023" spans="1:13" x14ac:dyDescent="0.25">
      <c r="A4023" s="2">
        <v>45423</v>
      </c>
      <c r="B4023" s="3" t="s">
        <v>245</v>
      </c>
      <c r="C4023" s="3" t="s">
        <v>13</v>
      </c>
      <c r="D4023" s="3" t="s">
        <v>19</v>
      </c>
      <c r="E4023" s="5" t="s">
        <v>11</v>
      </c>
      <c r="F4023" s="17">
        <v>14.18</v>
      </c>
      <c r="G4023" s="3">
        <v>4</v>
      </c>
      <c r="H4023" s="17">
        <f>Table1[[#This Row],[Unit price]]*Table1[[#This Row],[Quantity]]</f>
        <v>56.72</v>
      </c>
      <c r="I4023" s="29">
        <f>Table1[[#This Row],[Total Revenue]]/$H$5056*100</f>
        <v>6.0177507733451575E-3</v>
      </c>
      <c r="J4023" s="3" t="s">
        <v>15</v>
      </c>
      <c r="K4023" s="4">
        <v>8.9</v>
      </c>
      <c r="M4023"/>
    </row>
    <row r="4024" spans="1:13" x14ac:dyDescent="0.25">
      <c r="A4024" s="2">
        <v>45454</v>
      </c>
      <c r="B4024" s="3" t="s">
        <v>245</v>
      </c>
      <c r="C4024" s="3" t="s">
        <v>13</v>
      </c>
      <c r="D4024" s="3" t="s">
        <v>19</v>
      </c>
      <c r="E4024" s="5" t="s">
        <v>21</v>
      </c>
      <c r="F4024" s="17">
        <v>38.75</v>
      </c>
      <c r="G4024" s="3">
        <v>7</v>
      </c>
      <c r="H4024" s="17">
        <f>Table1[[#This Row],[Unit price]]*Table1[[#This Row],[Quantity]]</f>
        <v>271.25</v>
      </c>
      <c r="I4024" s="29">
        <f>Table1[[#This Row],[Total Revenue]]/$H$5056*100</f>
        <v>2.8778471390512584E-2</v>
      </c>
      <c r="J4024" s="3" t="s">
        <v>12</v>
      </c>
      <c r="K4024" s="4">
        <v>6</v>
      </c>
      <c r="M4024"/>
    </row>
    <row r="4025" spans="1:13" x14ac:dyDescent="0.25">
      <c r="A4025" s="2">
        <v>45454</v>
      </c>
      <c r="B4025" s="3" t="s">
        <v>244</v>
      </c>
      <c r="C4025" s="3" t="s">
        <v>9</v>
      </c>
      <c r="D4025" s="3" t="s">
        <v>19</v>
      </c>
      <c r="E4025" s="5" t="s">
        <v>11</v>
      </c>
      <c r="F4025" s="17">
        <v>2.21</v>
      </c>
      <c r="G4025" s="3">
        <v>10</v>
      </c>
      <c r="H4025" s="17">
        <f>Table1[[#This Row],[Unit price]]*Table1[[#This Row],[Quantity]]</f>
        <v>22.1</v>
      </c>
      <c r="I4025" s="29">
        <f>Table1[[#This Row],[Total Revenue]]/$H$5056*100</f>
        <v>2.3447160100657262E-3</v>
      </c>
      <c r="J4025" s="3" t="s">
        <v>17</v>
      </c>
      <c r="K4025" s="4">
        <v>4.3</v>
      </c>
      <c r="M4025"/>
    </row>
    <row r="4026" spans="1:13" x14ac:dyDescent="0.25">
      <c r="A4026" s="2">
        <v>45454</v>
      </c>
      <c r="B4026" s="3" t="s">
        <v>245</v>
      </c>
      <c r="C4026" s="3" t="s">
        <v>9</v>
      </c>
      <c r="D4026" s="3" t="s">
        <v>19</v>
      </c>
      <c r="E4026" s="5" t="s">
        <v>11</v>
      </c>
      <c r="F4026" s="17">
        <v>9.17</v>
      </c>
      <c r="G4026" s="3">
        <v>6</v>
      </c>
      <c r="H4026" s="17">
        <f>Table1[[#This Row],[Unit price]]*Table1[[#This Row],[Quantity]]</f>
        <v>55.019999999999996</v>
      </c>
      <c r="I4026" s="29">
        <f>Table1[[#This Row],[Total Revenue]]/$H$5056*100</f>
        <v>5.8373880033401005E-3</v>
      </c>
      <c r="J4026" s="3" t="s">
        <v>17</v>
      </c>
      <c r="K4026" s="4">
        <v>9.3000000000000007</v>
      </c>
      <c r="M4026"/>
    </row>
    <row r="4027" spans="1:13" x14ac:dyDescent="0.25">
      <c r="A4027" s="2">
        <v>45454</v>
      </c>
      <c r="B4027" s="3" t="s">
        <v>243</v>
      </c>
      <c r="C4027" s="3" t="s">
        <v>9</v>
      </c>
      <c r="D4027" s="3" t="s">
        <v>10</v>
      </c>
      <c r="E4027" s="5" t="s">
        <v>11</v>
      </c>
      <c r="F4027" s="17">
        <v>13.66</v>
      </c>
      <c r="G4027" s="3">
        <v>9</v>
      </c>
      <c r="H4027" s="17">
        <f>Table1[[#This Row],[Unit price]]*Table1[[#This Row],[Quantity]]</f>
        <v>122.94</v>
      </c>
      <c r="I4027" s="29">
        <f>Table1[[#This Row],[Total Revenue]]/$H$5056*100</f>
        <v>1.3043411143777391E-2</v>
      </c>
      <c r="J4027" s="3" t="s">
        <v>15</v>
      </c>
      <c r="K4027" s="4">
        <v>4</v>
      </c>
      <c r="M4027"/>
    </row>
    <row r="4028" spans="1:13" x14ac:dyDescent="0.25">
      <c r="A4028" s="2">
        <v>45454</v>
      </c>
      <c r="B4028" s="3" t="s">
        <v>244</v>
      </c>
      <c r="C4028" s="3" t="s">
        <v>9</v>
      </c>
      <c r="D4028" s="3" t="s">
        <v>19</v>
      </c>
      <c r="E4028" s="5" t="s">
        <v>18</v>
      </c>
      <c r="F4028" s="17">
        <v>24.72</v>
      </c>
      <c r="G4028" s="3">
        <v>3</v>
      </c>
      <c r="H4028" s="17">
        <f>Table1[[#This Row],[Unit price]]*Table1[[#This Row],[Quantity]]</f>
        <v>74.16</v>
      </c>
      <c r="I4028" s="29">
        <f>Table1[[#This Row],[Total Revenue]]/$H$5056*100</f>
        <v>7.8680606021029071E-3</v>
      </c>
      <c r="J4028" s="3" t="s">
        <v>12</v>
      </c>
      <c r="K4028" s="4">
        <v>6.8</v>
      </c>
      <c r="M4028"/>
    </row>
    <row r="4029" spans="1:13" x14ac:dyDescent="0.25">
      <c r="A4029" s="2">
        <v>45454</v>
      </c>
      <c r="B4029" s="3" t="s">
        <v>244</v>
      </c>
      <c r="C4029" s="3" t="s">
        <v>13</v>
      </c>
      <c r="D4029" s="3" t="s">
        <v>10</v>
      </c>
      <c r="E4029" s="5" t="s">
        <v>21</v>
      </c>
      <c r="F4029" s="17">
        <v>16.68</v>
      </c>
      <c r="G4029" s="3">
        <v>6</v>
      </c>
      <c r="H4029" s="17">
        <f>Table1[[#This Row],[Unit price]]*Table1[[#This Row],[Quantity]]</f>
        <v>100.08</v>
      </c>
      <c r="I4029" s="29">
        <f>Table1[[#This Row],[Total Revenue]]/$H$5056*100</f>
        <v>1.0618062365944699E-2</v>
      </c>
      <c r="J4029" s="3" t="s">
        <v>15</v>
      </c>
      <c r="K4029" s="4">
        <v>9.4</v>
      </c>
      <c r="M4029"/>
    </row>
    <row r="4030" spans="1:13" x14ac:dyDescent="0.25">
      <c r="A4030" s="2">
        <v>45454</v>
      </c>
      <c r="B4030" s="3" t="s">
        <v>244</v>
      </c>
      <c r="C4030" s="3" t="s">
        <v>13</v>
      </c>
      <c r="D4030" s="3" t="s">
        <v>10</v>
      </c>
      <c r="E4030" s="5" t="s">
        <v>11</v>
      </c>
      <c r="F4030" s="17">
        <v>3.99</v>
      </c>
      <c r="G4030" s="3">
        <v>2</v>
      </c>
      <c r="H4030" s="17">
        <f>Table1[[#This Row],[Unit price]]*Table1[[#This Row],[Quantity]]</f>
        <v>7.98</v>
      </c>
      <c r="I4030" s="29">
        <f>Table1[[#This Row],[Total Revenue]]/$H$5056*100</f>
        <v>8.4664406155314455E-4</v>
      </c>
      <c r="J4030" s="3" t="s">
        <v>17</v>
      </c>
      <c r="K4030" s="4">
        <v>4.9000000000000004</v>
      </c>
      <c r="M4030"/>
    </row>
    <row r="4031" spans="1:13" x14ac:dyDescent="0.25">
      <c r="A4031" s="2">
        <v>45454</v>
      </c>
      <c r="B4031" s="3" t="s">
        <v>243</v>
      </c>
      <c r="C4031" s="3" t="s">
        <v>9</v>
      </c>
      <c r="D4031" s="3" t="s">
        <v>10</v>
      </c>
      <c r="E4031" s="5" t="s">
        <v>14</v>
      </c>
      <c r="F4031" s="17">
        <v>80.64</v>
      </c>
      <c r="G4031" s="3">
        <v>6</v>
      </c>
      <c r="H4031" s="17">
        <f>Table1[[#This Row],[Unit price]]*Table1[[#This Row],[Quantity]]</f>
        <v>483.84000000000003</v>
      </c>
      <c r="I4031" s="29">
        <f>Table1[[#This Row],[Total Revenue]]/$H$5056*100</f>
        <v>5.1333366258380135E-2</v>
      </c>
      <c r="J4031" s="3" t="s">
        <v>15</v>
      </c>
      <c r="K4031" s="4">
        <v>7.6</v>
      </c>
      <c r="M4031"/>
    </row>
    <row r="4032" spans="1:13" x14ac:dyDescent="0.25">
      <c r="A4032" s="2">
        <v>45454</v>
      </c>
      <c r="B4032" s="3" t="s">
        <v>244</v>
      </c>
      <c r="C4032" s="3" t="s">
        <v>13</v>
      </c>
      <c r="D4032" s="3" t="s">
        <v>19</v>
      </c>
      <c r="E4032" s="5" t="s">
        <v>11</v>
      </c>
      <c r="F4032" s="17">
        <v>7.45</v>
      </c>
      <c r="G4032" s="3">
        <v>1</v>
      </c>
      <c r="H4032" s="17">
        <f>Table1[[#This Row],[Unit price]]*Table1[[#This Row],[Quantity]]</f>
        <v>7.45</v>
      </c>
      <c r="I4032" s="29">
        <f>Table1[[#This Row],[Total Revenue]]/$H$5056*100</f>
        <v>7.9041331561039178E-4</v>
      </c>
      <c r="J4032" s="3" t="s">
        <v>17</v>
      </c>
      <c r="K4032" s="4">
        <v>5</v>
      </c>
      <c r="M4032"/>
    </row>
    <row r="4033" spans="1:13" x14ac:dyDescent="0.25">
      <c r="A4033" s="2">
        <v>45454</v>
      </c>
      <c r="B4033" s="3" t="s">
        <v>245</v>
      </c>
      <c r="C4033" s="3" t="s">
        <v>9</v>
      </c>
      <c r="D4033" s="3" t="s">
        <v>19</v>
      </c>
      <c r="E4033" s="5" t="s">
        <v>16</v>
      </c>
      <c r="F4033" s="17">
        <v>57.73</v>
      </c>
      <c r="G4033" s="3">
        <v>8</v>
      </c>
      <c r="H4033" s="17">
        <f>Table1[[#This Row],[Unit price]]*Table1[[#This Row],[Quantity]]</f>
        <v>461.84</v>
      </c>
      <c r="I4033" s="29">
        <f>Table1[[#This Row],[Total Revenue]]/$H$5056*100</f>
        <v>4.8999259823020579E-2</v>
      </c>
      <c r="J4033" s="3" t="s">
        <v>12</v>
      </c>
      <c r="K4033" s="4">
        <v>9.4</v>
      </c>
      <c r="M4033"/>
    </row>
    <row r="4034" spans="1:13" x14ac:dyDescent="0.25">
      <c r="A4034" s="2">
        <v>45454</v>
      </c>
      <c r="B4034" s="3" t="s">
        <v>244</v>
      </c>
      <c r="C4034" s="3" t="s">
        <v>13</v>
      </c>
      <c r="D4034" s="3" t="s">
        <v>10</v>
      </c>
      <c r="E4034" s="5" t="s">
        <v>18</v>
      </c>
      <c r="F4034" s="17">
        <v>13.43</v>
      </c>
      <c r="G4034" s="3">
        <v>5</v>
      </c>
      <c r="H4034" s="17">
        <f>Table1[[#This Row],[Unit price]]*Table1[[#This Row],[Quantity]]</f>
        <v>67.150000000000006</v>
      </c>
      <c r="I4034" s="29">
        <f>Table1[[#This Row],[Total Revenue]]/$H$5056*100</f>
        <v>7.1243294151997066E-3</v>
      </c>
      <c r="J4034" s="3" t="s">
        <v>15</v>
      </c>
      <c r="K4034" s="4">
        <v>7.7</v>
      </c>
      <c r="M4034"/>
    </row>
    <row r="4035" spans="1:13" x14ac:dyDescent="0.25">
      <c r="A4035" s="2">
        <v>45454</v>
      </c>
      <c r="B4035" s="3" t="s">
        <v>244</v>
      </c>
      <c r="C4035" s="3" t="s">
        <v>9</v>
      </c>
      <c r="D4035" s="3" t="s">
        <v>10</v>
      </c>
      <c r="E4035" s="5" t="s">
        <v>16</v>
      </c>
      <c r="F4035" s="17">
        <v>53.82</v>
      </c>
      <c r="G4035" s="3">
        <v>2</v>
      </c>
      <c r="H4035" s="17">
        <f>Table1[[#This Row],[Unit price]]*Table1[[#This Row],[Quantity]]</f>
        <v>107.64</v>
      </c>
      <c r="I4035" s="29">
        <f>Table1[[#This Row],[Total Revenue]]/$H$5056*100</f>
        <v>1.1420146213731889E-2</v>
      </c>
      <c r="J4035" s="3" t="s">
        <v>12</v>
      </c>
      <c r="K4035" s="4">
        <v>8</v>
      </c>
      <c r="M4035"/>
    </row>
    <row r="4036" spans="1:13" x14ac:dyDescent="0.25">
      <c r="A4036" s="2">
        <v>45454</v>
      </c>
      <c r="B4036" s="3" t="s">
        <v>245</v>
      </c>
      <c r="C4036" s="3" t="s">
        <v>13</v>
      </c>
      <c r="D4036" s="3" t="s">
        <v>10</v>
      </c>
      <c r="E4036" s="5" t="s">
        <v>20</v>
      </c>
      <c r="F4036" s="17">
        <v>59.37</v>
      </c>
      <c r="G4036" s="3">
        <v>5</v>
      </c>
      <c r="H4036" s="17">
        <f>Table1[[#This Row],[Unit price]]*Table1[[#This Row],[Quantity]]</f>
        <v>296.84999999999997</v>
      </c>
      <c r="I4036" s="29">
        <f>Table1[[#This Row],[Total Revenue]]/$H$5056*100</f>
        <v>3.1494522515294603E-2</v>
      </c>
      <c r="J4036" s="3" t="s">
        <v>12</v>
      </c>
      <c r="K4036" s="4">
        <v>9.1999999999999993</v>
      </c>
      <c r="M4036"/>
    </row>
    <row r="4037" spans="1:13" x14ac:dyDescent="0.25">
      <c r="A4037" s="2">
        <v>45454</v>
      </c>
      <c r="B4037" s="3" t="s">
        <v>245</v>
      </c>
      <c r="C4037" s="3" t="s">
        <v>13</v>
      </c>
      <c r="D4037" s="3" t="s">
        <v>19</v>
      </c>
      <c r="E4037" s="5" t="s">
        <v>18</v>
      </c>
      <c r="F4037" s="17">
        <v>14.29</v>
      </c>
      <c r="G4037" s="3">
        <v>1</v>
      </c>
      <c r="H4037" s="17">
        <f>Table1[[#This Row],[Unit price]]*Table1[[#This Row],[Quantity]]</f>
        <v>14.29</v>
      </c>
      <c r="I4037" s="29">
        <f>Table1[[#This Row],[Total Revenue]]/$H$5056*100</f>
        <v>1.5161082255130869E-3</v>
      </c>
      <c r="J4037" s="3" t="s">
        <v>15</v>
      </c>
      <c r="K4037" s="4">
        <v>3.7</v>
      </c>
      <c r="M4037"/>
    </row>
    <row r="4038" spans="1:13" x14ac:dyDescent="0.25">
      <c r="A4038" s="2">
        <v>45454</v>
      </c>
      <c r="B4038" s="3" t="s">
        <v>244</v>
      </c>
      <c r="C4038" s="3" t="s">
        <v>9</v>
      </c>
      <c r="D4038" s="3" t="s">
        <v>10</v>
      </c>
      <c r="E4038" s="5" t="s">
        <v>20</v>
      </c>
      <c r="F4038" s="17">
        <v>53.9</v>
      </c>
      <c r="G4038" s="3">
        <v>3</v>
      </c>
      <c r="H4038" s="17">
        <f>Table1[[#This Row],[Unit price]]*Table1[[#This Row],[Quantity]]</f>
        <v>161.69999999999999</v>
      </c>
      <c r="I4038" s="29">
        <f>Table1[[#This Row],[Total Revenue]]/$H$5056*100</f>
        <v>1.7155682299892665E-2</v>
      </c>
      <c r="J4038" s="3" t="s">
        <v>17</v>
      </c>
      <c r="K4038" s="4">
        <v>6.2</v>
      </c>
      <c r="M4038"/>
    </row>
    <row r="4039" spans="1:13" x14ac:dyDescent="0.25">
      <c r="A4039" s="2">
        <v>45454</v>
      </c>
      <c r="B4039" s="3" t="s">
        <v>243</v>
      </c>
      <c r="C4039" s="3" t="s">
        <v>13</v>
      </c>
      <c r="D4039" s="3" t="s">
        <v>10</v>
      </c>
      <c r="E4039" s="5" t="s">
        <v>20</v>
      </c>
      <c r="F4039" s="17">
        <v>54.97</v>
      </c>
      <c r="G4039" s="3">
        <v>6</v>
      </c>
      <c r="H4039" s="17">
        <f>Table1[[#This Row],[Unit price]]*Table1[[#This Row],[Quantity]]</f>
        <v>329.82</v>
      </c>
      <c r="I4039" s="29">
        <f>Table1[[#This Row],[Total Revenue]]/$H$5056*100</f>
        <v>3.4992499295922068E-2</v>
      </c>
      <c r="J4039" s="3" t="s">
        <v>17</v>
      </c>
      <c r="K4039" s="4">
        <v>3.1</v>
      </c>
      <c r="M4039"/>
    </row>
    <row r="4040" spans="1:13" x14ac:dyDescent="0.25">
      <c r="A4040" s="2">
        <v>45454</v>
      </c>
      <c r="B4040" s="3" t="s">
        <v>243</v>
      </c>
      <c r="C4040" s="3" t="s">
        <v>9</v>
      </c>
      <c r="D4040" s="3" t="s">
        <v>19</v>
      </c>
      <c r="E4040" s="5" t="s">
        <v>20</v>
      </c>
      <c r="F4040" s="17">
        <v>50.83</v>
      </c>
      <c r="G4040" s="3">
        <v>4</v>
      </c>
      <c r="H4040" s="17">
        <f>Table1[[#This Row],[Unit price]]*Table1[[#This Row],[Quantity]]</f>
        <v>203.32</v>
      </c>
      <c r="I4040" s="29">
        <f>Table1[[#This Row],[Total Revenue]]/$H$5056*100</f>
        <v>2.1571387292604677E-2</v>
      </c>
      <c r="J4040" s="3" t="s">
        <v>12</v>
      </c>
      <c r="K4040" s="4">
        <v>4.9000000000000004</v>
      </c>
      <c r="M4040"/>
    </row>
    <row r="4041" spans="1:13" x14ac:dyDescent="0.25">
      <c r="A4041" s="2">
        <v>45454</v>
      </c>
      <c r="B4041" s="3" t="s">
        <v>243</v>
      </c>
      <c r="C4041" s="3" t="s">
        <v>9</v>
      </c>
      <c r="D4041" s="3" t="s">
        <v>19</v>
      </c>
      <c r="E4041" s="5" t="s">
        <v>18</v>
      </c>
      <c r="F4041" s="17">
        <v>17.72</v>
      </c>
      <c r="G4041" s="3">
        <v>7</v>
      </c>
      <c r="H4041" s="17">
        <f>Table1[[#This Row],[Unit price]]*Table1[[#This Row],[Quantity]]</f>
        <v>124.03999999999999</v>
      </c>
      <c r="I4041" s="29">
        <f>Table1[[#This Row],[Total Revenue]]/$H$5056*100</f>
        <v>1.3160116465545367E-2</v>
      </c>
      <c r="J4041" s="3" t="s">
        <v>15</v>
      </c>
      <c r="K4041" s="4">
        <v>8.3000000000000007</v>
      </c>
      <c r="M4041"/>
    </row>
    <row r="4042" spans="1:13" x14ac:dyDescent="0.25">
      <c r="A4042" s="2">
        <v>45454</v>
      </c>
      <c r="B4042" s="3" t="s">
        <v>243</v>
      </c>
      <c r="C4042" s="3" t="s">
        <v>13</v>
      </c>
      <c r="D4042" s="3" t="s">
        <v>19</v>
      </c>
      <c r="E4042" s="5" t="s">
        <v>11</v>
      </c>
      <c r="F4042" s="17">
        <v>4.7</v>
      </c>
      <c r="G4042" s="3">
        <v>9</v>
      </c>
      <c r="H4042" s="17">
        <f>Table1[[#This Row],[Unit price]]*Table1[[#This Row],[Quantity]]</f>
        <v>42.300000000000004</v>
      </c>
      <c r="I4042" s="29">
        <f>Table1[[#This Row],[Total Revenue]]/$H$5056*100</f>
        <v>4.4878501007140368E-3</v>
      </c>
      <c r="J4042" s="3" t="s">
        <v>12</v>
      </c>
      <c r="K4042" s="4">
        <v>4.7</v>
      </c>
      <c r="M4042"/>
    </row>
    <row r="4043" spans="1:13" x14ac:dyDescent="0.25">
      <c r="A4043" s="2">
        <v>45484</v>
      </c>
      <c r="B4043" s="3" t="s">
        <v>244</v>
      </c>
      <c r="C4043" s="3" t="s">
        <v>13</v>
      </c>
      <c r="D4043" s="3" t="s">
        <v>19</v>
      </c>
      <c r="E4043" s="5" t="s">
        <v>21</v>
      </c>
      <c r="F4043" s="17">
        <v>38.81</v>
      </c>
      <c r="G4043" s="3">
        <v>5</v>
      </c>
      <c r="H4043" s="17">
        <f>Table1[[#This Row],[Unit price]]*Table1[[#This Row],[Quantity]]</f>
        <v>194.05</v>
      </c>
      <c r="I4043" s="29">
        <f>Table1[[#This Row],[Total Revenue]]/$H$5056*100</f>
        <v>2.0587879717341818E-2</v>
      </c>
      <c r="J4043" s="3" t="s">
        <v>17</v>
      </c>
      <c r="K4043" s="4">
        <v>5.0999999999999996</v>
      </c>
      <c r="M4043"/>
    </row>
    <row r="4044" spans="1:13" x14ac:dyDescent="0.25">
      <c r="A4044" s="2">
        <v>45484</v>
      </c>
      <c r="B4044" s="3" t="s">
        <v>245</v>
      </c>
      <c r="C4044" s="3" t="s">
        <v>13</v>
      </c>
      <c r="D4044" s="3" t="s">
        <v>10</v>
      </c>
      <c r="E4044" s="5" t="s">
        <v>18</v>
      </c>
      <c r="F4044" s="17">
        <v>7.88</v>
      </c>
      <c r="G4044" s="3">
        <v>3</v>
      </c>
      <c r="H4044" s="17">
        <f>Table1[[#This Row],[Unit price]]*Table1[[#This Row],[Quantity]]</f>
        <v>23.64</v>
      </c>
      <c r="I4044" s="29">
        <f>Table1[[#This Row],[Total Revenue]]/$H$5056*100</f>
        <v>2.5081034605408943E-3</v>
      </c>
      <c r="J4044" s="3" t="s">
        <v>17</v>
      </c>
      <c r="K4044" s="4">
        <v>3.2</v>
      </c>
      <c r="M4044"/>
    </row>
    <row r="4045" spans="1:13" x14ac:dyDescent="0.25">
      <c r="A4045" s="2">
        <v>45484</v>
      </c>
      <c r="B4045" s="3" t="s">
        <v>243</v>
      </c>
      <c r="C4045" s="3" t="s">
        <v>9</v>
      </c>
      <c r="D4045" s="3" t="s">
        <v>10</v>
      </c>
      <c r="E4045" s="5" t="s">
        <v>11</v>
      </c>
      <c r="F4045" s="17">
        <v>7.92</v>
      </c>
      <c r="G4045" s="3">
        <v>1</v>
      </c>
      <c r="H4045" s="17">
        <f>Table1[[#This Row],[Unit price]]*Table1[[#This Row],[Quantity]]</f>
        <v>7.92</v>
      </c>
      <c r="I4045" s="29">
        <f>Table1[[#This Row],[Total Revenue]]/$H$5056*100</f>
        <v>8.4027831672943659E-4</v>
      </c>
      <c r="J4045" s="3" t="s">
        <v>17</v>
      </c>
      <c r="K4045" s="4">
        <v>6.7</v>
      </c>
      <c r="M4045"/>
    </row>
    <row r="4046" spans="1:13" x14ac:dyDescent="0.25">
      <c r="A4046" s="2">
        <v>45484</v>
      </c>
      <c r="B4046" s="3" t="s">
        <v>245</v>
      </c>
      <c r="C4046" s="3" t="s">
        <v>9</v>
      </c>
      <c r="D4046" s="3" t="s">
        <v>10</v>
      </c>
      <c r="E4046" s="5" t="s">
        <v>14</v>
      </c>
      <c r="F4046" s="17">
        <v>92.68</v>
      </c>
      <c r="G4046" s="3">
        <v>8</v>
      </c>
      <c r="H4046" s="17">
        <f>Table1[[#This Row],[Unit price]]*Table1[[#This Row],[Quantity]]</f>
        <v>741.44</v>
      </c>
      <c r="I4046" s="29">
        <f>Table1[[#This Row],[Total Revenue]]/$H$5056*100</f>
        <v>7.8663630701499176E-2</v>
      </c>
      <c r="J4046" s="3" t="s">
        <v>15</v>
      </c>
      <c r="K4046" s="4">
        <v>4.8</v>
      </c>
      <c r="M4046"/>
    </row>
    <row r="4047" spans="1:13" x14ac:dyDescent="0.25">
      <c r="A4047" s="2">
        <v>45484</v>
      </c>
      <c r="B4047" s="3" t="s">
        <v>244</v>
      </c>
      <c r="C4047" s="3" t="s">
        <v>9</v>
      </c>
      <c r="D4047" s="3" t="s">
        <v>19</v>
      </c>
      <c r="E4047" s="5" t="s">
        <v>21</v>
      </c>
      <c r="F4047" s="17">
        <v>29.59</v>
      </c>
      <c r="G4047" s="3">
        <v>2</v>
      </c>
      <c r="H4047" s="17">
        <f>Table1[[#This Row],[Unit price]]*Table1[[#This Row],[Quantity]]</f>
        <v>59.18</v>
      </c>
      <c r="I4047" s="29">
        <f>Table1[[#This Row],[Total Revenue]]/$H$5056*100</f>
        <v>6.2787463111171789E-3</v>
      </c>
      <c r="J4047" s="3" t="s">
        <v>12</v>
      </c>
      <c r="K4047" s="4">
        <v>4.2</v>
      </c>
      <c r="M4047"/>
    </row>
    <row r="4048" spans="1:13" x14ac:dyDescent="0.25">
      <c r="A4048" s="2">
        <v>45484</v>
      </c>
      <c r="B4048" s="3" t="s">
        <v>245</v>
      </c>
      <c r="C4048" s="3" t="s">
        <v>13</v>
      </c>
      <c r="D4048" s="3" t="s">
        <v>10</v>
      </c>
      <c r="E4048" s="5" t="s">
        <v>11</v>
      </c>
      <c r="F4048" s="17">
        <v>11.35</v>
      </c>
      <c r="G4048" s="3">
        <v>8</v>
      </c>
      <c r="H4048" s="17">
        <f>Table1[[#This Row],[Unit price]]*Table1[[#This Row],[Quantity]]</f>
        <v>90.8</v>
      </c>
      <c r="I4048" s="29">
        <f>Table1[[#This Row],[Total Revenue]]/$H$5056*100</f>
        <v>9.6334938332112187E-3</v>
      </c>
      <c r="J4048" s="3" t="s">
        <v>17</v>
      </c>
      <c r="K4048" s="4">
        <v>8.9</v>
      </c>
      <c r="M4048"/>
    </row>
    <row r="4049" spans="1:13" x14ac:dyDescent="0.25">
      <c r="A4049" s="2">
        <v>45484</v>
      </c>
      <c r="B4049" s="3" t="s">
        <v>243</v>
      </c>
      <c r="C4049" s="3" t="s">
        <v>13</v>
      </c>
      <c r="D4049" s="3" t="s">
        <v>19</v>
      </c>
      <c r="E4049" s="5" t="s">
        <v>20</v>
      </c>
      <c r="F4049" s="17">
        <v>68.34</v>
      </c>
      <c r="G4049" s="3">
        <v>7</v>
      </c>
      <c r="H4049" s="17">
        <f>Table1[[#This Row],[Unit price]]*Table1[[#This Row],[Quantity]]</f>
        <v>478.38</v>
      </c>
      <c r="I4049" s="29">
        <f>Table1[[#This Row],[Total Revenue]]/$H$5056*100</f>
        <v>5.0754083479422715E-2</v>
      </c>
      <c r="J4049" s="3" t="s">
        <v>15</v>
      </c>
      <c r="K4049" s="4">
        <v>4.0999999999999996</v>
      </c>
      <c r="M4049"/>
    </row>
    <row r="4050" spans="1:13" x14ac:dyDescent="0.25">
      <c r="A4050" s="2">
        <v>45484</v>
      </c>
      <c r="B4050" s="3" t="s">
        <v>243</v>
      </c>
      <c r="C4050" s="3" t="s">
        <v>9</v>
      </c>
      <c r="D4050" s="3" t="s">
        <v>10</v>
      </c>
      <c r="E4050" s="5" t="s">
        <v>11</v>
      </c>
      <c r="F4050" s="17">
        <v>11.18</v>
      </c>
      <c r="G4050" s="3">
        <v>7</v>
      </c>
      <c r="H4050" s="17">
        <f>Table1[[#This Row],[Unit price]]*Table1[[#This Row],[Quantity]]</f>
        <v>78.259999999999991</v>
      </c>
      <c r="I4050" s="29">
        <f>Table1[[#This Row],[Total Revenue]]/$H$5056*100</f>
        <v>8.3030531650562754E-3</v>
      </c>
      <c r="J4050" s="3" t="s">
        <v>17</v>
      </c>
      <c r="K4050" s="4">
        <v>4.7</v>
      </c>
      <c r="M4050"/>
    </row>
    <row r="4051" spans="1:13" x14ac:dyDescent="0.25">
      <c r="A4051" s="2">
        <v>45484</v>
      </c>
      <c r="B4051" s="3" t="s">
        <v>244</v>
      </c>
      <c r="C4051" s="3" t="s">
        <v>9</v>
      </c>
      <c r="D4051" s="3" t="s">
        <v>10</v>
      </c>
      <c r="E4051" s="5" t="s">
        <v>18</v>
      </c>
      <c r="F4051" s="17">
        <v>10.51</v>
      </c>
      <c r="G4051" s="3">
        <v>2</v>
      </c>
      <c r="H4051" s="17">
        <f>Table1[[#This Row],[Unit price]]*Table1[[#This Row],[Quantity]]</f>
        <v>21.02</v>
      </c>
      <c r="I4051" s="29">
        <f>Table1[[#This Row],[Total Revenue]]/$H$5056*100</f>
        <v>2.2301326032389845E-3</v>
      </c>
      <c r="J4051" s="3" t="s">
        <v>12</v>
      </c>
      <c r="K4051" s="4">
        <v>7.5</v>
      </c>
      <c r="M4051"/>
    </row>
    <row r="4052" spans="1:13" x14ac:dyDescent="0.25">
      <c r="A4052" s="2">
        <v>45484</v>
      </c>
      <c r="B4052" s="3" t="s">
        <v>245</v>
      </c>
      <c r="C4052" s="3" t="s">
        <v>13</v>
      </c>
      <c r="D4052" s="3" t="s">
        <v>10</v>
      </c>
      <c r="E4052" s="5" t="s">
        <v>14</v>
      </c>
      <c r="F4052" s="17">
        <v>90.33</v>
      </c>
      <c r="G4052" s="3">
        <v>3</v>
      </c>
      <c r="H4052" s="17">
        <f>Table1[[#This Row],[Unit price]]*Table1[[#This Row],[Quantity]]</f>
        <v>270.99</v>
      </c>
      <c r="I4052" s="29">
        <f>Table1[[#This Row],[Total Revenue]]/$H$5056*100</f>
        <v>2.8750886496276523E-2</v>
      </c>
      <c r="J4052" s="3" t="s">
        <v>15</v>
      </c>
      <c r="K4052" s="4">
        <v>3.2</v>
      </c>
      <c r="M4052"/>
    </row>
    <row r="4053" spans="1:13" x14ac:dyDescent="0.25">
      <c r="A4053" s="2">
        <v>45484</v>
      </c>
      <c r="B4053" s="3" t="s">
        <v>244</v>
      </c>
      <c r="C4053" s="3" t="s">
        <v>9</v>
      </c>
      <c r="D4053" s="3" t="s">
        <v>19</v>
      </c>
      <c r="E4053" s="5" t="s">
        <v>21</v>
      </c>
      <c r="F4053" s="17">
        <v>33.450000000000003</v>
      </c>
      <c r="G4053" s="3">
        <v>1</v>
      </c>
      <c r="H4053" s="17">
        <f>Table1[[#This Row],[Unit price]]*Table1[[#This Row],[Quantity]]</f>
        <v>33.450000000000003</v>
      </c>
      <c r="I4053" s="29">
        <f>Table1[[#This Row],[Total Revenue]]/$H$5056*100</f>
        <v>3.5489027392171285E-3</v>
      </c>
      <c r="J4053" s="3" t="s">
        <v>12</v>
      </c>
      <c r="K4053" s="4">
        <v>9.5</v>
      </c>
      <c r="M4053"/>
    </row>
    <row r="4054" spans="1:13" x14ac:dyDescent="0.25">
      <c r="A4054" s="2">
        <v>45484</v>
      </c>
      <c r="B4054" s="3" t="s">
        <v>245</v>
      </c>
      <c r="C4054" s="3" t="s">
        <v>13</v>
      </c>
      <c r="D4054" s="3" t="s">
        <v>10</v>
      </c>
      <c r="E4054" s="5" t="s">
        <v>11</v>
      </c>
      <c r="F4054" s="17">
        <v>2.12</v>
      </c>
      <c r="G4054" s="3">
        <v>10</v>
      </c>
      <c r="H4054" s="17">
        <f>Table1[[#This Row],[Unit price]]*Table1[[#This Row],[Quantity]]</f>
        <v>21.200000000000003</v>
      </c>
      <c r="I4054" s="29">
        <f>Table1[[#This Row],[Total Revenue]]/$H$5056*100</f>
        <v>2.2492298377101085E-3</v>
      </c>
      <c r="J4054" s="3" t="s">
        <v>12</v>
      </c>
      <c r="K4054" s="4">
        <v>9.1</v>
      </c>
      <c r="M4054"/>
    </row>
    <row r="4055" spans="1:13" x14ac:dyDescent="0.25">
      <c r="A4055" s="2">
        <v>45484</v>
      </c>
      <c r="B4055" s="3" t="s">
        <v>245</v>
      </c>
      <c r="C4055" s="3" t="s">
        <v>13</v>
      </c>
      <c r="D4055" s="3" t="s">
        <v>19</v>
      </c>
      <c r="E4055" s="5" t="s">
        <v>18</v>
      </c>
      <c r="F4055" s="17">
        <v>20.86</v>
      </c>
      <c r="G4055" s="3">
        <v>8</v>
      </c>
      <c r="H4055" s="17">
        <f>Table1[[#This Row],[Unit price]]*Table1[[#This Row],[Quantity]]</f>
        <v>166.88</v>
      </c>
      <c r="I4055" s="29">
        <f>Table1[[#This Row],[Total Revenue]]/$H$5056*100</f>
        <v>1.7705258269672775E-2</v>
      </c>
      <c r="J4055" s="3" t="s">
        <v>15</v>
      </c>
      <c r="K4055" s="4">
        <v>3.8</v>
      </c>
      <c r="M4055"/>
    </row>
    <row r="4056" spans="1:13" x14ac:dyDescent="0.25">
      <c r="A4056" s="2">
        <v>45484</v>
      </c>
      <c r="B4056" s="3" t="s">
        <v>243</v>
      </c>
      <c r="C4056" s="3" t="s">
        <v>13</v>
      </c>
      <c r="D4056" s="3" t="s">
        <v>19</v>
      </c>
      <c r="E4056" s="5" t="s">
        <v>21</v>
      </c>
      <c r="F4056" s="17">
        <v>24.16</v>
      </c>
      <c r="G4056" s="3">
        <v>6</v>
      </c>
      <c r="H4056" s="17">
        <f>Table1[[#This Row],[Unit price]]*Table1[[#This Row],[Quantity]]</f>
        <v>144.96</v>
      </c>
      <c r="I4056" s="29">
        <f>Table1[[#This Row],[Total Revenue]]/$H$5056*100</f>
        <v>1.5379639494078175E-2</v>
      </c>
      <c r="J4056" s="3" t="s">
        <v>12</v>
      </c>
      <c r="K4056" s="4">
        <v>7.9</v>
      </c>
      <c r="M4056"/>
    </row>
    <row r="4057" spans="1:13" x14ac:dyDescent="0.25">
      <c r="A4057" s="2">
        <v>45484</v>
      </c>
      <c r="B4057" s="3" t="s">
        <v>244</v>
      </c>
      <c r="C4057" s="3" t="s">
        <v>9</v>
      </c>
      <c r="D4057" s="3" t="s">
        <v>10</v>
      </c>
      <c r="E4057" s="5" t="s">
        <v>16</v>
      </c>
      <c r="F4057" s="17">
        <v>59.02</v>
      </c>
      <c r="G4057" s="3">
        <v>8</v>
      </c>
      <c r="H4057" s="17">
        <f>Table1[[#This Row],[Unit price]]*Table1[[#This Row],[Quantity]]</f>
        <v>472.16</v>
      </c>
      <c r="I4057" s="29">
        <f>Table1[[#This Row],[Total Revenue]]/$H$5056*100</f>
        <v>5.009416793269833E-2</v>
      </c>
      <c r="J4057" s="3" t="s">
        <v>15</v>
      </c>
      <c r="K4057" s="4">
        <v>9.5</v>
      </c>
      <c r="M4057"/>
    </row>
    <row r="4058" spans="1:13" x14ac:dyDescent="0.25">
      <c r="A4058" s="2">
        <v>45484</v>
      </c>
      <c r="B4058" s="3" t="s">
        <v>243</v>
      </c>
      <c r="C4058" s="3" t="s">
        <v>9</v>
      </c>
      <c r="D4058" s="3" t="s">
        <v>19</v>
      </c>
      <c r="E4058" s="5" t="s">
        <v>11</v>
      </c>
      <c r="F4058" s="17">
        <v>4.13</v>
      </c>
      <c r="G4058" s="3">
        <v>5</v>
      </c>
      <c r="H4058" s="17">
        <f>Table1[[#This Row],[Unit price]]*Table1[[#This Row],[Quantity]]</f>
        <v>20.65</v>
      </c>
      <c r="I4058" s="29">
        <f>Table1[[#This Row],[Total Revenue]]/$H$5056*100</f>
        <v>2.1908771768261192E-3</v>
      </c>
      <c r="J4058" s="3" t="s">
        <v>15</v>
      </c>
      <c r="K4058" s="4">
        <v>6.4</v>
      </c>
      <c r="M4058"/>
    </row>
    <row r="4059" spans="1:13" x14ac:dyDescent="0.25">
      <c r="A4059" s="2">
        <v>45515</v>
      </c>
      <c r="B4059" s="3" t="s">
        <v>243</v>
      </c>
      <c r="C4059" s="3" t="s">
        <v>13</v>
      </c>
      <c r="D4059" s="3" t="s">
        <v>19</v>
      </c>
      <c r="E4059" s="5" t="s">
        <v>16</v>
      </c>
      <c r="F4059" s="17">
        <v>72.81</v>
      </c>
      <c r="G4059" s="3">
        <v>5</v>
      </c>
      <c r="H4059" s="17">
        <f>Table1[[#This Row],[Unit price]]*Table1[[#This Row],[Quantity]]</f>
        <v>364.05</v>
      </c>
      <c r="I4059" s="29">
        <f>Table1[[#This Row],[Total Revenue]]/$H$5056*100</f>
        <v>3.8624156717847399E-2</v>
      </c>
      <c r="J4059" s="3" t="s">
        <v>15</v>
      </c>
      <c r="K4059" s="4">
        <v>9.4</v>
      </c>
      <c r="M4059"/>
    </row>
    <row r="4060" spans="1:13" x14ac:dyDescent="0.25">
      <c r="A4060" s="2">
        <v>45515</v>
      </c>
      <c r="B4060" s="3" t="s">
        <v>245</v>
      </c>
      <c r="C4060" s="3" t="s">
        <v>9</v>
      </c>
      <c r="D4060" s="3" t="s">
        <v>10</v>
      </c>
      <c r="E4060" s="5" t="s">
        <v>21</v>
      </c>
      <c r="F4060" s="17">
        <v>21.29</v>
      </c>
      <c r="G4060" s="3">
        <v>2</v>
      </c>
      <c r="H4060" s="17">
        <f>Table1[[#This Row],[Unit price]]*Table1[[#This Row],[Quantity]]</f>
        <v>42.58</v>
      </c>
      <c r="I4060" s="29">
        <f>Table1[[#This Row],[Total Revenue]]/$H$5056*100</f>
        <v>4.5175569098913392E-3</v>
      </c>
      <c r="J4060" s="3" t="s">
        <v>17</v>
      </c>
      <c r="K4060" s="4">
        <v>6.4</v>
      </c>
      <c r="M4060"/>
    </row>
    <row r="4061" spans="1:13" x14ac:dyDescent="0.25">
      <c r="A4061" s="2">
        <v>45515</v>
      </c>
      <c r="B4061" s="3" t="s">
        <v>245</v>
      </c>
      <c r="C4061" s="3" t="s">
        <v>9</v>
      </c>
      <c r="D4061" s="3" t="s">
        <v>19</v>
      </c>
      <c r="E4061" s="5" t="s">
        <v>11</v>
      </c>
      <c r="F4061" s="17">
        <v>7.1</v>
      </c>
      <c r="G4061" s="3">
        <v>2</v>
      </c>
      <c r="H4061" s="17">
        <f>Table1[[#This Row],[Unit price]]*Table1[[#This Row],[Quantity]]</f>
        <v>14.2</v>
      </c>
      <c r="I4061" s="29">
        <f>Table1[[#This Row],[Total Revenue]]/$H$5056*100</f>
        <v>1.5065596082775251E-3</v>
      </c>
      <c r="J4061" s="3" t="s">
        <v>15</v>
      </c>
      <c r="K4061" s="4">
        <v>6.8</v>
      </c>
      <c r="M4061"/>
    </row>
    <row r="4062" spans="1:13" x14ac:dyDescent="0.25">
      <c r="A4062" s="2">
        <v>45515</v>
      </c>
      <c r="B4062" s="3" t="s">
        <v>243</v>
      </c>
      <c r="C4062" s="3" t="s">
        <v>13</v>
      </c>
      <c r="D4062" s="3" t="s">
        <v>19</v>
      </c>
      <c r="E4062" s="5" t="s">
        <v>14</v>
      </c>
      <c r="F4062" s="17">
        <v>93.36</v>
      </c>
      <c r="G4062" s="3">
        <v>1</v>
      </c>
      <c r="H4062" s="17">
        <f>Table1[[#This Row],[Unit price]]*Table1[[#This Row],[Quantity]]</f>
        <v>93.36</v>
      </c>
      <c r="I4062" s="29">
        <f>Table1[[#This Row],[Total Revenue]]/$H$5056*100</f>
        <v>9.9050989456894202E-3</v>
      </c>
      <c r="J4062" s="3" t="s">
        <v>12</v>
      </c>
      <c r="K4062" s="4">
        <v>6.4</v>
      </c>
      <c r="M4062"/>
    </row>
    <row r="4063" spans="1:13" x14ac:dyDescent="0.25">
      <c r="A4063" s="2">
        <v>45515</v>
      </c>
      <c r="B4063" s="3" t="s">
        <v>243</v>
      </c>
      <c r="C4063" s="3" t="s">
        <v>9</v>
      </c>
      <c r="D4063" s="3" t="s">
        <v>10</v>
      </c>
      <c r="E4063" s="5" t="s">
        <v>18</v>
      </c>
      <c r="F4063" s="17">
        <v>6.49</v>
      </c>
      <c r="G4063" s="3">
        <v>3</v>
      </c>
      <c r="H4063" s="17">
        <f>Table1[[#This Row],[Unit price]]*Table1[[#This Row],[Quantity]]</f>
        <v>19.47</v>
      </c>
      <c r="I4063" s="29">
        <f>Table1[[#This Row],[Total Revenue]]/$H$5056*100</f>
        <v>2.0656841952931982E-3</v>
      </c>
      <c r="J4063" s="3" t="s">
        <v>12</v>
      </c>
      <c r="K4063" s="4">
        <v>8.6999999999999993</v>
      </c>
      <c r="M4063"/>
    </row>
    <row r="4064" spans="1:13" x14ac:dyDescent="0.25">
      <c r="A4064" s="2">
        <v>45515</v>
      </c>
      <c r="B4064" s="3" t="s">
        <v>243</v>
      </c>
      <c r="C4064" s="3" t="s">
        <v>9</v>
      </c>
      <c r="D4064" s="3" t="s">
        <v>19</v>
      </c>
      <c r="E4064" s="5" t="s">
        <v>14</v>
      </c>
      <c r="F4064" s="17">
        <v>92.18</v>
      </c>
      <c r="G4064" s="3">
        <v>7</v>
      </c>
      <c r="H4064" s="17">
        <f>Table1[[#This Row],[Unit price]]*Table1[[#This Row],[Quantity]]</f>
        <v>645.26</v>
      </c>
      <c r="I4064" s="29">
        <f>Table1[[#This Row],[Total Revenue]]/$H$5056*100</f>
        <v>6.8459341749095487E-2</v>
      </c>
      <c r="J4064" s="3" t="s">
        <v>15</v>
      </c>
      <c r="K4064" s="4">
        <v>3.8</v>
      </c>
      <c r="M4064"/>
    </row>
    <row r="4065" spans="1:13" x14ac:dyDescent="0.25">
      <c r="A4065" s="2">
        <v>45515</v>
      </c>
      <c r="B4065" s="3" t="s">
        <v>245</v>
      </c>
      <c r="C4065" s="3" t="s">
        <v>13</v>
      </c>
      <c r="D4065" s="3" t="s">
        <v>19</v>
      </c>
      <c r="E4065" s="5" t="s">
        <v>11</v>
      </c>
      <c r="F4065" s="17">
        <v>6.25</v>
      </c>
      <c r="G4065" s="3">
        <v>2</v>
      </c>
      <c r="H4065" s="17">
        <f>Table1[[#This Row],[Unit price]]*Table1[[#This Row],[Quantity]]</f>
        <v>12.5</v>
      </c>
      <c r="I4065" s="29">
        <f>Table1[[#This Row],[Total Revenue]]/$H$5056*100</f>
        <v>1.3261968382724694E-3</v>
      </c>
      <c r="J4065" s="3" t="s">
        <v>17</v>
      </c>
      <c r="K4065" s="4">
        <v>3.5</v>
      </c>
      <c r="M4065"/>
    </row>
    <row r="4066" spans="1:13" x14ac:dyDescent="0.25">
      <c r="A4066" s="2">
        <v>45515</v>
      </c>
      <c r="B4066" s="3" t="s">
        <v>244</v>
      </c>
      <c r="C4066" s="3" t="s">
        <v>13</v>
      </c>
      <c r="D4066" s="3" t="s">
        <v>19</v>
      </c>
      <c r="E4066" s="5" t="s">
        <v>11</v>
      </c>
      <c r="F4066" s="17">
        <v>7.14</v>
      </c>
      <c r="G4066" s="3">
        <v>5</v>
      </c>
      <c r="H4066" s="17">
        <f>Table1[[#This Row],[Unit price]]*Table1[[#This Row],[Quantity]]</f>
        <v>35.699999999999996</v>
      </c>
      <c r="I4066" s="29">
        <f>Table1[[#This Row],[Total Revenue]]/$H$5056*100</f>
        <v>3.7876181701061722E-3</v>
      </c>
      <c r="J4066" s="3" t="s">
        <v>17</v>
      </c>
      <c r="K4066" s="4">
        <v>6</v>
      </c>
      <c r="M4066"/>
    </row>
    <row r="4067" spans="1:13" x14ac:dyDescent="0.25">
      <c r="A4067" s="2">
        <v>45515</v>
      </c>
      <c r="B4067" s="3" t="s">
        <v>243</v>
      </c>
      <c r="C4067" s="3" t="s">
        <v>9</v>
      </c>
      <c r="D4067" s="3" t="s">
        <v>10</v>
      </c>
      <c r="E4067" s="5" t="s">
        <v>16</v>
      </c>
      <c r="F4067" s="17">
        <v>74.83</v>
      </c>
      <c r="G4067" s="3">
        <v>3</v>
      </c>
      <c r="H4067" s="17">
        <f>Table1[[#This Row],[Unit price]]*Table1[[#This Row],[Quantity]]</f>
        <v>224.49</v>
      </c>
      <c r="I4067" s="29">
        <f>Table1[[#This Row],[Total Revenue]]/$H$5056*100</f>
        <v>2.3817434257902934E-2</v>
      </c>
      <c r="J4067" s="3" t="s">
        <v>15</v>
      </c>
      <c r="K4067" s="4">
        <v>5</v>
      </c>
      <c r="M4067"/>
    </row>
    <row r="4068" spans="1:13" x14ac:dyDescent="0.25">
      <c r="A4068" s="2">
        <v>45515</v>
      </c>
      <c r="B4068" s="3" t="s">
        <v>244</v>
      </c>
      <c r="C4068" s="3" t="s">
        <v>9</v>
      </c>
      <c r="D4068" s="3" t="s">
        <v>10</v>
      </c>
      <c r="E4068" s="5" t="s">
        <v>11</v>
      </c>
      <c r="F4068" s="17">
        <v>12.62</v>
      </c>
      <c r="G4068" s="3">
        <v>6</v>
      </c>
      <c r="H4068" s="17">
        <f>Table1[[#This Row],[Unit price]]*Table1[[#This Row],[Quantity]]</f>
        <v>75.72</v>
      </c>
      <c r="I4068" s="29">
        <f>Table1[[#This Row],[Total Revenue]]/$H$5056*100</f>
        <v>8.0335699675193103E-3</v>
      </c>
      <c r="J4068" s="3" t="s">
        <v>17</v>
      </c>
      <c r="K4068" s="4">
        <v>8.6999999999999993</v>
      </c>
      <c r="M4068"/>
    </row>
    <row r="4069" spans="1:13" x14ac:dyDescent="0.25">
      <c r="A4069" s="2">
        <v>45515</v>
      </c>
      <c r="B4069" s="3" t="s">
        <v>245</v>
      </c>
      <c r="C4069" s="3" t="s">
        <v>9</v>
      </c>
      <c r="D4069" s="3" t="s">
        <v>10</v>
      </c>
      <c r="E4069" s="5" t="s">
        <v>20</v>
      </c>
      <c r="F4069" s="17">
        <v>68.58</v>
      </c>
      <c r="G4069" s="3">
        <v>2</v>
      </c>
      <c r="H4069" s="17">
        <f>Table1[[#This Row],[Unit price]]*Table1[[#This Row],[Quantity]]</f>
        <v>137.16</v>
      </c>
      <c r="I4069" s="29">
        <f>Table1[[#This Row],[Total Revenue]]/$H$5056*100</f>
        <v>1.4552092666996152E-2</v>
      </c>
      <c r="J4069" s="3" t="s">
        <v>17</v>
      </c>
      <c r="K4069" s="4">
        <v>7.6</v>
      </c>
      <c r="M4069"/>
    </row>
    <row r="4070" spans="1:13" x14ac:dyDescent="0.25">
      <c r="A4070" s="2">
        <v>45515</v>
      </c>
      <c r="B4070" s="3" t="s">
        <v>244</v>
      </c>
      <c r="C4070" s="3" t="s">
        <v>9</v>
      </c>
      <c r="D4070" s="3" t="s">
        <v>10</v>
      </c>
      <c r="E4070" s="5" t="s">
        <v>11</v>
      </c>
      <c r="F4070" s="17">
        <v>11.7</v>
      </c>
      <c r="G4070" s="3">
        <v>8</v>
      </c>
      <c r="H4070" s="17">
        <f>Table1[[#This Row],[Unit price]]*Table1[[#This Row],[Quantity]]</f>
        <v>93.6</v>
      </c>
      <c r="I4070" s="29">
        <f>Table1[[#This Row],[Total Revenue]]/$H$5056*100</f>
        <v>9.9305619249842516E-3</v>
      </c>
      <c r="J4070" s="3" t="s">
        <v>17</v>
      </c>
      <c r="K4070" s="4">
        <v>8.4</v>
      </c>
      <c r="M4070"/>
    </row>
    <row r="4071" spans="1:13" x14ac:dyDescent="0.25">
      <c r="A4071" s="2">
        <v>45515</v>
      </c>
      <c r="B4071" s="3" t="s">
        <v>245</v>
      </c>
      <c r="C4071" s="3" t="s">
        <v>13</v>
      </c>
      <c r="D4071" s="3" t="s">
        <v>10</v>
      </c>
      <c r="E4071" s="5" t="s">
        <v>14</v>
      </c>
      <c r="F4071" s="17">
        <v>86.56</v>
      </c>
      <c r="G4071" s="3">
        <v>7</v>
      </c>
      <c r="H4071" s="17">
        <f>Table1[[#This Row],[Unit price]]*Table1[[#This Row],[Quantity]]</f>
        <v>605.92000000000007</v>
      </c>
      <c r="I4071" s="29">
        <f>Table1[[#This Row],[Total Revenue]]/$H$5056*100</f>
        <v>6.4285535059684373E-2</v>
      </c>
      <c r="J4071" s="3" t="s">
        <v>12</v>
      </c>
      <c r="K4071" s="4">
        <v>3.5</v>
      </c>
      <c r="M4071"/>
    </row>
    <row r="4072" spans="1:13" x14ac:dyDescent="0.25">
      <c r="A4072" s="2">
        <v>45515</v>
      </c>
      <c r="B4072" s="3" t="s">
        <v>243</v>
      </c>
      <c r="C4072" s="3" t="s">
        <v>13</v>
      </c>
      <c r="D4072" s="3" t="s">
        <v>10</v>
      </c>
      <c r="E4072" s="5" t="s">
        <v>11</v>
      </c>
      <c r="F4072" s="17">
        <v>7.31</v>
      </c>
      <c r="G4072" s="3">
        <v>8</v>
      </c>
      <c r="H4072" s="17">
        <f>Table1[[#This Row],[Unit price]]*Table1[[#This Row],[Quantity]]</f>
        <v>58.48</v>
      </c>
      <c r="I4072" s="29">
        <f>Table1[[#This Row],[Total Revenue]]/$H$5056*100</f>
        <v>6.2044792881739202E-3</v>
      </c>
      <c r="J4072" s="3" t="s">
        <v>12</v>
      </c>
      <c r="K4072" s="4">
        <v>7.5</v>
      </c>
      <c r="M4072"/>
    </row>
    <row r="4073" spans="1:13" x14ac:dyDescent="0.25">
      <c r="A4073" s="2">
        <v>45515</v>
      </c>
      <c r="B4073" s="3" t="s">
        <v>244</v>
      </c>
      <c r="C4073" s="3" t="s">
        <v>13</v>
      </c>
      <c r="D4073" s="3" t="s">
        <v>10</v>
      </c>
      <c r="E4073" s="5" t="s">
        <v>11</v>
      </c>
      <c r="F4073" s="17">
        <v>7.89</v>
      </c>
      <c r="G4073" s="3">
        <v>6</v>
      </c>
      <c r="H4073" s="17">
        <f>Table1[[#This Row],[Unit price]]*Table1[[#This Row],[Quantity]]</f>
        <v>47.339999999999996</v>
      </c>
      <c r="I4073" s="29">
        <f>Table1[[#This Row],[Total Revenue]]/$H$5056*100</f>
        <v>5.022572665905496E-3</v>
      </c>
      <c r="J4073" s="3" t="s">
        <v>17</v>
      </c>
      <c r="K4073" s="4">
        <v>4.5</v>
      </c>
      <c r="M4073"/>
    </row>
    <row r="4074" spans="1:13" x14ac:dyDescent="0.25">
      <c r="A4074" s="2">
        <v>45515</v>
      </c>
      <c r="B4074" s="3" t="s">
        <v>245</v>
      </c>
      <c r="C4074" s="3" t="s">
        <v>9</v>
      </c>
      <c r="D4074" s="3" t="s">
        <v>10</v>
      </c>
      <c r="E4074" s="5" t="s">
        <v>18</v>
      </c>
      <c r="F4074" s="17">
        <v>21.72</v>
      </c>
      <c r="G4074" s="3">
        <v>8</v>
      </c>
      <c r="H4074" s="17">
        <f>Table1[[#This Row],[Unit price]]*Table1[[#This Row],[Quantity]]</f>
        <v>173.76</v>
      </c>
      <c r="I4074" s="29">
        <f>Table1[[#This Row],[Total Revenue]]/$H$5056*100</f>
        <v>1.8435197009457942E-2</v>
      </c>
      <c r="J4074" s="3" t="s">
        <v>15</v>
      </c>
      <c r="K4074" s="4">
        <v>5.4</v>
      </c>
      <c r="M4074"/>
    </row>
    <row r="4075" spans="1:13" x14ac:dyDescent="0.25">
      <c r="A4075" s="2">
        <v>45515</v>
      </c>
      <c r="B4075" s="3" t="s">
        <v>243</v>
      </c>
      <c r="C4075" s="3" t="s">
        <v>13</v>
      </c>
      <c r="D4075" s="3" t="s">
        <v>10</v>
      </c>
      <c r="E4075" s="5" t="s">
        <v>11</v>
      </c>
      <c r="F4075" s="17">
        <v>10.220000000000001</v>
      </c>
      <c r="G4075" s="3">
        <v>10</v>
      </c>
      <c r="H4075" s="17">
        <f>Table1[[#This Row],[Unit price]]*Table1[[#This Row],[Quantity]]</f>
        <v>102.2</v>
      </c>
      <c r="I4075" s="29">
        <f>Table1[[#This Row],[Total Revenue]]/$H$5056*100</f>
        <v>1.0842985349715711E-2</v>
      </c>
      <c r="J4075" s="3" t="s">
        <v>17</v>
      </c>
      <c r="K4075" s="4">
        <v>7</v>
      </c>
      <c r="M4075"/>
    </row>
    <row r="4076" spans="1:13" x14ac:dyDescent="0.25">
      <c r="A4076" s="2">
        <v>45515</v>
      </c>
      <c r="B4076" s="3" t="s">
        <v>245</v>
      </c>
      <c r="C4076" s="3" t="s">
        <v>13</v>
      </c>
      <c r="D4076" s="3" t="s">
        <v>10</v>
      </c>
      <c r="E4076" s="5" t="s">
        <v>11</v>
      </c>
      <c r="F4076" s="17">
        <v>8.25</v>
      </c>
      <c r="G4076" s="3">
        <v>7</v>
      </c>
      <c r="H4076" s="17">
        <f>Table1[[#This Row],[Unit price]]*Table1[[#This Row],[Quantity]]</f>
        <v>57.75</v>
      </c>
      <c r="I4076" s="29">
        <f>Table1[[#This Row],[Total Revenue]]/$H$5056*100</f>
        <v>6.1270293928188096E-3</v>
      </c>
      <c r="J4076" s="3" t="s">
        <v>12</v>
      </c>
      <c r="K4076" s="4">
        <v>6.4</v>
      </c>
      <c r="M4076"/>
    </row>
    <row r="4077" spans="1:13" x14ac:dyDescent="0.25">
      <c r="A4077" s="2">
        <v>45515</v>
      </c>
      <c r="B4077" s="3" t="s">
        <v>243</v>
      </c>
      <c r="C4077" s="3" t="s">
        <v>13</v>
      </c>
      <c r="D4077" s="3" t="s">
        <v>19</v>
      </c>
      <c r="E4077" s="5" t="s">
        <v>14</v>
      </c>
      <c r="F4077" s="17">
        <v>82.85</v>
      </c>
      <c r="G4077" s="3">
        <v>1</v>
      </c>
      <c r="H4077" s="17">
        <f>Table1[[#This Row],[Unit price]]*Table1[[#This Row],[Quantity]]</f>
        <v>82.85</v>
      </c>
      <c r="I4077" s="29">
        <f>Table1[[#This Row],[Total Revenue]]/$H$5056*100</f>
        <v>8.7900326440699273E-3</v>
      </c>
      <c r="J4077" s="3" t="s">
        <v>12</v>
      </c>
      <c r="K4077" s="4">
        <v>8.4</v>
      </c>
      <c r="M4077"/>
    </row>
    <row r="4078" spans="1:13" x14ac:dyDescent="0.25">
      <c r="A4078" s="2">
        <v>45515</v>
      </c>
      <c r="B4078" s="3" t="s">
        <v>243</v>
      </c>
      <c r="C4078" s="3" t="s">
        <v>9</v>
      </c>
      <c r="D4078" s="3" t="s">
        <v>19</v>
      </c>
      <c r="E4078" s="5" t="s">
        <v>11</v>
      </c>
      <c r="F4078" s="17">
        <v>14.98</v>
      </c>
      <c r="G4078" s="3">
        <v>7</v>
      </c>
      <c r="H4078" s="17">
        <f>Table1[[#This Row],[Unit price]]*Table1[[#This Row],[Quantity]]</f>
        <v>104.86</v>
      </c>
      <c r="I4078" s="29">
        <f>Table1[[#This Row],[Total Revenue]]/$H$5056*100</f>
        <v>1.1125200036900092E-2</v>
      </c>
      <c r="J4078" s="3" t="s">
        <v>12</v>
      </c>
      <c r="K4078" s="4">
        <v>6.2</v>
      </c>
      <c r="M4078"/>
    </row>
    <row r="4079" spans="1:13" x14ac:dyDescent="0.25">
      <c r="A4079" s="2">
        <v>45515</v>
      </c>
      <c r="B4079" s="3" t="s">
        <v>243</v>
      </c>
      <c r="C4079" s="3" t="s">
        <v>13</v>
      </c>
      <c r="D4079" s="3" t="s">
        <v>10</v>
      </c>
      <c r="E4079" s="5" t="s">
        <v>18</v>
      </c>
      <c r="F4079" s="17">
        <v>24.29</v>
      </c>
      <c r="G4079" s="3">
        <v>7</v>
      </c>
      <c r="H4079" s="17">
        <f>Table1[[#This Row],[Unit price]]*Table1[[#This Row],[Quantity]]</f>
        <v>170.03</v>
      </c>
      <c r="I4079" s="29">
        <f>Table1[[#This Row],[Total Revenue]]/$H$5056*100</f>
        <v>1.8039459872917437E-2</v>
      </c>
      <c r="J4079" s="3" t="s">
        <v>12</v>
      </c>
      <c r="K4079" s="4">
        <v>5</v>
      </c>
      <c r="M4079"/>
    </row>
    <row r="4080" spans="1:13" x14ac:dyDescent="0.25">
      <c r="A4080" s="2">
        <v>45515</v>
      </c>
      <c r="B4080" s="3" t="s">
        <v>243</v>
      </c>
      <c r="C4080" s="3" t="s">
        <v>13</v>
      </c>
      <c r="D4080" s="3" t="s">
        <v>19</v>
      </c>
      <c r="E4080" s="5" t="s">
        <v>21</v>
      </c>
      <c r="F4080" s="17">
        <v>36.9</v>
      </c>
      <c r="G4080" s="3">
        <v>5</v>
      </c>
      <c r="H4080" s="17">
        <f>Table1[[#This Row],[Unit price]]*Table1[[#This Row],[Quantity]]</f>
        <v>184.5</v>
      </c>
      <c r="I4080" s="29">
        <f>Table1[[#This Row],[Total Revenue]]/$H$5056*100</f>
        <v>1.9574665332901649E-2</v>
      </c>
      <c r="J4080" s="3" t="s">
        <v>15</v>
      </c>
      <c r="K4080" s="4">
        <v>6.2</v>
      </c>
      <c r="M4080"/>
    </row>
    <row r="4081" spans="1:13" x14ac:dyDescent="0.25">
      <c r="A4081" s="2">
        <v>45515</v>
      </c>
      <c r="B4081" s="3" t="s">
        <v>244</v>
      </c>
      <c r="C4081" s="3" t="s">
        <v>13</v>
      </c>
      <c r="D4081" s="3" t="s">
        <v>10</v>
      </c>
      <c r="E4081" s="5" t="s">
        <v>20</v>
      </c>
      <c r="F4081" s="17">
        <v>44.31</v>
      </c>
      <c r="G4081" s="3">
        <v>8</v>
      </c>
      <c r="H4081" s="17">
        <f>Table1[[#This Row],[Unit price]]*Table1[[#This Row],[Quantity]]</f>
        <v>354.48</v>
      </c>
      <c r="I4081" s="29">
        <f>Table1[[#This Row],[Total Revenue]]/$H$5056*100</f>
        <v>3.7608820418465999E-2</v>
      </c>
      <c r="J4081" s="3" t="s">
        <v>12</v>
      </c>
      <c r="K4081" s="4">
        <v>8.1999999999999993</v>
      </c>
      <c r="M4081"/>
    </row>
    <row r="4082" spans="1:13" x14ac:dyDescent="0.25">
      <c r="A4082" s="2">
        <v>45546</v>
      </c>
      <c r="B4082" s="3" t="s">
        <v>244</v>
      </c>
      <c r="C4082" s="3" t="s">
        <v>13</v>
      </c>
      <c r="D4082" s="3" t="s">
        <v>10</v>
      </c>
      <c r="E4082" s="5" t="s">
        <v>18</v>
      </c>
      <c r="F4082" s="17">
        <v>18.940000000000001</v>
      </c>
      <c r="G4082" s="3">
        <v>10</v>
      </c>
      <c r="H4082" s="17">
        <f>Table1[[#This Row],[Unit price]]*Table1[[#This Row],[Quantity]]</f>
        <v>189.4</v>
      </c>
      <c r="I4082" s="29">
        <f>Table1[[#This Row],[Total Revenue]]/$H$5056*100</f>
        <v>2.0094534493504457E-2</v>
      </c>
      <c r="J4082" s="3" t="s">
        <v>15</v>
      </c>
      <c r="K4082" s="4">
        <v>8.3000000000000007</v>
      </c>
      <c r="M4082"/>
    </row>
    <row r="4083" spans="1:13" x14ac:dyDescent="0.25">
      <c r="A4083" s="2">
        <v>45546</v>
      </c>
      <c r="B4083" s="3" t="s">
        <v>243</v>
      </c>
      <c r="C4083" s="3" t="s">
        <v>13</v>
      </c>
      <c r="D4083" s="3" t="s">
        <v>10</v>
      </c>
      <c r="E4083" s="5" t="s">
        <v>21</v>
      </c>
      <c r="F4083" s="17">
        <v>18.309999999999999</v>
      </c>
      <c r="G4083" s="3">
        <v>2</v>
      </c>
      <c r="H4083" s="17">
        <f>Table1[[#This Row],[Unit price]]*Table1[[#This Row],[Quantity]]</f>
        <v>36.619999999999997</v>
      </c>
      <c r="I4083" s="29">
        <f>Table1[[#This Row],[Total Revenue]]/$H$5056*100</f>
        <v>3.8852262574030263E-3</v>
      </c>
      <c r="J4083" s="3" t="s">
        <v>15</v>
      </c>
      <c r="K4083" s="4">
        <v>4.5</v>
      </c>
      <c r="M4083"/>
    </row>
    <row r="4084" spans="1:13" x14ac:dyDescent="0.25">
      <c r="A4084" s="2">
        <v>45546</v>
      </c>
      <c r="B4084" s="3" t="s">
        <v>244</v>
      </c>
      <c r="C4084" s="3" t="s">
        <v>9</v>
      </c>
      <c r="D4084" s="3" t="s">
        <v>19</v>
      </c>
      <c r="E4084" s="5" t="s">
        <v>20</v>
      </c>
      <c r="F4084" s="17">
        <v>51.86</v>
      </c>
      <c r="G4084" s="3">
        <v>9</v>
      </c>
      <c r="H4084" s="17">
        <f>Table1[[#This Row],[Unit price]]*Table1[[#This Row],[Quantity]]</f>
        <v>466.74</v>
      </c>
      <c r="I4084" s="29">
        <f>Table1[[#This Row],[Total Revenue]]/$H$5056*100</f>
        <v>4.9519128983623387E-2</v>
      </c>
      <c r="J4084" s="3" t="s">
        <v>15</v>
      </c>
      <c r="K4084" s="4">
        <v>5.2</v>
      </c>
      <c r="M4084"/>
    </row>
    <row r="4085" spans="1:13" x14ac:dyDescent="0.25">
      <c r="A4085" s="2">
        <v>45546</v>
      </c>
      <c r="B4085" s="3" t="s">
        <v>243</v>
      </c>
      <c r="C4085" s="3" t="s">
        <v>13</v>
      </c>
      <c r="D4085" s="3" t="s">
        <v>10</v>
      </c>
      <c r="E4085" s="5" t="s">
        <v>11</v>
      </c>
      <c r="F4085" s="17">
        <v>6.39</v>
      </c>
      <c r="G4085" s="3">
        <v>8</v>
      </c>
      <c r="H4085" s="17">
        <f>Table1[[#This Row],[Unit price]]*Table1[[#This Row],[Quantity]]</f>
        <v>51.12</v>
      </c>
      <c r="I4085" s="29">
        <f>Table1[[#This Row],[Total Revenue]]/$H$5056*100</f>
        <v>5.4236145897990909E-3</v>
      </c>
      <c r="J4085" s="3" t="s">
        <v>17</v>
      </c>
      <c r="K4085" s="4">
        <v>6.2</v>
      </c>
      <c r="M4085"/>
    </row>
    <row r="4086" spans="1:13" x14ac:dyDescent="0.25">
      <c r="A4086" s="2">
        <v>45546</v>
      </c>
      <c r="B4086" s="3" t="s">
        <v>243</v>
      </c>
      <c r="C4086" s="3" t="s">
        <v>13</v>
      </c>
      <c r="D4086" s="3" t="s">
        <v>10</v>
      </c>
      <c r="E4086" s="5" t="s">
        <v>11</v>
      </c>
      <c r="F4086" s="17">
        <v>6.58</v>
      </c>
      <c r="G4086" s="3">
        <v>6</v>
      </c>
      <c r="H4086" s="17">
        <f>Table1[[#This Row],[Unit price]]*Table1[[#This Row],[Quantity]]</f>
        <v>39.480000000000004</v>
      </c>
      <c r="I4086" s="29">
        <f>Table1[[#This Row],[Total Revenue]]/$H$5056*100</f>
        <v>4.1886600939997683E-3</v>
      </c>
      <c r="J4086" s="3" t="s">
        <v>15</v>
      </c>
      <c r="K4086" s="4">
        <v>3.1</v>
      </c>
      <c r="M4086"/>
    </row>
    <row r="4087" spans="1:13" x14ac:dyDescent="0.25">
      <c r="A4087" s="2">
        <v>45546</v>
      </c>
      <c r="B4087" s="3" t="s">
        <v>243</v>
      </c>
      <c r="C4087" s="3" t="s">
        <v>13</v>
      </c>
      <c r="D4087" s="3" t="s">
        <v>10</v>
      </c>
      <c r="E4087" s="5" t="s">
        <v>20</v>
      </c>
      <c r="F4087" s="17">
        <v>57.41</v>
      </c>
      <c r="G4087" s="3">
        <v>4</v>
      </c>
      <c r="H4087" s="17">
        <f>Table1[[#This Row],[Unit price]]*Table1[[#This Row],[Quantity]]</f>
        <v>229.64</v>
      </c>
      <c r="I4087" s="29">
        <f>Table1[[#This Row],[Total Revenue]]/$H$5056*100</f>
        <v>2.4363827355271189E-2</v>
      </c>
      <c r="J4087" s="3" t="s">
        <v>12</v>
      </c>
      <c r="K4087" s="4">
        <v>7.7</v>
      </c>
      <c r="M4087"/>
    </row>
    <row r="4088" spans="1:13" x14ac:dyDescent="0.25">
      <c r="A4088" s="2">
        <v>45546</v>
      </c>
      <c r="B4088" s="3" t="s">
        <v>244</v>
      </c>
      <c r="C4088" s="3" t="s">
        <v>13</v>
      </c>
      <c r="D4088" s="3" t="s">
        <v>10</v>
      </c>
      <c r="E4088" s="5" t="s">
        <v>21</v>
      </c>
      <c r="F4088" s="17">
        <v>24.57</v>
      </c>
      <c r="G4088" s="3">
        <v>3</v>
      </c>
      <c r="H4088" s="17">
        <f>Table1[[#This Row],[Unit price]]*Table1[[#This Row],[Quantity]]</f>
        <v>73.710000000000008</v>
      </c>
      <c r="I4088" s="29">
        <f>Table1[[#This Row],[Total Revenue]]/$H$5056*100</f>
        <v>7.8203175159250998E-3</v>
      </c>
      <c r="J4088" s="3" t="s">
        <v>15</v>
      </c>
      <c r="K4088" s="4">
        <v>9.8000000000000007</v>
      </c>
      <c r="M4088"/>
    </row>
    <row r="4089" spans="1:13" x14ac:dyDescent="0.25">
      <c r="A4089" s="2">
        <v>45546</v>
      </c>
      <c r="B4089" s="3" t="s">
        <v>243</v>
      </c>
      <c r="C4089" s="3" t="s">
        <v>13</v>
      </c>
      <c r="D4089" s="3" t="s">
        <v>19</v>
      </c>
      <c r="E4089" s="5" t="s">
        <v>11</v>
      </c>
      <c r="F4089" s="17">
        <v>12.89</v>
      </c>
      <c r="G4089" s="3">
        <v>8</v>
      </c>
      <c r="H4089" s="17">
        <f>Table1[[#This Row],[Unit price]]*Table1[[#This Row],[Quantity]]</f>
        <v>103.12</v>
      </c>
      <c r="I4089" s="29">
        <f>Table1[[#This Row],[Total Revenue]]/$H$5056*100</f>
        <v>1.0940593437012563E-2</v>
      </c>
      <c r="J4089" s="3" t="s">
        <v>15</v>
      </c>
      <c r="K4089" s="4">
        <v>8.9</v>
      </c>
      <c r="M4089"/>
    </row>
    <row r="4090" spans="1:13" x14ac:dyDescent="0.25">
      <c r="A4090" s="2">
        <v>45546</v>
      </c>
      <c r="B4090" s="3" t="s">
        <v>243</v>
      </c>
      <c r="C4090" s="3" t="s">
        <v>9</v>
      </c>
      <c r="D4090" s="3" t="s">
        <v>19</v>
      </c>
      <c r="E4090" s="5" t="s">
        <v>18</v>
      </c>
      <c r="F4090" s="17">
        <v>14.57</v>
      </c>
      <c r="G4090" s="3">
        <v>8</v>
      </c>
      <c r="H4090" s="17">
        <f>Table1[[#This Row],[Unit price]]*Table1[[#This Row],[Quantity]]</f>
        <v>116.56</v>
      </c>
      <c r="I4090" s="29">
        <f>Table1[[#This Row],[Total Revenue]]/$H$5056*100</f>
        <v>1.2366520277523121E-2</v>
      </c>
      <c r="J4090" s="3" t="s">
        <v>17</v>
      </c>
      <c r="K4090" s="4">
        <v>4.5999999999999996</v>
      </c>
      <c r="M4090"/>
    </row>
    <row r="4091" spans="1:13" x14ac:dyDescent="0.25">
      <c r="A4091" s="2">
        <v>45546</v>
      </c>
      <c r="B4091" s="3" t="s">
        <v>244</v>
      </c>
      <c r="C4091" s="3" t="s">
        <v>13</v>
      </c>
      <c r="D4091" s="3" t="s">
        <v>19</v>
      </c>
      <c r="E4091" s="5" t="s">
        <v>11</v>
      </c>
      <c r="F4091" s="17">
        <v>12.14</v>
      </c>
      <c r="G4091" s="3">
        <v>8</v>
      </c>
      <c r="H4091" s="17">
        <f>Table1[[#This Row],[Unit price]]*Table1[[#This Row],[Quantity]]</f>
        <v>97.12</v>
      </c>
      <c r="I4091" s="29">
        <f>Table1[[#This Row],[Total Revenue]]/$H$5056*100</f>
        <v>1.0304018954641779E-2</v>
      </c>
      <c r="J4091" s="3" t="s">
        <v>12</v>
      </c>
      <c r="K4091" s="4">
        <v>9.4</v>
      </c>
      <c r="M4091"/>
    </row>
    <row r="4092" spans="1:13" x14ac:dyDescent="0.25">
      <c r="A4092" s="2">
        <v>45546</v>
      </c>
      <c r="B4092" s="3" t="s">
        <v>243</v>
      </c>
      <c r="C4092" s="3" t="s">
        <v>13</v>
      </c>
      <c r="D4092" s="3" t="s">
        <v>19</v>
      </c>
      <c r="E4092" s="5" t="s">
        <v>14</v>
      </c>
      <c r="F4092" s="17">
        <v>80.91</v>
      </c>
      <c r="G4092" s="3">
        <v>10</v>
      </c>
      <c r="H4092" s="17">
        <f>Table1[[#This Row],[Unit price]]*Table1[[#This Row],[Quantity]]</f>
        <v>809.09999999999991</v>
      </c>
      <c r="I4092" s="29">
        <f>Table1[[#This Row],[Total Revenue]]/$H$5056*100</f>
        <v>8.5842068947700398E-2</v>
      </c>
      <c r="J4092" s="3" t="s">
        <v>12</v>
      </c>
      <c r="K4092" s="4">
        <v>6.9</v>
      </c>
      <c r="M4092"/>
    </row>
    <row r="4093" spans="1:13" x14ac:dyDescent="0.25">
      <c r="A4093" s="2">
        <v>45546</v>
      </c>
      <c r="B4093" s="3" t="s">
        <v>244</v>
      </c>
      <c r="C4093" s="3" t="s">
        <v>9</v>
      </c>
      <c r="D4093" s="3" t="s">
        <v>10</v>
      </c>
      <c r="E4093" s="5" t="s">
        <v>11</v>
      </c>
      <c r="F4093" s="17">
        <v>11.26</v>
      </c>
      <c r="G4093" s="3">
        <v>6</v>
      </c>
      <c r="H4093" s="17">
        <f>Table1[[#This Row],[Unit price]]*Table1[[#This Row],[Quantity]]</f>
        <v>67.56</v>
      </c>
      <c r="I4093" s="29">
        <f>Table1[[#This Row],[Total Revenue]]/$H$5056*100</f>
        <v>7.1678286714950429E-3</v>
      </c>
      <c r="J4093" s="3" t="s">
        <v>15</v>
      </c>
      <c r="K4093" s="4">
        <v>8.9</v>
      </c>
      <c r="M4093"/>
    </row>
    <row r="4094" spans="1:13" x14ac:dyDescent="0.25">
      <c r="A4094" s="2">
        <v>45546</v>
      </c>
      <c r="B4094" s="3" t="s">
        <v>244</v>
      </c>
      <c r="C4094" s="3" t="s">
        <v>13</v>
      </c>
      <c r="D4094" s="3" t="s">
        <v>19</v>
      </c>
      <c r="E4094" s="5" t="s">
        <v>11</v>
      </c>
      <c r="F4094" s="17">
        <v>4.26</v>
      </c>
      <c r="G4094" s="3">
        <v>9</v>
      </c>
      <c r="H4094" s="17">
        <f>Table1[[#This Row],[Unit price]]*Table1[[#This Row],[Quantity]]</f>
        <v>38.339999999999996</v>
      </c>
      <c r="I4094" s="29">
        <f>Table1[[#This Row],[Total Revenue]]/$H$5056*100</f>
        <v>4.0677109423493179E-3</v>
      </c>
      <c r="J4094" s="3" t="s">
        <v>17</v>
      </c>
      <c r="K4094" s="4">
        <v>6</v>
      </c>
      <c r="M4094"/>
    </row>
    <row r="4095" spans="1:13" x14ac:dyDescent="0.25">
      <c r="A4095" s="2">
        <v>45546</v>
      </c>
      <c r="B4095" s="3" t="s">
        <v>245</v>
      </c>
      <c r="C4095" s="3" t="s">
        <v>13</v>
      </c>
      <c r="D4095" s="3" t="s">
        <v>10</v>
      </c>
      <c r="E4095" s="5" t="s">
        <v>20</v>
      </c>
      <c r="F4095" s="17">
        <v>46.82</v>
      </c>
      <c r="G4095" s="3">
        <v>4</v>
      </c>
      <c r="H4095" s="17">
        <f>Table1[[#This Row],[Unit price]]*Table1[[#This Row],[Quantity]]</f>
        <v>187.28</v>
      </c>
      <c r="I4095" s="29">
        <f>Table1[[#This Row],[Total Revenue]]/$H$5056*100</f>
        <v>1.9869611509733445E-2</v>
      </c>
      <c r="J4095" s="3" t="s">
        <v>15</v>
      </c>
      <c r="K4095" s="4">
        <v>8.4</v>
      </c>
      <c r="M4095"/>
    </row>
    <row r="4096" spans="1:13" x14ac:dyDescent="0.25">
      <c r="A4096" s="2">
        <v>45546</v>
      </c>
      <c r="B4096" s="3" t="s">
        <v>244</v>
      </c>
      <c r="C4096" s="3" t="s">
        <v>13</v>
      </c>
      <c r="D4096" s="3" t="s">
        <v>10</v>
      </c>
      <c r="E4096" s="5" t="s">
        <v>11</v>
      </c>
      <c r="F4096" s="17">
        <v>13.85</v>
      </c>
      <c r="G4096" s="3">
        <v>6</v>
      </c>
      <c r="H4096" s="17">
        <f>Table1[[#This Row],[Unit price]]*Table1[[#This Row],[Quantity]]</f>
        <v>83.1</v>
      </c>
      <c r="I4096" s="29">
        <f>Table1[[#This Row],[Total Revenue]]/$H$5056*100</f>
        <v>8.816556580835376E-3</v>
      </c>
      <c r="J4096" s="3" t="s">
        <v>12</v>
      </c>
      <c r="K4096" s="4">
        <v>5.2</v>
      </c>
      <c r="M4096"/>
    </row>
    <row r="4097" spans="1:13" x14ac:dyDescent="0.25">
      <c r="A4097" s="2">
        <v>45546</v>
      </c>
      <c r="B4097" s="3" t="s">
        <v>245</v>
      </c>
      <c r="C4097" s="3" t="s">
        <v>9</v>
      </c>
      <c r="D4097" s="3" t="s">
        <v>10</v>
      </c>
      <c r="E4097" s="5" t="s">
        <v>20</v>
      </c>
      <c r="F4097" s="17">
        <v>49.03</v>
      </c>
      <c r="G4097" s="3">
        <v>9</v>
      </c>
      <c r="H4097" s="17">
        <f>Table1[[#This Row],[Unit price]]*Table1[[#This Row],[Quantity]]</f>
        <v>441.27</v>
      </c>
      <c r="I4097" s="29">
        <f>Table1[[#This Row],[Total Revenue]]/$H$5056*100</f>
        <v>4.68168703059594E-2</v>
      </c>
      <c r="J4097" s="3" t="s">
        <v>15</v>
      </c>
      <c r="K4097" s="4">
        <v>5.5</v>
      </c>
      <c r="M4097"/>
    </row>
    <row r="4098" spans="1:13" x14ac:dyDescent="0.25">
      <c r="A4098" s="2">
        <v>45546</v>
      </c>
      <c r="B4098" s="3" t="s">
        <v>244</v>
      </c>
      <c r="C4098" s="3" t="s">
        <v>9</v>
      </c>
      <c r="D4098" s="3" t="s">
        <v>10</v>
      </c>
      <c r="E4098" s="5" t="s">
        <v>16</v>
      </c>
      <c r="F4098" s="17">
        <v>61.62</v>
      </c>
      <c r="G4098" s="3">
        <v>1</v>
      </c>
      <c r="H4098" s="17">
        <f>Table1[[#This Row],[Unit price]]*Table1[[#This Row],[Quantity]]</f>
        <v>61.62</v>
      </c>
      <c r="I4098" s="29">
        <f>Table1[[#This Row],[Total Revenue]]/$H$5056*100</f>
        <v>6.5376199339479647E-3</v>
      </c>
      <c r="J4098" s="3" t="s">
        <v>17</v>
      </c>
      <c r="K4098" s="4">
        <v>4.5999999999999996</v>
      </c>
      <c r="M4098"/>
    </row>
    <row r="4099" spans="1:13" x14ac:dyDescent="0.25">
      <c r="A4099" s="2">
        <v>45546</v>
      </c>
      <c r="B4099" s="3" t="s">
        <v>243</v>
      </c>
      <c r="C4099" s="3" t="s">
        <v>13</v>
      </c>
      <c r="D4099" s="3" t="s">
        <v>19</v>
      </c>
      <c r="E4099" s="5" t="s">
        <v>11</v>
      </c>
      <c r="F4099" s="17">
        <v>3.81</v>
      </c>
      <c r="G4099" s="3">
        <v>5</v>
      </c>
      <c r="H4099" s="17">
        <f>Table1[[#This Row],[Unit price]]*Table1[[#This Row],[Quantity]]</f>
        <v>19.05</v>
      </c>
      <c r="I4099" s="29">
        <f>Table1[[#This Row],[Total Revenue]]/$H$5056*100</f>
        <v>2.0211239815272433E-3</v>
      </c>
      <c r="J4099" s="3" t="s">
        <v>12</v>
      </c>
      <c r="K4099" s="4">
        <v>9.4</v>
      </c>
      <c r="M4099"/>
    </row>
    <row r="4100" spans="1:13" x14ac:dyDescent="0.25">
      <c r="A4100" s="2">
        <v>45546</v>
      </c>
      <c r="B4100" s="3" t="s">
        <v>244</v>
      </c>
      <c r="C4100" s="3" t="s">
        <v>13</v>
      </c>
      <c r="D4100" s="3" t="s">
        <v>10</v>
      </c>
      <c r="E4100" s="5" t="s">
        <v>11</v>
      </c>
      <c r="F4100" s="17">
        <v>8.69</v>
      </c>
      <c r="G4100" s="3">
        <v>6</v>
      </c>
      <c r="H4100" s="17">
        <f>Table1[[#This Row],[Unit price]]*Table1[[#This Row],[Quantity]]</f>
        <v>52.14</v>
      </c>
      <c r="I4100" s="29">
        <f>Table1[[#This Row],[Total Revenue]]/$H$5056*100</f>
        <v>5.5318322518021247E-3</v>
      </c>
      <c r="J4100" s="3" t="s">
        <v>15</v>
      </c>
      <c r="K4100" s="4">
        <v>7.2</v>
      </c>
      <c r="M4100"/>
    </row>
    <row r="4101" spans="1:13" x14ac:dyDescent="0.25">
      <c r="A4101" s="2">
        <v>45546</v>
      </c>
      <c r="B4101" s="3" t="s">
        <v>245</v>
      </c>
      <c r="C4101" s="3" t="s">
        <v>9</v>
      </c>
      <c r="D4101" s="3" t="s">
        <v>10</v>
      </c>
      <c r="E4101" s="5" t="s">
        <v>16</v>
      </c>
      <c r="F4101" s="17">
        <v>58.51</v>
      </c>
      <c r="G4101" s="3">
        <v>7</v>
      </c>
      <c r="H4101" s="17">
        <f>Table1[[#This Row],[Unit price]]*Table1[[#This Row],[Quantity]]</f>
        <v>409.57</v>
      </c>
      <c r="I4101" s="29">
        <f>Table1[[#This Row],[Total Revenue]]/$H$5056*100</f>
        <v>4.3453635124100422E-2</v>
      </c>
      <c r="J4101" s="3" t="s">
        <v>17</v>
      </c>
      <c r="K4101" s="4">
        <v>5</v>
      </c>
      <c r="M4101"/>
    </row>
    <row r="4102" spans="1:13" x14ac:dyDescent="0.25">
      <c r="A4102" s="2">
        <v>45546</v>
      </c>
      <c r="B4102" s="3" t="s">
        <v>243</v>
      </c>
      <c r="C4102" s="3" t="s">
        <v>13</v>
      </c>
      <c r="D4102" s="3" t="s">
        <v>19</v>
      </c>
      <c r="E4102" s="5" t="s">
        <v>11</v>
      </c>
      <c r="F4102" s="17">
        <v>2.56</v>
      </c>
      <c r="G4102" s="3">
        <v>9</v>
      </c>
      <c r="H4102" s="17">
        <f>Table1[[#This Row],[Unit price]]*Table1[[#This Row],[Quantity]]</f>
        <v>23.04</v>
      </c>
      <c r="I4102" s="29">
        <f>Table1[[#This Row],[Total Revenue]]/$H$5056*100</f>
        <v>2.4444460123038158E-3</v>
      </c>
      <c r="J4102" s="3" t="s">
        <v>15</v>
      </c>
      <c r="K4102" s="4">
        <v>8</v>
      </c>
      <c r="M4102"/>
    </row>
    <row r="4103" spans="1:13" x14ac:dyDescent="0.25">
      <c r="A4103" s="2">
        <v>45546</v>
      </c>
      <c r="B4103" s="3" t="s">
        <v>245</v>
      </c>
      <c r="C4103" s="3" t="s">
        <v>9</v>
      </c>
      <c r="D4103" s="3" t="s">
        <v>10</v>
      </c>
      <c r="E4103" s="5" t="s">
        <v>11</v>
      </c>
      <c r="F4103" s="17">
        <v>2.4</v>
      </c>
      <c r="G4103" s="3">
        <v>7</v>
      </c>
      <c r="H4103" s="17">
        <f>Table1[[#This Row],[Unit price]]*Table1[[#This Row],[Quantity]]</f>
        <v>16.8</v>
      </c>
      <c r="I4103" s="29">
        <f>Table1[[#This Row],[Total Revenue]]/$H$5056*100</f>
        <v>1.7824085506381992E-3</v>
      </c>
      <c r="J4103" s="3" t="s">
        <v>12</v>
      </c>
      <c r="K4103" s="4">
        <v>5.0999999999999996</v>
      </c>
      <c r="M4103"/>
    </row>
    <row r="4104" spans="1:13" x14ac:dyDescent="0.25">
      <c r="A4104" s="2">
        <v>45576</v>
      </c>
      <c r="B4104" s="3" t="s">
        <v>245</v>
      </c>
      <c r="C4104" s="3" t="s">
        <v>13</v>
      </c>
      <c r="D4104" s="3" t="s">
        <v>10</v>
      </c>
      <c r="E4104" s="5" t="s">
        <v>14</v>
      </c>
      <c r="F4104" s="17">
        <v>80.790000000000006</v>
      </c>
      <c r="G4104" s="3">
        <v>1</v>
      </c>
      <c r="H4104" s="17">
        <f>Table1[[#This Row],[Unit price]]*Table1[[#This Row],[Quantity]]</f>
        <v>80.790000000000006</v>
      </c>
      <c r="I4104" s="29">
        <f>Table1[[#This Row],[Total Revenue]]/$H$5056*100</f>
        <v>8.571475405122625E-3</v>
      </c>
      <c r="J4104" s="3" t="s">
        <v>12</v>
      </c>
      <c r="K4104" s="4">
        <v>3.3</v>
      </c>
      <c r="M4104"/>
    </row>
    <row r="4105" spans="1:13" x14ac:dyDescent="0.25">
      <c r="A4105" s="2">
        <v>45576</v>
      </c>
      <c r="B4105" s="3" t="s">
        <v>245</v>
      </c>
      <c r="C4105" s="3" t="s">
        <v>13</v>
      </c>
      <c r="D4105" s="3" t="s">
        <v>10</v>
      </c>
      <c r="E4105" s="5" t="s">
        <v>11</v>
      </c>
      <c r="F4105" s="17">
        <v>2.42</v>
      </c>
      <c r="G4105" s="3">
        <v>8</v>
      </c>
      <c r="H4105" s="17">
        <f>Table1[[#This Row],[Unit price]]*Table1[[#This Row],[Quantity]]</f>
        <v>19.36</v>
      </c>
      <c r="I4105" s="29">
        <f>Table1[[#This Row],[Total Revenue]]/$H$5056*100</f>
        <v>2.0540136631164007E-3</v>
      </c>
      <c r="J4105" s="3" t="s">
        <v>15</v>
      </c>
      <c r="K4105" s="4">
        <v>7.6</v>
      </c>
      <c r="M4105"/>
    </row>
    <row r="4106" spans="1:13" x14ac:dyDescent="0.25">
      <c r="A4106" s="2">
        <v>45576</v>
      </c>
      <c r="B4106" s="3" t="s">
        <v>245</v>
      </c>
      <c r="C4106" s="3" t="s">
        <v>13</v>
      </c>
      <c r="D4106" s="3" t="s">
        <v>10</v>
      </c>
      <c r="E4106" s="5" t="s">
        <v>11</v>
      </c>
      <c r="F4106" s="17">
        <v>7.83</v>
      </c>
      <c r="G4106" s="3">
        <v>6</v>
      </c>
      <c r="H4106" s="17">
        <f>Table1[[#This Row],[Unit price]]*Table1[[#This Row],[Quantity]]</f>
        <v>46.980000000000004</v>
      </c>
      <c r="I4106" s="29">
        <f>Table1[[#This Row],[Total Revenue]]/$H$5056*100</f>
        <v>4.9843781969632498E-3</v>
      </c>
      <c r="J4106" s="3" t="s">
        <v>17</v>
      </c>
      <c r="K4106" s="4">
        <v>3.9</v>
      </c>
      <c r="M4106"/>
    </row>
    <row r="4107" spans="1:13" x14ac:dyDescent="0.25">
      <c r="A4107" s="2">
        <v>45576</v>
      </c>
      <c r="B4107" s="3" t="s">
        <v>243</v>
      </c>
      <c r="C4107" s="3" t="s">
        <v>9</v>
      </c>
      <c r="D4107" s="3" t="s">
        <v>19</v>
      </c>
      <c r="E4107" s="5" t="s">
        <v>16</v>
      </c>
      <c r="F4107" s="17">
        <v>51.78</v>
      </c>
      <c r="G4107" s="3">
        <v>8</v>
      </c>
      <c r="H4107" s="17">
        <f>Table1[[#This Row],[Unit price]]*Table1[[#This Row],[Quantity]]</f>
        <v>414.24</v>
      </c>
      <c r="I4107" s="29">
        <f>Table1[[#This Row],[Total Revenue]]/$H$5056*100</f>
        <v>4.3949102262879021E-2</v>
      </c>
      <c r="J4107" s="3" t="s">
        <v>12</v>
      </c>
      <c r="K4107" s="4">
        <v>3.3</v>
      </c>
      <c r="M4107"/>
    </row>
    <row r="4108" spans="1:13" x14ac:dyDescent="0.25">
      <c r="A4108" s="2">
        <v>45576</v>
      </c>
      <c r="B4108" s="3" t="s">
        <v>243</v>
      </c>
      <c r="C4108" s="3" t="s">
        <v>9</v>
      </c>
      <c r="D4108" s="3" t="s">
        <v>19</v>
      </c>
      <c r="E4108" s="5" t="s">
        <v>21</v>
      </c>
      <c r="F4108" s="17">
        <v>27.19</v>
      </c>
      <c r="G4108" s="3">
        <v>2</v>
      </c>
      <c r="H4108" s="17">
        <f>Table1[[#This Row],[Unit price]]*Table1[[#This Row],[Quantity]]</f>
        <v>54.38</v>
      </c>
      <c r="I4108" s="29">
        <f>Table1[[#This Row],[Total Revenue]]/$H$5056*100</f>
        <v>5.7694867252205519E-3</v>
      </c>
      <c r="J4108" s="3" t="s">
        <v>12</v>
      </c>
      <c r="K4108" s="4">
        <v>8.4</v>
      </c>
      <c r="M4108"/>
    </row>
    <row r="4109" spans="1:13" x14ac:dyDescent="0.25">
      <c r="A4109" s="2">
        <v>45576</v>
      </c>
      <c r="B4109" s="3" t="s">
        <v>244</v>
      </c>
      <c r="C4109" s="3" t="s">
        <v>9</v>
      </c>
      <c r="D4109" s="3" t="s">
        <v>10</v>
      </c>
      <c r="E4109" s="5" t="s">
        <v>11</v>
      </c>
      <c r="F4109" s="17">
        <v>8.2899999999999991</v>
      </c>
      <c r="G4109" s="3">
        <v>6</v>
      </c>
      <c r="H4109" s="17">
        <f>Table1[[#This Row],[Unit price]]*Table1[[#This Row],[Quantity]]</f>
        <v>49.739999999999995</v>
      </c>
      <c r="I4109" s="29">
        <f>Table1[[#This Row],[Total Revenue]]/$H$5056*100</f>
        <v>5.2772024588538099E-3</v>
      </c>
      <c r="J4109" s="3" t="s">
        <v>17</v>
      </c>
      <c r="K4109" s="4">
        <v>3.2</v>
      </c>
      <c r="M4109"/>
    </row>
    <row r="4110" spans="1:13" x14ac:dyDescent="0.25">
      <c r="A4110" s="2">
        <v>45576</v>
      </c>
      <c r="B4110" s="3" t="s">
        <v>245</v>
      </c>
      <c r="C4110" s="3" t="s">
        <v>13</v>
      </c>
      <c r="D4110" s="3" t="s">
        <v>19</v>
      </c>
      <c r="E4110" s="5" t="s">
        <v>21</v>
      </c>
      <c r="F4110" s="17">
        <v>17.850000000000001</v>
      </c>
      <c r="G4110" s="3">
        <v>1</v>
      </c>
      <c r="H4110" s="17">
        <f>Table1[[#This Row],[Unit price]]*Table1[[#This Row],[Quantity]]</f>
        <v>17.850000000000001</v>
      </c>
      <c r="I4110" s="29">
        <f>Table1[[#This Row],[Total Revenue]]/$H$5056*100</f>
        <v>1.8938090850530865E-3</v>
      </c>
      <c r="J4110" s="3" t="s">
        <v>15</v>
      </c>
      <c r="K4110" s="4">
        <v>5.4</v>
      </c>
      <c r="M4110"/>
    </row>
    <row r="4111" spans="1:13" x14ac:dyDescent="0.25">
      <c r="A4111" s="2">
        <v>45576</v>
      </c>
      <c r="B4111" s="3" t="s">
        <v>245</v>
      </c>
      <c r="C4111" s="3" t="s">
        <v>9</v>
      </c>
      <c r="D4111" s="3" t="s">
        <v>10</v>
      </c>
      <c r="E4111" s="5" t="s">
        <v>11</v>
      </c>
      <c r="F4111" s="17">
        <v>10.98</v>
      </c>
      <c r="G4111" s="3">
        <v>7</v>
      </c>
      <c r="H4111" s="17">
        <f>Table1[[#This Row],[Unit price]]*Table1[[#This Row],[Quantity]]</f>
        <v>76.86</v>
      </c>
      <c r="I4111" s="29">
        <f>Table1[[#This Row],[Total Revenue]]/$H$5056*100</f>
        <v>8.1545191191697598E-3</v>
      </c>
      <c r="J4111" s="3" t="s">
        <v>12</v>
      </c>
      <c r="K4111" s="4">
        <v>9.4</v>
      </c>
      <c r="M4111"/>
    </row>
    <row r="4112" spans="1:13" x14ac:dyDescent="0.25">
      <c r="A4112" s="2">
        <v>45576</v>
      </c>
      <c r="B4112" s="3" t="s">
        <v>244</v>
      </c>
      <c r="C4112" s="3" t="s">
        <v>9</v>
      </c>
      <c r="D4112" s="3" t="s">
        <v>10</v>
      </c>
      <c r="E4112" s="5" t="s">
        <v>20</v>
      </c>
      <c r="F4112" s="17">
        <v>66.12</v>
      </c>
      <c r="G4112" s="3">
        <v>9</v>
      </c>
      <c r="H4112" s="17">
        <f>Table1[[#This Row],[Unit price]]*Table1[[#This Row],[Quantity]]</f>
        <v>595.08000000000004</v>
      </c>
      <c r="I4112" s="29">
        <f>Table1[[#This Row],[Total Revenue]]/$H$5056*100</f>
        <v>6.3135457161534486E-2</v>
      </c>
      <c r="J4112" s="3" t="s">
        <v>17</v>
      </c>
      <c r="K4112" s="4">
        <v>4.2</v>
      </c>
      <c r="M4112"/>
    </row>
    <row r="4113" spans="1:13" x14ac:dyDescent="0.25">
      <c r="A4113" s="2">
        <v>45576</v>
      </c>
      <c r="B4113" s="3" t="s">
        <v>244</v>
      </c>
      <c r="C4113" s="3" t="s">
        <v>13</v>
      </c>
      <c r="D4113" s="3" t="s">
        <v>19</v>
      </c>
      <c r="E4113" s="5" t="s">
        <v>11</v>
      </c>
      <c r="F4113" s="17">
        <v>12.12</v>
      </c>
      <c r="G4113" s="3">
        <v>4</v>
      </c>
      <c r="H4113" s="17">
        <f>Table1[[#This Row],[Unit price]]*Table1[[#This Row],[Quantity]]</f>
        <v>48.48</v>
      </c>
      <c r="I4113" s="29">
        <f>Table1[[#This Row],[Total Revenue]]/$H$5056*100</f>
        <v>5.1435218175559455E-3</v>
      </c>
      <c r="J4113" s="3" t="s">
        <v>17</v>
      </c>
      <c r="K4113" s="4">
        <v>8.4</v>
      </c>
      <c r="M4113"/>
    </row>
    <row r="4114" spans="1:13" x14ac:dyDescent="0.25">
      <c r="A4114" s="2">
        <v>45576</v>
      </c>
      <c r="B4114" s="3" t="s">
        <v>244</v>
      </c>
      <c r="C4114" s="3" t="s">
        <v>13</v>
      </c>
      <c r="D4114" s="3" t="s">
        <v>19</v>
      </c>
      <c r="E4114" s="5" t="s">
        <v>20</v>
      </c>
      <c r="F4114" s="17">
        <v>62.21</v>
      </c>
      <c r="G4114" s="3">
        <v>3</v>
      </c>
      <c r="H4114" s="17">
        <f>Table1[[#This Row],[Unit price]]*Table1[[#This Row],[Quantity]]</f>
        <v>186.63</v>
      </c>
      <c r="I4114" s="29">
        <f>Table1[[#This Row],[Total Revenue]]/$H$5056*100</f>
        <v>1.9800649274143278E-2</v>
      </c>
      <c r="J4114" s="3" t="s">
        <v>15</v>
      </c>
      <c r="K4114" s="4">
        <v>3.5</v>
      </c>
      <c r="M4114"/>
    </row>
    <row r="4115" spans="1:13" x14ac:dyDescent="0.25">
      <c r="A4115" s="2">
        <v>45576</v>
      </c>
      <c r="B4115" s="3" t="s">
        <v>245</v>
      </c>
      <c r="C4115" s="3" t="s">
        <v>13</v>
      </c>
      <c r="D4115" s="3" t="s">
        <v>10</v>
      </c>
      <c r="E4115" s="5" t="s">
        <v>21</v>
      </c>
      <c r="F4115" s="17">
        <v>29.19</v>
      </c>
      <c r="G4115" s="3">
        <v>3</v>
      </c>
      <c r="H4115" s="17">
        <f>Table1[[#This Row],[Unit price]]*Table1[[#This Row],[Quantity]]</f>
        <v>87.570000000000007</v>
      </c>
      <c r="I4115" s="29">
        <f>Table1[[#This Row],[Total Revenue]]/$H$5056*100</f>
        <v>9.2908045702016131E-3</v>
      </c>
      <c r="J4115" s="3" t="s">
        <v>12</v>
      </c>
      <c r="K4115" s="4">
        <v>8.3000000000000007</v>
      </c>
      <c r="M4115"/>
    </row>
    <row r="4116" spans="1:13" x14ac:dyDescent="0.25">
      <c r="A4116" s="2">
        <v>45576</v>
      </c>
      <c r="B4116" s="3" t="s">
        <v>245</v>
      </c>
      <c r="C4116" s="3" t="s">
        <v>9</v>
      </c>
      <c r="D4116" s="3" t="s">
        <v>10</v>
      </c>
      <c r="E4116" s="5" t="s">
        <v>20</v>
      </c>
      <c r="F4116" s="17">
        <v>54.08</v>
      </c>
      <c r="G4116" s="3">
        <v>8</v>
      </c>
      <c r="H4116" s="17">
        <f>Table1[[#This Row],[Unit price]]*Table1[[#This Row],[Quantity]]</f>
        <v>432.64</v>
      </c>
      <c r="I4116" s="29">
        <f>Table1[[#This Row],[Total Revenue]]/$H$5056*100</f>
        <v>4.5901264008816091E-2</v>
      </c>
      <c r="J4116" s="3" t="s">
        <v>17</v>
      </c>
      <c r="K4116" s="4">
        <v>8.6</v>
      </c>
      <c r="M4116"/>
    </row>
    <row r="4117" spans="1:13" x14ac:dyDescent="0.25">
      <c r="A4117" s="2">
        <v>45576</v>
      </c>
      <c r="B4117" s="3" t="s">
        <v>245</v>
      </c>
      <c r="C4117" s="3" t="s">
        <v>9</v>
      </c>
      <c r="D4117" s="3" t="s">
        <v>10</v>
      </c>
      <c r="E4117" s="5" t="s">
        <v>20</v>
      </c>
      <c r="F4117" s="17">
        <v>67.540000000000006</v>
      </c>
      <c r="G4117" s="3">
        <v>8</v>
      </c>
      <c r="H4117" s="17">
        <f>Table1[[#This Row],[Unit price]]*Table1[[#This Row],[Quantity]]</f>
        <v>540.32000000000005</v>
      </c>
      <c r="I4117" s="29">
        <f>Table1[[#This Row],[Total Revenue]]/$H$5056*100</f>
        <v>5.7325654052430466E-2</v>
      </c>
      <c r="J4117" s="3" t="s">
        <v>17</v>
      </c>
      <c r="K4117" s="4">
        <v>8.9</v>
      </c>
      <c r="M4117"/>
    </row>
    <row r="4118" spans="1:13" x14ac:dyDescent="0.25">
      <c r="A4118" s="2">
        <v>45576</v>
      </c>
      <c r="B4118" s="3" t="s">
        <v>243</v>
      </c>
      <c r="C4118" s="3" t="s">
        <v>9</v>
      </c>
      <c r="D4118" s="3" t="s">
        <v>10</v>
      </c>
      <c r="E4118" s="5" t="s">
        <v>11</v>
      </c>
      <c r="F4118" s="17">
        <v>6.83</v>
      </c>
      <c r="G4118" s="3">
        <v>2</v>
      </c>
      <c r="H4118" s="17">
        <f>Table1[[#This Row],[Unit price]]*Table1[[#This Row],[Quantity]]</f>
        <v>13.66</v>
      </c>
      <c r="I4118" s="29">
        <f>Table1[[#This Row],[Total Revenue]]/$H$5056*100</f>
        <v>1.4492679048641547E-3</v>
      </c>
      <c r="J4118" s="3" t="s">
        <v>15</v>
      </c>
      <c r="K4118" s="4">
        <v>9.8000000000000007</v>
      </c>
      <c r="M4118"/>
    </row>
    <row r="4119" spans="1:13" x14ac:dyDescent="0.25">
      <c r="A4119" s="2">
        <v>45576</v>
      </c>
      <c r="B4119" s="3" t="s">
        <v>244</v>
      </c>
      <c r="C4119" s="3" t="s">
        <v>9</v>
      </c>
      <c r="D4119" s="3" t="s">
        <v>19</v>
      </c>
      <c r="E4119" s="5" t="s">
        <v>20</v>
      </c>
      <c r="F4119" s="17">
        <v>55.07</v>
      </c>
      <c r="G4119" s="3">
        <v>6</v>
      </c>
      <c r="H4119" s="17">
        <f>Table1[[#This Row],[Unit price]]*Table1[[#This Row],[Quantity]]</f>
        <v>330.42</v>
      </c>
      <c r="I4119" s="29">
        <f>Table1[[#This Row],[Total Revenue]]/$H$5056*100</f>
        <v>3.5056156744159149E-2</v>
      </c>
      <c r="J4119" s="3" t="s">
        <v>12</v>
      </c>
      <c r="K4119" s="4">
        <v>7.6</v>
      </c>
      <c r="M4119"/>
    </row>
    <row r="4120" spans="1:13" x14ac:dyDescent="0.25">
      <c r="A4120" s="2">
        <v>45576</v>
      </c>
      <c r="B4120" s="3" t="s">
        <v>245</v>
      </c>
      <c r="C4120" s="3" t="s">
        <v>13</v>
      </c>
      <c r="D4120" s="3" t="s">
        <v>19</v>
      </c>
      <c r="E4120" s="5" t="s">
        <v>11</v>
      </c>
      <c r="F4120" s="17">
        <v>12.72</v>
      </c>
      <c r="G4120" s="3">
        <v>4</v>
      </c>
      <c r="H4120" s="17">
        <f>Table1[[#This Row],[Unit price]]*Table1[[#This Row],[Quantity]]</f>
        <v>50.88</v>
      </c>
      <c r="I4120" s="29">
        <f>Table1[[#This Row],[Total Revenue]]/$H$5056*100</f>
        <v>5.3981516105042595E-3</v>
      </c>
      <c r="J4120" s="3" t="s">
        <v>17</v>
      </c>
      <c r="K4120" s="4">
        <v>4.4000000000000004</v>
      </c>
      <c r="M4120"/>
    </row>
    <row r="4121" spans="1:13" x14ac:dyDescent="0.25">
      <c r="A4121" s="2">
        <v>45576</v>
      </c>
      <c r="B4121" s="3" t="s">
        <v>243</v>
      </c>
      <c r="C4121" s="3" t="s">
        <v>13</v>
      </c>
      <c r="D4121" s="3" t="s">
        <v>19</v>
      </c>
      <c r="E4121" s="5" t="s">
        <v>11</v>
      </c>
      <c r="F4121" s="17">
        <v>2.1</v>
      </c>
      <c r="G4121" s="3">
        <v>10</v>
      </c>
      <c r="H4121" s="17">
        <f>Table1[[#This Row],[Unit price]]*Table1[[#This Row],[Quantity]]</f>
        <v>21</v>
      </c>
      <c r="I4121" s="29">
        <f>Table1[[#This Row],[Total Revenue]]/$H$5056*100</f>
        <v>2.2280106882977485E-3</v>
      </c>
      <c r="J4121" s="3" t="s">
        <v>17</v>
      </c>
      <c r="K4121" s="4">
        <v>3.6</v>
      </c>
      <c r="M4121"/>
    </row>
    <row r="4122" spans="1:13" x14ac:dyDescent="0.25">
      <c r="A4122" s="2">
        <v>45576</v>
      </c>
      <c r="B4122" s="3" t="s">
        <v>244</v>
      </c>
      <c r="C4122" s="3" t="s">
        <v>13</v>
      </c>
      <c r="D4122" s="3" t="s">
        <v>10</v>
      </c>
      <c r="E4122" s="5" t="s">
        <v>14</v>
      </c>
      <c r="F4122" s="17">
        <v>96.1</v>
      </c>
      <c r="G4122" s="3">
        <v>6</v>
      </c>
      <c r="H4122" s="17">
        <f>Table1[[#This Row],[Unit price]]*Table1[[#This Row],[Quantity]]</f>
        <v>576.59999999999991</v>
      </c>
      <c r="I4122" s="29">
        <f>Table1[[#This Row],[Total Revenue]]/$H$5056*100</f>
        <v>6.1174807755832464E-2</v>
      </c>
      <c r="J4122" s="3" t="s">
        <v>12</v>
      </c>
      <c r="K4122" s="4">
        <v>7.9</v>
      </c>
      <c r="M4122"/>
    </row>
    <row r="4123" spans="1:13" x14ac:dyDescent="0.25">
      <c r="A4123" s="2">
        <v>45576</v>
      </c>
      <c r="B4123" s="3" t="s">
        <v>244</v>
      </c>
      <c r="C4123" s="3" t="s">
        <v>9</v>
      </c>
      <c r="D4123" s="3" t="s">
        <v>19</v>
      </c>
      <c r="E4123" s="5" t="s">
        <v>11</v>
      </c>
      <c r="F4123" s="17">
        <v>2.33</v>
      </c>
      <c r="G4123" s="3">
        <v>2</v>
      </c>
      <c r="H4123" s="17">
        <f>Table1[[#This Row],[Unit price]]*Table1[[#This Row],[Quantity]]</f>
        <v>4.66</v>
      </c>
      <c r="I4123" s="29">
        <f>Table1[[#This Row],[Total Revenue]]/$H$5056*100</f>
        <v>4.9440618130797663E-4</v>
      </c>
      <c r="J4123" s="3" t="s">
        <v>15</v>
      </c>
      <c r="K4123" s="4">
        <v>4.5</v>
      </c>
      <c r="M4123"/>
    </row>
    <row r="4124" spans="1:13" x14ac:dyDescent="0.25">
      <c r="A4124" s="2">
        <v>45576</v>
      </c>
      <c r="B4124" s="3" t="s">
        <v>244</v>
      </c>
      <c r="C4124" s="3" t="s">
        <v>13</v>
      </c>
      <c r="D4124" s="3" t="s">
        <v>19</v>
      </c>
      <c r="E4124" s="5" t="s">
        <v>11</v>
      </c>
      <c r="F4124" s="17">
        <v>6.61</v>
      </c>
      <c r="G4124" s="3">
        <v>6</v>
      </c>
      <c r="H4124" s="17">
        <f>Table1[[#This Row],[Unit price]]*Table1[[#This Row],[Quantity]]</f>
        <v>39.660000000000004</v>
      </c>
      <c r="I4124" s="29">
        <f>Table1[[#This Row],[Total Revenue]]/$H$5056*100</f>
        <v>4.2077573284708914E-3</v>
      </c>
      <c r="J4124" s="3" t="s">
        <v>12</v>
      </c>
      <c r="K4124" s="4">
        <v>6.9</v>
      </c>
      <c r="M4124"/>
    </row>
    <row r="4125" spans="1:13" x14ac:dyDescent="0.25">
      <c r="A4125" s="2">
        <v>45576</v>
      </c>
      <c r="B4125" s="3" t="s">
        <v>245</v>
      </c>
      <c r="C4125" s="3" t="s">
        <v>9</v>
      </c>
      <c r="D4125" s="3" t="s">
        <v>10</v>
      </c>
      <c r="E4125" s="5" t="s">
        <v>21</v>
      </c>
      <c r="F4125" s="17">
        <v>15.31</v>
      </c>
      <c r="G4125" s="3">
        <v>7</v>
      </c>
      <c r="H4125" s="17">
        <f>Table1[[#This Row],[Unit price]]*Table1[[#This Row],[Quantity]]</f>
        <v>107.17</v>
      </c>
      <c r="I4125" s="29">
        <f>Table1[[#This Row],[Total Revenue]]/$H$5056*100</f>
        <v>1.1370281212612843E-2</v>
      </c>
      <c r="J4125" s="3" t="s">
        <v>17</v>
      </c>
      <c r="K4125" s="4">
        <v>8.4</v>
      </c>
      <c r="M4125"/>
    </row>
    <row r="4126" spans="1:13" x14ac:dyDescent="0.25">
      <c r="A4126" s="2">
        <v>45607</v>
      </c>
      <c r="B4126" s="3" t="s">
        <v>243</v>
      </c>
      <c r="C4126" s="3" t="s">
        <v>13</v>
      </c>
      <c r="D4126" s="3" t="s">
        <v>10</v>
      </c>
      <c r="E4126" s="5" t="s">
        <v>16</v>
      </c>
      <c r="F4126" s="17">
        <v>54.99</v>
      </c>
      <c r="G4126" s="3">
        <v>2</v>
      </c>
      <c r="H4126" s="17">
        <f>Table1[[#This Row],[Unit price]]*Table1[[#This Row],[Quantity]]</f>
        <v>109.98</v>
      </c>
      <c r="I4126" s="29">
        <f>Table1[[#This Row],[Total Revenue]]/$H$5056*100</f>
        <v>1.1668410261856495E-2</v>
      </c>
      <c r="J4126" s="3" t="s">
        <v>17</v>
      </c>
      <c r="K4126" s="4">
        <v>5.4</v>
      </c>
      <c r="M4126"/>
    </row>
    <row r="4127" spans="1:13" x14ac:dyDescent="0.25">
      <c r="A4127" s="2">
        <v>45607</v>
      </c>
      <c r="B4127" s="3" t="s">
        <v>245</v>
      </c>
      <c r="C4127" s="3" t="s">
        <v>9</v>
      </c>
      <c r="D4127" s="3" t="s">
        <v>19</v>
      </c>
      <c r="E4127" s="5" t="s">
        <v>20</v>
      </c>
      <c r="F4127" s="17">
        <v>68.33</v>
      </c>
      <c r="G4127" s="3">
        <v>7</v>
      </c>
      <c r="H4127" s="17">
        <f>Table1[[#This Row],[Unit price]]*Table1[[#This Row],[Quantity]]</f>
        <v>478.31</v>
      </c>
      <c r="I4127" s="29">
        <f>Table1[[#This Row],[Total Revenue]]/$H$5056*100</f>
        <v>5.0746656777128391E-2</v>
      </c>
      <c r="J4127" s="3" t="s">
        <v>15</v>
      </c>
      <c r="K4127" s="4">
        <v>7.1</v>
      </c>
      <c r="M4127"/>
    </row>
    <row r="4128" spans="1:13" x14ac:dyDescent="0.25">
      <c r="A4128" s="2">
        <v>45607</v>
      </c>
      <c r="B4128" s="3" t="s">
        <v>243</v>
      </c>
      <c r="C4128" s="3" t="s">
        <v>13</v>
      </c>
      <c r="D4128" s="3" t="s">
        <v>10</v>
      </c>
      <c r="E4128" s="5" t="s">
        <v>11</v>
      </c>
      <c r="F4128" s="17">
        <v>10.94</v>
      </c>
      <c r="G4128" s="3">
        <v>4</v>
      </c>
      <c r="H4128" s="17">
        <f>Table1[[#This Row],[Unit price]]*Table1[[#This Row],[Quantity]]</f>
        <v>43.76</v>
      </c>
      <c r="I4128" s="29">
        <f>Table1[[#This Row],[Total Revenue]]/$H$5056*100</f>
        <v>4.6427498914242606E-3</v>
      </c>
      <c r="J4128" s="3" t="s">
        <v>15</v>
      </c>
      <c r="K4128" s="4">
        <v>9.6999999999999993</v>
      </c>
      <c r="M4128"/>
    </row>
    <row r="4129" spans="1:13" x14ac:dyDescent="0.25">
      <c r="A4129" s="2">
        <v>45607</v>
      </c>
      <c r="B4129" s="3" t="s">
        <v>245</v>
      </c>
      <c r="C4129" s="3" t="s">
        <v>9</v>
      </c>
      <c r="D4129" s="3" t="s">
        <v>10</v>
      </c>
      <c r="E4129" s="5" t="s">
        <v>21</v>
      </c>
      <c r="F4129" s="17">
        <v>16.22</v>
      </c>
      <c r="G4129" s="3">
        <v>10</v>
      </c>
      <c r="H4129" s="17">
        <f>Table1[[#This Row],[Unit price]]*Table1[[#This Row],[Quantity]]</f>
        <v>162.19999999999999</v>
      </c>
      <c r="I4129" s="29">
        <f>Table1[[#This Row],[Total Revenue]]/$H$5056*100</f>
        <v>1.7208730173423562E-2</v>
      </c>
      <c r="J4129" s="3" t="s">
        <v>17</v>
      </c>
      <c r="K4129" s="4">
        <v>4.2</v>
      </c>
      <c r="M4129"/>
    </row>
    <row r="4130" spans="1:13" x14ac:dyDescent="0.25">
      <c r="A4130" s="2">
        <v>45607</v>
      </c>
      <c r="B4130" s="3" t="s">
        <v>245</v>
      </c>
      <c r="C4130" s="3" t="s">
        <v>13</v>
      </c>
      <c r="D4130" s="3" t="s">
        <v>10</v>
      </c>
      <c r="E4130" s="5" t="s">
        <v>18</v>
      </c>
      <c r="F4130" s="17">
        <v>6.3</v>
      </c>
      <c r="G4130" s="3">
        <v>5</v>
      </c>
      <c r="H4130" s="17">
        <f>Table1[[#This Row],[Unit price]]*Table1[[#This Row],[Quantity]]</f>
        <v>31.5</v>
      </c>
      <c r="I4130" s="29">
        <f>Table1[[#This Row],[Total Revenue]]/$H$5056*100</f>
        <v>3.3420160324466228E-3</v>
      </c>
      <c r="J4130" s="3" t="s">
        <v>12</v>
      </c>
      <c r="K4130" s="4">
        <v>8.4</v>
      </c>
      <c r="M4130"/>
    </row>
    <row r="4131" spans="1:13" x14ac:dyDescent="0.25">
      <c r="A4131" s="2">
        <v>45607</v>
      </c>
      <c r="B4131" s="3" t="s">
        <v>243</v>
      </c>
      <c r="C4131" s="3" t="s">
        <v>9</v>
      </c>
      <c r="D4131" s="3" t="s">
        <v>10</v>
      </c>
      <c r="E4131" s="5" t="s">
        <v>16</v>
      </c>
      <c r="F4131" s="17">
        <v>69.02</v>
      </c>
      <c r="G4131" s="3">
        <v>9</v>
      </c>
      <c r="H4131" s="17">
        <f>Table1[[#This Row],[Unit price]]*Table1[[#This Row],[Quantity]]</f>
        <v>621.17999999999995</v>
      </c>
      <c r="I4131" s="29">
        <f>Table1[[#This Row],[Total Revenue]]/$H$5056*100</f>
        <v>6.5904556159847402E-2</v>
      </c>
      <c r="J4131" s="3" t="s">
        <v>12</v>
      </c>
      <c r="K4131" s="4">
        <v>8.8000000000000007</v>
      </c>
      <c r="M4131"/>
    </row>
    <row r="4132" spans="1:13" x14ac:dyDescent="0.25">
      <c r="A4132" s="2">
        <v>45607</v>
      </c>
      <c r="B4132" s="3" t="s">
        <v>244</v>
      </c>
      <c r="C4132" s="3" t="s">
        <v>9</v>
      </c>
      <c r="D4132" s="3" t="s">
        <v>10</v>
      </c>
      <c r="E4132" s="5" t="s">
        <v>14</v>
      </c>
      <c r="F4132" s="17">
        <v>93.85</v>
      </c>
      <c r="G4132" s="3">
        <v>3</v>
      </c>
      <c r="H4132" s="17">
        <f>Table1[[#This Row],[Unit price]]*Table1[[#This Row],[Quantity]]</f>
        <v>281.54999999999995</v>
      </c>
      <c r="I4132" s="29">
        <f>Table1[[#This Row],[Total Revenue]]/$H$5056*100</f>
        <v>2.9871257585249097E-2</v>
      </c>
      <c r="J4132" s="3" t="s">
        <v>12</v>
      </c>
      <c r="K4132" s="4">
        <v>5.7</v>
      </c>
      <c r="M4132"/>
    </row>
    <row r="4133" spans="1:13" x14ac:dyDescent="0.25">
      <c r="A4133" s="2">
        <v>45607</v>
      </c>
      <c r="B4133" s="3" t="s">
        <v>243</v>
      </c>
      <c r="C4133" s="3" t="s">
        <v>13</v>
      </c>
      <c r="D4133" s="3" t="s">
        <v>10</v>
      </c>
      <c r="E4133" s="5" t="s">
        <v>20</v>
      </c>
      <c r="F4133" s="17">
        <v>67.650000000000006</v>
      </c>
      <c r="G4133" s="3">
        <v>9</v>
      </c>
      <c r="H4133" s="17">
        <f>Table1[[#This Row],[Unit price]]*Table1[[#This Row],[Quantity]]</f>
        <v>608.85</v>
      </c>
      <c r="I4133" s="29">
        <f>Table1[[#This Row],[Total Revenue]]/$H$5056*100</f>
        <v>6.4596395598575454E-2</v>
      </c>
      <c r="J4133" s="3" t="s">
        <v>15</v>
      </c>
      <c r="K4133" s="4">
        <v>9.4</v>
      </c>
      <c r="M4133"/>
    </row>
    <row r="4134" spans="1:13" x14ac:dyDescent="0.25">
      <c r="A4134" s="2">
        <v>45607</v>
      </c>
      <c r="B4134" s="3" t="s">
        <v>244</v>
      </c>
      <c r="C4134" s="3" t="s">
        <v>9</v>
      </c>
      <c r="D4134" s="3" t="s">
        <v>10</v>
      </c>
      <c r="E4134" s="5" t="s">
        <v>21</v>
      </c>
      <c r="F4134" s="17">
        <v>39.71</v>
      </c>
      <c r="G4134" s="3">
        <v>3</v>
      </c>
      <c r="H4134" s="17">
        <f>Table1[[#This Row],[Unit price]]*Table1[[#This Row],[Quantity]]</f>
        <v>119.13</v>
      </c>
      <c r="I4134" s="29">
        <f>Table1[[#This Row],[Total Revenue]]/$H$5056*100</f>
        <v>1.263918634747194E-2</v>
      </c>
      <c r="J4134" s="3" t="s">
        <v>15</v>
      </c>
      <c r="K4134" s="4">
        <v>6.9</v>
      </c>
      <c r="M4134"/>
    </row>
    <row r="4135" spans="1:13" x14ac:dyDescent="0.25">
      <c r="A4135" s="2">
        <v>45607</v>
      </c>
      <c r="B4135" s="3" t="s">
        <v>243</v>
      </c>
      <c r="C4135" s="3" t="s">
        <v>13</v>
      </c>
      <c r="D4135" s="3" t="s">
        <v>19</v>
      </c>
      <c r="E4135" s="5" t="s">
        <v>20</v>
      </c>
      <c r="F4135" s="17">
        <v>61.14</v>
      </c>
      <c r="G4135" s="3">
        <v>2</v>
      </c>
      <c r="H4135" s="17">
        <f>Table1[[#This Row],[Unit price]]*Table1[[#This Row],[Quantity]]</f>
        <v>122.28</v>
      </c>
      <c r="I4135" s="29">
        <f>Table1[[#This Row],[Total Revenue]]/$H$5056*100</f>
        <v>1.2973387950716606E-2</v>
      </c>
      <c r="J4135" s="3" t="s">
        <v>12</v>
      </c>
      <c r="K4135" s="4">
        <v>7.3</v>
      </c>
      <c r="M4135"/>
    </row>
    <row r="4136" spans="1:13" x14ac:dyDescent="0.25">
      <c r="A4136" s="2">
        <v>45607</v>
      </c>
      <c r="B4136" s="3" t="s">
        <v>243</v>
      </c>
      <c r="C4136" s="3" t="s">
        <v>13</v>
      </c>
      <c r="D4136" s="3" t="s">
        <v>10</v>
      </c>
      <c r="E4136" s="5" t="s">
        <v>16</v>
      </c>
      <c r="F4136" s="17">
        <v>52.9</v>
      </c>
      <c r="G4136" s="3">
        <v>9</v>
      </c>
      <c r="H4136" s="17">
        <f>Table1[[#This Row],[Unit price]]*Table1[[#This Row],[Quantity]]</f>
        <v>476.09999999999997</v>
      </c>
      <c r="I4136" s="29">
        <f>Table1[[#This Row],[Total Revenue]]/$H$5056*100</f>
        <v>5.0512185176121806E-2</v>
      </c>
      <c r="J4136" s="3" t="s">
        <v>12</v>
      </c>
      <c r="K4136" s="4">
        <v>5.9</v>
      </c>
      <c r="M4136"/>
    </row>
    <row r="4137" spans="1:13" x14ac:dyDescent="0.25">
      <c r="A4137" s="2">
        <v>45607</v>
      </c>
      <c r="B4137" s="3" t="s">
        <v>243</v>
      </c>
      <c r="C4137" s="3" t="s">
        <v>13</v>
      </c>
      <c r="D4137" s="3" t="s">
        <v>10</v>
      </c>
      <c r="E4137" s="5" t="s">
        <v>11</v>
      </c>
      <c r="F4137" s="17">
        <v>2.2599999999999998</v>
      </c>
      <c r="G4137" s="3">
        <v>8</v>
      </c>
      <c r="H4137" s="17">
        <f>Table1[[#This Row],[Unit price]]*Table1[[#This Row],[Quantity]]</f>
        <v>18.079999999999998</v>
      </c>
      <c r="I4137" s="29">
        <f>Table1[[#This Row],[Total Revenue]]/$H$5056*100</f>
        <v>1.9182111068772995E-3</v>
      </c>
      <c r="J4137" s="3" t="s">
        <v>17</v>
      </c>
      <c r="K4137" s="4">
        <v>5</v>
      </c>
      <c r="M4137"/>
    </row>
    <row r="4138" spans="1:13" x14ac:dyDescent="0.25">
      <c r="A4138" s="2">
        <v>45607</v>
      </c>
      <c r="B4138" s="3" t="s">
        <v>244</v>
      </c>
      <c r="C4138" s="3" t="s">
        <v>13</v>
      </c>
      <c r="D4138" s="3" t="s">
        <v>19</v>
      </c>
      <c r="E4138" s="5" t="s">
        <v>18</v>
      </c>
      <c r="F4138" s="17">
        <v>15.86</v>
      </c>
      <c r="G4138" s="3">
        <v>6</v>
      </c>
      <c r="H4138" s="17">
        <f>Table1[[#This Row],[Unit price]]*Table1[[#This Row],[Quantity]]</f>
        <v>95.16</v>
      </c>
      <c r="I4138" s="29">
        <f>Table1[[#This Row],[Total Revenue]]/$H$5056*100</f>
        <v>1.0096071290400655E-2</v>
      </c>
      <c r="J4138" s="3" t="s">
        <v>17</v>
      </c>
      <c r="K4138" s="4">
        <v>5.6</v>
      </c>
      <c r="M4138"/>
    </row>
    <row r="4139" spans="1:13" x14ac:dyDescent="0.25">
      <c r="A4139" s="2">
        <v>45607</v>
      </c>
      <c r="B4139" s="3" t="s">
        <v>244</v>
      </c>
      <c r="C4139" s="3" t="s">
        <v>9</v>
      </c>
      <c r="D4139" s="3" t="s">
        <v>19</v>
      </c>
      <c r="E4139" s="5" t="s">
        <v>11</v>
      </c>
      <c r="F4139" s="17">
        <v>7.76</v>
      </c>
      <c r="G4139" s="3">
        <v>8</v>
      </c>
      <c r="H4139" s="17">
        <f>Table1[[#This Row],[Unit price]]*Table1[[#This Row],[Quantity]]</f>
        <v>62.08</v>
      </c>
      <c r="I4139" s="29">
        <f>Table1[[#This Row],[Total Revenue]]/$H$5056*100</f>
        <v>6.5864239775963911E-3</v>
      </c>
      <c r="J4139" s="3" t="s">
        <v>17</v>
      </c>
      <c r="K4139" s="4">
        <v>7.8</v>
      </c>
      <c r="M4139"/>
    </row>
    <row r="4140" spans="1:13" x14ac:dyDescent="0.25">
      <c r="A4140" s="2">
        <v>45607</v>
      </c>
      <c r="B4140" s="3" t="s">
        <v>243</v>
      </c>
      <c r="C4140" s="3" t="s">
        <v>9</v>
      </c>
      <c r="D4140" s="3" t="s">
        <v>10</v>
      </c>
      <c r="E4140" s="5" t="s">
        <v>11</v>
      </c>
      <c r="F4140" s="17">
        <v>3.34</v>
      </c>
      <c r="G4140" s="3">
        <v>1</v>
      </c>
      <c r="H4140" s="17">
        <f>Table1[[#This Row],[Unit price]]*Table1[[#This Row],[Quantity]]</f>
        <v>3.34</v>
      </c>
      <c r="I4140" s="29">
        <f>Table1[[#This Row],[Total Revenue]]/$H$5056*100</f>
        <v>3.5435979518640381E-4</v>
      </c>
      <c r="J4140" s="3" t="s">
        <v>17</v>
      </c>
      <c r="K4140" s="4">
        <v>9.6</v>
      </c>
      <c r="M4140"/>
    </row>
    <row r="4141" spans="1:13" x14ac:dyDescent="0.25">
      <c r="A4141" s="2">
        <v>45607</v>
      </c>
      <c r="B4141" s="3" t="s">
        <v>245</v>
      </c>
      <c r="C4141" s="3" t="s">
        <v>13</v>
      </c>
      <c r="D4141" s="3" t="s">
        <v>19</v>
      </c>
      <c r="E4141" s="5" t="s">
        <v>11</v>
      </c>
      <c r="F4141" s="17">
        <v>6.76</v>
      </c>
      <c r="G4141" s="3">
        <v>8</v>
      </c>
      <c r="H4141" s="17">
        <f>Table1[[#This Row],[Unit price]]*Table1[[#This Row],[Quantity]]</f>
        <v>54.08</v>
      </c>
      <c r="I4141" s="29">
        <f>Table1[[#This Row],[Total Revenue]]/$H$5056*100</f>
        <v>5.7376580011020114E-3</v>
      </c>
      <c r="J4141" s="3" t="s">
        <v>12</v>
      </c>
      <c r="K4141" s="4">
        <v>5.3</v>
      </c>
      <c r="M4141"/>
    </row>
    <row r="4142" spans="1:13" x14ac:dyDescent="0.25">
      <c r="A4142" s="2">
        <v>45607</v>
      </c>
      <c r="B4142" s="3" t="s">
        <v>244</v>
      </c>
      <c r="C4142" s="3" t="s">
        <v>9</v>
      </c>
      <c r="D4142" s="3" t="s">
        <v>10</v>
      </c>
      <c r="E4142" s="5" t="s">
        <v>18</v>
      </c>
      <c r="F4142" s="17">
        <v>23.3</v>
      </c>
      <c r="G4142" s="3">
        <v>5</v>
      </c>
      <c r="H4142" s="17">
        <f>Table1[[#This Row],[Unit price]]*Table1[[#This Row],[Quantity]]</f>
        <v>116.5</v>
      </c>
      <c r="I4142" s="29">
        <f>Table1[[#This Row],[Total Revenue]]/$H$5056*100</f>
        <v>1.2360154532699416E-2</v>
      </c>
      <c r="J4142" s="3" t="s">
        <v>15</v>
      </c>
      <c r="K4142" s="4">
        <v>7.9</v>
      </c>
      <c r="M4142"/>
    </row>
    <row r="4143" spans="1:13" x14ac:dyDescent="0.25">
      <c r="A4143" s="2">
        <v>45607</v>
      </c>
      <c r="B4143" s="3" t="s">
        <v>245</v>
      </c>
      <c r="C4143" s="3" t="s">
        <v>13</v>
      </c>
      <c r="D4143" s="3" t="s">
        <v>10</v>
      </c>
      <c r="E4143" s="5" t="s">
        <v>20</v>
      </c>
      <c r="F4143" s="17">
        <v>52.99</v>
      </c>
      <c r="G4143" s="3">
        <v>4</v>
      </c>
      <c r="H4143" s="17">
        <f>Table1[[#This Row],[Unit price]]*Table1[[#This Row],[Quantity]]</f>
        <v>211.96</v>
      </c>
      <c r="I4143" s="29">
        <f>Table1[[#This Row],[Total Revenue]]/$H$5056*100</f>
        <v>2.2488054547218611E-2</v>
      </c>
      <c r="J4143" s="3" t="s">
        <v>17</v>
      </c>
      <c r="K4143" s="4">
        <v>8.6999999999999993</v>
      </c>
      <c r="M4143"/>
    </row>
    <row r="4144" spans="1:13" x14ac:dyDescent="0.25">
      <c r="A4144" s="2">
        <v>45607</v>
      </c>
      <c r="B4144" s="3" t="s">
        <v>244</v>
      </c>
      <c r="C4144" s="3" t="s">
        <v>13</v>
      </c>
      <c r="D4144" s="3" t="s">
        <v>19</v>
      </c>
      <c r="E4144" s="5" t="s">
        <v>14</v>
      </c>
      <c r="F4144" s="17">
        <v>97.51</v>
      </c>
      <c r="G4144" s="3">
        <v>6</v>
      </c>
      <c r="H4144" s="17">
        <f>Table1[[#This Row],[Unit price]]*Table1[[#This Row],[Quantity]]</f>
        <v>585.06000000000006</v>
      </c>
      <c r="I4144" s="29">
        <f>Table1[[#This Row],[Total Revenue]]/$H$5056*100</f>
        <v>6.2072377775975289E-2</v>
      </c>
      <c r="J4144" s="3" t="s">
        <v>15</v>
      </c>
      <c r="K4144" s="4">
        <v>9</v>
      </c>
      <c r="M4144"/>
    </row>
    <row r="4145" spans="1:13" x14ac:dyDescent="0.25">
      <c r="A4145" s="2">
        <v>45607</v>
      </c>
      <c r="B4145" s="3" t="s">
        <v>243</v>
      </c>
      <c r="C4145" s="3" t="s">
        <v>13</v>
      </c>
      <c r="D4145" s="3" t="s">
        <v>19</v>
      </c>
      <c r="E4145" s="5" t="s">
        <v>11</v>
      </c>
      <c r="F4145" s="17">
        <v>12.1</v>
      </c>
      <c r="G4145" s="3">
        <v>10</v>
      </c>
      <c r="H4145" s="17">
        <f>Table1[[#This Row],[Unit price]]*Table1[[#This Row],[Quantity]]</f>
        <v>121</v>
      </c>
      <c r="I4145" s="29">
        <f>Table1[[#This Row],[Total Revenue]]/$H$5056*100</f>
        <v>1.2837585394477505E-2</v>
      </c>
      <c r="J4145" s="3" t="s">
        <v>17</v>
      </c>
      <c r="K4145" s="4">
        <v>6.7</v>
      </c>
      <c r="M4145"/>
    </row>
    <row r="4146" spans="1:13" x14ac:dyDescent="0.25">
      <c r="A4146" s="2">
        <v>45607</v>
      </c>
      <c r="B4146" s="3" t="s">
        <v>244</v>
      </c>
      <c r="C4146" s="3" t="s">
        <v>9</v>
      </c>
      <c r="D4146" s="3" t="s">
        <v>19</v>
      </c>
      <c r="E4146" s="5" t="s">
        <v>18</v>
      </c>
      <c r="F4146" s="17">
        <v>14.74</v>
      </c>
      <c r="G4146" s="3">
        <v>1</v>
      </c>
      <c r="H4146" s="17">
        <f>Table1[[#This Row],[Unit price]]*Table1[[#This Row],[Quantity]]</f>
        <v>14.74</v>
      </c>
      <c r="I4146" s="29">
        <f>Table1[[#This Row],[Total Revenue]]/$H$5056*100</f>
        <v>1.563851311690896E-3</v>
      </c>
      <c r="J4146" s="3" t="s">
        <v>15</v>
      </c>
      <c r="K4146" s="4">
        <v>9.1</v>
      </c>
      <c r="M4146"/>
    </row>
    <row r="4147" spans="1:13" x14ac:dyDescent="0.25">
      <c r="A4147" s="2">
        <v>45607</v>
      </c>
      <c r="B4147" s="3" t="s">
        <v>244</v>
      </c>
      <c r="C4147" s="3" t="s">
        <v>13</v>
      </c>
      <c r="D4147" s="3" t="s">
        <v>19</v>
      </c>
      <c r="E4147" s="5" t="s">
        <v>11</v>
      </c>
      <c r="F4147" s="17">
        <v>6.21</v>
      </c>
      <c r="G4147" s="3">
        <v>3</v>
      </c>
      <c r="H4147" s="17">
        <f>Table1[[#This Row],[Unit price]]*Table1[[#This Row],[Quantity]]</f>
        <v>18.63</v>
      </c>
      <c r="I4147" s="29">
        <f>Table1[[#This Row],[Total Revenue]]/$H$5056*100</f>
        <v>1.9765637677612883E-3</v>
      </c>
      <c r="J4147" s="3" t="s">
        <v>12</v>
      </c>
      <c r="K4147" s="4">
        <v>8.3000000000000007</v>
      </c>
      <c r="M4147"/>
    </row>
    <row r="4148" spans="1:13" x14ac:dyDescent="0.25">
      <c r="A4148" s="2">
        <v>45607</v>
      </c>
      <c r="B4148" s="3" t="s">
        <v>243</v>
      </c>
      <c r="C4148" s="3" t="s">
        <v>9</v>
      </c>
      <c r="D4148" s="3" t="s">
        <v>19</v>
      </c>
      <c r="E4148" s="5" t="s">
        <v>18</v>
      </c>
      <c r="F4148" s="17">
        <v>5.94</v>
      </c>
      <c r="G4148" s="3">
        <v>1</v>
      </c>
      <c r="H4148" s="17">
        <f>Table1[[#This Row],[Unit price]]*Table1[[#This Row],[Quantity]]</f>
        <v>5.94</v>
      </c>
      <c r="I4148" s="29">
        <f>Table1[[#This Row],[Total Revenue]]/$H$5056*100</f>
        <v>6.302087375470775E-4</v>
      </c>
      <c r="J4148" s="3" t="s">
        <v>17</v>
      </c>
      <c r="K4148" s="4">
        <v>7.7</v>
      </c>
      <c r="M4148"/>
    </row>
    <row r="4149" spans="1:13" x14ac:dyDescent="0.25">
      <c r="A4149" s="2">
        <v>45637</v>
      </c>
      <c r="B4149" s="3" t="s">
        <v>245</v>
      </c>
      <c r="C4149" s="3" t="s">
        <v>9</v>
      </c>
      <c r="D4149" s="3" t="s">
        <v>19</v>
      </c>
      <c r="E4149" s="5" t="s">
        <v>11</v>
      </c>
      <c r="F4149" s="17">
        <v>4.4800000000000004</v>
      </c>
      <c r="G4149" s="3">
        <v>9</v>
      </c>
      <c r="H4149" s="17">
        <f>Table1[[#This Row],[Unit price]]*Table1[[#This Row],[Quantity]]</f>
        <v>40.320000000000007</v>
      </c>
      <c r="I4149" s="29">
        <f>Table1[[#This Row],[Total Revenue]]/$H$5056*100</f>
        <v>4.2777805215316782E-3</v>
      </c>
      <c r="J4149" s="3" t="s">
        <v>15</v>
      </c>
      <c r="K4149" s="4">
        <v>5.3</v>
      </c>
      <c r="M4149"/>
    </row>
    <row r="4150" spans="1:13" x14ac:dyDescent="0.25">
      <c r="A4150" s="2">
        <v>45637</v>
      </c>
      <c r="B4150" s="3" t="s">
        <v>243</v>
      </c>
      <c r="C4150" s="3" t="s">
        <v>13</v>
      </c>
      <c r="D4150" s="3" t="s">
        <v>19</v>
      </c>
      <c r="E4150" s="5" t="s">
        <v>11</v>
      </c>
      <c r="F4150" s="17">
        <v>11.67</v>
      </c>
      <c r="G4150" s="3">
        <v>1</v>
      </c>
      <c r="H4150" s="17">
        <f>Table1[[#This Row],[Unit price]]*Table1[[#This Row],[Quantity]]</f>
        <v>11.67</v>
      </c>
      <c r="I4150" s="29">
        <f>Table1[[#This Row],[Total Revenue]]/$H$5056*100</f>
        <v>1.2381373682111775E-3</v>
      </c>
      <c r="J4150" s="3" t="s">
        <v>17</v>
      </c>
      <c r="K4150" s="4">
        <v>8.9</v>
      </c>
      <c r="M4150"/>
    </row>
    <row r="4151" spans="1:13" x14ac:dyDescent="0.25">
      <c r="A4151" s="2">
        <v>45637</v>
      </c>
      <c r="B4151" s="3" t="s">
        <v>244</v>
      </c>
      <c r="C4151" s="3" t="s">
        <v>13</v>
      </c>
      <c r="D4151" s="3" t="s">
        <v>10</v>
      </c>
      <c r="E4151" s="5" t="s">
        <v>16</v>
      </c>
      <c r="F4151" s="17">
        <v>67.8</v>
      </c>
      <c r="G4151" s="3">
        <v>10</v>
      </c>
      <c r="H4151" s="17">
        <f>Table1[[#This Row],[Unit price]]*Table1[[#This Row],[Quantity]]</f>
        <v>678</v>
      </c>
      <c r="I4151" s="29">
        <f>Table1[[#This Row],[Total Revenue]]/$H$5056*100</f>
        <v>7.1932916507898736E-2</v>
      </c>
      <c r="J4151" s="3" t="s">
        <v>15</v>
      </c>
      <c r="K4151" s="4">
        <v>8.8000000000000007</v>
      </c>
      <c r="M4151"/>
    </row>
    <row r="4152" spans="1:13" x14ac:dyDescent="0.25">
      <c r="A4152" s="2">
        <v>45637</v>
      </c>
      <c r="B4152" s="3" t="s">
        <v>243</v>
      </c>
      <c r="C4152" s="3" t="s">
        <v>13</v>
      </c>
      <c r="D4152" s="3" t="s">
        <v>10</v>
      </c>
      <c r="E4152" s="5" t="s">
        <v>21</v>
      </c>
      <c r="F4152" s="17">
        <v>18.8</v>
      </c>
      <c r="G4152" s="3">
        <v>2</v>
      </c>
      <c r="H4152" s="17">
        <f>Table1[[#This Row],[Unit price]]*Table1[[#This Row],[Quantity]]</f>
        <v>37.6</v>
      </c>
      <c r="I4152" s="29">
        <f>Table1[[#This Row],[Total Revenue]]/$H$5056*100</f>
        <v>3.9892000895235882E-3</v>
      </c>
      <c r="J4152" s="3" t="s">
        <v>15</v>
      </c>
      <c r="K4152" s="4">
        <v>3.6</v>
      </c>
      <c r="M4152"/>
    </row>
    <row r="4153" spans="1:13" x14ac:dyDescent="0.25">
      <c r="A4153" s="2">
        <v>45637</v>
      </c>
      <c r="B4153" s="3" t="s">
        <v>243</v>
      </c>
      <c r="C4153" s="3" t="s">
        <v>13</v>
      </c>
      <c r="D4153" s="3" t="s">
        <v>10</v>
      </c>
      <c r="E4153" s="5" t="s">
        <v>16</v>
      </c>
      <c r="F4153" s="17">
        <v>51.89</v>
      </c>
      <c r="G4153" s="3">
        <v>1</v>
      </c>
      <c r="H4153" s="17">
        <f>Table1[[#This Row],[Unit price]]*Table1[[#This Row],[Quantity]]</f>
        <v>51.89</v>
      </c>
      <c r="I4153" s="29">
        <f>Table1[[#This Row],[Total Revenue]]/$H$5056*100</f>
        <v>5.5053083150366751E-3</v>
      </c>
      <c r="J4153" s="3" t="s">
        <v>17</v>
      </c>
      <c r="K4153" s="4">
        <v>9</v>
      </c>
      <c r="M4153"/>
    </row>
    <row r="4154" spans="1:13" x14ac:dyDescent="0.25">
      <c r="A4154" s="2">
        <v>45637</v>
      </c>
      <c r="B4154" s="3" t="s">
        <v>243</v>
      </c>
      <c r="C4154" s="3" t="s">
        <v>9</v>
      </c>
      <c r="D4154" s="3" t="s">
        <v>10</v>
      </c>
      <c r="E4154" s="5" t="s">
        <v>18</v>
      </c>
      <c r="F4154" s="17">
        <v>13.55</v>
      </c>
      <c r="G4154" s="3">
        <v>9</v>
      </c>
      <c r="H4154" s="17">
        <f>Table1[[#This Row],[Unit price]]*Table1[[#This Row],[Quantity]]</f>
        <v>121.95</v>
      </c>
      <c r="I4154" s="29">
        <f>Table1[[#This Row],[Total Revenue]]/$H$5056*100</f>
        <v>1.2938376354186211E-2</v>
      </c>
      <c r="J4154" s="3" t="s">
        <v>17</v>
      </c>
      <c r="K4154" s="4">
        <v>3.3</v>
      </c>
      <c r="M4154"/>
    </row>
    <row r="4155" spans="1:13" x14ac:dyDescent="0.25">
      <c r="A4155" s="2">
        <v>45637</v>
      </c>
      <c r="B4155" s="3" t="s">
        <v>245</v>
      </c>
      <c r="C4155" s="3" t="s">
        <v>13</v>
      </c>
      <c r="D4155" s="3" t="s">
        <v>19</v>
      </c>
      <c r="E4155" s="5" t="s">
        <v>16</v>
      </c>
      <c r="F4155" s="17">
        <v>67.28</v>
      </c>
      <c r="G4155" s="3">
        <v>7</v>
      </c>
      <c r="H4155" s="17">
        <f>Table1[[#This Row],[Unit price]]*Table1[[#This Row],[Quantity]]</f>
        <v>470.96000000000004</v>
      </c>
      <c r="I4155" s="29">
        <f>Table1[[#This Row],[Total Revenue]]/$H$5056*100</f>
        <v>4.9966853036224182E-2</v>
      </c>
      <c r="J4155" s="3" t="s">
        <v>15</v>
      </c>
      <c r="K4155" s="4">
        <v>5.9</v>
      </c>
      <c r="M4155"/>
    </row>
    <row r="4156" spans="1:13" x14ac:dyDescent="0.25">
      <c r="A4156" s="2">
        <v>45637</v>
      </c>
      <c r="B4156" s="3" t="s">
        <v>244</v>
      </c>
      <c r="C4156" s="3" t="s">
        <v>9</v>
      </c>
      <c r="D4156" s="3" t="s">
        <v>10</v>
      </c>
      <c r="E4156" s="5" t="s">
        <v>11</v>
      </c>
      <c r="F4156" s="17">
        <v>9.41</v>
      </c>
      <c r="G4156" s="3">
        <v>6</v>
      </c>
      <c r="H4156" s="17">
        <f>Table1[[#This Row],[Unit price]]*Table1[[#This Row],[Quantity]]</f>
        <v>56.46</v>
      </c>
      <c r="I4156" s="29">
        <f>Table1[[#This Row],[Total Revenue]]/$H$5056*100</f>
        <v>5.9901658791090898E-3</v>
      </c>
      <c r="J4156" s="3" t="s">
        <v>15</v>
      </c>
      <c r="K4156" s="4">
        <v>7.2</v>
      </c>
      <c r="M4156"/>
    </row>
    <row r="4157" spans="1:13" x14ac:dyDescent="0.25">
      <c r="A4157" s="2">
        <v>45637</v>
      </c>
      <c r="B4157" s="3" t="s">
        <v>245</v>
      </c>
      <c r="C4157" s="3" t="s">
        <v>13</v>
      </c>
      <c r="D4157" s="3" t="s">
        <v>10</v>
      </c>
      <c r="E4157" s="5" t="s">
        <v>20</v>
      </c>
      <c r="F4157" s="17">
        <v>40.58</v>
      </c>
      <c r="G4157" s="3">
        <v>10</v>
      </c>
      <c r="H4157" s="17">
        <f>Table1[[#This Row],[Unit price]]*Table1[[#This Row],[Quantity]]</f>
        <v>405.79999999999995</v>
      </c>
      <c r="I4157" s="29">
        <f>Table1[[#This Row],[Total Revenue]]/$H$5056*100</f>
        <v>4.3053654157677444E-2</v>
      </c>
      <c r="J4157" s="3" t="s">
        <v>12</v>
      </c>
      <c r="K4157" s="4">
        <v>7.2</v>
      </c>
      <c r="M4157"/>
    </row>
    <row r="4158" spans="1:13" x14ac:dyDescent="0.25">
      <c r="A4158" s="2">
        <v>45637</v>
      </c>
      <c r="B4158" s="3" t="s">
        <v>244</v>
      </c>
      <c r="C4158" s="3" t="s">
        <v>13</v>
      </c>
      <c r="D4158" s="3" t="s">
        <v>19</v>
      </c>
      <c r="E4158" s="5" t="s">
        <v>11</v>
      </c>
      <c r="F4158" s="17">
        <v>2.41</v>
      </c>
      <c r="G4158" s="3">
        <v>10</v>
      </c>
      <c r="H4158" s="17">
        <f>Table1[[#This Row],[Unit price]]*Table1[[#This Row],[Quantity]]</f>
        <v>24.1</v>
      </c>
      <c r="I4158" s="29">
        <f>Table1[[#This Row],[Total Revenue]]/$H$5056*100</f>
        <v>2.5569075041893211E-3</v>
      </c>
      <c r="J4158" s="3" t="s">
        <v>15</v>
      </c>
      <c r="K4158" s="4">
        <v>6.5</v>
      </c>
      <c r="M4158"/>
    </row>
    <row r="4159" spans="1:13" x14ac:dyDescent="0.25">
      <c r="A4159" s="2">
        <v>45637</v>
      </c>
      <c r="B4159" s="3" t="s">
        <v>243</v>
      </c>
      <c r="C4159" s="3" t="s">
        <v>13</v>
      </c>
      <c r="D4159" s="3" t="s">
        <v>10</v>
      </c>
      <c r="E4159" s="5" t="s">
        <v>11</v>
      </c>
      <c r="F4159" s="17">
        <v>13.35</v>
      </c>
      <c r="G4159" s="3">
        <v>3</v>
      </c>
      <c r="H4159" s="17">
        <f>Table1[[#This Row],[Unit price]]*Table1[[#This Row],[Quantity]]</f>
        <v>40.049999999999997</v>
      </c>
      <c r="I4159" s="29">
        <f>Table1[[#This Row],[Total Revenue]]/$H$5056*100</f>
        <v>4.2491346698249922E-3</v>
      </c>
      <c r="J4159" s="3" t="s">
        <v>12</v>
      </c>
      <c r="K4159" s="4">
        <v>6.7</v>
      </c>
      <c r="M4159"/>
    </row>
    <row r="4160" spans="1:13" x14ac:dyDescent="0.25">
      <c r="A4160" s="2">
        <v>45637</v>
      </c>
      <c r="B4160" s="3" t="s">
        <v>244</v>
      </c>
      <c r="C4160" s="3" t="s">
        <v>13</v>
      </c>
      <c r="D4160" s="3" t="s">
        <v>19</v>
      </c>
      <c r="E4160" s="5" t="s">
        <v>11</v>
      </c>
      <c r="F4160" s="17">
        <v>6.65</v>
      </c>
      <c r="G4160" s="3">
        <v>7</v>
      </c>
      <c r="H4160" s="17">
        <f>Table1[[#This Row],[Unit price]]*Table1[[#This Row],[Quantity]]</f>
        <v>46.550000000000004</v>
      </c>
      <c r="I4160" s="29">
        <f>Table1[[#This Row],[Total Revenue]]/$H$5056*100</f>
        <v>4.9387570257266771E-3</v>
      </c>
      <c r="J4160" s="3" t="s">
        <v>17</v>
      </c>
      <c r="K4160" s="4">
        <v>8.4</v>
      </c>
      <c r="M4160"/>
    </row>
    <row r="4161" spans="1:13" x14ac:dyDescent="0.25">
      <c r="A4161" s="2">
        <v>45637</v>
      </c>
      <c r="B4161" s="3" t="s">
        <v>244</v>
      </c>
      <c r="C4161" s="3" t="s">
        <v>13</v>
      </c>
      <c r="D4161" s="3" t="s">
        <v>10</v>
      </c>
      <c r="E4161" s="5" t="s">
        <v>21</v>
      </c>
      <c r="F4161" s="17">
        <v>30.78</v>
      </c>
      <c r="G4161" s="3">
        <v>3</v>
      </c>
      <c r="H4161" s="17">
        <f>Table1[[#This Row],[Unit price]]*Table1[[#This Row],[Quantity]]</f>
        <v>92.34</v>
      </c>
      <c r="I4161" s="29">
        <f>Table1[[#This Row],[Total Revenue]]/$H$5056*100</f>
        <v>9.7968812836863872E-3</v>
      </c>
      <c r="J4161" s="3" t="s">
        <v>17</v>
      </c>
      <c r="K4161" s="4">
        <v>9.6</v>
      </c>
      <c r="M4161"/>
    </row>
    <row r="4162" spans="1:13" x14ac:dyDescent="0.25">
      <c r="A4162" s="2">
        <v>45637</v>
      </c>
      <c r="B4162" s="3" t="s">
        <v>243</v>
      </c>
      <c r="C4162" s="3" t="s">
        <v>9</v>
      </c>
      <c r="D4162" s="3" t="s">
        <v>10</v>
      </c>
      <c r="E4162" s="5" t="s">
        <v>11</v>
      </c>
      <c r="F4162" s="17">
        <v>14.43</v>
      </c>
      <c r="G4162" s="3">
        <v>9</v>
      </c>
      <c r="H4162" s="17">
        <f>Table1[[#This Row],[Unit price]]*Table1[[#This Row],[Quantity]]</f>
        <v>129.87</v>
      </c>
      <c r="I4162" s="29">
        <f>Table1[[#This Row],[Total Revenue]]/$H$5056*100</f>
        <v>1.3778654670915651E-2</v>
      </c>
      <c r="J4162" s="3" t="s">
        <v>15</v>
      </c>
      <c r="K4162" s="4">
        <v>3.7</v>
      </c>
      <c r="M4162"/>
    </row>
    <row r="4163" spans="1:13" x14ac:dyDescent="0.25">
      <c r="A4163" s="2">
        <v>45637</v>
      </c>
      <c r="B4163" s="3" t="s">
        <v>243</v>
      </c>
      <c r="C4163" s="3" t="s">
        <v>13</v>
      </c>
      <c r="D4163" s="3" t="s">
        <v>10</v>
      </c>
      <c r="E4163" s="5" t="s">
        <v>18</v>
      </c>
      <c r="F4163" s="17">
        <v>20.07</v>
      </c>
      <c r="G4163" s="3">
        <v>2</v>
      </c>
      <c r="H4163" s="17">
        <f>Table1[[#This Row],[Unit price]]*Table1[[#This Row],[Quantity]]</f>
        <v>40.14</v>
      </c>
      <c r="I4163" s="29">
        <f>Table1[[#This Row],[Total Revenue]]/$H$5056*100</f>
        <v>4.2586832870605542E-3</v>
      </c>
      <c r="J4163" s="3" t="s">
        <v>12</v>
      </c>
      <c r="K4163" s="4">
        <v>4.0999999999999996</v>
      </c>
      <c r="M4163"/>
    </row>
    <row r="4164" spans="1:13" x14ac:dyDescent="0.25">
      <c r="A4164" s="2">
        <v>45637</v>
      </c>
      <c r="B4164" s="3" t="s">
        <v>243</v>
      </c>
      <c r="C4164" s="3" t="s">
        <v>13</v>
      </c>
      <c r="D4164" s="3" t="s">
        <v>10</v>
      </c>
      <c r="E4164" s="5" t="s">
        <v>11</v>
      </c>
      <c r="F4164" s="17">
        <v>2.0499999999999998</v>
      </c>
      <c r="G4164" s="3">
        <v>6</v>
      </c>
      <c r="H4164" s="17">
        <f>Table1[[#This Row],[Unit price]]*Table1[[#This Row],[Quantity]]</f>
        <v>12.299999999999999</v>
      </c>
      <c r="I4164" s="29">
        <f>Table1[[#This Row],[Total Revenue]]/$H$5056*100</f>
        <v>1.3049776888601099E-3</v>
      </c>
      <c r="J4164" s="3" t="s">
        <v>17</v>
      </c>
      <c r="K4164" s="4">
        <v>8.1</v>
      </c>
      <c r="M4164"/>
    </row>
    <row r="4165" spans="1:13" x14ac:dyDescent="0.25">
      <c r="A4165" s="3" t="s">
        <v>206</v>
      </c>
      <c r="B4165" s="3" t="s">
        <v>243</v>
      </c>
      <c r="C4165" s="3" t="s">
        <v>9</v>
      </c>
      <c r="D4165" s="3" t="s">
        <v>19</v>
      </c>
      <c r="E4165" s="5" t="s">
        <v>21</v>
      </c>
      <c r="F4165" s="17">
        <v>17.77</v>
      </c>
      <c r="G4165" s="3">
        <v>2</v>
      </c>
      <c r="H4165" s="17">
        <f>Table1[[#This Row],[Unit price]]*Table1[[#This Row],[Quantity]]</f>
        <v>35.54</v>
      </c>
      <c r="I4165" s="29">
        <f>Table1[[#This Row],[Total Revenue]]/$H$5056*100</f>
        <v>3.770642850576285E-3</v>
      </c>
      <c r="J4165" s="3" t="s">
        <v>17</v>
      </c>
      <c r="K4165" s="4">
        <v>9.3000000000000007</v>
      </c>
      <c r="M4165"/>
    </row>
    <row r="4166" spans="1:13" x14ac:dyDescent="0.25">
      <c r="A4166" s="3" t="s">
        <v>206</v>
      </c>
      <c r="B4166" s="3" t="s">
        <v>244</v>
      </c>
      <c r="C4166" s="3" t="s">
        <v>9</v>
      </c>
      <c r="D4166" s="3" t="s">
        <v>19</v>
      </c>
      <c r="E4166" s="5" t="s">
        <v>18</v>
      </c>
      <c r="F4166" s="17">
        <v>13.56</v>
      </c>
      <c r="G4166" s="3">
        <v>9</v>
      </c>
      <c r="H4166" s="17">
        <f>Table1[[#This Row],[Unit price]]*Table1[[#This Row],[Quantity]]</f>
        <v>122.04</v>
      </c>
      <c r="I4166" s="29">
        <f>Table1[[#This Row],[Total Revenue]]/$H$5056*100</f>
        <v>1.2947924971421776E-2</v>
      </c>
      <c r="J4166" s="3" t="s">
        <v>17</v>
      </c>
      <c r="K4166" s="4">
        <v>3.6</v>
      </c>
      <c r="M4166"/>
    </row>
    <row r="4167" spans="1:13" x14ac:dyDescent="0.25">
      <c r="A4167" s="3" t="s">
        <v>206</v>
      </c>
      <c r="B4167" s="3" t="s">
        <v>244</v>
      </c>
      <c r="C4167" s="3" t="s">
        <v>13</v>
      </c>
      <c r="D4167" s="3" t="s">
        <v>19</v>
      </c>
      <c r="E4167" s="5" t="s">
        <v>20</v>
      </c>
      <c r="F4167" s="17">
        <v>48.83</v>
      </c>
      <c r="G4167" s="3">
        <v>9</v>
      </c>
      <c r="H4167" s="17">
        <f>Table1[[#This Row],[Unit price]]*Table1[[#This Row],[Quantity]]</f>
        <v>439.46999999999997</v>
      </c>
      <c r="I4167" s="29">
        <f>Table1[[#This Row],[Total Revenue]]/$H$5056*100</f>
        <v>4.6625897961248171E-2</v>
      </c>
      <c r="J4167" s="3" t="s">
        <v>17</v>
      </c>
      <c r="K4167" s="4">
        <v>6.7</v>
      </c>
      <c r="M4167"/>
    </row>
    <row r="4168" spans="1:13" x14ac:dyDescent="0.25">
      <c r="A4168" s="3" t="s">
        <v>206</v>
      </c>
      <c r="B4168" s="3" t="s">
        <v>243</v>
      </c>
      <c r="C4168" s="3" t="s">
        <v>9</v>
      </c>
      <c r="D4168" s="3" t="s">
        <v>10</v>
      </c>
      <c r="E4168" s="5" t="s">
        <v>20</v>
      </c>
      <c r="F4168" s="17">
        <v>61.09</v>
      </c>
      <c r="G4168" s="3">
        <v>10</v>
      </c>
      <c r="H4168" s="17">
        <f>Table1[[#This Row],[Unit price]]*Table1[[#This Row],[Quantity]]</f>
        <v>610.90000000000009</v>
      </c>
      <c r="I4168" s="29">
        <f>Table1[[#This Row],[Total Revenue]]/$H$5056*100</f>
        <v>6.4813891880052141E-2</v>
      </c>
      <c r="J4168" s="3" t="s">
        <v>15</v>
      </c>
      <c r="K4168" s="4">
        <v>3.5</v>
      </c>
      <c r="M4168"/>
    </row>
    <row r="4169" spans="1:13" x14ac:dyDescent="0.25">
      <c r="A4169" s="3" t="s">
        <v>206</v>
      </c>
      <c r="B4169" s="3" t="s">
        <v>244</v>
      </c>
      <c r="C4169" s="3" t="s">
        <v>9</v>
      </c>
      <c r="D4169" s="3" t="s">
        <v>10</v>
      </c>
      <c r="E4169" s="5" t="s">
        <v>18</v>
      </c>
      <c r="F4169" s="17">
        <v>16.95</v>
      </c>
      <c r="G4169" s="3">
        <v>5</v>
      </c>
      <c r="H4169" s="17">
        <f>Table1[[#This Row],[Unit price]]*Table1[[#This Row],[Quantity]]</f>
        <v>84.75</v>
      </c>
      <c r="I4169" s="29">
        <f>Table1[[#This Row],[Total Revenue]]/$H$5056*100</f>
        <v>8.9916145634873421E-3</v>
      </c>
      <c r="J4169" s="3" t="s">
        <v>12</v>
      </c>
      <c r="K4169" s="4">
        <v>9.4</v>
      </c>
      <c r="M4169"/>
    </row>
    <row r="4170" spans="1:13" x14ac:dyDescent="0.25">
      <c r="A4170" s="3" t="s">
        <v>206</v>
      </c>
      <c r="B4170" s="3" t="s">
        <v>244</v>
      </c>
      <c r="C4170" s="3" t="s">
        <v>13</v>
      </c>
      <c r="D4170" s="3" t="s">
        <v>19</v>
      </c>
      <c r="E4170" s="5" t="s">
        <v>11</v>
      </c>
      <c r="F4170" s="17">
        <v>11.38</v>
      </c>
      <c r="G4170" s="3">
        <v>6</v>
      </c>
      <c r="H4170" s="17">
        <f>Table1[[#This Row],[Unit price]]*Table1[[#This Row],[Quantity]]</f>
        <v>68.28</v>
      </c>
      <c r="I4170" s="29">
        <f>Table1[[#This Row],[Total Revenue]]/$H$5056*100</f>
        <v>7.2442176093795371E-3</v>
      </c>
      <c r="J4170" s="3" t="s">
        <v>17</v>
      </c>
      <c r="K4170" s="4">
        <v>9.6</v>
      </c>
      <c r="M4170"/>
    </row>
    <row r="4171" spans="1:13" x14ac:dyDescent="0.25">
      <c r="A4171" s="3" t="s">
        <v>206</v>
      </c>
      <c r="B4171" s="3" t="s">
        <v>245</v>
      </c>
      <c r="C4171" s="3" t="s">
        <v>9</v>
      </c>
      <c r="D4171" s="3" t="s">
        <v>19</v>
      </c>
      <c r="E4171" s="5" t="s">
        <v>21</v>
      </c>
      <c r="F4171" s="17">
        <v>25.64</v>
      </c>
      <c r="G4171" s="3">
        <v>8</v>
      </c>
      <c r="H4171" s="17">
        <f>Table1[[#This Row],[Unit price]]*Table1[[#This Row],[Quantity]]</f>
        <v>205.12</v>
      </c>
      <c r="I4171" s="29">
        <f>Table1[[#This Row],[Total Revenue]]/$H$5056*100</f>
        <v>2.1762359637315914E-2</v>
      </c>
      <c r="J4171" s="3" t="s">
        <v>15</v>
      </c>
      <c r="K4171" s="4">
        <v>6.4</v>
      </c>
      <c r="M4171"/>
    </row>
    <row r="4172" spans="1:13" x14ac:dyDescent="0.25">
      <c r="A4172" s="3" t="s">
        <v>206</v>
      </c>
      <c r="B4172" s="3" t="s">
        <v>245</v>
      </c>
      <c r="C4172" s="3" t="s">
        <v>9</v>
      </c>
      <c r="D4172" s="3" t="s">
        <v>10</v>
      </c>
      <c r="E4172" s="5" t="s">
        <v>20</v>
      </c>
      <c r="F4172" s="17">
        <v>52.83</v>
      </c>
      <c r="G4172" s="3">
        <v>8</v>
      </c>
      <c r="H4172" s="17">
        <f>Table1[[#This Row],[Unit price]]*Table1[[#This Row],[Quantity]]</f>
        <v>422.64</v>
      </c>
      <c r="I4172" s="29">
        <f>Table1[[#This Row],[Total Revenue]]/$H$5056*100</f>
        <v>4.4840306538198121E-2</v>
      </c>
      <c r="J4172" s="3" t="s">
        <v>15</v>
      </c>
      <c r="K4172" s="4">
        <v>6.6</v>
      </c>
      <c r="M4172"/>
    </row>
    <row r="4173" spans="1:13" x14ac:dyDescent="0.25">
      <c r="A4173" s="3" t="s">
        <v>206</v>
      </c>
      <c r="B4173" s="3" t="s">
        <v>245</v>
      </c>
      <c r="C4173" s="3" t="s">
        <v>13</v>
      </c>
      <c r="D4173" s="3" t="s">
        <v>10</v>
      </c>
      <c r="E4173" s="5" t="s">
        <v>21</v>
      </c>
      <c r="F4173" s="17">
        <v>20.52</v>
      </c>
      <c r="G4173" s="3">
        <v>1</v>
      </c>
      <c r="H4173" s="17">
        <f>Table1[[#This Row],[Unit price]]*Table1[[#This Row],[Quantity]]</f>
        <v>20.52</v>
      </c>
      <c r="I4173" s="29">
        <f>Table1[[#This Row],[Total Revenue]]/$H$5056*100</f>
        <v>2.1770847297080858E-3</v>
      </c>
      <c r="J4173" s="3" t="s">
        <v>15</v>
      </c>
      <c r="K4173" s="4">
        <v>9.3000000000000007</v>
      </c>
      <c r="M4173"/>
    </row>
    <row r="4174" spans="1:13" x14ac:dyDescent="0.25">
      <c r="A4174" s="3" t="s">
        <v>207</v>
      </c>
      <c r="B4174" s="3" t="s">
        <v>245</v>
      </c>
      <c r="C4174" s="3" t="s">
        <v>13</v>
      </c>
      <c r="D4174" s="3" t="s">
        <v>10</v>
      </c>
      <c r="E4174" s="5" t="s">
        <v>18</v>
      </c>
      <c r="F4174" s="17">
        <v>6.95</v>
      </c>
      <c r="G4174" s="3">
        <v>7</v>
      </c>
      <c r="H4174" s="17">
        <f>Table1[[#This Row],[Unit price]]*Table1[[#This Row],[Quantity]]</f>
        <v>48.65</v>
      </c>
      <c r="I4174" s="29">
        <f>Table1[[#This Row],[Total Revenue]]/$H$5056*100</f>
        <v>5.1615580945564505E-3</v>
      </c>
      <c r="J4174" s="3" t="s">
        <v>12</v>
      </c>
      <c r="K4174" s="4">
        <v>8.6999999999999993</v>
      </c>
      <c r="M4174"/>
    </row>
    <row r="4175" spans="1:13" x14ac:dyDescent="0.25">
      <c r="A4175" s="3" t="s">
        <v>207</v>
      </c>
      <c r="B4175" s="3" t="s">
        <v>244</v>
      </c>
      <c r="C4175" s="3" t="s">
        <v>13</v>
      </c>
      <c r="D4175" s="3" t="s">
        <v>19</v>
      </c>
      <c r="E4175" s="5" t="s">
        <v>21</v>
      </c>
      <c r="F4175" s="17">
        <v>21.75</v>
      </c>
      <c r="G4175" s="3">
        <v>9</v>
      </c>
      <c r="H4175" s="17">
        <f>Table1[[#This Row],[Unit price]]*Table1[[#This Row],[Quantity]]</f>
        <v>195.75</v>
      </c>
      <c r="I4175" s="29">
        <f>Table1[[#This Row],[Total Revenue]]/$H$5056*100</f>
        <v>2.076824248734687E-2</v>
      </c>
      <c r="J4175" s="3" t="s">
        <v>15</v>
      </c>
      <c r="K4175" s="4">
        <v>6.6</v>
      </c>
      <c r="M4175"/>
    </row>
    <row r="4176" spans="1:13" x14ac:dyDescent="0.25">
      <c r="A4176" s="3" t="s">
        <v>207</v>
      </c>
      <c r="B4176" s="3" t="s">
        <v>245</v>
      </c>
      <c r="C4176" s="3" t="s">
        <v>13</v>
      </c>
      <c r="D4176" s="3" t="s">
        <v>19</v>
      </c>
      <c r="E4176" s="5" t="s">
        <v>21</v>
      </c>
      <c r="F4176" s="17">
        <v>29.92</v>
      </c>
      <c r="G4176" s="3">
        <v>2</v>
      </c>
      <c r="H4176" s="17">
        <f>Table1[[#This Row],[Unit price]]*Table1[[#This Row],[Quantity]]</f>
        <v>59.84</v>
      </c>
      <c r="I4176" s="29">
        <f>Table1[[#This Row],[Total Revenue]]/$H$5056*100</f>
        <v>6.3487695041779665E-3</v>
      </c>
      <c r="J4176" s="3" t="s">
        <v>15</v>
      </c>
      <c r="K4176" s="4">
        <v>3.6</v>
      </c>
      <c r="M4176"/>
    </row>
    <row r="4177" spans="1:13" x14ac:dyDescent="0.25">
      <c r="A4177" s="3" t="s">
        <v>207</v>
      </c>
      <c r="B4177" s="3" t="s">
        <v>243</v>
      </c>
      <c r="C4177" s="3" t="s">
        <v>13</v>
      </c>
      <c r="D4177" s="3" t="s">
        <v>19</v>
      </c>
      <c r="E4177" s="5" t="s">
        <v>21</v>
      </c>
      <c r="F4177" s="17">
        <v>27.18</v>
      </c>
      <c r="G4177" s="3">
        <v>5</v>
      </c>
      <c r="H4177" s="17">
        <f>Table1[[#This Row],[Unit price]]*Table1[[#This Row],[Quantity]]</f>
        <v>135.9</v>
      </c>
      <c r="I4177" s="29">
        <f>Table1[[#This Row],[Total Revenue]]/$H$5056*100</f>
        <v>1.4418412025698289E-2</v>
      </c>
      <c r="J4177" s="3" t="s">
        <v>12</v>
      </c>
      <c r="K4177" s="4">
        <v>6.2</v>
      </c>
      <c r="M4177"/>
    </row>
    <row r="4178" spans="1:13" x14ac:dyDescent="0.25">
      <c r="A4178" s="3" t="s">
        <v>207</v>
      </c>
      <c r="B4178" s="3" t="s">
        <v>245</v>
      </c>
      <c r="C4178" s="3" t="s">
        <v>13</v>
      </c>
      <c r="D4178" s="3" t="s">
        <v>10</v>
      </c>
      <c r="E4178" s="5" t="s">
        <v>21</v>
      </c>
      <c r="F4178" s="17">
        <v>30.75</v>
      </c>
      <c r="G4178" s="3">
        <v>8</v>
      </c>
      <c r="H4178" s="17">
        <f>Table1[[#This Row],[Unit price]]*Table1[[#This Row],[Quantity]]</f>
        <v>246</v>
      </c>
      <c r="I4178" s="29">
        <f>Table1[[#This Row],[Total Revenue]]/$H$5056*100</f>
        <v>2.6099553777202199E-2</v>
      </c>
      <c r="J4178" s="3" t="s">
        <v>15</v>
      </c>
      <c r="K4178" s="4">
        <v>4.0999999999999996</v>
      </c>
      <c r="M4178"/>
    </row>
    <row r="4179" spans="1:13" x14ac:dyDescent="0.25">
      <c r="A4179" s="3" t="s">
        <v>207</v>
      </c>
      <c r="B4179" s="3" t="s">
        <v>243</v>
      </c>
      <c r="C4179" s="3" t="s">
        <v>13</v>
      </c>
      <c r="D4179" s="3" t="s">
        <v>10</v>
      </c>
      <c r="E4179" s="5" t="s">
        <v>21</v>
      </c>
      <c r="F4179" s="17">
        <v>38.08</v>
      </c>
      <c r="G4179" s="3">
        <v>1</v>
      </c>
      <c r="H4179" s="17">
        <f>Table1[[#This Row],[Unit price]]*Table1[[#This Row],[Quantity]]</f>
        <v>38.08</v>
      </c>
      <c r="I4179" s="29">
        <f>Table1[[#This Row],[Total Revenue]]/$H$5056*100</f>
        <v>4.040126048113251E-3</v>
      </c>
      <c r="J4179" s="3" t="s">
        <v>17</v>
      </c>
      <c r="K4179" s="4">
        <v>8.4</v>
      </c>
      <c r="M4179"/>
    </row>
    <row r="4180" spans="1:13" x14ac:dyDescent="0.25">
      <c r="A4180" s="3" t="s">
        <v>207</v>
      </c>
      <c r="B4180" s="3" t="s">
        <v>245</v>
      </c>
      <c r="C4180" s="3" t="s">
        <v>9</v>
      </c>
      <c r="D4180" s="3" t="s">
        <v>19</v>
      </c>
      <c r="E4180" s="5" t="s">
        <v>20</v>
      </c>
      <c r="F4180" s="17">
        <v>49.26</v>
      </c>
      <c r="G4180" s="3">
        <v>2</v>
      </c>
      <c r="H4180" s="17">
        <f>Table1[[#This Row],[Unit price]]*Table1[[#This Row],[Quantity]]</f>
        <v>98.52</v>
      </c>
      <c r="I4180" s="29">
        <f>Table1[[#This Row],[Total Revenue]]/$H$5056*100</f>
        <v>1.0452553000528294E-2</v>
      </c>
      <c r="J4180" s="3" t="s">
        <v>15</v>
      </c>
      <c r="K4180" s="4">
        <v>3.7</v>
      </c>
      <c r="M4180"/>
    </row>
    <row r="4181" spans="1:13" x14ac:dyDescent="0.25">
      <c r="A4181" s="3" t="s">
        <v>207</v>
      </c>
      <c r="B4181" s="3" t="s">
        <v>245</v>
      </c>
      <c r="C4181" s="3" t="s">
        <v>9</v>
      </c>
      <c r="D4181" s="3" t="s">
        <v>10</v>
      </c>
      <c r="E4181" s="5" t="s">
        <v>11</v>
      </c>
      <c r="F4181" s="17">
        <v>12.05</v>
      </c>
      <c r="G4181" s="3">
        <v>2</v>
      </c>
      <c r="H4181" s="17">
        <f>Table1[[#This Row],[Unit price]]*Table1[[#This Row],[Quantity]]</f>
        <v>24.1</v>
      </c>
      <c r="I4181" s="29">
        <f>Table1[[#This Row],[Total Revenue]]/$H$5056*100</f>
        <v>2.5569075041893211E-3</v>
      </c>
      <c r="J4181" s="3" t="s">
        <v>17</v>
      </c>
      <c r="K4181" s="4">
        <v>9.6</v>
      </c>
      <c r="M4181"/>
    </row>
    <row r="4182" spans="1:13" x14ac:dyDescent="0.25">
      <c r="A4182" s="3" t="s">
        <v>207</v>
      </c>
      <c r="B4182" s="3" t="s">
        <v>244</v>
      </c>
      <c r="C4182" s="3" t="s">
        <v>13</v>
      </c>
      <c r="D4182" s="3" t="s">
        <v>10</v>
      </c>
      <c r="E4182" s="5" t="s">
        <v>11</v>
      </c>
      <c r="F4182" s="17">
        <v>13.26</v>
      </c>
      <c r="G4182" s="3">
        <v>8</v>
      </c>
      <c r="H4182" s="17">
        <f>Table1[[#This Row],[Unit price]]*Table1[[#This Row],[Quantity]]</f>
        <v>106.08</v>
      </c>
      <c r="I4182" s="29">
        <f>Table1[[#This Row],[Total Revenue]]/$H$5056*100</f>
        <v>1.1254636848315484E-2</v>
      </c>
      <c r="J4182" s="3" t="s">
        <v>17</v>
      </c>
      <c r="K4182" s="4">
        <v>5.9</v>
      </c>
      <c r="M4182"/>
    </row>
    <row r="4183" spans="1:13" x14ac:dyDescent="0.25">
      <c r="A4183" s="3" t="s">
        <v>207</v>
      </c>
      <c r="B4183" s="3" t="s">
        <v>243</v>
      </c>
      <c r="C4183" s="3" t="s">
        <v>13</v>
      </c>
      <c r="D4183" s="3" t="s">
        <v>10</v>
      </c>
      <c r="E4183" s="5" t="s">
        <v>14</v>
      </c>
      <c r="F4183" s="17">
        <v>85.21</v>
      </c>
      <c r="G4183" s="3">
        <v>4</v>
      </c>
      <c r="H4183" s="17">
        <f>Table1[[#This Row],[Unit price]]*Table1[[#This Row],[Quantity]]</f>
        <v>340.84</v>
      </c>
      <c r="I4183" s="29">
        <f>Table1[[#This Row],[Total Revenue]]/$H$5056*100</f>
        <v>3.6161674428543074E-2</v>
      </c>
      <c r="J4183" s="3" t="s">
        <v>15</v>
      </c>
      <c r="K4183" s="4">
        <v>4.3</v>
      </c>
      <c r="M4183"/>
    </row>
    <row r="4184" spans="1:13" x14ac:dyDescent="0.25">
      <c r="A4184" s="3" t="s">
        <v>207</v>
      </c>
      <c r="B4184" s="3" t="s">
        <v>243</v>
      </c>
      <c r="C4184" s="3" t="s">
        <v>13</v>
      </c>
      <c r="D4184" s="3" t="s">
        <v>10</v>
      </c>
      <c r="E4184" s="5" t="s">
        <v>21</v>
      </c>
      <c r="F4184" s="17">
        <v>38.74</v>
      </c>
      <c r="G4184" s="3">
        <v>8</v>
      </c>
      <c r="H4184" s="17">
        <f>Table1[[#This Row],[Unit price]]*Table1[[#This Row],[Quantity]]</f>
        <v>309.92</v>
      </c>
      <c r="I4184" s="29">
        <f>Table1[[#This Row],[Total Revenue]]/$H$5056*100</f>
        <v>3.2881193929392302E-2</v>
      </c>
      <c r="J4184" s="3" t="s">
        <v>12</v>
      </c>
      <c r="K4184" s="4">
        <v>5.9</v>
      </c>
      <c r="M4184"/>
    </row>
    <row r="4185" spans="1:13" x14ac:dyDescent="0.25">
      <c r="A4185" s="3" t="s">
        <v>207</v>
      </c>
      <c r="B4185" s="3" t="s">
        <v>243</v>
      </c>
      <c r="C4185" s="3" t="s">
        <v>9</v>
      </c>
      <c r="D4185" s="3" t="s">
        <v>10</v>
      </c>
      <c r="E4185" s="5" t="s">
        <v>20</v>
      </c>
      <c r="F4185" s="17">
        <v>53</v>
      </c>
      <c r="G4185" s="3">
        <v>3</v>
      </c>
      <c r="H4185" s="17">
        <f>Table1[[#This Row],[Unit price]]*Table1[[#This Row],[Quantity]]</f>
        <v>159</v>
      </c>
      <c r="I4185" s="29">
        <f>Table1[[#This Row],[Total Revenue]]/$H$5056*100</f>
        <v>1.686922378282581E-2</v>
      </c>
      <c r="J4185" s="3" t="s">
        <v>17</v>
      </c>
      <c r="K4185" s="4">
        <v>4.8</v>
      </c>
      <c r="M4185"/>
    </row>
    <row r="4186" spans="1:13" x14ac:dyDescent="0.25">
      <c r="A4186" s="3" t="s">
        <v>207</v>
      </c>
      <c r="B4186" s="3" t="s">
        <v>243</v>
      </c>
      <c r="C4186" s="3" t="s">
        <v>9</v>
      </c>
      <c r="D4186" s="3" t="s">
        <v>10</v>
      </c>
      <c r="E4186" s="5" t="s">
        <v>11</v>
      </c>
      <c r="F4186" s="17">
        <v>12.82</v>
      </c>
      <c r="G4186" s="3">
        <v>9</v>
      </c>
      <c r="H4186" s="17">
        <f>Table1[[#This Row],[Unit price]]*Table1[[#This Row],[Quantity]]</f>
        <v>115.38</v>
      </c>
      <c r="I4186" s="29">
        <f>Table1[[#This Row],[Total Revenue]]/$H$5056*100</f>
        <v>1.2241327295990201E-2</v>
      </c>
      <c r="J4186" s="3" t="s">
        <v>12</v>
      </c>
      <c r="K4186" s="4">
        <v>3.4</v>
      </c>
      <c r="M4186"/>
    </row>
    <row r="4187" spans="1:13" x14ac:dyDescent="0.25">
      <c r="A4187" s="3" t="s">
        <v>207</v>
      </c>
      <c r="B4187" s="3" t="s">
        <v>245</v>
      </c>
      <c r="C4187" s="3" t="s">
        <v>9</v>
      </c>
      <c r="D4187" s="3" t="s">
        <v>10</v>
      </c>
      <c r="E4187" s="5" t="s">
        <v>16</v>
      </c>
      <c r="F4187" s="17">
        <v>72.599999999999994</v>
      </c>
      <c r="G4187" s="3">
        <v>9</v>
      </c>
      <c r="H4187" s="17">
        <f>Table1[[#This Row],[Unit price]]*Table1[[#This Row],[Quantity]]</f>
        <v>653.4</v>
      </c>
      <c r="I4187" s="29">
        <f>Table1[[#This Row],[Total Revenue]]/$H$5056*100</f>
        <v>6.9322961130178523E-2</v>
      </c>
      <c r="J4187" s="3" t="s">
        <v>17</v>
      </c>
      <c r="K4187" s="4">
        <v>5.4</v>
      </c>
      <c r="M4187"/>
    </row>
    <row r="4188" spans="1:13" x14ac:dyDescent="0.25">
      <c r="A4188" s="3" t="s">
        <v>207</v>
      </c>
      <c r="B4188" s="3" t="s">
        <v>243</v>
      </c>
      <c r="C4188" s="3" t="s">
        <v>9</v>
      </c>
      <c r="D4188" s="3" t="s">
        <v>10</v>
      </c>
      <c r="E4188" s="5" t="s">
        <v>21</v>
      </c>
      <c r="F4188" s="17">
        <v>34.869999999999997</v>
      </c>
      <c r="G4188" s="3">
        <v>9</v>
      </c>
      <c r="H4188" s="17">
        <f>Table1[[#This Row],[Unit price]]*Table1[[#This Row],[Quantity]]</f>
        <v>313.83</v>
      </c>
      <c r="I4188" s="29">
        <f>Table1[[#This Row],[Total Revenue]]/$H$5056*100</f>
        <v>3.3296028300403922E-2</v>
      </c>
      <c r="J4188" s="3" t="s">
        <v>15</v>
      </c>
      <c r="K4188" s="4">
        <v>4.0999999999999996</v>
      </c>
      <c r="M4188"/>
    </row>
    <row r="4189" spans="1:13" x14ac:dyDescent="0.25">
      <c r="A4189" s="3" t="s">
        <v>207</v>
      </c>
      <c r="B4189" s="3" t="s">
        <v>245</v>
      </c>
      <c r="C4189" s="3" t="s">
        <v>13</v>
      </c>
      <c r="D4189" s="3" t="s">
        <v>19</v>
      </c>
      <c r="E4189" s="5" t="s">
        <v>21</v>
      </c>
      <c r="F4189" s="17">
        <v>25.27</v>
      </c>
      <c r="G4189" s="3">
        <v>2</v>
      </c>
      <c r="H4189" s="17">
        <f>Table1[[#This Row],[Unit price]]*Table1[[#This Row],[Quantity]]</f>
        <v>50.54</v>
      </c>
      <c r="I4189" s="29">
        <f>Table1[[#This Row],[Total Revenue]]/$H$5056*100</f>
        <v>5.3620790565032488E-3</v>
      </c>
      <c r="J4189" s="3" t="s">
        <v>15</v>
      </c>
      <c r="K4189" s="4">
        <v>6.3</v>
      </c>
      <c r="M4189"/>
    </row>
    <row r="4190" spans="1:13" x14ac:dyDescent="0.25">
      <c r="A4190" s="3" t="s">
        <v>207</v>
      </c>
      <c r="B4190" s="3" t="s">
        <v>245</v>
      </c>
      <c r="C4190" s="3" t="s">
        <v>13</v>
      </c>
      <c r="D4190" s="3" t="s">
        <v>19</v>
      </c>
      <c r="E4190" s="5" t="s">
        <v>21</v>
      </c>
      <c r="F4190" s="17">
        <v>19.809999999999999</v>
      </c>
      <c r="G4190" s="3">
        <v>6</v>
      </c>
      <c r="H4190" s="17">
        <f>Table1[[#This Row],[Unit price]]*Table1[[#This Row],[Quantity]]</f>
        <v>118.85999999999999</v>
      </c>
      <c r="I4190" s="29">
        <f>Table1[[#This Row],[Total Revenue]]/$H$5056*100</f>
        <v>1.2610540495765257E-2</v>
      </c>
      <c r="J4190" s="3" t="s">
        <v>17</v>
      </c>
      <c r="K4190" s="4">
        <v>6.1</v>
      </c>
      <c r="M4190"/>
    </row>
    <row r="4191" spans="1:13" x14ac:dyDescent="0.25">
      <c r="A4191" s="3" t="s">
        <v>207</v>
      </c>
      <c r="B4191" s="3" t="s">
        <v>245</v>
      </c>
      <c r="C4191" s="3" t="s">
        <v>9</v>
      </c>
      <c r="D4191" s="3" t="s">
        <v>10</v>
      </c>
      <c r="E4191" s="5" t="s">
        <v>20</v>
      </c>
      <c r="F4191" s="17">
        <v>48.11</v>
      </c>
      <c r="G4191" s="3">
        <v>1</v>
      </c>
      <c r="H4191" s="17">
        <f>Table1[[#This Row],[Unit price]]*Table1[[#This Row],[Quantity]]</f>
        <v>48.11</v>
      </c>
      <c r="I4191" s="29">
        <f>Table1[[#This Row],[Total Revenue]]/$H$5056*100</f>
        <v>5.1042663911430803E-3</v>
      </c>
      <c r="J4191" s="3" t="s">
        <v>12</v>
      </c>
      <c r="K4191" s="4">
        <v>3.1</v>
      </c>
      <c r="M4191"/>
    </row>
    <row r="4192" spans="1:13" x14ac:dyDescent="0.25">
      <c r="A4192" s="3" t="s">
        <v>207</v>
      </c>
      <c r="B4192" s="3" t="s">
        <v>245</v>
      </c>
      <c r="C4192" s="3" t="s">
        <v>9</v>
      </c>
      <c r="D4192" s="3" t="s">
        <v>10</v>
      </c>
      <c r="E4192" s="5" t="s">
        <v>16</v>
      </c>
      <c r="F4192" s="17">
        <v>52.45</v>
      </c>
      <c r="G4192" s="3">
        <v>4</v>
      </c>
      <c r="H4192" s="17">
        <f>Table1[[#This Row],[Unit price]]*Table1[[#This Row],[Quantity]]</f>
        <v>209.8</v>
      </c>
      <c r="I4192" s="29">
        <f>Table1[[#This Row],[Total Revenue]]/$H$5056*100</f>
        <v>2.2258887733565127E-2</v>
      </c>
      <c r="J4192" s="3" t="s">
        <v>12</v>
      </c>
      <c r="K4192" s="4">
        <v>8.9</v>
      </c>
      <c r="M4192"/>
    </row>
    <row r="4193" spans="1:13" x14ac:dyDescent="0.25">
      <c r="A4193" s="3" t="s">
        <v>207</v>
      </c>
      <c r="B4193" s="3" t="s">
        <v>244</v>
      </c>
      <c r="C4193" s="3" t="s">
        <v>13</v>
      </c>
      <c r="D4193" s="3" t="s">
        <v>19</v>
      </c>
      <c r="E4193" s="5" t="s">
        <v>11</v>
      </c>
      <c r="F4193" s="17">
        <v>8.7799999999999994</v>
      </c>
      <c r="G4193" s="3">
        <v>10</v>
      </c>
      <c r="H4193" s="17">
        <f>Table1[[#This Row],[Unit price]]*Table1[[#This Row],[Quantity]]</f>
        <v>87.8</v>
      </c>
      <c r="I4193" s="29">
        <f>Table1[[#This Row],[Total Revenue]]/$H$5056*100</f>
        <v>9.3152065920258237E-3</v>
      </c>
      <c r="J4193" s="3" t="s">
        <v>12</v>
      </c>
      <c r="K4193" s="4">
        <v>7.8</v>
      </c>
      <c r="M4193"/>
    </row>
    <row r="4194" spans="1:13" x14ac:dyDescent="0.25">
      <c r="A4194" s="3" t="s">
        <v>207</v>
      </c>
      <c r="B4194" s="3" t="s">
        <v>245</v>
      </c>
      <c r="C4194" s="3" t="s">
        <v>13</v>
      </c>
      <c r="D4194" s="3" t="s">
        <v>19</v>
      </c>
      <c r="E4194" s="5" t="s">
        <v>11</v>
      </c>
      <c r="F4194" s="17">
        <v>7.53</v>
      </c>
      <c r="G4194" s="3">
        <v>4</v>
      </c>
      <c r="H4194" s="17">
        <f>Table1[[#This Row],[Unit price]]*Table1[[#This Row],[Quantity]]</f>
        <v>30.12</v>
      </c>
      <c r="I4194" s="29">
        <f>Table1[[#This Row],[Total Revenue]]/$H$5056*100</f>
        <v>3.1956039015013427E-3</v>
      </c>
      <c r="J4194" s="3" t="s">
        <v>17</v>
      </c>
      <c r="K4194" s="4">
        <v>4.4000000000000004</v>
      </c>
      <c r="M4194"/>
    </row>
    <row r="4195" spans="1:13" x14ac:dyDescent="0.25">
      <c r="A4195" s="3" t="s">
        <v>207</v>
      </c>
      <c r="B4195" s="3" t="s">
        <v>244</v>
      </c>
      <c r="C4195" s="3" t="s">
        <v>13</v>
      </c>
      <c r="D4195" s="3" t="s">
        <v>19</v>
      </c>
      <c r="E4195" s="5" t="s">
        <v>21</v>
      </c>
      <c r="F4195" s="17">
        <v>28.82</v>
      </c>
      <c r="G4195" s="3">
        <v>7</v>
      </c>
      <c r="H4195" s="17">
        <f>Table1[[#This Row],[Unit price]]*Table1[[#This Row],[Quantity]]</f>
        <v>201.74</v>
      </c>
      <c r="I4195" s="29">
        <f>Table1[[#This Row],[Total Revenue]]/$H$5056*100</f>
        <v>2.140375601224704E-2</v>
      </c>
      <c r="J4195" s="3" t="s">
        <v>15</v>
      </c>
      <c r="K4195" s="4">
        <v>5.2</v>
      </c>
      <c r="M4195"/>
    </row>
    <row r="4196" spans="1:13" x14ac:dyDescent="0.25">
      <c r="A4196" s="3" t="s">
        <v>207</v>
      </c>
      <c r="B4196" s="3" t="s">
        <v>243</v>
      </c>
      <c r="C4196" s="3" t="s">
        <v>13</v>
      </c>
      <c r="D4196" s="3" t="s">
        <v>10</v>
      </c>
      <c r="E4196" s="5" t="s">
        <v>18</v>
      </c>
      <c r="F4196" s="17">
        <v>16.739999999999998</v>
      </c>
      <c r="G4196" s="3">
        <v>2</v>
      </c>
      <c r="H4196" s="17">
        <f>Table1[[#This Row],[Unit price]]*Table1[[#This Row],[Quantity]]</f>
        <v>33.479999999999997</v>
      </c>
      <c r="I4196" s="29">
        <f>Table1[[#This Row],[Total Revenue]]/$H$5056*100</f>
        <v>3.5520856116289818E-3</v>
      </c>
      <c r="J4196" s="3" t="s">
        <v>17</v>
      </c>
      <c r="K4196" s="4">
        <v>6.5</v>
      </c>
      <c r="M4196"/>
    </row>
    <row r="4197" spans="1:13" x14ac:dyDescent="0.25">
      <c r="A4197" s="3" t="s">
        <v>207</v>
      </c>
      <c r="B4197" s="3" t="s">
        <v>243</v>
      </c>
      <c r="C4197" s="3" t="s">
        <v>9</v>
      </c>
      <c r="D4197" s="3" t="s">
        <v>10</v>
      </c>
      <c r="E4197" s="5" t="s">
        <v>11</v>
      </c>
      <c r="F4197" s="17">
        <v>4.29</v>
      </c>
      <c r="G4197" s="3">
        <v>4</v>
      </c>
      <c r="H4197" s="17">
        <f>Table1[[#This Row],[Unit price]]*Table1[[#This Row],[Quantity]]</f>
        <v>17.16</v>
      </c>
      <c r="I4197" s="29">
        <f>Table1[[#This Row],[Total Revenue]]/$H$5056*100</f>
        <v>1.8206030195804461E-3</v>
      </c>
      <c r="J4197" s="3" t="s">
        <v>15</v>
      </c>
      <c r="K4197" s="4">
        <v>3.8</v>
      </c>
      <c r="M4197"/>
    </row>
    <row r="4198" spans="1:13" x14ac:dyDescent="0.25">
      <c r="A4198" s="3" t="s">
        <v>207</v>
      </c>
      <c r="B4198" s="3" t="s">
        <v>245</v>
      </c>
      <c r="C4198" s="3" t="s">
        <v>13</v>
      </c>
      <c r="D4198" s="3" t="s">
        <v>10</v>
      </c>
      <c r="E4198" s="5" t="s">
        <v>20</v>
      </c>
      <c r="F4198" s="17">
        <v>48.15</v>
      </c>
      <c r="G4198" s="3">
        <v>9</v>
      </c>
      <c r="H4198" s="17">
        <f>Table1[[#This Row],[Unit price]]*Table1[[#This Row],[Quantity]]</f>
        <v>433.34999999999997</v>
      </c>
      <c r="I4198" s="29">
        <f>Table1[[#This Row],[Total Revenue]]/$H$5056*100</f>
        <v>4.5976591989229966E-2</v>
      </c>
      <c r="J4198" s="3" t="s">
        <v>15</v>
      </c>
      <c r="K4198" s="4">
        <v>8.8000000000000007</v>
      </c>
      <c r="M4198"/>
    </row>
    <row r="4199" spans="1:13" x14ac:dyDescent="0.25">
      <c r="A4199" s="3" t="s">
        <v>208</v>
      </c>
      <c r="B4199" s="3" t="s">
        <v>244</v>
      </c>
      <c r="C4199" s="3" t="s">
        <v>13</v>
      </c>
      <c r="D4199" s="3" t="s">
        <v>19</v>
      </c>
      <c r="E4199" s="5" t="s">
        <v>14</v>
      </c>
      <c r="F4199" s="17">
        <v>93.73</v>
      </c>
      <c r="G4199" s="3">
        <v>3</v>
      </c>
      <c r="H4199" s="17">
        <f>Table1[[#This Row],[Unit price]]*Table1[[#This Row],[Quantity]]</f>
        <v>281.19</v>
      </c>
      <c r="I4199" s="29">
        <f>Table1[[#This Row],[Total Revenue]]/$H$5056*100</f>
        <v>2.9833063116306856E-2</v>
      </c>
      <c r="J4199" s="3" t="s">
        <v>12</v>
      </c>
      <c r="K4199" s="4">
        <v>8.5</v>
      </c>
      <c r="M4199"/>
    </row>
    <row r="4200" spans="1:13" x14ac:dyDescent="0.25">
      <c r="A4200" s="3" t="s">
        <v>208</v>
      </c>
      <c r="B4200" s="3" t="s">
        <v>245</v>
      </c>
      <c r="C4200" s="3" t="s">
        <v>9</v>
      </c>
      <c r="D4200" s="3" t="s">
        <v>10</v>
      </c>
      <c r="E4200" s="5" t="s">
        <v>16</v>
      </c>
      <c r="F4200" s="17">
        <v>57.18</v>
      </c>
      <c r="G4200" s="3">
        <v>2</v>
      </c>
      <c r="H4200" s="17">
        <f>Table1[[#This Row],[Unit price]]*Table1[[#This Row],[Quantity]]</f>
        <v>114.36</v>
      </c>
      <c r="I4200" s="29">
        <f>Table1[[#This Row],[Total Revenue]]/$H$5056*100</f>
        <v>1.2133109633987168E-2</v>
      </c>
      <c r="J4200" s="3" t="s">
        <v>17</v>
      </c>
      <c r="K4200" s="4">
        <v>3.3</v>
      </c>
      <c r="M4200"/>
    </row>
    <row r="4201" spans="1:13" x14ac:dyDescent="0.25">
      <c r="A4201" s="3" t="s">
        <v>208</v>
      </c>
      <c r="B4201" s="3" t="s">
        <v>244</v>
      </c>
      <c r="C4201" s="3" t="s">
        <v>9</v>
      </c>
      <c r="D4201" s="3" t="s">
        <v>10</v>
      </c>
      <c r="E4201" s="5" t="s">
        <v>20</v>
      </c>
      <c r="F4201" s="17">
        <v>66.27</v>
      </c>
      <c r="G4201" s="3">
        <v>8</v>
      </c>
      <c r="H4201" s="17">
        <f>Table1[[#This Row],[Unit price]]*Table1[[#This Row],[Quantity]]</f>
        <v>530.16</v>
      </c>
      <c r="I4201" s="29">
        <f>Table1[[#This Row],[Total Revenue]]/$H$5056*100</f>
        <v>5.6247721262282585E-2</v>
      </c>
      <c r="J4201" s="3" t="s">
        <v>15</v>
      </c>
      <c r="K4201" s="4">
        <v>4.9000000000000004</v>
      </c>
      <c r="M4201"/>
    </row>
    <row r="4202" spans="1:13" x14ac:dyDescent="0.25">
      <c r="A4202" s="3" t="s">
        <v>208</v>
      </c>
      <c r="B4202" s="3" t="s">
        <v>245</v>
      </c>
      <c r="C4202" s="3" t="s">
        <v>13</v>
      </c>
      <c r="D4202" s="3" t="s">
        <v>19</v>
      </c>
      <c r="E4202" s="5" t="s">
        <v>20</v>
      </c>
      <c r="F4202" s="17">
        <v>52.86</v>
      </c>
      <c r="G4202" s="3">
        <v>6</v>
      </c>
      <c r="H4202" s="17">
        <f>Table1[[#This Row],[Unit price]]*Table1[[#This Row],[Quantity]]</f>
        <v>317.15999999999997</v>
      </c>
      <c r="I4202" s="29">
        <f>Table1[[#This Row],[Total Revenue]]/$H$5056*100</f>
        <v>3.364932713811971E-2</v>
      </c>
      <c r="J4202" s="3" t="s">
        <v>12</v>
      </c>
      <c r="K4202" s="4">
        <v>4.9000000000000004</v>
      </c>
      <c r="M4202"/>
    </row>
    <row r="4203" spans="1:13" x14ac:dyDescent="0.25">
      <c r="A4203" s="3" t="s">
        <v>208</v>
      </c>
      <c r="B4203" s="3" t="s">
        <v>244</v>
      </c>
      <c r="C4203" s="3" t="s">
        <v>13</v>
      </c>
      <c r="D4203" s="3" t="s">
        <v>19</v>
      </c>
      <c r="E4203" s="5" t="s">
        <v>21</v>
      </c>
      <c r="F4203" s="17">
        <v>37.369999999999997</v>
      </c>
      <c r="G4203" s="3">
        <v>7</v>
      </c>
      <c r="H4203" s="17">
        <f>Table1[[#This Row],[Unit price]]*Table1[[#This Row],[Quantity]]</f>
        <v>261.58999999999997</v>
      </c>
      <c r="I4203" s="29">
        <f>Table1[[#This Row],[Total Revenue]]/$H$5056*100</f>
        <v>2.7753586473895621E-2</v>
      </c>
      <c r="J4203" s="3" t="s">
        <v>12</v>
      </c>
      <c r="K4203" s="4">
        <v>8</v>
      </c>
      <c r="M4203"/>
    </row>
    <row r="4204" spans="1:13" x14ac:dyDescent="0.25">
      <c r="A4204" s="3" t="s">
        <v>208</v>
      </c>
      <c r="B4204" s="3" t="s">
        <v>245</v>
      </c>
      <c r="C4204" s="3" t="s">
        <v>13</v>
      </c>
      <c r="D4204" s="3" t="s">
        <v>19</v>
      </c>
      <c r="E4204" s="5" t="s">
        <v>20</v>
      </c>
      <c r="F4204" s="17">
        <v>63.28</v>
      </c>
      <c r="G4204" s="3">
        <v>2</v>
      </c>
      <c r="H4204" s="17">
        <f>Table1[[#This Row],[Unit price]]*Table1[[#This Row],[Quantity]]</f>
        <v>126.56</v>
      </c>
      <c r="I4204" s="29">
        <f>Table1[[#This Row],[Total Revenue]]/$H$5056*100</f>
        <v>1.34274777481411E-2</v>
      </c>
      <c r="J4204" s="3" t="s">
        <v>17</v>
      </c>
      <c r="K4204" s="4">
        <v>5</v>
      </c>
      <c r="M4204"/>
    </row>
    <row r="4205" spans="1:13" x14ac:dyDescent="0.25">
      <c r="A4205" s="3" t="s">
        <v>208</v>
      </c>
      <c r="B4205" s="3" t="s">
        <v>244</v>
      </c>
      <c r="C4205" s="3" t="s">
        <v>13</v>
      </c>
      <c r="D4205" s="3" t="s">
        <v>10</v>
      </c>
      <c r="E4205" s="5" t="s">
        <v>16</v>
      </c>
      <c r="F4205" s="17">
        <v>55.4</v>
      </c>
      <c r="G4205" s="3">
        <v>10</v>
      </c>
      <c r="H4205" s="17">
        <f>Table1[[#This Row],[Unit price]]*Table1[[#This Row],[Quantity]]</f>
        <v>554</v>
      </c>
      <c r="I4205" s="29">
        <f>Table1[[#This Row],[Total Revenue]]/$H$5056*100</f>
        <v>5.877704387223584E-2</v>
      </c>
      <c r="J4205" s="3" t="s">
        <v>17</v>
      </c>
      <c r="K4205" s="4">
        <v>9.6999999999999993</v>
      </c>
      <c r="M4205"/>
    </row>
    <row r="4206" spans="1:13" x14ac:dyDescent="0.25">
      <c r="A4206" s="3" t="s">
        <v>208</v>
      </c>
      <c r="B4206" s="3" t="s">
        <v>243</v>
      </c>
      <c r="C4206" s="3" t="s">
        <v>9</v>
      </c>
      <c r="D4206" s="3" t="s">
        <v>19</v>
      </c>
      <c r="E4206" s="5" t="s">
        <v>14</v>
      </c>
      <c r="F4206" s="17">
        <v>95.85</v>
      </c>
      <c r="G4206" s="3">
        <v>4</v>
      </c>
      <c r="H4206" s="17">
        <f>Table1[[#This Row],[Unit price]]*Table1[[#This Row],[Quantity]]</f>
        <v>383.4</v>
      </c>
      <c r="I4206" s="29">
        <f>Table1[[#This Row],[Total Revenue]]/$H$5056*100</f>
        <v>4.0677109423493181E-2</v>
      </c>
      <c r="J4206" s="3" t="s">
        <v>12</v>
      </c>
      <c r="K4206" s="4">
        <v>5.4</v>
      </c>
      <c r="M4206"/>
    </row>
    <row r="4207" spans="1:13" x14ac:dyDescent="0.25">
      <c r="A4207" s="3" t="s">
        <v>208</v>
      </c>
      <c r="B4207" s="3" t="s">
        <v>245</v>
      </c>
      <c r="C4207" s="3" t="s">
        <v>13</v>
      </c>
      <c r="D4207" s="3" t="s">
        <v>10</v>
      </c>
      <c r="E4207" s="5" t="s">
        <v>21</v>
      </c>
      <c r="F4207" s="17">
        <v>16.23</v>
      </c>
      <c r="G4207" s="3">
        <v>9</v>
      </c>
      <c r="H4207" s="17">
        <f>Table1[[#This Row],[Unit price]]*Table1[[#This Row],[Quantity]]</f>
        <v>146.07</v>
      </c>
      <c r="I4207" s="29">
        <f>Table1[[#This Row],[Total Revenue]]/$H$5056*100</f>
        <v>1.5497405773316769E-2</v>
      </c>
      <c r="J4207" s="3" t="s">
        <v>12</v>
      </c>
      <c r="K4207" s="4">
        <v>7.3</v>
      </c>
      <c r="M4207"/>
    </row>
    <row r="4208" spans="1:13" x14ac:dyDescent="0.25">
      <c r="A4208" s="3" t="s">
        <v>208</v>
      </c>
      <c r="B4208" s="3" t="s">
        <v>243</v>
      </c>
      <c r="C4208" s="3" t="s">
        <v>13</v>
      </c>
      <c r="D4208" s="3" t="s">
        <v>10</v>
      </c>
      <c r="E4208" s="5" t="s">
        <v>11</v>
      </c>
      <c r="F4208" s="17">
        <v>7.67</v>
      </c>
      <c r="G4208" s="3">
        <v>3</v>
      </c>
      <c r="H4208" s="17">
        <f>Table1[[#This Row],[Unit price]]*Table1[[#This Row],[Quantity]]</f>
        <v>23.009999999999998</v>
      </c>
      <c r="I4208" s="29">
        <f>Table1[[#This Row],[Total Revenue]]/$H$5056*100</f>
        <v>2.4412631398919617E-3</v>
      </c>
      <c r="J4208" s="3" t="s">
        <v>15</v>
      </c>
      <c r="K4208" s="4">
        <v>9.1999999999999993</v>
      </c>
      <c r="M4208"/>
    </row>
    <row r="4209" spans="1:13" x14ac:dyDescent="0.25">
      <c r="A4209" s="3" t="s">
        <v>208</v>
      </c>
      <c r="B4209" s="3" t="s">
        <v>245</v>
      </c>
      <c r="C4209" s="3" t="s">
        <v>13</v>
      </c>
      <c r="D4209" s="3" t="s">
        <v>19</v>
      </c>
      <c r="E4209" s="5" t="s">
        <v>21</v>
      </c>
      <c r="F4209" s="17">
        <v>23.4</v>
      </c>
      <c r="G4209" s="3">
        <v>9</v>
      </c>
      <c r="H4209" s="17">
        <f>Table1[[#This Row],[Unit price]]*Table1[[#This Row],[Quantity]]</f>
        <v>210.6</v>
      </c>
      <c r="I4209" s="29">
        <f>Table1[[#This Row],[Total Revenue]]/$H$5056*100</f>
        <v>2.2343764331214565E-2</v>
      </c>
      <c r="J4209" s="3" t="s">
        <v>12</v>
      </c>
      <c r="K4209" s="4">
        <v>6.8</v>
      </c>
      <c r="M4209"/>
    </row>
    <row r="4210" spans="1:13" x14ac:dyDescent="0.25">
      <c r="A4210" s="3" t="s">
        <v>208</v>
      </c>
      <c r="B4210" s="3" t="s">
        <v>244</v>
      </c>
      <c r="C4210" s="3" t="s">
        <v>13</v>
      </c>
      <c r="D4210" s="3" t="s">
        <v>10</v>
      </c>
      <c r="E4210" s="5" t="s">
        <v>11</v>
      </c>
      <c r="F4210" s="17">
        <v>12.61</v>
      </c>
      <c r="G4210" s="3">
        <v>2</v>
      </c>
      <c r="H4210" s="17">
        <f>Table1[[#This Row],[Unit price]]*Table1[[#This Row],[Quantity]]</f>
        <v>25.22</v>
      </c>
      <c r="I4210" s="29">
        <f>Table1[[#This Row],[Total Revenue]]/$H$5056*100</f>
        <v>2.6757347408985343E-3</v>
      </c>
      <c r="J4210" s="3" t="s">
        <v>15</v>
      </c>
      <c r="K4210" s="4">
        <v>5.6</v>
      </c>
      <c r="M4210"/>
    </row>
    <row r="4211" spans="1:13" x14ac:dyDescent="0.25">
      <c r="A4211" s="3" t="s">
        <v>208</v>
      </c>
      <c r="B4211" s="3" t="s">
        <v>243</v>
      </c>
      <c r="C4211" s="3" t="s">
        <v>13</v>
      </c>
      <c r="D4211" s="3" t="s">
        <v>19</v>
      </c>
      <c r="E4211" s="5" t="s">
        <v>20</v>
      </c>
      <c r="F4211" s="17">
        <v>40.74</v>
      </c>
      <c r="G4211" s="3">
        <v>9</v>
      </c>
      <c r="H4211" s="17">
        <f>Table1[[#This Row],[Unit price]]*Table1[[#This Row],[Quantity]]</f>
        <v>366.66</v>
      </c>
      <c r="I4211" s="29">
        <f>Table1[[#This Row],[Total Revenue]]/$H$5056*100</f>
        <v>3.8901066617678691E-2</v>
      </c>
      <c r="J4211" s="3" t="s">
        <v>17</v>
      </c>
      <c r="K4211" s="4">
        <v>8.5</v>
      </c>
      <c r="M4211"/>
    </row>
    <row r="4212" spans="1:13" x14ac:dyDescent="0.25">
      <c r="A4212" s="3" t="s">
        <v>208</v>
      </c>
      <c r="B4212" s="3" t="s">
        <v>244</v>
      </c>
      <c r="C4212" s="3" t="s">
        <v>13</v>
      </c>
      <c r="D4212" s="3" t="s">
        <v>19</v>
      </c>
      <c r="E4212" s="5" t="s">
        <v>18</v>
      </c>
      <c r="F4212" s="17">
        <v>22.85</v>
      </c>
      <c r="G4212" s="3">
        <v>3</v>
      </c>
      <c r="H4212" s="17">
        <f>Table1[[#This Row],[Unit price]]*Table1[[#This Row],[Quantity]]</f>
        <v>68.550000000000011</v>
      </c>
      <c r="I4212" s="29">
        <f>Table1[[#This Row],[Total Revenue]]/$H$5056*100</f>
        <v>7.2728634610862231E-3</v>
      </c>
      <c r="J4212" s="3" t="s">
        <v>15</v>
      </c>
      <c r="K4212" s="4">
        <v>5.9</v>
      </c>
      <c r="M4212"/>
    </row>
    <row r="4213" spans="1:13" x14ac:dyDescent="0.25">
      <c r="A4213" s="3" t="s">
        <v>208</v>
      </c>
      <c r="B4213" s="3" t="s">
        <v>245</v>
      </c>
      <c r="C4213" s="3" t="s">
        <v>13</v>
      </c>
      <c r="D4213" s="3" t="s">
        <v>19</v>
      </c>
      <c r="E4213" s="5" t="s">
        <v>16</v>
      </c>
      <c r="F4213" s="17">
        <v>70.2</v>
      </c>
      <c r="G4213" s="3">
        <v>4</v>
      </c>
      <c r="H4213" s="17">
        <f>Table1[[#This Row],[Unit price]]*Table1[[#This Row],[Quantity]]</f>
        <v>280.8</v>
      </c>
      <c r="I4213" s="29">
        <f>Table1[[#This Row],[Total Revenue]]/$H$5056*100</f>
        <v>2.9791685774952757E-2</v>
      </c>
      <c r="J4213" s="3" t="s">
        <v>17</v>
      </c>
      <c r="K4213" s="4">
        <v>5.3</v>
      </c>
      <c r="M4213"/>
    </row>
    <row r="4214" spans="1:13" x14ac:dyDescent="0.25">
      <c r="A4214" s="3" t="s">
        <v>208</v>
      </c>
      <c r="B4214" s="3" t="s">
        <v>245</v>
      </c>
      <c r="C4214" s="3" t="s">
        <v>9</v>
      </c>
      <c r="D4214" s="3" t="s">
        <v>19</v>
      </c>
      <c r="E4214" s="5" t="s">
        <v>16</v>
      </c>
      <c r="F4214" s="17">
        <v>79.64</v>
      </c>
      <c r="G4214" s="3">
        <v>10</v>
      </c>
      <c r="H4214" s="17">
        <f>Table1[[#This Row],[Unit price]]*Table1[[#This Row],[Quantity]]</f>
        <v>796.4</v>
      </c>
      <c r="I4214" s="29">
        <f>Table1[[#This Row],[Total Revenue]]/$H$5056*100</f>
        <v>8.449465296001557E-2</v>
      </c>
      <c r="J4214" s="3" t="s">
        <v>17</v>
      </c>
      <c r="K4214" s="4">
        <v>7.7</v>
      </c>
      <c r="M4214"/>
    </row>
    <row r="4215" spans="1:13" x14ac:dyDescent="0.25">
      <c r="A4215" s="3" t="s">
        <v>208</v>
      </c>
      <c r="B4215" s="3" t="s">
        <v>244</v>
      </c>
      <c r="C4215" s="3" t="s">
        <v>9</v>
      </c>
      <c r="D4215" s="3" t="s">
        <v>10</v>
      </c>
      <c r="E4215" s="5" t="s">
        <v>18</v>
      </c>
      <c r="F4215" s="17">
        <v>19.760000000000002</v>
      </c>
      <c r="G4215" s="3">
        <v>8</v>
      </c>
      <c r="H4215" s="17">
        <f>Table1[[#This Row],[Unit price]]*Table1[[#This Row],[Quantity]]</f>
        <v>158.08000000000001</v>
      </c>
      <c r="I4215" s="29">
        <f>Table1[[#This Row],[Total Revenue]]/$H$5056*100</f>
        <v>1.6771615695528957E-2</v>
      </c>
      <c r="J4215" s="3" t="s">
        <v>17</v>
      </c>
      <c r="K4215" s="4">
        <v>3.8</v>
      </c>
      <c r="M4215"/>
    </row>
    <row r="4216" spans="1:13" x14ac:dyDescent="0.25">
      <c r="A4216" s="3" t="s">
        <v>209</v>
      </c>
      <c r="B4216" s="3" t="s">
        <v>243</v>
      </c>
      <c r="C4216" s="3" t="s">
        <v>9</v>
      </c>
      <c r="D4216" s="3" t="s">
        <v>10</v>
      </c>
      <c r="E4216" s="5" t="s">
        <v>11</v>
      </c>
      <c r="F4216" s="17">
        <v>14.36</v>
      </c>
      <c r="G4216" s="3">
        <v>8</v>
      </c>
      <c r="H4216" s="17">
        <f>Table1[[#This Row],[Unit price]]*Table1[[#This Row],[Quantity]]</f>
        <v>114.88</v>
      </c>
      <c r="I4216" s="29">
        <f>Table1[[#This Row],[Total Revenue]]/$H$5056*100</f>
        <v>1.2188279422459303E-2</v>
      </c>
      <c r="J4216" s="3" t="s">
        <v>17</v>
      </c>
      <c r="K4216" s="4">
        <v>5.7</v>
      </c>
      <c r="M4216"/>
    </row>
    <row r="4217" spans="1:13" x14ac:dyDescent="0.25">
      <c r="A4217" s="3" t="s">
        <v>209</v>
      </c>
      <c r="B4217" s="3" t="s">
        <v>245</v>
      </c>
      <c r="C4217" s="3" t="s">
        <v>9</v>
      </c>
      <c r="D4217" s="3" t="s">
        <v>19</v>
      </c>
      <c r="E4217" s="5" t="s">
        <v>11</v>
      </c>
      <c r="F4217" s="17">
        <v>7.33</v>
      </c>
      <c r="G4217" s="3">
        <v>5</v>
      </c>
      <c r="H4217" s="17">
        <f>Table1[[#This Row],[Unit price]]*Table1[[#This Row],[Quantity]]</f>
        <v>36.65</v>
      </c>
      <c r="I4217" s="29">
        <f>Table1[[#This Row],[Total Revenue]]/$H$5056*100</f>
        <v>3.88840912981488E-3</v>
      </c>
      <c r="J4217" s="3" t="s">
        <v>17</v>
      </c>
      <c r="K4217" s="4">
        <v>4.0999999999999996</v>
      </c>
      <c r="M4217"/>
    </row>
    <row r="4218" spans="1:13" x14ac:dyDescent="0.25">
      <c r="A4218" s="3" t="s">
        <v>209</v>
      </c>
      <c r="B4218" s="3" t="s">
        <v>244</v>
      </c>
      <c r="C4218" s="3" t="s">
        <v>13</v>
      </c>
      <c r="D4218" s="3" t="s">
        <v>19</v>
      </c>
      <c r="E4218" s="5" t="s">
        <v>20</v>
      </c>
      <c r="F4218" s="17">
        <v>48.96</v>
      </c>
      <c r="G4218" s="3">
        <v>1</v>
      </c>
      <c r="H4218" s="17">
        <f>Table1[[#This Row],[Unit price]]*Table1[[#This Row],[Quantity]]</f>
        <v>48.96</v>
      </c>
      <c r="I4218" s="29">
        <f>Table1[[#This Row],[Total Revenue]]/$H$5056*100</f>
        <v>5.1944477761456083E-3</v>
      </c>
      <c r="J4218" s="3" t="s">
        <v>12</v>
      </c>
      <c r="K4218" s="4">
        <v>5.0999999999999996</v>
      </c>
      <c r="M4218"/>
    </row>
    <row r="4219" spans="1:13" x14ac:dyDescent="0.25">
      <c r="A4219" s="3" t="s">
        <v>209</v>
      </c>
      <c r="B4219" s="3" t="s">
        <v>245</v>
      </c>
      <c r="C4219" s="3" t="s">
        <v>13</v>
      </c>
      <c r="D4219" s="3" t="s">
        <v>10</v>
      </c>
      <c r="E4219" s="5" t="s">
        <v>18</v>
      </c>
      <c r="F4219" s="17">
        <v>10.08</v>
      </c>
      <c r="G4219" s="3">
        <v>10</v>
      </c>
      <c r="H4219" s="17">
        <f>Table1[[#This Row],[Unit price]]*Table1[[#This Row],[Quantity]]</f>
        <v>100.8</v>
      </c>
      <c r="I4219" s="29">
        <f>Table1[[#This Row],[Total Revenue]]/$H$5056*100</f>
        <v>1.0694451303829193E-2</v>
      </c>
      <c r="J4219" s="3" t="s">
        <v>12</v>
      </c>
      <c r="K4219" s="4">
        <v>3.3</v>
      </c>
      <c r="M4219"/>
    </row>
    <row r="4220" spans="1:13" x14ac:dyDescent="0.25">
      <c r="A4220" s="3" t="s">
        <v>209</v>
      </c>
      <c r="B4220" s="3" t="s">
        <v>245</v>
      </c>
      <c r="C4220" s="3" t="s">
        <v>9</v>
      </c>
      <c r="D4220" s="3" t="s">
        <v>10</v>
      </c>
      <c r="E4220" s="5" t="s">
        <v>20</v>
      </c>
      <c r="F4220" s="17">
        <v>58.57</v>
      </c>
      <c r="G4220" s="3">
        <v>5</v>
      </c>
      <c r="H4220" s="17">
        <f>Table1[[#This Row],[Unit price]]*Table1[[#This Row],[Quantity]]</f>
        <v>292.85000000000002</v>
      </c>
      <c r="I4220" s="29">
        <f>Table1[[#This Row],[Total Revenue]]/$H$5056*100</f>
        <v>3.1070139527047416E-2</v>
      </c>
      <c r="J4220" s="3" t="s">
        <v>12</v>
      </c>
      <c r="K4220" s="4">
        <v>9.3000000000000007</v>
      </c>
      <c r="M4220"/>
    </row>
    <row r="4221" spans="1:13" x14ac:dyDescent="0.25">
      <c r="A4221" s="3" t="s">
        <v>209</v>
      </c>
      <c r="B4221" s="3" t="s">
        <v>244</v>
      </c>
      <c r="C4221" s="3" t="s">
        <v>9</v>
      </c>
      <c r="D4221" s="3" t="s">
        <v>10</v>
      </c>
      <c r="E4221" s="5" t="s">
        <v>16</v>
      </c>
      <c r="F4221" s="17">
        <v>63.19</v>
      </c>
      <c r="G4221" s="3">
        <v>7</v>
      </c>
      <c r="H4221" s="17">
        <f>Table1[[#This Row],[Unit price]]*Table1[[#This Row],[Quantity]]</f>
        <v>442.33</v>
      </c>
      <c r="I4221" s="29">
        <f>Table1[[#This Row],[Total Revenue]]/$H$5056*100</f>
        <v>4.6929331797844906E-2</v>
      </c>
      <c r="J4221" s="3" t="s">
        <v>12</v>
      </c>
      <c r="K4221" s="4">
        <v>4.9000000000000004</v>
      </c>
      <c r="M4221"/>
    </row>
    <row r="4222" spans="1:13" x14ac:dyDescent="0.25">
      <c r="A4222" s="3" t="s">
        <v>209</v>
      </c>
      <c r="B4222" s="3" t="s">
        <v>245</v>
      </c>
      <c r="C4222" s="3" t="s">
        <v>9</v>
      </c>
      <c r="D4222" s="3" t="s">
        <v>19</v>
      </c>
      <c r="E4222" s="5" t="s">
        <v>11</v>
      </c>
      <c r="F4222" s="17">
        <v>6.62</v>
      </c>
      <c r="G4222" s="3">
        <v>10</v>
      </c>
      <c r="H4222" s="17">
        <f>Table1[[#This Row],[Unit price]]*Table1[[#This Row],[Quantity]]</f>
        <v>66.2</v>
      </c>
      <c r="I4222" s="29">
        <f>Table1[[#This Row],[Total Revenue]]/$H$5056*100</f>
        <v>7.0235384554909975E-3</v>
      </c>
      <c r="J4222" s="3" t="s">
        <v>17</v>
      </c>
      <c r="K4222" s="4">
        <v>7.7</v>
      </c>
      <c r="M4222"/>
    </row>
    <row r="4223" spans="1:13" x14ac:dyDescent="0.25">
      <c r="A4223" s="3" t="s">
        <v>209</v>
      </c>
      <c r="B4223" s="3" t="s">
        <v>244</v>
      </c>
      <c r="C4223" s="3" t="s">
        <v>9</v>
      </c>
      <c r="D4223" s="3" t="s">
        <v>10</v>
      </c>
      <c r="E4223" s="5" t="s">
        <v>11</v>
      </c>
      <c r="F4223" s="17">
        <v>10.24</v>
      </c>
      <c r="G4223" s="3">
        <v>6</v>
      </c>
      <c r="H4223" s="17">
        <f>Table1[[#This Row],[Unit price]]*Table1[[#This Row],[Quantity]]</f>
        <v>61.44</v>
      </c>
      <c r="I4223" s="29">
        <f>Table1[[#This Row],[Total Revenue]]/$H$5056*100</f>
        <v>6.5185226994768425E-3</v>
      </c>
      <c r="J4223" s="3" t="s">
        <v>15</v>
      </c>
      <c r="K4223" s="4">
        <v>5.0999999999999996</v>
      </c>
      <c r="M4223"/>
    </row>
    <row r="4224" spans="1:13" x14ac:dyDescent="0.25">
      <c r="A4224" s="3" t="s">
        <v>209</v>
      </c>
      <c r="B4224" s="3" t="s">
        <v>243</v>
      </c>
      <c r="C4224" s="3" t="s">
        <v>13</v>
      </c>
      <c r="D4224" s="3" t="s">
        <v>10</v>
      </c>
      <c r="E4224" s="5" t="s">
        <v>20</v>
      </c>
      <c r="F4224" s="17">
        <v>66.239999999999995</v>
      </c>
      <c r="G4224" s="3">
        <v>6</v>
      </c>
      <c r="H4224" s="17">
        <f>Table1[[#This Row],[Unit price]]*Table1[[#This Row],[Quantity]]</f>
        <v>397.43999999999994</v>
      </c>
      <c r="I4224" s="29">
        <f>Table1[[#This Row],[Total Revenue]]/$H$5056*100</f>
        <v>4.2166693712240813E-2</v>
      </c>
      <c r="J4224" s="3" t="s">
        <v>17</v>
      </c>
      <c r="K4224" s="4">
        <v>7.3</v>
      </c>
      <c r="M4224"/>
    </row>
    <row r="4225" spans="1:13" x14ac:dyDescent="0.25">
      <c r="A4225" s="3" t="s">
        <v>209</v>
      </c>
      <c r="B4225" s="3" t="s">
        <v>245</v>
      </c>
      <c r="C4225" s="3" t="s">
        <v>9</v>
      </c>
      <c r="D4225" s="3" t="s">
        <v>19</v>
      </c>
      <c r="E4225" s="5" t="s">
        <v>18</v>
      </c>
      <c r="F4225" s="17">
        <v>14.1</v>
      </c>
      <c r="G4225" s="3">
        <v>5</v>
      </c>
      <c r="H4225" s="17">
        <f>Table1[[#This Row],[Unit price]]*Table1[[#This Row],[Quantity]]</f>
        <v>70.5</v>
      </c>
      <c r="I4225" s="29">
        <f>Table1[[#This Row],[Total Revenue]]/$H$5056*100</f>
        <v>7.4797501678567279E-3</v>
      </c>
      <c r="J4225" s="3" t="s">
        <v>17</v>
      </c>
      <c r="K4225" s="4">
        <v>8.1999999999999993</v>
      </c>
      <c r="M4225"/>
    </row>
    <row r="4226" spans="1:13" x14ac:dyDescent="0.25">
      <c r="A4226" s="3" t="s">
        <v>209</v>
      </c>
      <c r="B4226" s="3" t="s">
        <v>244</v>
      </c>
      <c r="C4226" s="3" t="s">
        <v>13</v>
      </c>
      <c r="D4226" s="3" t="s">
        <v>10</v>
      </c>
      <c r="E4226" s="5" t="s">
        <v>18</v>
      </c>
      <c r="F4226" s="17">
        <v>22.67</v>
      </c>
      <c r="G4226" s="3">
        <v>1</v>
      </c>
      <c r="H4226" s="17">
        <f>Table1[[#This Row],[Unit price]]*Table1[[#This Row],[Quantity]]</f>
        <v>22.67</v>
      </c>
      <c r="I4226" s="29">
        <f>Table1[[#This Row],[Total Revenue]]/$H$5056*100</f>
        <v>2.405190585890951E-3</v>
      </c>
      <c r="J4226" s="3" t="s">
        <v>17</v>
      </c>
      <c r="K4226" s="4">
        <v>6</v>
      </c>
      <c r="M4226"/>
    </row>
    <row r="4227" spans="1:13" x14ac:dyDescent="0.25">
      <c r="A4227" s="3" t="s">
        <v>209</v>
      </c>
      <c r="B4227" s="3" t="s">
        <v>245</v>
      </c>
      <c r="C4227" s="3" t="s">
        <v>9</v>
      </c>
      <c r="D4227" s="3" t="s">
        <v>10</v>
      </c>
      <c r="E4227" s="5" t="s">
        <v>20</v>
      </c>
      <c r="F4227" s="17">
        <v>51.14</v>
      </c>
      <c r="G4227" s="3">
        <v>8</v>
      </c>
      <c r="H4227" s="17">
        <f>Table1[[#This Row],[Unit price]]*Table1[[#This Row],[Quantity]]</f>
        <v>409.12</v>
      </c>
      <c r="I4227" s="29">
        <f>Table1[[#This Row],[Total Revenue]]/$H$5056*100</f>
        <v>4.3405892037922611E-2</v>
      </c>
      <c r="J4227" s="3" t="s">
        <v>17</v>
      </c>
      <c r="K4227" s="4">
        <v>4.8</v>
      </c>
      <c r="M4227"/>
    </row>
    <row r="4228" spans="1:13" x14ac:dyDescent="0.25">
      <c r="A4228" s="3" t="s">
        <v>209</v>
      </c>
      <c r="B4228" s="3" t="s">
        <v>244</v>
      </c>
      <c r="C4228" s="3" t="s">
        <v>9</v>
      </c>
      <c r="D4228" s="3" t="s">
        <v>19</v>
      </c>
      <c r="E4228" s="5" t="s">
        <v>20</v>
      </c>
      <c r="F4228" s="17">
        <v>63.17</v>
      </c>
      <c r="G4228" s="3">
        <v>3</v>
      </c>
      <c r="H4228" s="17">
        <f>Table1[[#This Row],[Unit price]]*Table1[[#This Row],[Quantity]]</f>
        <v>189.51</v>
      </c>
      <c r="I4228" s="29">
        <f>Table1[[#This Row],[Total Revenue]]/$H$5056*100</f>
        <v>2.0106205025681254E-2</v>
      </c>
      <c r="J4228" s="3" t="s">
        <v>12</v>
      </c>
      <c r="K4228" s="4">
        <v>8.9</v>
      </c>
      <c r="M4228"/>
    </row>
    <row r="4229" spans="1:13" x14ac:dyDescent="0.25">
      <c r="A4229" s="3" t="s">
        <v>209</v>
      </c>
      <c r="B4229" s="3" t="s">
        <v>245</v>
      </c>
      <c r="C4229" s="3" t="s">
        <v>9</v>
      </c>
      <c r="D4229" s="3" t="s">
        <v>10</v>
      </c>
      <c r="E4229" s="5" t="s">
        <v>20</v>
      </c>
      <c r="F4229" s="17">
        <v>56.34</v>
      </c>
      <c r="G4229" s="3">
        <v>1</v>
      </c>
      <c r="H4229" s="17">
        <f>Table1[[#This Row],[Unit price]]*Table1[[#This Row],[Quantity]]</f>
        <v>56.34</v>
      </c>
      <c r="I4229" s="29">
        <f>Table1[[#This Row],[Total Revenue]]/$H$5056*100</f>
        <v>5.9774343894616741E-3</v>
      </c>
      <c r="J4229" s="3" t="s">
        <v>17</v>
      </c>
      <c r="K4229" s="4">
        <v>9.5</v>
      </c>
      <c r="M4229"/>
    </row>
    <row r="4230" spans="1:13" x14ac:dyDescent="0.25">
      <c r="A4230" s="3" t="s">
        <v>209</v>
      </c>
      <c r="B4230" s="3" t="s">
        <v>245</v>
      </c>
      <c r="C4230" s="3" t="s">
        <v>13</v>
      </c>
      <c r="D4230" s="3" t="s">
        <v>10</v>
      </c>
      <c r="E4230" s="5" t="s">
        <v>11</v>
      </c>
      <c r="F4230" s="17">
        <v>14.48</v>
      </c>
      <c r="G4230" s="3">
        <v>7</v>
      </c>
      <c r="H4230" s="17">
        <f>Table1[[#This Row],[Unit price]]*Table1[[#This Row],[Quantity]]</f>
        <v>101.36</v>
      </c>
      <c r="I4230" s="29">
        <f>Table1[[#This Row],[Total Revenue]]/$H$5056*100</f>
        <v>1.07538649221838E-2</v>
      </c>
      <c r="J4230" s="3" t="s">
        <v>17</v>
      </c>
      <c r="K4230" s="4">
        <v>4.3</v>
      </c>
      <c r="M4230"/>
    </row>
    <row r="4231" spans="1:13" x14ac:dyDescent="0.25">
      <c r="A4231" s="3" t="s">
        <v>209</v>
      </c>
      <c r="B4231" s="3" t="s">
        <v>244</v>
      </c>
      <c r="C4231" s="3" t="s">
        <v>9</v>
      </c>
      <c r="D4231" s="3" t="s">
        <v>10</v>
      </c>
      <c r="E4231" s="5" t="s">
        <v>20</v>
      </c>
      <c r="F4231" s="17">
        <v>50.54</v>
      </c>
      <c r="G4231" s="3">
        <v>5</v>
      </c>
      <c r="H4231" s="17">
        <f>Table1[[#This Row],[Unit price]]*Table1[[#This Row],[Quantity]]</f>
        <v>252.7</v>
      </c>
      <c r="I4231" s="29">
        <f>Table1[[#This Row],[Total Revenue]]/$H$5056*100</f>
        <v>2.681039528251624E-2</v>
      </c>
      <c r="J4231" s="3" t="s">
        <v>12</v>
      </c>
      <c r="K4231" s="4">
        <v>7.7</v>
      </c>
      <c r="M4231"/>
    </row>
    <row r="4232" spans="1:13" x14ac:dyDescent="0.25">
      <c r="A4232" s="3" t="s">
        <v>209</v>
      </c>
      <c r="B4232" s="3" t="s">
        <v>244</v>
      </c>
      <c r="C4232" s="3" t="s">
        <v>9</v>
      </c>
      <c r="D4232" s="3" t="s">
        <v>19</v>
      </c>
      <c r="E4232" s="5" t="s">
        <v>18</v>
      </c>
      <c r="F4232" s="17">
        <v>13.31</v>
      </c>
      <c r="G4232" s="3">
        <v>6</v>
      </c>
      <c r="H4232" s="17">
        <f>Table1[[#This Row],[Unit price]]*Table1[[#This Row],[Quantity]]</f>
        <v>79.86</v>
      </c>
      <c r="I4232" s="29">
        <f>Table1[[#This Row],[Total Revenue]]/$H$5056*100</f>
        <v>8.4728063603551514E-3</v>
      </c>
      <c r="J4232" s="3" t="s">
        <v>15</v>
      </c>
      <c r="K4232" s="4">
        <v>3.5</v>
      </c>
      <c r="M4232"/>
    </row>
    <row r="4233" spans="1:13" x14ac:dyDescent="0.25">
      <c r="A4233" s="3" t="s">
        <v>209</v>
      </c>
      <c r="B4233" s="3" t="s">
        <v>245</v>
      </c>
      <c r="C4233" s="3" t="s">
        <v>13</v>
      </c>
      <c r="D4233" s="3" t="s">
        <v>19</v>
      </c>
      <c r="E4233" s="5" t="s">
        <v>16</v>
      </c>
      <c r="F4233" s="17">
        <v>69.08</v>
      </c>
      <c r="G4233" s="3">
        <v>3</v>
      </c>
      <c r="H4233" s="17">
        <f>Table1[[#This Row],[Unit price]]*Table1[[#This Row],[Quantity]]</f>
        <v>207.24</v>
      </c>
      <c r="I4233" s="29">
        <f>Table1[[#This Row],[Total Revenue]]/$H$5056*100</f>
        <v>2.1987282621086925E-2</v>
      </c>
      <c r="J4233" s="3" t="s">
        <v>17</v>
      </c>
      <c r="K4233" s="4">
        <v>3.8</v>
      </c>
      <c r="M4233"/>
    </row>
    <row r="4234" spans="1:13" x14ac:dyDescent="0.25">
      <c r="A4234" s="3" t="s">
        <v>209</v>
      </c>
      <c r="B4234" s="3" t="s">
        <v>243</v>
      </c>
      <c r="C4234" s="3" t="s">
        <v>13</v>
      </c>
      <c r="D4234" s="3" t="s">
        <v>10</v>
      </c>
      <c r="E4234" s="5" t="s">
        <v>11</v>
      </c>
      <c r="F4234" s="17">
        <v>6.33</v>
      </c>
      <c r="G4234" s="3">
        <v>6</v>
      </c>
      <c r="H4234" s="17">
        <f>Table1[[#This Row],[Unit price]]*Table1[[#This Row],[Quantity]]</f>
        <v>37.980000000000004</v>
      </c>
      <c r="I4234" s="29">
        <f>Table1[[#This Row],[Total Revenue]]/$H$5056*100</f>
        <v>4.0295164734070717E-3</v>
      </c>
      <c r="J4234" s="3" t="s">
        <v>17</v>
      </c>
      <c r="K4234" s="4">
        <v>8.1</v>
      </c>
      <c r="M4234"/>
    </row>
    <row r="4235" spans="1:13" x14ac:dyDescent="0.25">
      <c r="A4235" s="3" t="s">
        <v>209</v>
      </c>
      <c r="B4235" s="3" t="s">
        <v>245</v>
      </c>
      <c r="C4235" s="3" t="s">
        <v>13</v>
      </c>
      <c r="D4235" s="3" t="s">
        <v>19</v>
      </c>
      <c r="E4235" s="5" t="s">
        <v>16</v>
      </c>
      <c r="F4235" s="17">
        <v>74.180000000000007</v>
      </c>
      <c r="G4235" s="3">
        <v>6</v>
      </c>
      <c r="H4235" s="17">
        <f>Table1[[#This Row],[Unit price]]*Table1[[#This Row],[Quantity]]</f>
        <v>445.08000000000004</v>
      </c>
      <c r="I4235" s="29">
        <f>Table1[[#This Row],[Total Revenue]]/$H$5056*100</f>
        <v>4.7221095102264861E-2</v>
      </c>
      <c r="J4235" s="3" t="s">
        <v>15</v>
      </c>
      <c r="K4235" s="4">
        <v>7.1</v>
      </c>
      <c r="M4235"/>
    </row>
    <row r="4236" spans="1:13" x14ac:dyDescent="0.25">
      <c r="A4236" s="3" t="s">
        <v>209</v>
      </c>
      <c r="B4236" s="3" t="s">
        <v>245</v>
      </c>
      <c r="C4236" s="3" t="s">
        <v>9</v>
      </c>
      <c r="D4236" s="3" t="s">
        <v>19</v>
      </c>
      <c r="E4236" s="5" t="s">
        <v>11</v>
      </c>
      <c r="F4236" s="17">
        <v>13.31</v>
      </c>
      <c r="G4236" s="3">
        <v>4</v>
      </c>
      <c r="H4236" s="17">
        <f>Table1[[#This Row],[Unit price]]*Table1[[#This Row],[Quantity]]</f>
        <v>53.24</v>
      </c>
      <c r="I4236" s="29">
        <f>Table1[[#This Row],[Total Revenue]]/$H$5056*100</f>
        <v>5.6485375735701024E-3</v>
      </c>
      <c r="J4236" s="3" t="s">
        <v>17</v>
      </c>
      <c r="K4236" s="4">
        <v>8.1</v>
      </c>
      <c r="M4236"/>
    </row>
    <row r="4237" spans="1:13" x14ac:dyDescent="0.25">
      <c r="A4237" s="3" t="s">
        <v>209</v>
      </c>
      <c r="B4237" s="3" t="s">
        <v>243</v>
      </c>
      <c r="C4237" s="3" t="s">
        <v>13</v>
      </c>
      <c r="D4237" s="3" t="s">
        <v>10</v>
      </c>
      <c r="E4237" s="5" t="s">
        <v>11</v>
      </c>
      <c r="F4237" s="17">
        <v>11.45</v>
      </c>
      <c r="G4237" s="3">
        <v>6</v>
      </c>
      <c r="H4237" s="17">
        <f>Table1[[#This Row],[Unit price]]*Table1[[#This Row],[Quantity]]</f>
        <v>68.699999999999989</v>
      </c>
      <c r="I4237" s="29">
        <f>Table1[[#This Row],[Total Revenue]]/$H$5056*100</f>
        <v>7.2887778231454916E-3</v>
      </c>
      <c r="J4237" s="3" t="s">
        <v>15</v>
      </c>
      <c r="K4237" s="4">
        <v>4.5</v>
      </c>
      <c r="M4237"/>
    </row>
    <row r="4238" spans="1:13" x14ac:dyDescent="0.25">
      <c r="A4238" s="3" t="s">
        <v>210</v>
      </c>
      <c r="B4238" s="3" t="s">
        <v>243</v>
      </c>
      <c r="C4238" s="3" t="s">
        <v>9</v>
      </c>
      <c r="D4238" s="3" t="s">
        <v>19</v>
      </c>
      <c r="E4238" s="5" t="s">
        <v>11</v>
      </c>
      <c r="F4238" s="17">
        <v>8.2899999999999991</v>
      </c>
      <c r="G4238" s="3">
        <v>8</v>
      </c>
      <c r="H4238" s="17">
        <f>Table1[[#This Row],[Unit price]]*Table1[[#This Row],[Quantity]]</f>
        <v>66.319999999999993</v>
      </c>
      <c r="I4238" s="29">
        <f>Table1[[#This Row],[Total Revenue]]/$H$5056*100</f>
        <v>7.0362699451384132E-3</v>
      </c>
      <c r="J4238" s="3" t="s">
        <v>15</v>
      </c>
      <c r="K4238" s="4">
        <v>3.5</v>
      </c>
      <c r="M4238"/>
    </row>
    <row r="4239" spans="1:13" x14ac:dyDescent="0.25">
      <c r="A4239" s="3" t="s">
        <v>210</v>
      </c>
      <c r="B4239" s="3" t="s">
        <v>244</v>
      </c>
      <c r="C4239" s="3" t="s">
        <v>13</v>
      </c>
      <c r="D4239" s="3" t="s">
        <v>10</v>
      </c>
      <c r="E4239" s="5" t="s">
        <v>11</v>
      </c>
      <c r="F4239" s="17">
        <v>5.6</v>
      </c>
      <c r="G4239" s="3">
        <v>3</v>
      </c>
      <c r="H4239" s="17">
        <f>Table1[[#This Row],[Unit price]]*Table1[[#This Row],[Quantity]]</f>
        <v>16.799999999999997</v>
      </c>
      <c r="I4239" s="29">
        <f>Table1[[#This Row],[Total Revenue]]/$H$5056*100</f>
        <v>1.7824085506381985E-3</v>
      </c>
      <c r="J4239" s="3" t="s">
        <v>12</v>
      </c>
      <c r="K4239" s="4">
        <v>8.6999999999999993</v>
      </c>
      <c r="M4239"/>
    </row>
    <row r="4240" spans="1:13" x14ac:dyDescent="0.25">
      <c r="A4240" s="3" t="s">
        <v>210</v>
      </c>
      <c r="B4240" s="3" t="s">
        <v>243</v>
      </c>
      <c r="C4240" s="3" t="s">
        <v>13</v>
      </c>
      <c r="D4240" s="3" t="s">
        <v>19</v>
      </c>
      <c r="E4240" s="5" t="s">
        <v>20</v>
      </c>
      <c r="F4240" s="17">
        <v>48.68</v>
      </c>
      <c r="G4240" s="3">
        <v>3</v>
      </c>
      <c r="H4240" s="17">
        <f>Table1[[#This Row],[Unit price]]*Table1[[#This Row],[Quantity]]</f>
        <v>146.04</v>
      </c>
      <c r="I4240" s="29">
        <f>Table1[[#This Row],[Total Revenue]]/$H$5056*100</f>
        <v>1.5494222900904915E-2</v>
      </c>
      <c r="J4240" s="3" t="s">
        <v>15</v>
      </c>
      <c r="K4240" s="4">
        <v>4.0999999999999996</v>
      </c>
      <c r="M4240"/>
    </row>
    <row r="4241" spans="1:13" x14ac:dyDescent="0.25">
      <c r="A4241" s="3" t="s">
        <v>210</v>
      </c>
      <c r="B4241" s="3" t="s">
        <v>243</v>
      </c>
      <c r="C4241" s="3" t="s">
        <v>9</v>
      </c>
      <c r="D4241" s="3" t="s">
        <v>10</v>
      </c>
      <c r="E4241" s="5" t="s">
        <v>20</v>
      </c>
      <c r="F4241" s="17">
        <v>65.95</v>
      </c>
      <c r="G4241" s="3">
        <v>8</v>
      </c>
      <c r="H4241" s="17">
        <f>Table1[[#This Row],[Unit price]]*Table1[[#This Row],[Quantity]]</f>
        <v>527.6</v>
      </c>
      <c r="I4241" s="29">
        <f>Table1[[#This Row],[Total Revenue]]/$H$5056*100</f>
        <v>5.5976116149804384E-2</v>
      </c>
      <c r="J4241" s="3" t="s">
        <v>12</v>
      </c>
      <c r="K4241" s="4">
        <v>5.9</v>
      </c>
      <c r="M4241"/>
    </row>
    <row r="4242" spans="1:13" x14ac:dyDescent="0.25">
      <c r="A4242" s="3" t="s">
        <v>210</v>
      </c>
      <c r="B4242" s="3" t="s">
        <v>245</v>
      </c>
      <c r="C4242" s="3" t="s">
        <v>13</v>
      </c>
      <c r="D4242" s="3" t="s">
        <v>10</v>
      </c>
      <c r="E4242" s="5" t="s">
        <v>21</v>
      </c>
      <c r="F4242" s="17">
        <v>38.700000000000003</v>
      </c>
      <c r="G4242" s="3">
        <v>8</v>
      </c>
      <c r="H4242" s="17">
        <f>Table1[[#This Row],[Unit price]]*Table1[[#This Row],[Quantity]]</f>
        <v>309.60000000000002</v>
      </c>
      <c r="I4242" s="29">
        <f>Table1[[#This Row],[Total Revenue]]/$H$5056*100</f>
        <v>3.284724329033252E-2</v>
      </c>
      <c r="J4242" s="3" t="s">
        <v>12</v>
      </c>
      <c r="K4242" s="4">
        <v>5.2</v>
      </c>
      <c r="M4242"/>
    </row>
    <row r="4243" spans="1:13" x14ac:dyDescent="0.25">
      <c r="A4243" s="3" t="s">
        <v>210</v>
      </c>
      <c r="B4243" s="3" t="s">
        <v>244</v>
      </c>
      <c r="C4243" s="3" t="s">
        <v>13</v>
      </c>
      <c r="D4243" s="3" t="s">
        <v>10</v>
      </c>
      <c r="E4243" s="5" t="s">
        <v>11</v>
      </c>
      <c r="F4243" s="17">
        <v>10.5</v>
      </c>
      <c r="G4243" s="3">
        <v>1</v>
      </c>
      <c r="H4243" s="17">
        <f>Table1[[#This Row],[Unit price]]*Table1[[#This Row],[Quantity]]</f>
        <v>10.5</v>
      </c>
      <c r="I4243" s="29">
        <f>Table1[[#This Row],[Total Revenue]]/$H$5056*100</f>
        <v>1.1140053441488743E-3</v>
      </c>
      <c r="J4243" s="3" t="s">
        <v>17</v>
      </c>
      <c r="K4243" s="4">
        <v>4.4000000000000004</v>
      </c>
      <c r="M4243"/>
    </row>
    <row r="4244" spans="1:13" x14ac:dyDescent="0.25">
      <c r="A4244" s="3" t="s">
        <v>210</v>
      </c>
      <c r="B4244" s="3" t="s">
        <v>243</v>
      </c>
      <c r="C4244" s="3" t="s">
        <v>13</v>
      </c>
      <c r="D4244" s="3" t="s">
        <v>19</v>
      </c>
      <c r="E4244" s="5" t="s">
        <v>20</v>
      </c>
      <c r="F4244" s="17">
        <v>48.15</v>
      </c>
      <c r="G4244" s="3">
        <v>5</v>
      </c>
      <c r="H4244" s="17">
        <f>Table1[[#This Row],[Unit price]]*Table1[[#This Row],[Quantity]]</f>
        <v>240.75</v>
      </c>
      <c r="I4244" s="29">
        <f>Table1[[#This Row],[Total Revenue]]/$H$5056*100</f>
        <v>2.5542551105127761E-2</v>
      </c>
      <c r="J4244" s="3" t="s">
        <v>17</v>
      </c>
      <c r="K4244" s="4">
        <v>5.5</v>
      </c>
      <c r="M4244"/>
    </row>
    <row r="4245" spans="1:13" x14ac:dyDescent="0.25">
      <c r="A4245" s="3" t="s">
        <v>210</v>
      </c>
      <c r="B4245" s="3" t="s">
        <v>244</v>
      </c>
      <c r="C4245" s="3" t="s">
        <v>9</v>
      </c>
      <c r="D4245" s="3" t="s">
        <v>19</v>
      </c>
      <c r="E4245" s="5" t="s">
        <v>20</v>
      </c>
      <c r="F4245" s="17">
        <v>58.93</v>
      </c>
      <c r="G4245" s="3">
        <v>4</v>
      </c>
      <c r="H4245" s="17">
        <f>Table1[[#This Row],[Unit price]]*Table1[[#This Row],[Quantity]]</f>
        <v>235.72</v>
      </c>
      <c r="I4245" s="29">
        <f>Table1[[#This Row],[Total Revenue]]/$H$5056*100</f>
        <v>2.5008889497406917E-2</v>
      </c>
      <c r="J4245" s="3" t="s">
        <v>12</v>
      </c>
      <c r="K4245" s="4">
        <v>6.5</v>
      </c>
      <c r="M4245"/>
    </row>
    <row r="4246" spans="1:13" x14ac:dyDescent="0.25">
      <c r="A4246" s="3" t="s">
        <v>210</v>
      </c>
      <c r="B4246" s="3" t="s">
        <v>244</v>
      </c>
      <c r="C4246" s="3" t="s">
        <v>13</v>
      </c>
      <c r="D4246" s="3" t="s">
        <v>10</v>
      </c>
      <c r="E4246" s="5" t="s">
        <v>11</v>
      </c>
      <c r="F4246" s="17">
        <v>8.59</v>
      </c>
      <c r="G4246" s="3">
        <v>3</v>
      </c>
      <c r="H4246" s="17">
        <f>Table1[[#This Row],[Unit price]]*Table1[[#This Row],[Quantity]]</f>
        <v>25.77</v>
      </c>
      <c r="I4246" s="29">
        <f>Table1[[#This Row],[Total Revenue]]/$H$5056*100</f>
        <v>2.7340874017825227E-3</v>
      </c>
      <c r="J4246" s="3" t="s">
        <v>17</v>
      </c>
      <c r="K4246" s="4">
        <v>8.6999999999999993</v>
      </c>
      <c r="M4246"/>
    </row>
    <row r="4247" spans="1:13" x14ac:dyDescent="0.25">
      <c r="A4247" s="3" t="s">
        <v>210</v>
      </c>
      <c r="B4247" s="3" t="s">
        <v>244</v>
      </c>
      <c r="C4247" s="3" t="s">
        <v>13</v>
      </c>
      <c r="D4247" s="3" t="s">
        <v>10</v>
      </c>
      <c r="E4247" s="5" t="s">
        <v>18</v>
      </c>
      <c r="F4247" s="17">
        <v>19.95</v>
      </c>
      <c r="G4247" s="3">
        <v>1</v>
      </c>
      <c r="H4247" s="17">
        <f>Table1[[#This Row],[Unit price]]*Table1[[#This Row],[Quantity]]</f>
        <v>19.95</v>
      </c>
      <c r="I4247" s="29">
        <f>Table1[[#This Row],[Total Revenue]]/$H$5056*100</f>
        <v>2.116610153882861E-3</v>
      </c>
      <c r="J4247" s="3" t="s">
        <v>15</v>
      </c>
      <c r="K4247" s="4">
        <v>6.3</v>
      </c>
      <c r="M4247"/>
    </row>
    <row r="4248" spans="1:13" x14ac:dyDescent="0.25">
      <c r="A4248" s="3" t="s">
        <v>211</v>
      </c>
      <c r="B4248" s="3" t="s">
        <v>244</v>
      </c>
      <c r="C4248" s="3" t="s">
        <v>13</v>
      </c>
      <c r="D4248" s="3" t="s">
        <v>19</v>
      </c>
      <c r="E4248" s="5" t="s">
        <v>18</v>
      </c>
      <c r="F4248" s="17">
        <v>11.37</v>
      </c>
      <c r="G4248" s="3">
        <v>5</v>
      </c>
      <c r="H4248" s="17">
        <f>Table1[[#This Row],[Unit price]]*Table1[[#This Row],[Quantity]]</f>
        <v>56.849999999999994</v>
      </c>
      <c r="I4248" s="29">
        <f>Table1[[#This Row],[Total Revenue]]/$H$5056*100</f>
        <v>6.0315432204631897E-3</v>
      </c>
      <c r="J4248" s="3" t="s">
        <v>15</v>
      </c>
      <c r="K4248" s="4">
        <v>3.3</v>
      </c>
      <c r="M4248"/>
    </row>
    <row r="4249" spans="1:13" x14ac:dyDescent="0.25">
      <c r="A4249" s="3" t="s">
        <v>211</v>
      </c>
      <c r="B4249" s="3" t="s">
        <v>245</v>
      </c>
      <c r="C4249" s="3" t="s">
        <v>13</v>
      </c>
      <c r="D4249" s="3" t="s">
        <v>10</v>
      </c>
      <c r="E4249" s="5" t="s">
        <v>16</v>
      </c>
      <c r="F4249" s="17">
        <v>72.3</v>
      </c>
      <c r="G4249" s="3">
        <v>9</v>
      </c>
      <c r="H4249" s="17">
        <f>Table1[[#This Row],[Unit price]]*Table1[[#This Row],[Quantity]]</f>
        <v>650.69999999999993</v>
      </c>
      <c r="I4249" s="29">
        <f>Table1[[#This Row],[Total Revenue]]/$H$5056*100</f>
        <v>6.9036502613111672E-2</v>
      </c>
      <c r="J4249" s="3" t="s">
        <v>15</v>
      </c>
      <c r="K4249" s="4">
        <v>3.5</v>
      </c>
      <c r="M4249"/>
    </row>
    <row r="4250" spans="1:13" x14ac:dyDescent="0.25">
      <c r="A4250" s="3" t="s">
        <v>211</v>
      </c>
      <c r="B4250" s="3" t="s">
        <v>243</v>
      </c>
      <c r="C4250" s="3" t="s">
        <v>9</v>
      </c>
      <c r="D4250" s="3" t="s">
        <v>19</v>
      </c>
      <c r="E4250" s="5" t="s">
        <v>18</v>
      </c>
      <c r="F4250" s="17">
        <v>13.81</v>
      </c>
      <c r="G4250" s="3">
        <v>3</v>
      </c>
      <c r="H4250" s="17">
        <f>Table1[[#This Row],[Unit price]]*Table1[[#This Row],[Quantity]]</f>
        <v>41.43</v>
      </c>
      <c r="I4250" s="29">
        <f>Table1[[#This Row],[Total Revenue]]/$H$5056*100</f>
        <v>4.3955468007702723E-3</v>
      </c>
      <c r="J4250" s="3" t="s">
        <v>12</v>
      </c>
      <c r="K4250" s="4">
        <v>7.3</v>
      </c>
      <c r="M4250"/>
    </row>
    <row r="4251" spans="1:13" x14ac:dyDescent="0.25">
      <c r="A4251" s="3" t="s">
        <v>211</v>
      </c>
      <c r="B4251" s="3" t="s">
        <v>243</v>
      </c>
      <c r="C4251" s="3" t="s">
        <v>9</v>
      </c>
      <c r="D4251" s="3" t="s">
        <v>19</v>
      </c>
      <c r="E4251" s="5" t="s">
        <v>11</v>
      </c>
      <c r="F4251" s="17">
        <v>3.39</v>
      </c>
      <c r="G4251" s="3">
        <v>2</v>
      </c>
      <c r="H4251" s="17">
        <f>Table1[[#This Row],[Unit price]]*Table1[[#This Row],[Quantity]]</f>
        <v>6.78</v>
      </c>
      <c r="I4251" s="29">
        <f>Table1[[#This Row],[Total Revenue]]/$H$5056*100</f>
        <v>7.1932916507898748E-4</v>
      </c>
      <c r="J4251" s="3" t="s">
        <v>12</v>
      </c>
      <c r="K4251" s="4">
        <v>6.5</v>
      </c>
      <c r="M4251"/>
    </row>
    <row r="4252" spans="1:13" x14ac:dyDescent="0.25">
      <c r="A4252" s="3" t="s">
        <v>211</v>
      </c>
      <c r="B4252" s="3" t="s">
        <v>243</v>
      </c>
      <c r="C4252" s="3" t="s">
        <v>9</v>
      </c>
      <c r="D4252" s="3" t="s">
        <v>10</v>
      </c>
      <c r="E4252" s="5" t="s">
        <v>16</v>
      </c>
      <c r="F4252" s="17">
        <v>62.49</v>
      </c>
      <c r="G4252" s="3">
        <v>10</v>
      </c>
      <c r="H4252" s="17">
        <f>Table1[[#This Row],[Unit price]]*Table1[[#This Row],[Quantity]]</f>
        <v>624.9</v>
      </c>
      <c r="I4252" s="29">
        <f>Table1[[#This Row],[Total Revenue]]/$H$5056*100</f>
        <v>6.6299232338917297E-2</v>
      </c>
      <c r="J4252" s="3" t="s">
        <v>17</v>
      </c>
      <c r="K4252" s="4">
        <v>3.6</v>
      </c>
      <c r="M4252"/>
    </row>
    <row r="4253" spans="1:13" x14ac:dyDescent="0.25">
      <c r="A4253" s="3" t="s">
        <v>211</v>
      </c>
      <c r="B4253" s="3" t="s">
        <v>243</v>
      </c>
      <c r="C4253" s="3" t="s">
        <v>13</v>
      </c>
      <c r="D4253" s="3" t="s">
        <v>10</v>
      </c>
      <c r="E4253" s="5" t="s">
        <v>21</v>
      </c>
      <c r="F4253" s="17">
        <v>34.549999999999997</v>
      </c>
      <c r="G4253" s="3">
        <v>2</v>
      </c>
      <c r="H4253" s="17">
        <f>Table1[[#This Row],[Unit price]]*Table1[[#This Row],[Quantity]]</f>
        <v>69.099999999999994</v>
      </c>
      <c r="I4253" s="29">
        <f>Table1[[#This Row],[Total Revenue]]/$H$5056*100</f>
        <v>7.3312161219702106E-3</v>
      </c>
      <c r="J4253" s="3" t="s">
        <v>12</v>
      </c>
      <c r="K4253" s="4">
        <v>3.6</v>
      </c>
      <c r="M4253"/>
    </row>
    <row r="4254" spans="1:13" x14ac:dyDescent="0.25">
      <c r="A4254" s="3" t="s">
        <v>211</v>
      </c>
      <c r="B4254" s="3" t="s">
        <v>244</v>
      </c>
      <c r="C4254" s="3" t="s">
        <v>13</v>
      </c>
      <c r="D4254" s="3" t="s">
        <v>10</v>
      </c>
      <c r="E4254" s="5" t="s">
        <v>11</v>
      </c>
      <c r="F4254" s="17">
        <v>9.77</v>
      </c>
      <c r="G4254" s="3">
        <v>1</v>
      </c>
      <c r="H4254" s="17">
        <f>Table1[[#This Row],[Unit price]]*Table1[[#This Row],[Quantity]]</f>
        <v>9.77</v>
      </c>
      <c r="I4254" s="29">
        <f>Table1[[#This Row],[Total Revenue]]/$H$5056*100</f>
        <v>1.0365554487937621E-3</v>
      </c>
      <c r="J4254" s="3" t="s">
        <v>15</v>
      </c>
      <c r="K4254" s="4">
        <v>8.4</v>
      </c>
      <c r="M4254"/>
    </row>
    <row r="4255" spans="1:13" x14ac:dyDescent="0.25">
      <c r="A4255" s="3" t="s">
        <v>211</v>
      </c>
      <c r="B4255" s="3" t="s">
        <v>245</v>
      </c>
      <c r="C4255" s="3" t="s">
        <v>13</v>
      </c>
      <c r="D4255" s="3" t="s">
        <v>19</v>
      </c>
      <c r="E4255" s="5" t="s">
        <v>21</v>
      </c>
      <c r="F4255" s="17">
        <v>20.29</v>
      </c>
      <c r="G4255" s="3">
        <v>2</v>
      </c>
      <c r="H4255" s="17">
        <f>Table1[[#This Row],[Unit price]]*Table1[[#This Row],[Quantity]]</f>
        <v>40.58</v>
      </c>
      <c r="I4255" s="29">
        <f>Table1[[#This Row],[Total Revenue]]/$H$5056*100</f>
        <v>4.3053654157677443E-3</v>
      </c>
      <c r="J4255" s="3" t="s">
        <v>15</v>
      </c>
      <c r="K4255" s="4">
        <v>3.2</v>
      </c>
      <c r="M4255"/>
    </row>
    <row r="4256" spans="1:13" x14ac:dyDescent="0.25">
      <c r="A4256" s="3" t="s">
        <v>211</v>
      </c>
      <c r="B4256" s="3" t="s">
        <v>243</v>
      </c>
      <c r="C4256" s="3" t="s">
        <v>13</v>
      </c>
      <c r="D4256" s="3" t="s">
        <v>10</v>
      </c>
      <c r="E4256" s="5" t="s">
        <v>16</v>
      </c>
      <c r="F4256" s="17">
        <v>50.23</v>
      </c>
      <c r="G4256" s="3">
        <v>6</v>
      </c>
      <c r="H4256" s="17">
        <f>Table1[[#This Row],[Unit price]]*Table1[[#This Row],[Quantity]]</f>
        <v>301.38</v>
      </c>
      <c r="I4256" s="29">
        <f>Table1[[#This Row],[Total Revenue]]/$H$5056*100</f>
        <v>3.1975136249484545E-2</v>
      </c>
      <c r="J4256" s="3" t="s">
        <v>17</v>
      </c>
      <c r="K4256" s="4">
        <v>7.2</v>
      </c>
      <c r="M4256"/>
    </row>
    <row r="4257" spans="1:13" x14ac:dyDescent="0.25">
      <c r="A4257" s="3" t="s">
        <v>211</v>
      </c>
      <c r="B4257" s="3" t="s">
        <v>245</v>
      </c>
      <c r="C4257" s="3" t="s">
        <v>9</v>
      </c>
      <c r="D4257" s="3" t="s">
        <v>10</v>
      </c>
      <c r="E4257" s="5" t="s">
        <v>20</v>
      </c>
      <c r="F4257" s="17">
        <v>51.94</v>
      </c>
      <c r="G4257" s="3">
        <v>1</v>
      </c>
      <c r="H4257" s="17">
        <f>Table1[[#This Row],[Unit price]]*Table1[[#This Row],[Quantity]]</f>
        <v>51.94</v>
      </c>
      <c r="I4257" s="29">
        <f>Table1[[#This Row],[Total Revenue]]/$H$5056*100</f>
        <v>5.5106131023897643E-3</v>
      </c>
      <c r="J4257" s="3" t="s">
        <v>12</v>
      </c>
      <c r="K4257" s="4">
        <v>4.0999999999999996</v>
      </c>
      <c r="M4257"/>
    </row>
    <row r="4258" spans="1:13" x14ac:dyDescent="0.25">
      <c r="A4258" s="3" t="s">
        <v>211</v>
      </c>
      <c r="B4258" s="3" t="s">
        <v>245</v>
      </c>
      <c r="C4258" s="3" t="s">
        <v>9</v>
      </c>
      <c r="D4258" s="3" t="s">
        <v>19</v>
      </c>
      <c r="E4258" s="5" t="s">
        <v>14</v>
      </c>
      <c r="F4258" s="17">
        <v>91.16</v>
      </c>
      <c r="G4258" s="3">
        <v>2</v>
      </c>
      <c r="H4258" s="17">
        <f>Table1[[#This Row],[Unit price]]*Table1[[#This Row],[Quantity]]</f>
        <v>182.32</v>
      </c>
      <c r="I4258" s="29">
        <f>Table1[[#This Row],[Total Revenue]]/$H$5056*100</f>
        <v>1.934337660430693E-2</v>
      </c>
      <c r="J4258" s="3" t="s">
        <v>12</v>
      </c>
      <c r="K4258" s="4">
        <v>6.8</v>
      </c>
      <c r="M4258"/>
    </row>
    <row r="4259" spans="1:13" x14ac:dyDescent="0.25">
      <c r="A4259" s="3" t="s">
        <v>211</v>
      </c>
      <c r="B4259" s="3" t="s">
        <v>244</v>
      </c>
      <c r="C4259" s="3" t="s">
        <v>9</v>
      </c>
      <c r="D4259" s="3" t="s">
        <v>10</v>
      </c>
      <c r="E4259" s="5" t="s">
        <v>21</v>
      </c>
      <c r="F4259" s="17">
        <v>24.27</v>
      </c>
      <c r="G4259" s="3">
        <v>5</v>
      </c>
      <c r="H4259" s="17">
        <f>Table1[[#This Row],[Unit price]]*Table1[[#This Row],[Quantity]]</f>
        <v>121.35</v>
      </c>
      <c r="I4259" s="29">
        <f>Table1[[#This Row],[Total Revenue]]/$H$5056*100</f>
        <v>1.2874718905949134E-2</v>
      </c>
      <c r="J4259" s="3" t="s">
        <v>12</v>
      </c>
      <c r="K4259" s="4">
        <v>7.5</v>
      </c>
      <c r="M4259"/>
    </row>
    <row r="4260" spans="1:13" x14ac:dyDescent="0.25">
      <c r="A4260" s="3" t="s">
        <v>211</v>
      </c>
      <c r="B4260" s="3" t="s">
        <v>243</v>
      </c>
      <c r="C4260" s="3" t="s">
        <v>13</v>
      </c>
      <c r="D4260" s="3" t="s">
        <v>10</v>
      </c>
      <c r="E4260" s="5" t="s">
        <v>11</v>
      </c>
      <c r="F4260" s="17">
        <v>12.54</v>
      </c>
      <c r="G4260" s="3">
        <v>6</v>
      </c>
      <c r="H4260" s="17">
        <f>Table1[[#This Row],[Unit price]]*Table1[[#This Row],[Quantity]]</f>
        <v>75.239999999999995</v>
      </c>
      <c r="I4260" s="29">
        <f>Table1[[#This Row],[Total Revenue]]/$H$5056*100</f>
        <v>7.9826440089296475E-3</v>
      </c>
      <c r="J4260" s="3" t="s">
        <v>12</v>
      </c>
      <c r="K4260" s="4">
        <v>8.6999999999999993</v>
      </c>
      <c r="M4260"/>
    </row>
    <row r="4261" spans="1:13" x14ac:dyDescent="0.25">
      <c r="A4261" s="3" t="s">
        <v>211</v>
      </c>
      <c r="B4261" s="3" t="s">
        <v>243</v>
      </c>
      <c r="C4261" s="3" t="s">
        <v>9</v>
      </c>
      <c r="D4261" s="3" t="s">
        <v>10</v>
      </c>
      <c r="E4261" s="5" t="s">
        <v>20</v>
      </c>
      <c r="F4261" s="17">
        <v>49.17</v>
      </c>
      <c r="G4261" s="3">
        <v>1</v>
      </c>
      <c r="H4261" s="17">
        <f>Table1[[#This Row],[Unit price]]*Table1[[#This Row],[Quantity]]</f>
        <v>49.17</v>
      </c>
      <c r="I4261" s="29">
        <f>Table1[[#This Row],[Total Revenue]]/$H$5056*100</f>
        <v>5.216727883028586E-3</v>
      </c>
      <c r="J4261" s="3" t="s">
        <v>12</v>
      </c>
      <c r="K4261" s="4">
        <v>3.1</v>
      </c>
      <c r="M4261"/>
    </row>
    <row r="4262" spans="1:13" x14ac:dyDescent="0.25">
      <c r="A4262" s="3" t="s">
        <v>211</v>
      </c>
      <c r="B4262" s="3" t="s">
        <v>243</v>
      </c>
      <c r="C4262" s="3" t="s">
        <v>9</v>
      </c>
      <c r="D4262" s="3" t="s">
        <v>10</v>
      </c>
      <c r="E4262" s="5" t="s">
        <v>16</v>
      </c>
      <c r="F4262" s="17">
        <v>75.63</v>
      </c>
      <c r="G4262" s="3">
        <v>5</v>
      </c>
      <c r="H4262" s="17">
        <f>Table1[[#This Row],[Unit price]]*Table1[[#This Row],[Quantity]]</f>
        <v>378.15</v>
      </c>
      <c r="I4262" s="29">
        <f>Table1[[#This Row],[Total Revenue]]/$H$5056*100</f>
        <v>4.0120106751418742E-2</v>
      </c>
      <c r="J4262" s="3" t="s">
        <v>17</v>
      </c>
      <c r="K4262" s="4">
        <v>4.4000000000000004</v>
      </c>
      <c r="M4262"/>
    </row>
    <row r="4263" spans="1:13" x14ac:dyDescent="0.25">
      <c r="A4263" s="3" t="s">
        <v>211</v>
      </c>
      <c r="B4263" s="3" t="s">
        <v>245</v>
      </c>
      <c r="C4263" s="3" t="s">
        <v>13</v>
      </c>
      <c r="D4263" s="3" t="s">
        <v>10</v>
      </c>
      <c r="E4263" s="5" t="s">
        <v>11</v>
      </c>
      <c r="F4263" s="17">
        <v>10.61</v>
      </c>
      <c r="G4263" s="3">
        <v>6</v>
      </c>
      <c r="H4263" s="17">
        <f>Table1[[#This Row],[Unit price]]*Table1[[#This Row],[Quantity]]</f>
        <v>63.66</v>
      </c>
      <c r="I4263" s="29">
        <f>Table1[[#This Row],[Total Revenue]]/$H$5056*100</f>
        <v>6.7540552579540315E-3</v>
      </c>
      <c r="J4263" s="3" t="s">
        <v>12</v>
      </c>
      <c r="K4263" s="4">
        <v>8.5</v>
      </c>
      <c r="M4263"/>
    </row>
    <row r="4264" spans="1:13" x14ac:dyDescent="0.25">
      <c r="A4264" s="3" t="s">
        <v>211</v>
      </c>
      <c r="B4264" s="3" t="s">
        <v>245</v>
      </c>
      <c r="C4264" s="3" t="s">
        <v>9</v>
      </c>
      <c r="D4264" s="3" t="s">
        <v>19</v>
      </c>
      <c r="E4264" s="5" t="s">
        <v>21</v>
      </c>
      <c r="F4264" s="17">
        <v>24.99</v>
      </c>
      <c r="G4264" s="3">
        <v>8</v>
      </c>
      <c r="H4264" s="17">
        <f>Table1[[#This Row],[Unit price]]*Table1[[#This Row],[Quantity]]</f>
        <v>199.92</v>
      </c>
      <c r="I4264" s="29">
        <f>Table1[[#This Row],[Total Revenue]]/$H$5056*100</f>
        <v>2.1210661752594565E-2</v>
      </c>
      <c r="J4264" s="3" t="s">
        <v>17</v>
      </c>
      <c r="K4264" s="4">
        <v>4</v>
      </c>
      <c r="M4264"/>
    </row>
    <row r="4265" spans="1:13" x14ac:dyDescent="0.25">
      <c r="A4265" s="3" t="s">
        <v>211</v>
      </c>
      <c r="B4265" s="3" t="s">
        <v>243</v>
      </c>
      <c r="C4265" s="3" t="s">
        <v>13</v>
      </c>
      <c r="D4265" s="3" t="s">
        <v>10</v>
      </c>
      <c r="E4265" s="5" t="s">
        <v>21</v>
      </c>
      <c r="F4265" s="17">
        <v>27.71</v>
      </c>
      <c r="G4265" s="3">
        <v>7</v>
      </c>
      <c r="H4265" s="17">
        <f>Table1[[#This Row],[Unit price]]*Table1[[#This Row],[Quantity]]</f>
        <v>193.97</v>
      </c>
      <c r="I4265" s="29">
        <f>Table1[[#This Row],[Total Revenue]]/$H$5056*100</f>
        <v>2.0579392057576869E-2</v>
      </c>
      <c r="J4265" s="3" t="s">
        <v>17</v>
      </c>
      <c r="K4265" s="4">
        <v>4.3</v>
      </c>
      <c r="M4265"/>
    </row>
    <row r="4266" spans="1:13" x14ac:dyDescent="0.25">
      <c r="A4266" s="3" t="s">
        <v>211</v>
      </c>
      <c r="B4266" s="3" t="s">
        <v>243</v>
      </c>
      <c r="C4266" s="3" t="s">
        <v>13</v>
      </c>
      <c r="D4266" s="3" t="s">
        <v>19</v>
      </c>
      <c r="E4266" s="5" t="s">
        <v>11</v>
      </c>
      <c r="F4266" s="17">
        <v>14.59</v>
      </c>
      <c r="G4266" s="3">
        <v>8</v>
      </c>
      <c r="H4266" s="17">
        <f>Table1[[#This Row],[Unit price]]*Table1[[#This Row],[Quantity]]</f>
        <v>116.72</v>
      </c>
      <c r="I4266" s="29">
        <f>Table1[[#This Row],[Total Revenue]]/$H$5056*100</f>
        <v>1.2383495597053011E-2</v>
      </c>
      <c r="J4266" s="3" t="s">
        <v>12</v>
      </c>
      <c r="K4266" s="4">
        <v>8.1999999999999993</v>
      </c>
      <c r="M4266"/>
    </row>
    <row r="4267" spans="1:13" x14ac:dyDescent="0.25">
      <c r="A4267" s="3" t="s">
        <v>211</v>
      </c>
      <c r="B4267" s="3" t="s">
        <v>243</v>
      </c>
      <c r="C4267" s="3" t="s">
        <v>13</v>
      </c>
      <c r="D4267" s="3" t="s">
        <v>19</v>
      </c>
      <c r="E4267" s="5" t="s">
        <v>20</v>
      </c>
      <c r="F4267" s="17">
        <v>62.19</v>
      </c>
      <c r="G4267" s="3">
        <v>3</v>
      </c>
      <c r="H4267" s="17">
        <f>Table1[[#This Row],[Unit price]]*Table1[[#This Row],[Quantity]]</f>
        <v>186.57</v>
      </c>
      <c r="I4267" s="29">
        <f>Table1[[#This Row],[Total Revenue]]/$H$5056*100</f>
        <v>1.979428352931957E-2</v>
      </c>
      <c r="J4267" s="3" t="s">
        <v>12</v>
      </c>
      <c r="K4267" s="4">
        <v>8</v>
      </c>
      <c r="M4267"/>
    </row>
    <row r="4268" spans="1:13" x14ac:dyDescent="0.25">
      <c r="A4268" s="3" t="s">
        <v>211</v>
      </c>
      <c r="B4268" s="3" t="s">
        <v>244</v>
      </c>
      <c r="C4268" s="3" t="s">
        <v>13</v>
      </c>
      <c r="D4268" s="3" t="s">
        <v>10</v>
      </c>
      <c r="E4268" s="5" t="s">
        <v>11</v>
      </c>
      <c r="F4268" s="17">
        <v>13.28</v>
      </c>
      <c r="G4268" s="3">
        <v>7</v>
      </c>
      <c r="H4268" s="17">
        <f>Table1[[#This Row],[Unit price]]*Table1[[#This Row],[Quantity]]</f>
        <v>92.96</v>
      </c>
      <c r="I4268" s="29">
        <f>Table1[[#This Row],[Total Revenue]]/$H$5056*100</f>
        <v>9.8626606468647012E-3</v>
      </c>
      <c r="J4268" s="3" t="s">
        <v>17</v>
      </c>
      <c r="K4268" s="4">
        <v>6.3</v>
      </c>
      <c r="M4268"/>
    </row>
    <row r="4269" spans="1:13" x14ac:dyDescent="0.25">
      <c r="A4269" s="3" t="s">
        <v>212</v>
      </c>
      <c r="B4269" s="3" t="s">
        <v>243</v>
      </c>
      <c r="C4269" s="3" t="s">
        <v>13</v>
      </c>
      <c r="D4269" s="3" t="s">
        <v>19</v>
      </c>
      <c r="E4269" s="5" t="s">
        <v>11</v>
      </c>
      <c r="F4269" s="17">
        <v>7.82</v>
      </c>
      <c r="G4269" s="3">
        <v>9</v>
      </c>
      <c r="H4269" s="17">
        <f>Table1[[#This Row],[Unit price]]*Table1[[#This Row],[Quantity]]</f>
        <v>70.38</v>
      </c>
      <c r="I4269" s="29">
        <f>Table1[[#This Row],[Total Revenue]]/$H$5056*100</f>
        <v>7.4670186782093114E-3</v>
      </c>
      <c r="J4269" s="3" t="s">
        <v>12</v>
      </c>
      <c r="K4269" s="4">
        <v>3.3</v>
      </c>
      <c r="M4269"/>
    </row>
    <row r="4270" spans="1:13" x14ac:dyDescent="0.25">
      <c r="A4270" s="3" t="s">
        <v>212</v>
      </c>
      <c r="B4270" s="3" t="s">
        <v>243</v>
      </c>
      <c r="C4270" s="3" t="s">
        <v>9</v>
      </c>
      <c r="D4270" s="3" t="s">
        <v>10</v>
      </c>
      <c r="E4270" s="5" t="s">
        <v>14</v>
      </c>
      <c r="F4270" s="17">
        <v>95.49</v>
      </c>
      <c r="G4270" s="3">
        <v>4</v>
      </c>
      <c r="H4270" s="17">
        <f>Table1[[#This Row],[Unit price]]*Table1[[#This Row],[Quantity]]</f>
        <v>381.96</v>
      </c>
      <c r="I4270" s="29">
        <f>Table1[[#This Row],[Total Revenue]]/$H$5056*100</f>
        <v>4.0524331547724196E-2</v>
      </c>
      <c r="J4270" s="3" t="s">
        <v>12</v>
      </c>
      <c r="K4270" s="4">
        <v>7.4</v>
      </c>
      <c r="M4270"/>
    </row>
    <row r="4271" spans="1:13" x14ac:dyDescent="0.25">
      <c r="A4271" s="3" t="s">
        <v>212</v>
      </c>
      <c r="B4271" s="3" t="s">
        <v>244</v>
      </c>
      <c r="C4271" s="3" t="s">
        <v>9</v>
      </c>
      <c r="D4271" s="3" t="s">
        <v>10</v>
      </c>
      <c r="E4271" s="5" t="s">
        <v>20</v>
      </c>
      <c r="F4271" s="17">
        <v>61.33</v>
      </c>
      <c r="G4271" s="3">
        <v>10</v>
      </c>
      <c r="H4271" s="17">
        <f>Table1[[#This Row],[Unit price]]*Table1[[#This Row],[Quantity]]</f>
        <v>613.29999999999995</v>
      </c>
      <c r="I4271" s="29">
        <f>Table1[[#This Row],[Total Revenue]]/$H$5056*100</f>
        <v>6.5068521673000423E-2</v>
      </c>
      <c r="J4271" s="3" t="s">
        <v>15</v>
      </c>
      <c r="K4271" s="4">
        <v>9.1</v>
      </c>
      <c r="M4271"/>
    </row>
    <row r="4272" spans="1:13" x14ac:dyDescent="0.25">
      <c r="A4272" s="3" t="s">
        <v>212</v>
      </c>
      <c r="B4272" s="3" t="s">
        <v>243</v>
      </c>
      <c r="C4272" s="3" t="s">
        <v>13</v>
      </c>
      <c r="D4272" s="3" t="s">
        <v>10</v>
      </c>
      <c r="E4272" s="5" t="s">
        <v>21</v>
      </c>
      <c r="F4272" s="17">
        <v>33.93</v>
      </c>
      <c r="G4272" s="3">
        <v>8</v>
      </c>
      <c r="H4272" s="17">
        <f>Table1[[#This Row],[Unit price]]*Table1[[#This Row],[Quantity]]</f>
        <v>271.44</v>
      </c>
      <c r="I4272" s="29">
        <f>Table1[[#This Row],[Total Revenue]]/$H$5056*100</f>
        <v>2.8798629582454324E-2</v>
      </c>
      <c r="J4272" s="3" t="s">
        <v>15</v>
      </c>
      <c r="K4272" s="4">
        <v>4.9000000000000004</v>
      </c>
      <c r="M4272"/>
    </row>
    <row r="4273" spans="1:13" x14ac:dyDescent="0.25">
      <c r="A4273" s="3" t="s">
        <v>212</v>
      </c>
      <c r="B4273" s="3" t="s">
        <v>243</v>
      </c>
      <c r="C4273" s="3" t="s">
        <v>9</v>
      </c>
      <c r="D4273" s="3" t="s">
        <v>10</v>
      </c>
      <c r="E4273" s="5" t="s">
        <v>11</v>
      </c>
      <c r="F4273" s="17">
        <v>11.25</v>
      </c>
      <c r="G4273" s="3">
        <v>10</v>
      </c>
      <c r="H4273" s="17">
        <f>Table1[[#This Row],[Unit price]]*Table1[[#This Row],[Quantity]]</f>
        <v>112.5</v>
      </c>
      <c r="I4273" s="29">
        <f>Table1[[#This Row],[Total Revenue]]/$H$5056*100</f>
        <v>1.1935771544452224E-2</v>
      </c>
      <c r="J4273" s="3" t="s">
        <v>17</v>
      </c>
      <c r="K4273" s="4">
        <v>7.7</v>
      </c>
      <c r="M4273"/>
    </row>
    <row r="4274" spans="1:13" x14ac:dyDescent="0.25">
      <c r="A4274" s="3" t="s">
        <v>212</v>
      </c>
      <c r="B4274" s="3" t="s">
        <v>245</v>
      </c>
      <c r="C4274" s="3" t="s">
        <v>13</v>
      </c>
      <c r="D4274" s="3" t="s">
        <v>19</v>
      </c>
      <c r="E4274" s="5" t="s">
        <v>21</v>
      </c>
      <c r="F4274" s="17">
        <v>32.659999999999997</v>
      </c>
      <c r="G4274" s="3">
        <v>4</v>
      </c>
      <c r="H4274" s="17">
        <f>Table1[[#This Row],[Unit price]]*Table1[[#This Row],[Quantity]]</f>
        <v>130.63999999999999</v>
      </c>
      <c r="I4274" s="29">
        <f>Table1[[#This Row],[Total Revenue]]/$H$5056*100</f>
        <v>1.3860348396153232E-2</v>
      </c>
      <c r="J4274" s="3" t="s">
        <v>12</v>
      </c>
      <c r="K4274" s="4">
        <v>4.5</v>
      </c>
      <c r="M4274"/>
    </row>
    <row r="4275" spans="1:13" x14ac:dyDescent="0.25">
      <c r="A4275" s="3" t="s">
        <v>212</v>
      </c>
      <c r="B4275" s="3" t="s">
        <v>243</v>
      </c>
      <c r="C4275" s="3" t="s">
        <v>13</v>
      </c>
      <c r="D4275" s="3" t="s">
        <v>10</v>
      </c>
      <c r="E4275" s="5" t="s">
        <v>18</v>
      </c>
      <c r="F4275" s="17">
        <v>15.41</v>
      </c>
      <c r="G4275" s="3">
        <v>5</v>
      </c>
      <c r="H4275" s="17">
        <f>Table1[[#This Row],[Unit price]]*Table1[[#This Row],[Quantity]]</f>
        <v>77.05</v>
      </c>
      <c r="I4275" s="29">
        <f>Table1[[#This Row],[Total Revenue]]/$H$5056*100</f>
        <v>8.1746773111115011E-3</v>
      </c>
      <c r="J4275" s="3" t="s">
        <v>12</v>
      </c>
      <c r="K4275" s="4">
        <v>4.8</v>
      </c>
      <c r="M4275"/>
    </row>
    <row r="4276" spans="1:13" x14ac:dyDescent="0.25">
      <c r="A4276" s="3" t="s">
        <v>212</v>
      </c>
      <c r="B4276" s="3" t="s">
        <v>243</v>
      </c>
      <c r="C4276" s="3" t="s">
        <v>13</v>
      </c>
      <c r="D4276" s="3" t="s">
        <v>19</v>
      </c>
      <c r="E4276" s="5" t="s">
        <v>14</v>
      </c>
      <c r="F4276" s="17">
        <v>84.38</v>
      </c>
      <c r="G4276" s="3">
        <v>5</v>
      </c>
      <c r="H4276" s="17">
        <f>Table1[[#This Row],[Unit price]]*Table1[[#This Row],[Quantity]]</f>
        <v>421.9</v>
      </c>
      <c r="I4276" s="29">
        <f>Table1[[#This Row],[Total Revenue]]/$H$5056*100</f>
        <v>4.4761795685372384E-2</v>
      </c>
      <c r="J4276" s="3" t="s">
        <v>17</v>
      </c>
      <c r="K4276" s="4">
        <v>5.7</v>
      </c>
      <c r="M4276"/>
    </row>
    <row r="4277" spans="1:13" x14ac:dyDescent="0.25">
      <c r="A4277" s="3" t="s">
        <v>212</v>
      </c>
      <c r="B4277" s="3" t="s">
        <v>243</v>
      </c>
      <c r="C4277" s="3" t="s">
        <v>13</v>
      </c>
      <c r="D4277" s="3" t="s">
        <v>10</v>
      </c>
      <c r="E4277" s="5" t="s">
        <v>20</v>
      </c>
      <c r="F4277" s="17">
        <v>47.31</v>
      </c>
      <c r="G4277" s="3">
        <v>10</v>
      </c>
      <c r="H4277" s="17">
        <f>Table1[[#This Row],[Unit price]]*Table1[[#This Row],[Quantity]]</f>
        <v>473.1</v>
      </c>
      <c r="I4277" s="29">
        <f>Table1[[#This Row],[Total Revenue]]/$H$5056*100</f>
        <v>5.0193897934936428E-2</v>
      </c>
      <c r="J4277" s="3" t="s">
        <v>17</v>
      </c>
      <c r="K4277" s="4">
        <v>6.2</v>
      </c>
      <c r="M4277"/>
    </row>
    <row r="4278" spans="1:13" x14ac:dyDescent="0.25">
      <c r="A4278" s="3" t="s">
        <v>212</v>
      </c>
      <c r="B4278" s="3" t="s">
        <v>243</v>
      </c>
      <c r="C4278" s="3" t="s">
        <v>9</v>
      </c>
      <c r="D4278" s="3" t="s">
        <v>10</v>
      </c>
      <c r="E4278" s="5" t="s">
        <v>11</v>
      </c>
      <c r="F4278" s="17">
        <v>12.66</v>
      </c>
      <c r="G4278" s="3">
        <v>1</v>
      </c>
      <c r="H4278" s="17">
        <f>Table1[[#This Row],[Unit price]]*Table1[[#This Row],[Quantity]]</f>
        <v>12.66</v>
      </c>
      <c r="I4278" s="29">
        <f>Table1[[#This Row],[Total Revenue]]/$H$5056*100</f>
        <v>1.343172157802357E-3</v>
      </c>
      <c r="J4278" s="3" t="s">
        <v>17</v>
      </c>
      <c r="K4278" s="4">
        <v>5.0999999999999996</v>
      </c>
      <c r="M4278"/>
    </row>
    <row r="4279" spans="1:13" x14ac:dyDescent="0.25">
      <c r="A4279" s="3" t="s">
        <v>212</v>
      </c>
      <c r="B4279" s="3" t="s">
        <v>244</v>
      </c>
      <c r="C4279" s="3" t="s">
        <v>13</v>
      </c>
      <c r="D4279" s="3" t="s">
        <v>10</v>
      </c>
      <c r="E4279" s="5" t="s">
        <v>20</v>
      </c>
      <c r="F4279" s="17">
        <v>69.47</v>
      </c>
      <c r="G4279" s="3">
        <v>5</v>
      </c>
      <c r="H4279" s="17">
        <f>Table1[[#This Row],[Unit price]]*Table1[[#This Row],[Quantity]]</f>
        <v>347.35</v>
      </c>
      <c r="I4279" s="29">
        <f>Table1[[#This Row],[Total Revenue]]/$H$5056*100</f>
        <v>3.6852357741915386E-2</v>
      </c>
      <c r="J4279" s="3" t="s">
        <v>17</v>
      </c>
      <c r="K4279" s="4">
        <v>7</v>
      </c>
      <c r="M4279"/>
    </row>
    <row r="4280" spans="1:13" x14ac:dyDescent="0.25">
      <c r="A4280" s="3" t="s">
        <v>212</v>
      </c>
      <c r="B4280" s="3" t="s">
        <v>244</v>
      </c>
      <c r="C4280" s="3" t="s">
        <v>13</v>
      </c>
      <c r="D4280" s="3" t="s">
        <v>10</v>
      </c>
      <c r="E4280" s="5" t="s">
        <v>20</v>
      </c>
      <c r="F4280" s="17">
        <v>46.65</v>
      </c>
      <c r="G4280" s="3">
        <v>4</v>
      </c>
      <c r="H4280" s="17">
        <f>Table1[[#This Row],[Unit price]]*Table1[[#This Row],[Quantity]]</f>
        <v>186.6</v>
      </c>
      <c r="I4280" s="29">
        <f>Table1[[#This Row],[Total Revenue]]/$H$5056*100</f>
        <v>1.9797466401731422E-2</v>
      </c>
      <c r="J4280" s="3" t="s">
        <v>12</v>
      </c>
      <c r="K4280" s="4">
        <v>8.9</v>
      </c>
      <c r="M4280"/>
    </row>
    <row r="4281" spans="1:13" x14ac:dyDescent="0.25">
      <c r="A4281" s="3" t="s">
        <v>212</v>
      </c>
      <c r="B4281" s="3" t="s">
        <v>243</v>
      </c>
      <c r="C4281" s="3" t="s">
        <v>13</v>
      </c>
      <c r="D4281" s="3" t="s">
        <v>19</v>
      </c>
      <c r="E4281" s="5" t="s">
        <v>20</v>
      </c>
      <c r="F4281" s="17">
        <v>56.29</v>
      </c>
      <c r="G4281" s="3">
        <v>5</v>
      </c>
      <c r="H4281" s="17">
        <f>Table1[[#This Row],[Unit price]]*Table1[[#This Row],[Quantity]]</f>
        <v>281.45</v>
      </c>
      <c r="I4281" s="29">
        <f>Table1[[#This Row],[Total Revenue]]/$H$5056*100</f>
        <v>2.9860648010542917E-2</v>
      </c>
      <c r="J4281" s="3" t="s">
        <v>12</v>
      </c>
      <c r="K4281" s="4">
        <v>8.8000000000000007</v>
      </c>
      <c r="M4281"/>
    </row>
    <row r="4282" spans="1:13" x14ac:dyDescent="0.25">
      <c r="A4282" s="3" t="s">
        <v>212</v>
      </c>
      <c r="B4282" s="3" t="s">
        <v>245</v>
      </c>
      <c r="C4282" s="3" t="s">
        <v>13</v>
      </c>
      <c r="D4282" s="3" t="s">
        <v>10</v>
      </c>
      <c r="E4282" s="5" t="s">
        <v>18</v>
      </c>
      <c r="F4282" s="17">
        <v>5.93</v>
      </c>
      <c r="G4282" s="3">
        <v>6</v>
      </c>
      <c r="H4282" s="17">
        <f>Table1[[#This Row],[Unit price]]*Table1[[#This Row],[Quantity]]</f>
        <v>35.58</v>
      </c>
      <c r="I4282" s="29">
        <f>Table1[[#This Row],[Total Revenue]]/$H$5056*100</f>
        <v>3.7748866804587565E-3</v>
      </c>
      <c r="J4282" s="3" t="s">
        <v>17</v>
      </c>
      <c r="K4282" s="4">
        <v>8.5</v>
      </c>
      <c r="M4282"/>
    </row>
    <row r="4283" spans="1:13" x14ac:dyDescent="0.25">
      <c r="A4283" s="3" t="s">
        <v>212</v>
      </c>
      <c r="B4283" s="3" t="s">
        <v>245</v>
      </c>
      <c r="C4283" s="3" t="s">
        <v>13</v>
      </c>
      <c r="D4283" s="3" t="s">
        <v>19</v>
      </c>
      <c r="E4283" s="5" t="s">
        <v>21</v>
      </c>
      <c r="F4283" s="17">
        <v>23.02</v>
      </c>
      <c r="G4283" s="3">
        <v>3</v>
      </c>
      <c r="H4283" s="17">
        <f>Table1[[#This Row],[Unit price]]*Table1[[#This Row],[Quantity]]</f>
        <v>69.06</v>
      </c>
      <c r="I4283" s="29">
        <f>Table1[[#This Row],[Total Revenue]]/$H$5056*100</f>
        <v>7.3269722920877396E-3</v>
      </c>
      <c r="J4283" s="3" t="s">
        <v>15</v>
      </c>
      <c r="K4283" s="4">
        <v>8.3000000000000007</v>
      </c>
      <c r="M4283"/>
    </row>
    <row r="4284" spans="1:13" x14ac:dyDescent="0.25">
      <c r="A4284" s="3" t="s">
        <v>212</v>
      </c>
      <c r="B4284" s="3" t="s">
        <v>245</v>
      </c>
      <c r="C4284" s="3" t="s">
        <v>13</v>
      </c>
      <c r="D4284" s="3" t="s">
        <v>19</v>
      </c>
      <c r="E4284" s="5" t="s">
        <v>11</v>
      </c>
      <c r="F4284" s="17">
        <v>9.2100000000000009</v>
      </c>
      <c r="G4284" s="3">
        <v>4</v>
      </c>
      <c r="H4284" s="17">
        <f>Table1[[#This Row],[Unit price]]*Table1[[#This Row],[Quantity]]</f>
        <v>36.840000000000003</v>
      </c>
      <c r="I4284" s="29">
        <f>Table1[[#This Row],[Total Revenue]]/$H$5056*100</f>
        <v>3.9085673217566222E-3</v>
      </c>
      <c r="J4284" s="3" t="s">
        <v>17</v>
      </c>
      <c r="K4284" s="4">
        <v>4.4000000000000004</v>
      </c>
      <c r="M4284"/>
    </row>
    <row r="4285" spans="1:13" x14ac:dyDescent="0.25">
      <c r="A4285" s="3" t="s">
        <v>212</v>
      </c>
      <c r="B4285" s="3" t="s">
        <v>243</v>
      </c>
      <c r="C4285" s="3" t="s">
        <v>13</v>
      </c>
      <c r="D4285" s="3" t="s">
        <v>10</v>
      </c>
      <c r="E4285" s="5" t="s">
        <v>18</v>
      </c>
      <c r="F4285" s="17">
        <v>11.99</v>
      </c>
      <c r="G4285" s="3">
        <v>3</v>
      </c>
      <c r="H4285" s="17">
        <f>Table1[[#This Row],[Unit price]]*Table1[[#This Row],[Quantity]]</f>
        <v>35.97</v>
      </c>
      <c r="I4285" s="29">
        <f>Table1[[#This Row],[Total Revenue]]/$H$5056*100</f>
        <v>3.8162640218128577E-3</v>
      </c>
      <c r="J4285" s="3" t="s">
        <v>15</v>
      </c>
      <c r="K4285" s="4">
        <v>5.9</v>
      </c>
      <c r="M4285"/>
    </row>
    <row r="4286" spans="1:13" x14ac:dyDescent="0.25">
      <c r="A4286" s="3" t="s">
        <v>212</v>
      </c>
      <c r="B4286" s="3" t="s">
        <v>243</v>
      </c>
      <c r="C4286" s="3" t="s">
        <v>13</v>
      </c>
      <c r="D4286" s="3" t="s">
        <v>19</v>
      </c>
      <c r="E4286" s="5" t="s">
        <v>16</v>
      </c>
      <c r="F4286" s="17">
        <v>57.17</v>
      </c>
      <c r="G4286" s="3">
        <v>7</v>
      </c>
      <c r="H4286" s="17">
        <f>Table1[[#This Row],[Unit price]]*Table1[[#This Row],[Quantity]]</f>
        <v>400.19</v>
      </c>
      <c r="I4286" s="29">
        <f>Table1[[#This Row],[Total Revenue]]/$H$5056*100</f>
        <v>4.2458457016660768E-2</v>
      </c>
      <c r="J4286" s="3" t="s">
        <v>15</v>
      </c>
      <c r="K4286" s="4">
        <v>4.7</v>
      </c>
      <c r="M4286"/>
    </row>
    <row r="4287" spans="1:13" x14ac:dyDescent="0.25">
      <c r="A4287" s="3" t="s">
        <v>212</v>
      </c>
      <c r="B4287" s="3" t="s">
        <v>245</v>
      </c>
      <c r="C4287" s="3" t="s">
        <v>13</v>
      </c>
      <c r="D4287" s="3" t="s">
        <v>19</v>
      </c>
      <c r="E4287" s="5" t="s">
        <v>20</v>
      </c>
      <c r="F4287" s="17">
        <v>59.61</v>
      </c>
      <c r="G4287" s="3">
        <v>2</v>
      </c>
      <c r="H4287" s="17">
        <f>Table1[[#This Row],[Unit price]]*Table1[[#This Row],[Quantity]]</f>
        <v>119.22</v>
      </c>
      <c r="I4287" s="29">
        <f>Table1[[#This Row],[Total Revenue]]/$H$5056*100</f>
        <v>1.2648734964707505E-2</v>
      </c>
      <c r="J4287" s="3" t="s">
        <v>17</v>
      </c>
      <c r="K4287" s="4">
        <v>5.7</v>
      </c>
      <c r="M4287"/>
    </row>
    <row r="4288" spans="1:13" x14ac:dyDescent="0.25">
      <c r="A4288" s="3" t="s">
        <v>212</v>
      </c>
      <c r="B4288" s="3" t="s">
        <v>245</v>
      </c>
      <c r="C4288" s="3" t="s">
        <v>13</v>
      </c>
      <c r="D4288" s="3" t="s">
        <v>19</v>
      </c>
      <c r="E4288" s="5" t="s">
        <v>16</v>
      </c>
      <c r="F4288" s="17">
        <v>79.48</v>
      </c>
      <c r="G4288" s="3">
        <v>3</v>
      </c>
      <c r="H4288" s="17">
        <f>Table1[[#This Row],[Unit price]]*Table1[[#This Row],[Quantity]]</f>
        <v>238.44</v>
      </c>
      <c r="I4288" s="29">
        <f>Table1[[#This Row],[Total Revenue]]/$H$5056*100</f>
        <v>2.529746992941501E-2</v>
      </c>
      <c r="J4288" s="3" t="s">
        <v>17</v>
      </c>
      <c r="K4288" s="4">
        <v>3.5</v>
      </c>
      <c r="M4288"/>
    </row>
    <row r="4289" spans="1:13" x14ac:dyDescent="0.25">
      <c r="A4289" s="3" t="s">
        <v>212</v>
      </c>
      <c r="B4289" s="3" t="s">
        <v>243</v>
      </c>
      <c r="C4289" s="3" t="s">
        <v>13</v>
      </c>
      <c r="D4289" s="3" t="s">
        <v>19</v>
      </c>
      <c r="E4289" s="5" t="s">
        <v>11</v>
      </c>
      <c r="F4289" s="17">
        <v>11.6</v>
      </c>
      <c r="G4289" s="3">
        <v>6</v>
      </c>
      <c r="H4289" s="17">
        <f>Table1[[#This Row],[Unit price]]*Table1[[#This Row],[Quantity]]</f>
        <v>69.599999999999994</v>
      </c>
      <c r="I4289" s="29">
        <f>Table1[[#This Row],[Total Revenue]]/$H$5056*100</f>
        <v>7.3842639955011089E-3</v>
      </c>
      <c r="J4289" s="3" t="s">
        <v>17</v>
      </c>
      <c r="K4289" s="4">
        <v>3.5</v>
      </c>
      <c r="M4289"/>
    </row>
    <row r="4290" spans="1:13" x14ac:dyDescent="0.25">
      <c r="A4290" s="3" t="s">
        <v>212</v>
      </c>
      <c r="B4290" s="3" t="s">
        <v>243</v>
      </c>
      <c r="C4290" s="3" t="s">
        <v>13</v>
      </c>
      <c r="D4290" s="3" t="s">
        <v>19</v>
      </c>
      <c r="E4290" s="5" t="s">
        <v>11</v>
      </c>
      <c r="F4290" s="17">
        <v>9.89</v>
      </c>
      <c r="G4290" s="3">
        <v>10</v>
      </c>
      <c r="H4290" s="17">
        <f>Table1[[#This Row],[Unit price]]*Table1[[#This Row],[Quantity]]</f>
        <v>98.9</v>
      </c>
      <c r="I4290" s="29">
        <f>Table1[[#This Row],[Total Revenue]]/$H$5056*100</f>
        <v>1.0492869384411779E-2</v>
      </c>
      <c r="J4290" s="3" t="s">
        <v>12</v>
      </c>
      <c r="K4290" s="4">
        <v>5.0999999999999996</v>
      </c>
      <c r="M4290"/>
    </row>
    <row r="4291" spans="1:13" x14ac:dyDescent="0.25">
      <c r="A4291" s="3" t="s">
        <v>212</v>
      </c>
      <c r="B4291" s="3" t="s">
        <v>245</v>
      </c>
      <c r="C4291" s="3" t="s">
        <v>9</v>
      </c>
      <c r="D4291" s="3" t="s">
        <v>19</v>
      </c>
      <c r="E4291" s="5" t="s">
        <v>20</v>
      </c>
      <c r="F4291" s="17">
        <v>62.18</v>
      </c>
      <c r="G4291" s="3">
        <v>9</v>
      </c>
      <c r="H4291" s="17">
        <f>Table1[[#This Row],[Unit price]]*Table1[[#This Row],[Quantity]]</f>
        <v>559.62</v>
      </c>
      <c r="I4291" s="29">
        <f>Table1[[#This Row],[Total Revenue]]/$H$5056*100</f>
        <v>5.9373301970723144E-2</v>
      </c>
      <c r="J4291" s="3" t="s">
        <v>12</v>
      </c>
      <c r="K4291" s="4">
        <v>9.1999999999999993</v>
      </c>
      <c r="M4291"/>
    </row>
    <row r="4292" spans="1:13" x14ac:dyDescent="0.25">
      <c r="A4292" s="3" t="s">
        <v>212</v>
      </c>
      <c r="B4292" s="3" t="s">
        <v>245</v>
      </c>
      <c r="C4292" s="3" t="s">
        <v>9</v>
      </c>
      <c r="D4292" s="3" t="s">
        <v>10</v>
      </c>
      <c r="E4292" s="5" t="s">
        <v>18</v>
      </c>
      <c r="F4292" s="17">
        <v>12.25</v>
      </c>
      <c r="G4292" s="3">
        <v>3</v>
      </c>
      <c r="H4292" s="17">
        <f>Table1[[#This Row],[Unit price]]*Table1[[#This Row],[Quantity]]</f>
        <v>36.75</v>
      </c>
      <c r="I4292" s="29">
        <f>Table1[[#This Row],[Total Revenue]]/$H$5056*100</f>
        <v>3.8990187045210602E-3</v>
      </c>
      <c r="J4292" s="3" t="s">
        <v>12</v>
      </c>
      <c r="K4292" s="4">
        <v>7</v>
      </c>
      <c r="M4292"/>
    </row>
    <row r="4293" spans="1:13" x14ac:dyDescent="0.25">
      <c r="A4293" s="3" t="s">
        <v>213</v>
      </c>
      <c r="B4293" s="3" t="s">
        <v>243</v>
      </c>
      <c r="C4293" s="3" t="s">
        <v>9</v>
      </c>
      <c r="D4293" s="3" t="s">
        <v>10</v>
      </c>
      <c r="E4293" s="5" t="s">
        <v>14</v>
      </c>
      <c r="F4293" s="17">
        <v>97.95</v>
      </c>
      <c r="G4293" s="3">
        <v>1</v>
      </c>
      <c r="H4293" s="17">
        <f>Table1[[#This Row],[Unit price]]*Table1[[#This Row],[Quantity]]</f>
        <v>97.95</v>
      </c>
      <c r="I4293" s="29">
        <f>Table1[[#This Row],[Total Revenue]]/$H$5056*100</f>
        <v>1.039207842470307E-2</v>
      </c>
      <c r="J4293" s="3" t="s">
        <v>12</v>
      </c>
      <c r="K4293" s="4">
        <v>9.5</v>
      </c>
      <c r="M4293"/>
    </row>
    <row r="4294" spans="1:13" x14ac:dyDescent="0.25">
      <c r="A4294" s="3" t="s">
        <v>213</v>
      </c>
      <c r="B4294" s="3" t="s">
        <v>245</v>
      </c>
      <c r="C4294" s="3" t="s">
        <v>9</v>
      </c>
      <c r="D4294" s="3" t="s">
        <v>19</v>
      </c>
      <c r="E4294" s="5" t="s">
        <v>16</v>
      </c>
      <c r="F4294" s="17">
        <v>76.400000000000006</v>
      </c>
      <c r="G4294" s="3">
        <v>8</v>
      </c>
      <c r="H4294" s="17">
        <f>Table1[[#This Row],[Unit price]]*Table1[[#This Row],[Quantity]]</f>
        <v>611.20000000000005</v>
      </c>
      <c r="I4294" s="29">
        <f>Table1[[#This Row],[Total Revenue]]/$H$5056*100</f>
        <v>6.4845720604170667E-2</v>
      </c>
      <c r="J4294" s="3" t="s">
        <v>12</v>
      </c>
      <c r="K4294" s="4">
        <v>9.1</v>
      </c>
      <c r="M4294"/>
    </row>
    <row r="4295" spans="1:13" x14ac:dyDescent="0.25">
      <c r="A4295" s="3" t="s">
        <v>213</v>
      </c>
      <c r="B4295" s="3" t="s">
        <v>243</v>
      </c>
      <c r="C4295" s="3" t="s">
        <v>13</v>
      </c>
      <c r="D4295" s="3" t="s">
        <v>10</v>
      </c>
      <c r="E4295" s="5" t="s">
        <v>11</v>
      </c>
      <c r="F4295" s="17">
        <v>13.41</v>
      </c>
      <c r="G4295" s="3">
        <v>7</v>
      </c>
      <c r="H4295" s="17">
        <f>Table1[[#This Row],[Unit price]]*Table1[[#This Row],[Quantity]]</f>
        <v>93.87</v>
      </c>
      <c r="I4295" s="29">
        <f>Table1[[#This Row],[Total Revenue]]/$H$5056*100</f>
        <v>9.9592077766909367E-3</v>
      </c>
      <c r="J4295" s="3" t="s">
        <v>17</v>
      </c>
      <c r="K4295" s="4">
        <v>4.4000000000000004</v>
      </c>
      <c r="M4295"/>
    </row>
    <row r="4296" spans="1:13" x14ac:dyDescent="0.25">
      <c r="A4296" s="3" t="s">
        <v>213</v>
      </c>
      <c r="B4296" s="3" t="s">
        <v>244</v>
      </c>
      <c r="C4296" s="3" t="s">
        <v>13</v>
      </c>
      <c r="D4296" s="3" t="s">
        <v>10</v>
      </c>
      <c r="E4296" s="5" t="s">
        <v>11</v>
      </c>
      <c r="F4296" s="17">
        <v>12.65</v>
      </c>
      <c r="G4296" s="3">
        <v>1</v>
      </c>
      <c r="H4296" s="17">
        <f>Table1[[#This Row],[Unit price]]*Table1[[#This Row],[Quantity]]</f>
        <v>12.65</v>
      </c>
      <c r="I4296" s="29">
        <f>Table1[[#This Row],[Total Revenue]]/$H$5056*100</f>
        <v>1.342111200331739E-3</v>
      </c>
      <c r="J4296" s="3" t="s">
        <v>15</v>
      </c>
      <c r="K4296" s="4">
        <v>5.6</v>
      </c>
      <c r="M4296"/>
    </row>
    <row r="4297" spans="1:13" x14ac:dyDescent="0.25">
      <c r="A4297" s="3" t="s">
        <v>213</v>
      </c>
      <c r="B4297" s="3" t="s">
        <v>245</v>
      </c>
      <c r="C4297" s="3" t="s">
        <v>13</v>
      </c>
      <c r="D4297" s="3" t="s">
        <v>19</v>
      </c>
      <c r="E4297" s="5" t="s">
        <v>11</v>
      </c>
      <c r="F4297" s="17">
        <v>13.33</v>
      </c>
      <c r="G4297" s="3">
        <v>10</v>
      </c>
      <c r="H4297" s="17">
        <f>Table1[[#This Row],[Unit price]]*Table1[[#This Row],[Quantity]]</f>
        <v>133.30000000000001</v>
      </c>
      <c r="I4297" s="29">
        <f>Table1[[#This Row],[Total Revenue]]/$H$5056*100</f>
        <v>1.4142563083337617E-2</v>
      </c>
      <c r="J4297" s="3" t="s">
        <v>17</v>
      </c>
      <c r="K4297" s="4">
        <v>7.2</v>
      </c>
      <c r="M4297"/>
    </row>
    <row r="4298" spans="1:13" x14ac:dyDescent="0.25">
      <c r="A4298" s="3" t="s">
        <v>213</v>
      </c>
      <c r="B4298" s="3" t="s">
        <v>244</v>
      </c>
      <c r="C4298" s="3" t="s">
        <v>13</v>
      </c>
      <c r="D4298" s="3" t="s">
        <v>10</v>
      </c>
      <c r="E4298" s="5" t="s">
        <v>11</v>
      </c>
      <c r="F4298" s="17">
        <v>14.61</v>
      </c>
      <c r="G4298" s="3">
        <v>9</v>
      </c>
      <c r="H4298" s="17">
        <f>Table1[[#This Row],[Unit price]]*Table1[[#This Row],[Quantity]]</f>
        <v>131.49</v>
      </c>
      <c r="I4298" s="29">
        <f>Table1[[#This Row],[Total Revenue]]/$H$5056*100</f>
        <v>1.3950529781155761E-2</v>
      </c>
      <c r="J4298" s="3" t="s">
        <v>15</v>
      </c>
      <c r="K4298" s="4">
        <v>6.6</v>
      </c>
      <c r="M4298"/>
    </row>
    <row r="4299" spans="1:13" x14ac:dyDescent="0.25">
      <c r="A4299" s="3" t="s">
        <v>213</v>
      </c>
      <c r="B4299" s="3" t="s">
        <v>243</v>
      </c>
      <c r="C4299" s="3" t="s">
        <v>13</v>
      </c>
      <c r="D4299" s="3" t="s">
        <v>19</v>
      </c>
      <c r="E4299" s="5" t="s">
        <v>16</v>
      </c>
      <c r="F4299" s="17">
        <v>57.16</v>
      </c>
      <c r="G4299" s="3">
        <v>8</v>
      </c>
      <c r="H4299" s="17">
        <f>Table1[[#This Row],[Unit price]]*Table1[[#This Row],[Quantity]]</f>
        <v>457.28</v>
      </c>
      <c r="I4299" s="29">
        <f>Table1[[#This Row],[Total Revenue]]/$H$5056*100</f>
        <v>4.851546321641878E-2</v>
      </c>
      <c r="J4299" s="3" t="s">
        <v>15</v>
      </c>
      <c r="K4299" s="4">
        <v>7.5</v>
      </c>
      <c r="M4299"/>
    </row>
    <row r="4300" spans="1:13" x14ac:dyDescent="0.25">
      <c r="A4300" s="3" t="s">
        <v>213</v>
      </c>
      <c r="B4300" s="3" t="s">
        <v>244</v>
      </c>
      <c r="C4300" s="3" t="s">
        <v>13</v>
      </c>
      <c r="D4300" s="3" t="s">
        <v>10</v>
      </c>
      <c r="E4300" s="5" t="s">
        <v>11</v>
      </c>
      <c r="F4300" s="17">
        <v>7.41</v>
      </c>
      <c r="G4300" s="3">
        <v>4</v>
      </c>
      <c r="H4300" s="17">
        <f>Table1[[#This Row],[Unit price]]*Table1[[#This Row],[Quantity]]</f>
        <v>29.64</v>
      </c>
      <c r="I4300" s="29">
        <f>Table1[[#This Row],[Total Revenue]]/$H$5056*100</f>
        <v>3.1446779429116791E-3</v>
      </c>
      <c r="J4300" s="3" t="s">
        <v>12</v>
      </c>
      <c r="K4300" s="4">
        <v>8.4</v>
      </c>
      <c r="M4300"/>
    </row>
    <row r="4301" spans="1:13" x14ac:dyDescent="0.25">
      <c r="A4301" s="3" t="s">
        <v>213</v>
      </c>
      <c r="B4301" s="3" t="s">
        <v>243</v>
      </c>
      <c r="C4301" s="3" t="s">
        <v>9</v>
      </c>
      <c r="D4301" s="3" t="s">
        <v>10</v>
      </c>
      <c r="E4301" s="5" t="s">
        <v>20</v>
      </c>
      <c r="F4301" s="17">
        <v>66.790000000000006</v>
      </c>
      <c r="G4301" s="3">
        <v>2</v>
      </c>
      <c r="H4301" s="17">
        <f>Table1[[#This Row],[Unit price]]*Table1[[#This Row],[Quantity]]</f>
        <v>133.58000000000001</v>
      </c>
      <c r="I4301" s="29">
        <f>Table1[[#This Row],[Total Revenue]]/$H$5056*100</f>
        <v>1.4172269892514919E-2</v>
      </c>
      <c r="J4301" s="3" t="s">
        <v>17</v>
      </c>
      <c r="K4301" s="4">
        <v>7.3</v>
      </c>
      <c r="M4301"/>
    </row>
    <row r="4302" spans="1:13" x14ac:dyDescent="0.25">
      <c r="A4302" s="3" t="s">
        <v>213</v>
      </c>
      <c r="B4302" s="3" t="s">
        <v>243</v>
      </c>
      <c r="C4302" s="3" t="s">
        <v>13</v>
      </c>
      <c r="D4302" s="3" t="s">
        <v>10</v>
      </c>
      <c r="E4302" s="5" t="s">
        <v>20</v>
      </c>
      <c r="F4302" s="17">
        <v>66.709999999999994</v>
      </c>
      <c r="G4302" s="3">
        <v>5</v>
      </c>
      <c r="H4302" s="17">
        <f>Table1[[#This Row],[Unit price]]*Table1[[#This Row],[Quantity]]</f>
        <v>333.54999999999995</v>
      </c>
      <c r="I4302" s="29">
        <f>Table1[[#This Row],[Total Revenue]]/$H$5056*100</f>
        <v>3.5388236432462569E-2</v>
      </c>
      <c r="J4302" s="3" t="s">
        <v>12</v>
      </c>
      <c r="K4302" s="4">
        <v>3.4</v>
      </c>
      <c r="M4302"/>
    </row>
    <row r="4303" spans="1:13" x14ac:dyDescent="0.25">
      <c r="A4303" s="3" t="s">
        <v>213</v>
      </c>
      <c r="B4303" s="3" t="s">
        <v>245</v>
      </c>
      <c r="C4303" s="3" t="s">
        <v>13</v>
      </c>
      <c r="D4303" s="3" t="s">
        <v>19</v>
      </c>
      <c r="E4303" s="5" t="s">
        <v>18</v>
      </c>
      <c r="F4303" s="17">
        <v>8.2200000000000006</v>
      </c>
      <c r="G4303" s="3">
        <v>9</v>
      </c>
      <c r="H4303" s="17">
        <f>Table1[[#This Row],[Unit price]]*Table1[[#This Row],[Quantity]]</f>
        <v>73.98</v>
      </c>
      <c r="I4303" s="29">
        <f>Table1[[#This Row],[Total Revenue]]/$H$5056*100</f>
        <v>7.8489633676317831E-3</v>
      </c>
      <c r="J4303" s="3" t="s">
        <v>12</v>
      </c>
      <c r="K4303" s="4">
        <v>8.4</v>
      </c>
      <c r="M4303"/>
    </row>
    <row r="4304" spans="1:13" x14ac:dyDescent="0.25">
      <c r="A4304" s="3" t="s">
        <v>213</v>
      </c>
      <c r="B4304" s="3" t="s">
        <v>245</v>
      </c>
      <c r="C4304" s="3" t="s">
        <v>13</v>
      </c>
      <c r="D4304" s="3" t="s">
        <v>10</v>
      </c>
      <c r="E4304" s="5" t="s">
        <v>11</v>
      </c>
      <c r="F4304" s="17">
        <v>4.08</v>
      </c>
      <c r="G4304" s="3">
        <v>10</v>
      </c>
      <c r="H4304" s="17">
        <f>Table1[[#This Row],[Unit price]]*Table1[[#This Row],[Quantity]]</f>
        <v>40.799999999999997</v>
      </c>
      <c r="I4304" s="29">
        <f>Table1[[#This Row],[Total Revenue]]/$H$5056*100</f>
        <v>4.3287064801213401E-3</v>
      </c>
      <c r="J4304" s="3" t="s">
        <v>15</v>
      </c>
      <c r="K4304" s="4">
        <v>4.8</v>
      </c>
      <c r="M4304"/>
    </row>
    <row r="4305" spans="1:13" x14ac:dyDescent="0.25">
      <c r="A4305" s="3" t="s">
        <v>213</v>
      </c>
      <c r="B4305" s="3" t="s">
        <v>243</v>
      </c>
      <c r="C4305" s="3" t="s">
        <v>9</v>
      </c>
      <c r="D4305" s="3" t="s">
        <v>10</v>
      </c>
      <c r="E4305" s="5" t="s">
        <v>20</v>
      </c>
      <c r="F4305" s="17">
        <v>58.38</v>
      </c>
      <c r="G4305" s="3">
        <v>4</v>
      </c>
      <c r="H4305" s="17">
        <f>Table1[[#This Row],[Unit price]]*Table1[[#This Row],[Quantity]]</f>
        <v>233.52</v>
      </c>
      <c r="I4305" s="29">
        <f>Table1[[#This Row],[Total Revenue]]/$H$5056*100</f>
        <v>2.4775478853870967E-2</v>
      </c>
      <c r="J4305" s="3" t="s">
        <v>17</v>
      </c>
      <c r="K4305" s="4">
        <v>3.5</v>
      </c>
      <c r="M4305"/>
    </row>
    <row r="4306" spans="1:13" x14ac:dyDescent="0.25">
      <c r="A4306" s="3" t="s">
        <v>213</v>
      </c>
      <c r="B4306" s="3" t="s">
        <v>243</v>
      </c>
      <c r="C4306" s="3" t="s">
        <v>9</v>
      </c>
      <c r="D4306" s="3" t="s">
        <v>10</v>
      </c>
      <c r="E4306" s="5" t="s">
        <v>11</v>
      </c>
      <c r="F4306" s="17">
        <v>5.76</v>
      </c>
      <c r="G4306" s="3">
        <v>6</v>
      </c>
      <c r="H4306" s="17">
        <f>Table1[[#This Row],[Unit price]]*Table1[[#This Row],[Quantity]]</f>
        <v>34.56</v>
      </c>
      <c r="I4306" s="29">
        <f>Table1[[#This Row],[Total Revenue]]/$H$5056*100</f>
        <v>3.6666690184557235E-3</v>
      </c>
      <c r="J4306" s="3" t="s">
        <v>12</v>
      </c>
      <c r="K4306" s="4">
        <v>6.7</v>
      </c>
      <c r="M4306"/>
    </row>
    <row r="4307" spans="1:13" x14ac:dyDescent="0.25">
      <c r="A4307" s="3" t="s">
        <v>213</v>
      </c>
      <c r="B4307" s="3" t="s">
        <v>245</v>
      </c>
      <c r="C4307" s="3" t="s">
        <v>9</v>
      </c>
      <c r="D4307" s="3" t="s">
        <v>10</v>
      </c>
      <c r="E4307" s="5" t="s">
        <v>11</v>
      </c>
      <c r="F4307" s="17">
        <v>14.09</v>
      </c>
      <c r="G4307" s="3">
        <v>2</v>
      </c>
      <c r="H4307" s="17">
        <f>Table1[[#This Row],[Unit price]]*Table1[[#This Row],[Quantity]]</f>
        <v>28.18</v>
      </c>
      <c r="I4307" s="29">
        <f>Table1[[#This Row],[Total Revenue]]/$H$5056*100</f>
        <v>2.9897781522014552E-3</v>
      </c>
      <c r="J4307" s="3" t="s">
        <v>17</v>
      </c>
      <c r="K4307" s="4">
        <v>8.4</v>
      </c>
      <c r="M4307"/>
    </row>
    <row r="4308" spans="1:13" x14ac:dyDescent="0.25">
      <c r="A4308" s="3" t="s">
        <v>214</v>
      </c>
      <c r="B4308" s="3" t="s">
        <v>244</v>
      </c>
      <c r="C4308" s="3" t="s">
        <v>13</v>
      </c>
      <c r="D4308" s="3" t="s">
        <v>19</v>
      </c>
      <c r="E4308" s="5" t="s">
        <v>11</v>
      </c>
      <c r="F4308" s="17">
        <v>3.66</v>
      </c>
      <c r="G4308" s="3">
        <v>1</v>
      </c>
      <c r="H4308" s="17">
        <f>Table1[[#This Row],[Unit price]]*Table1[[#This Row],[Quantity]]</f>
        <v>3.66</v>
      </c>
      <c r="I4308" s="29">
        <f>Table1[[#This Row],[Total Revenue]]/$H$5056*100</f>
        <v>3.8831043424617905E-4</v>
      </c>
      <c r="J4308" s="3" t="s">
        <v>12</v>
      </c>
      <c r="K4308" s="4">
        <v>7.3</v>
      </c>
      <c r="M4308"/>
    </row>
    <row r="4309" spans="1:13" x14ac:dyDescent="0.25">
      <c r="A4309" s="3" t="s">
        <v>214</v>
      </c>
      <c r="B4309" s="3" t="s">
        <v>245</v>
      </c>
      <c r="C4309" s="3" t="s">
        <v>13</v>
      </c>
      <c r="D4309" s="3" t="s">
        <v>19</v>
      </c>
      <c r="E4309" s="5" t="s">
        <v>21</v>
      </c>
      <c r="F4309" s="17">
        <v>18.809999999999999</v>
      </c>
      <c r="G4309" s="3">
        <v>5</v>
      </c>
      <c r="H4309" s="17">
        <f>Table1[[#This Row],[Unit price]]*Table1[[#This Row],[Quantity]]</f>
        <v>94.05</v>
      </c>
      <c r="I4309" s="29">
        <f>Table1[[#This Row],[Total Revenue]]/$H$5056*100</f>
        <v>9.9783050111620607E-3</v>
      </c>
      <c r="J4309" s="3" t="s">
        <v>15</v>
      </c>
      <c r="K4309" s="4">
        <v>4.3</v>
      </c>
      <c r="M4309"/>
    </row>
    <row r="4310" spans="1:13" x14ac:dyDescent="0.25">
      <c r="A4310" s="3" t="s">
        <v>214</v>
      </c>
      <c r="B4310" s="3" t="s">
        <v>243</v>
      </c>
      <c r="C4310" s="3" t="s">
        <v>13</v>
      </c>
      <c r="D4310" s="3" t="s">
        <v>19</v>
      </c>
      <c r="E4310" s="5" t="s">
        <v>11</v>
      </c>
      <c r="F4310" s="17">
        <v>6.36</v>
      </c>
      <c r="G4310" s="3">
        <v>8</v>
      </c>
      <c r="H4310" s="17">
        <f>Table1[[#This Row],[Unit price]]*Table1[[#This Row],[Quantity]]</f>
        <v>50.88</v>
      </c>
      <c r="I4310" s="29">
        <f>Table1[[#This Row],[Total Revenue]]/$H$5056*100</f>
        <v>5.3981516105042595E-3</v>
      </c>
      <c r="J4310" s="3" t="s">
        <v>17</v>
      </c>
      <c r="K4310" s="4">
        <v>4.5</v>
      </c>
      <c r="M4310"/>
    </row>
    <row r="4311" spans="1:13" x14ac:dyDescent="0.25">
      <c r="A4311" s="3" t="s">
        <v>214</v>
      </c>
      <c r="B4311" s="3" t="s">
        <v>243</v>
      </c>
      <c r="C4311" s="3" t="s">
        <v>13</v>
      </c>
      <c r="D4311" s="3" t="s">
        <v>10</v>
      </c>
      <c r="E4311" s="5" t="s">
        <v>20</v>
      </c>
      <c r="F4311" s="17">
        <v>53.3</v>
      </c>
      <c r="G4311" s="3">
        <v>7</v>
      </c>
      <c r="H4311" s="17">
        <f>Table1[[#This Row],[Unit price]]*Table1[[#This Row],[Quantity]]</f>
        <v>373.09999999999997</v>
      </c>
      <c r="I4311" s="29">
        <f>Table1[[#This Row],[Total Revenue]]/$H$5056*100</f>
        <v>3.9584323228756664E-2</v>
      </c>
      <c r="J4311" s="3" t="s">
        <v>17</v>
      </c>
      <c r="K4311" s="4">
        <v>9.8000000000000007</v>
      </c>
      <c r="M4311"/>
    </row>
    <row r="4312" spans="1:13" x14ac:dyDescent="0.25">
      <c r="A4312" s="3" t="s">
        <v>214</v>
      </c>
      <c r="B4312" s="3" t="s">
        <v>244</v>
      </c>
      <c r="C4312" s="3" t="s">
        <v>13</v>
      </c>
      <c r="D4312" s="3" t="s">
        <v>19</v>
      </c>
      <c r="E4312" s="5" t="s">
        <v>21</v>
      </c>
      <c r="F4312" s="17">
        <v>25.21</v>
      </c>
      <c r="G4312" s="3">
        <v>8</v>
      </c>
      <c r="H4312" s="17">
        <f>Table1[[#This Row],[Unit price]]*Table1[[#This Row],[Quantity]]</f>
        <v>201.68</v>
      </c>
      <c r="I4312" s="29">
        <f>Table1[[#This Row],[Total Revenue]]/$H$5056*100</f>
        <v>2.1397390267423332E-2</v>
      </c>
      <c r="J4312" s="3" t="s">
        <v>12</v>
      </c>
      <c r="K4312" s="4">
        <v>9.1</v>
      </c>
      <c r="M4312"/>
    </row>
    <row r="4313" spans="1:13" x14ac:dyDescent="0.25">
      <c r="A4313" s="3" t="s">
        <v>214</v>
      </c>
      <c r="B4313" s="3" t="s">
        <v>244</v>
      </c>
      <c r="C4313" s="3" t="s">
        <v>13</v>
      </c>
      <c r="D4313" s="3" t="s">
        <v>10</v>
      </c>
      <c r="E4313" s="5" t="s">
        <v>18</v>
      </c>
      <c r="F4313" s="17">
        <v>22.8</v>
      </c>
      <c r="G4313" s="3">
        <v>10</v>
      </c>
      <c r="H4313" s="17">
        <f>Table1[[#This Row],[Unit price]]*Table1[[#This Row],[Quantity]]</f>
        <v>228</v>
      </c>
      <c r="I4313" s="29">
        <f>Table1[[#This Row],[Total Revenue]]/$H$5056*100</f>
        <v>2.418983033008984E-2</v>
      </c>
      <c r="J4313" s="3" t="s">
        <v>15</v>
      </c>
      <c r="K4313" s="4">
        <v>7.1</v>
      </c>
      <c r="M4313"/>
    </row>
    <row r="4314" spans="1:13" x14ac:dyDescent="0.25">
      <c r="A4314" s="3" t="s">
        <v>214</v>
      </c>
      <c r="B4314" s="3" t="s">
        <v>244</v>
      </c>
      <c r="C4314" s="3" t="s">
        <v>9</v>
      </c>
      <c r="D4314" s="3" t="s">
        <v>10</v>
      </c>
      <c r="E4314" s="5" t="s">
        <v>11</v>
      </c>
      <c r="F4314" s="17">
        <v>6.2</v>
      </c>
      <c r="G4314" s="3">
        <v>2</v>
      </c>
      <c r="H4314" s="17">
        <f>Table1[[#This Row],[Unit price]]*Table1[[#This Row],[Quantity]]</f>
        <v>12.4</v>
      </c>
      <c r="I4314" s="29">
        <f>Table1[[#This Row],[Total Revenue]]/$H$5056*100</f>
        <v>1.3155872635662897E-3</v>
      </c>
      <c r="J4314" s="3" t="s">
        <v>12</v>
      </c>
      <c r="K4314" s="4">
        <v>6.3</v>
      </c>
      <c r="M4314"/>
    </row>
    <row r="4315" spans="1:13" x14ac:dyDescent="0.25">
      <c r="A4315" s="3" t="s">
        <v>214</v>
      </c>
      <c r="B4315" s="3" t="s">
        <v>244</v>
      </c>
      <c r="C4315" s="3" t="s">
        <v>13</v>
      </c>
      <c r="D4315" s="3" t="s">
        <v>19</v>
      </c>
      <c r="E4315" s="5" t="s">
        <v>18</v>
      </c>
      <c r="F4315" s="17">
        <v>10.56</v>
      </c>
      <c r="G4315" s="3">
        <v>6</v>
      </c>
      <c r="H4315" s="17">
        <f>Table1[[#This Row],[Unit price]]*Table1[[#This Row],[Quantity]]</f>
        <v>63.36</v>
      </c>
      <c r="I4315" s="29">
        <f>Table1[[#This Row],[Total Revenue]]/$H$5056*100</f>
        <v>6.7222265338354927E-3</v>
      </c>
      <c r="J4315" s="3" t="s">
        <v>17</v>
      </c>
      <c r="K4315" s="4">
        <v>7.3</v>
      </c>
      <c r="M4315"/>
    </row>
    <row r="4316" spans="1:13" x14ac:dyDescent="0.25">
      <c r="A4316" s="3" t="s">
        <v>214</v>
      </c>
      <c r="B4316" s="3" t="s">
        <v>243</v>
      </c>
      <c r="C4316" s="3" t="s">
        <v>13</v>
      </c>
      <c r="D4316" s="3" t="s">
        <v>19</v>
      </c>
      <c r="E4316" s="5" t="s">
        <v>21</v>
      </c>
      <c r="F4316" s="17">
        <v>27.04</v>
      </c>
      <c r="G4316" s="3">
        <v>5</v>
      </c>
      <c r="H4316" s="17">
        <f>Table1[[#This Row],[Unit price]]*Table1[[#This Row],[Quantity]]</f>
        <v>135.19999999999999</v>
      </c>
      <c r="I4316" s="29">
        <f>Table1[[#This Row],[Total Revenue]]/$H$5056*100</f>
        <v>1.4344145002755028E-2</v>
      </c>
      <c r="J4316" s="3" t="s">
        <v>15</v>
      </c>
      <c r="K4316" s="4">
        <v>4.7</v>
      </c>
      <c r="M4316"/>
    </row>
    <row r="4317" spans="1:13" x14ac:dyDescent="0.25">
      <c r="A4317" s="3" t="s">
        <v>214</v>
      </c>
      <c r="B4317" s="3" t="s">
        <v>244</v>
      </c>
      <c r="C4317" s="3" t="s">
        <v>13</v>
      </c>
      <c r="D4317" s="3" t="s">
        <v>19</v>
      </c>
      <c r="E4317" s="5" t="s">
        <v>18</v>
      </c>
      <c r="F4317" s="17">
        <v>7.73</v>
      </c>
      <c r="G4317" s="3">
        <v>6</v>
      </c>
      <c r="H4317" s="17">
        <f>Table1[[#This Row],[Unit price]]*Table1[[#This Row],[Quantity]]</f>
        <v>46.38</v>
      </c>
      <c r="I4317" s="29">
        <f>Table1[[#This Row],[Total Revenue]]/$H$5056*100</f>
        <v>4.9207207487261713E-3</v>
      </c>
      <c r="J4317" s="3" t="s">
        <v>17</v>
      </c>
      <c r="K4317" s="4">
        <v>6.7</v>
      </c>
      <c r="M4317"/>
    </row>
    <row r="4318" spans="1:13" x14ac:dyDescent="0.25">
      <c r="A4318" s="3" t="s">
        <v>214</v>
      </c>
      <c r="B4318" s="3" t="s">
        <v>244</v>
      </c>
      <c r="C4318" s="3" t="s">
        <v>13</v>
      </c>
      <c r="D4318" s="3" t="s">
        <v>10</v>
      </c>
      <c r="E4318" s="5" t="s">
        <v>16</v>
      </c>
      <c r="F4318" s="17">
        <v>66.94</v>
      </c>
      <c r="G4318" s="3">
        <v>4</v>
      </c>
      <c r="H4318" s="17">
        <f>Table1[[#This Row],[Unit price]]*Table1[[#This Row],[Quantity]]</f>
        <v>267.76</v>
      </c>
      <c r="I4318" s="29">
        <f>Table1[[#This Row],[Total Revenue]]/$H$5056*100</f>
        <v>2.8408197233266912E-2</v>
      </c>
      <c r="J4318" s="3" t="s">
        <v>12</v>
      </c>
      <c r="K4318" s="4">
        <v>8.3000000000000007</v>
      </c>
      <c r="M4318"/>
    </row>
    <row r="4319" spans="1:13" x14ac:dyDescent="0.25">
      <c r="A4319" s="3" t="s">
        <v>215</v>
      </c>
      <c r="B4319" s="3" t="s">
        <v>244</v>
      </c>
      <c r="C4319" s="3" t="s">
        <v>13</v>
      </c>
      <c r="D4319" s="3" t="s">
        <v>10</v>
      </c>
      <c r="E4319" s="5" t="s">
        <v>11</v>
      </c>
      <c r="F4319" s="17">
        <v>6.33</v>
      </c>
      <c r="G4319" s="3">
        <v>1</v>
      </c>
      <c r="H4319" s="17">
        <f>Table1[[#This Row],[Unit price]]*Table1[[#This Row],[Quantity]]</f>
        <v>6.33</v>
      </c>
      <c r="I4319" s="29">
        <f>Table1[[#This Row],[Total Revenue]]/$H$5056*100</f>
        <v>6.7158607890117851E-4</v>
      </c>
      <c r="J4319" s="3" t="s">
        <v>15</v>
      </c>
      <c r="K4319" s="4">
        <v>4.9000000000000004</v>
      </c>
      <c r="M4319"/>
    </row>
    <row r="4320" spans="1:13" x14ac:dyDescent="0.25">
      <c r="A4320" s="3" t="s">
        <v>215</v>
      </c>
      <c r="B4320" s="3" t="s">
        <v>244</v>
      </c>
      <c r="C4320" s="3" t="s">
        <v>13</v>
      </c>
      <c r="D4320" s="3" t="s">
        <v>19</v>
      </c>
      <c r="E4320" s="5" t="s">
        <v>11</v>
      </c>
      <c r="F4320" s="17">
        <v>7.59</v>
      </c>
      <c r="G4320" s="3">
        <v>10</v>
      </c>
      <c r="H4320" s="17">
        <f>Table1[[#This Row],[Unit price]]*Table1[[#This Row],[Quantity]]</f>
        <v>75.900000000000006</v>
      </c>
      <c r="I4320" s="29">
        <f>Table1[[#This Row],[Total Revenue]]/$H$5056*100</f>
        <v>8.0526672019904343E-3</v>
      </c>
      <c r="J4320" s="3" t="s">
        <v>15</v>
      </c>
      <c r="K4320" s="4">
        <v>8.1</v>
      </c>
      <c r="M4320"/>
    </row>
    <row r="4321" spans="1:13" x14ac:dyDescent="0.25">
      <c r="A4321" s="3" t="s">
        <v>215</v>
      </c>
      <c r="B4321" s="3" t="s">
        <v>244</v>
      </c>
      <c r="C4321" s="3" t="s">
        <v>13</v>
      </c>
      <c r="D4321" s="3" t="s">
        <v>10</v>
      </c>
      <c r="E4321" s="5" t="s">
        <v>21</v>
      </c>
      <c r="F4321" s="17">
        <v>29.39</v>
      </c>
      <c r="G4321" s="3">
        <v>8</v>
      </c>
      <c r="H4321" s="17">
        <f>Table1[[#This Row],[Unit price]]*Table1[[#This Row],[Quantity]]</f>
        <v>235.12</v>
      </c>
      <c r="I4321" s="29">
        <f>Table1[[#This Row],[Total Revenue]]/$H$5056*100</f>
        <v>2.494523204916984E-2</v>
      </c>
      <c r="J4321" s="3" t="s">
        <v>12</v>
      </c>
      <c r="K4321" s="4">
        <v>7.3</v>
      </c>
      <c r="M4321"/>
    </row>
    <row r="4322" spans="1:13" x14ac:dyDescent="0.25">
      <c r="A4322" s="3" t="s">
        <v>215</v>
      </c>
      <c r="B4322" s="3" t="s">
        <v>244</v>
      </c>
      <c r="C4322" s="3" t="s">
        <v>13</v>
      </c>
      <c r="D4322" s="3" t="s">
        <v>10</v>
      </c>
      <c r="E4322" s="5" t="s">
        <v>21</v>
      </c>
      <c r="F4322" s="17">
        <v>25.34</v>
      </c>
      <c r="G4322" s="3">
        <v>8</v>
      </c>
      <c r="H4322" s="17">
        <f>Table1[[#This Row],[Unit price]]*Table1[[#This Row],[Quantity]]</f>
        <v>202.72</v>
      </c>
      <c r="I4322" s="29">
        <f>Table1[[#This Row],[Total Revenue]]/$H$5056*100</f>
        <v>2.15077298443676E-2</v>
      </c>
      <c r="J4322" s="3" t="s">
        <v>15</v>
      </c>
      <c r="K4322" s="4">
        <v>3.6</v>
      </c>
      <c r="M4322"/>
    </row>
    <row r="4323" spans="1:13" x14ac:dyDescent="0.25">
      <c r="A4323" s="3" t="s">
        <v>215</v>
      </c>
      <c r="B4323" s="3" t="s">
        <v>245</v>
      </c>
      <c r="C4323" s="3" t="s">
        <v>9</v>
      </c>
      <c r="D4323" s="3" t="s">
        <v>10</v>
      </c>
      <c r="E4323" s="5" t="s">
        <v>11</v>
      </c>
      <c r="F4323" s="17">
        <v>10.96</v>
      </c>
      <c r="G4323" s="3">
        <v>6</v>
      </c>
      <c r="H4323" s="17">
        <f>Table1[[#This Row],[Unit price]]*Table1[[#This Row],[Quantity]]</f>
        <v>65.760000000000005</v>
      </c>
      <c r="I4323" s="29">
        <f>Table1[[#This Row],[Total Revenue]]/$H$5056*100</f>
        <v>6.9768563267838084E-3</v>
      </c>
      <c r="J4323" s="3" t="s">
        <v>12</v>
      </c>
      <c r="K4323" s="4">
        <v>7.9</v>
      </c>
      <c r="M4323"/>
    </row>
    <row r="4324" spans="1:13" x14ac:dyDescent="0.25">
      <c r="A4324" s="3" t="s">
        <v>215</v>
      </c>
      <c r="B4324" s="3" t="s">
        <v>245</v>
      </c>
      <c r="C4324" s="3" t="s">
        <v>9</v>
      </c>
      <c r="D4324" s="3" t="s">
        <v>19</v>
      </c>
      <c r="E4324" s="5" t="s">
        <v>14</v>
      </c>
      <c r="F4324" s="17">
        <v>90.64</v>
      </c>
      <c r="G4324" s="3">
        <v>2</v>
      </c>
      <c r="H4324" s="17">
        <f>Table1[[#This Row],[Unit price]]*Table1[[#This Row],[Quantity]]</f>
        <v>181.28</v>
      </c>
      <c r="I4324" s="29">
        <f>Table1[[#This Row],[Total Revenue]]/$H$5056*100</f>
        <v>1.9233037027362662E-2</v>
      </c>
      <c r="J4324" s="3" t="s">
        <v>17</v>
      </c>
      <c r="K4324" s="4">
        <v>7.5</v>
      </c>
      <c r="M4324"/>
    </row>
    <row r="4325" spans="1:13" x14ac:dyDescent="0.25">
      <c r="A4325" s="3" t="s">
        <v>215</v>
      </c>
      <c r="B4325" s="3" t="s">
        <v>245</v>
      </c>
      <c r="C4325" s="3" t="s">
        <v>13</v>
      </c>
      <c r="D4325" s="3" t="s">
        <v>19</v>
      </c>
      <c r="E4325" s="5" t="s">
        <v>14</v>
      </c>
      <c r="F4325" s="17">
        <v>95.01</v>
      </c>
      <c r="G4325" s="3">
        <v>8</v>
      </c>
      <c r="H4325" s="17">
        <f>Table1[[#This Row],[Unit price]]*Table1[[#This Row],[Quantity]]</f>
        <v>760.08</v>
      </c>
      <c r="I4325" s="29">
        <f>Table1[[#This Row],[Total Revenue]]/$H$5056*100</f>
        <v>8.064125542673109E-2</v>
      </c>
      <c r="J4325" s="3" t="s">
        <v>17</v>
      </c>
      <c r="K4325" s="4">
        <v>8.9</v>
      </c>
      <c r="M4325"/>
    </row>
    <row r="4326" spans="1:13" x14ac:dyDescent="0.25">
      <c r="A4326" s="3" t="s">
        <v>215</v>
      </c>
      <c r="B4326" s="3" t="s">
        <v>245</v>
      </c>
      <c r="C4326" s="3" t="s">
        <v>13</v>
      </c>
      <c r="D4326" s="3" t="s">
        <v>19</v>
      </c>
      <c r="E4326" s="5" t="s">
        <v>14</v>
      </c>
      <c r="F4326" s="17">
        <v>94.39</v>
      </c>
      <c r="G4326" s="3">
        <v>4</v>
      </c>
      <c r="H4326" s="17">
        <f>Table1[[#This Row],[Unit price]]*Table1[[#This Row],[Quantity]]</f>
        <v>377.56</v>
      </c>
      <c r="I4326" s="29">
        <f>Table1[[#This Row],[Total Revenue]]/$H$5056*100</f>
        <v>4.0057510260652282E-2</v>
      </c>
      <c r="J4326" s="3" t="s">
        <v>12</v>
      </c>
      <c r="K4326" s="4">
        <v>3.4</v>
      </c>
      <c r="M4326"/>
    </row>
    <row r="4327" spans="1:13" x14ac:dyDescent="0.25">
      <c r="A4327" s="3" t="s">
        <v>215</v>
      </c>
      <c r="B4327" s="3" t="s">
        <v>243</v>
      </c>
      <c r="C4327" s="3" t="s">
        <v>13</v>
      </c>
      <c r="D4327" s="3" t="s">
        <v>19</v>
      </c>
      <c r="E4327" s="5" t="s">
        <v>20</v>
      </c>
      <c r="F4327" s="17">
        <v>46.12</v>
      </c>
      <c r="G4327" s="3">
        <v>3</v>
      </c>
      <c r="H4327" s="17">
        <f>Table1[[#This Row],[Unit price]]*Table1[[#This Row],[Quantity]]</f>
        <v>138.35999999999999</v>
      </c>
      <c r="I4327" s="29">
        <f>Table1[[#This Row],[Total Revenue]]/$H$5056*100</f>
        <v>1.4679407563470307E-2</v>
      </c>
      <c r="J4327" s="3" t="s">
        <v>12</v>
      </c>
      <c r="K4327" s="4">
        <v>6.8</v>
      </c>
      <c r="M4327"/>
    </row>
    <row r="4328" spans="1:13" x14ac:dyDescent="0.25">
      <c r="A4328" s="3" t="s">
        <v>215</v>
      </c>
      <c r="B4328" s="3" t="s">
        <v>244</v>
      </c>
      <c r="C4328" s="3" t="s">
        <v>13</v>
      </c>
      <c r="D4328" s="3" t="s">
        <v>10</v>
      </c>
      <c r="E4328" s="5" t="s">
        <v>18</v>
      </c>
      <c r="F4328" s="17">
        <v>17.61</v>
      </c>
      <c r="G4328" s="3">
        <v>3</v>
      </c>
      <c r="H4328" s="17">
        <f>Table1[[#This Row],[Unit price]]*Table1[[#This Row],[Quantity]]</f>
        <v>52.83</v>
      </c>
      <c r="I4328" s="29">
        <f>Table1[[#This Row],[Total Revenue]]/$H$5056*100</f>
        <v>5.6050383172747652E-3</v>
      </c>
      <c r="J4328" s="3" t="s">
        <v>15</v>
      </c>
      <c r="K4328" s="4">
        <v>3.7</v>
      </c>
      <c r="M4328"/>
    </row>
    <row r="4329" spans="1:13" x14ac:dyDescent="0.25">
      <c r="A4329" s="3" t="s">
        <v>215</v>
      </c>
      <c r="B4329" s="3" t="s">
        <v>244</v>
      </c>
      <c r="C4329" s="3" t="s">
        <v>9</v>
      </c>
      <c r="D4329" s="3" t="s">
        <v>10</v>
      </c>
      <c r="E4329" s="5" t="s">
        <v>21</v>
      </c>
      <c r="F4329" s="17">
        <v>21.38</v>
      </c>
      <c r="G4329" s="3">
        <v>10</v>
      </c>
      <c r="H4329" s="17">
        <f>Table1[[#This Row],[Unit price]]*Table1[[#This Row],[Quantity]]</f>
        <v>213.79999999999998</v>
      </c>
      <c r="I4329" s="29">
        <f>Table1[[#This Row],[Total Revenue]]/$H$5056*100</f>
        <v>2.2683270721812313E-2</v>
      </c>
      <c r="J4329" s="3" t="s">
        <v>12</v>
      </c>
      <c r="K4329" s="4">
        <v>6.4</v>
      </c>
      <c r="M4329"/>
    </row>
    <row r="4330" spans="1:13" x14ac:dyDescent="0.25">
      <c r="A4330" s="3" t="s">
        <v>215</v>
      </c>
      <c r="B4330" s="3" t="s">
        <v>243</v>
      </c>
      <c r="C4330" s="3" t="s">
        <v>9</v>
      </c>
      <c r="D4330" s="3" t="s">
        <v>10</v>
      </c>
      <c r="E4330" s="5" t="s">
        <v>16</v>
      </c>
      <c r="F4330" s="17">
        <v>54.96</v>
      </c>
      <c r="G4330" s="3">
        <v>6</v>
      </c>
      <c r="H4330" s="17">
        <f>Table1[[#This Row],[Unit price]]*Table1[[#This Row],[Quantity]]</f>
        <v>329.76</v>
      </c>
      <c r="I4330" s="29">
        <f>Table1[[#This Row],[Total Revenue]]/$H$5056*100</f>
        <v>3.4986133551098364E-2</v>
      </c>
      <c r="J4330" s="3" t="s">
        <v>12</v>
      </c>
      <c r="K4330" s="4">
        <v>6.5</v>
      </c>
      <c r="M4330"/>
    </row>
    <row r="4331" spans="1:13" x14ac:dyDescent="0.25">
      <c r="A4331" s="3" t="s">
        <v>215</v>
      </c>
      <c r="B4331" s="3" t="s">
        <v>244</v>
      </c>
      <c r="C4331" s="3" t="s">
        <v>13</v>
      </c>
      <c r="D4331" s="3" t="s">
        <v>19</v>
      </c>
      <c r="E4331" s="5" t="s">
        <v>20</v>
      </c>
      <c r="F4331" s="17">
        <v>62.77</v>
      </c>
      <c r="G4331" s="3">
        <v>7</v>
      </c>
      <c r="H4331" s="17">
        <f>Table1[[#This Row],[Unit price]]*Table1[[#This Row],[Quantity]]</f>
        <v>439.39000000000004</v>
      </c>
      <c r="I4331" s="29">
        <f>Table1[[#This Row],[Total Revenue]]/$H$5056*100</f>
        <v>4.6617410301483232E-2</v>
      </c>
      <c r="J4331" s="3" t="s">
        <v>12</v>
      </c>
      <c r="K4331" s="4">
        <v>5.5</v>
      </c>
      <c r="M4331"/>
    </row>
    <row r="4332" spans="1:13" x14ac:dyDescent="0.25">
      <c r="A4332" s="3" t="s">
        <v>215</v>
      </c>
      <c r="B4332" s="3" t="s">
        <v>243</v>
      </c>
      <c r="C4332" s="3" t="s">
        <v>13</v>
      </c>
      <c r="D4332" s="3" t="s">
        <v>10</v>
      </c>
      <c r="E4332" s="5" t="s">
        <v>18</v>
      </c>
      <c r="F4332" s="17">
        <v>9.86</v>
      </c>
      <c r="G4332" s="3">
        <v>3</v>
      </c>
      <c r="H4332" s="17">
        <f>Table1[[#This Row],[Unit price]]*Table1[[#This Row],[Quantity]]</f>
        <v>29.58</v>
      </c>
      <c r="I4332" s="29">
        <f>Table1[[#This Row],[Total Revenue]]/$H$5056*100</f>
        <v>3.1383121980879717E-3</v>
      </c>
      <c r="J4332" s="3" t="s">
        <v>12</v>
      </c>
      <c r="K4332" s="4">
        <v>4.5</v>
      </c>
      <c r="M4332"/>
    </row>
    <row r="4333" spans="1:13" x14ac:dyDescent="0.25">
      <c r="A4333" s="3" t="s">
        <v>215</v>
      </c>
      <c r="B4333" s="3" t="s">
        <v>243</v>
      </c>
      <c r="C4333" s="3" t="s">
        <v>9</v>
      </c>
      <c r="D4333" s="3" t="s">
        <v>19</v>
      </c>
      <c r="E4333" s="5" t="s">
        <v>11</v>
      </c>
      <c r="F4333" s="17">
        <v>10.49</v>
      </c>
      <c r="G4333" s="3">
        <v>3</v>
      </c>
      <c r="H4333" s="17">
        <f>Table1[[#This Row],[Unit price]]*Table1[[#This Row],[Quantity]]</f>
        <v>31.47</v>
      </c>
      <c r="I4333" s="29">
        <f>Table1[[#This Row],[Total Revenue]]/$H$5056*100</f>
        <v>3.3388331600347691E-3</v>
      </c>
      <c r="J4333" s="3" t="s">
        <v>15</v>
      </c>
      <c r="K4333" s="4">
        <v>5</v>
      </c>
      <c r="M4333"/>
    </row>
    <row r="4334" spans="1:13" x14ac:dyDescent="0.25">
      <c r="A4334" s="3" t="s">
        <v>215</v>
      </c>
      <c r="B4334" s="3" t="s">
        <v>245</v>
      </c>
      <c r="C4334" s="3" t="s">
        <v>9</v>
      </c>
      <c r="D4334" s="3" t="s">
        <v>10</v>
      </c>
      <c r="E4334" s="5" t="s">
        <v>21</v>
      </c>
      <c r="F4334" s="17">
        <v>28.31</v>
      </c>
      <c r="G4334" s="3">
        <v>7</v>
      </c>
      <c r="H4334" s="17">
        <f>Table1[[#This Row],[Unit price]]*Table1[[#This Row],[Quantity]]</f>
        <v>198.17</v>
      </c>
      <c r="I4334" s="29">
        <f>Table1[[#This Row],[Total Revenue]]/$H$5056*100</f>
        <v>2.1024994195236419E-2</v>
      </c>
      <c r="J4334" s="3" t="s">
        <v>15</v>
      </c>
      <c r="K4334" s="4">
        <v>7.3</v>
      </c>
      <c r="M4334"/>
    </row>
    <row r="4335" spans="1:13" x14ac:dyDescent="0.25">
      <c r="A4335" s="3" t="s">
        <v>216</v>
      </c>
      <c r="B4335" s="3" t="s">
        <v>243</v>
      </c>
      <c r="C4335" s="3" t="s">
        <v>13</v>
      </c>
      <c r="D4335" s="3" t="s">
        <v>10</v>
      </c>
      <c r="E4335" s="5" t="s">
        <v>21</v>
      </c>
      <c r="F4335" s="17">
        <v>17.8</v>
      </c>
      <c r="G4335" s="3">
        <v>5</v>
      </c>
      <c r="H4335" s="17">
        <f>Table1[[#This Row],[Unit price]]*Table1[[#This Row],[Quantity]]</f>
        <v>89</v>
      </c>
      <c r="I4335" s="29">
        <f>Table1[[#This Row],[Total Revenue]]/$H$5056*100</f>
        <v>9.4425214884999824E-3</v>
      </c>
      <c r="J4335" s="3" t="s">
        <v>12</v>
      </c>
      <c r="K4335" s="4">
        <v>4.8</v>
      </c>
      <c r="M4335"/>
    </row>
    <row r="4336" spans="1:13" x14ac:dyDescent="0.25">
      <c r="A4336" s="3" t="s">
        <v>216</v>
      </c>
      <c r="B4336" s="3" t="s">
        <v>245</v>
      </c>
      <c r="C4336" s="3" t="s">
        <v>13</v>
      </c>
      <c r="D4336" s="3" t="s">
        <v>10</v>
      </c>
      <c r="E4336" s="5" t="s">
        <v>21</v>
      </c>
      <c r="F4336" s="17">
        <v>28.75</v>
      </c>
      <c r="G4336" s="3">
        <v>6</v>
      </c>
      <c r="H4336" s="17">
        <f>Table1[[#This Row],[Unit price]]*Table1[[#This Row],[Quantity]]</f>
        <v>172.5</v>
      </c>
      <c r="I4336" s="29">
        <f>Table1[[#This Row],[Total Revenue]]/$H$5056*100</f>
        <v>1.8301516368160079E-2</v>
      </c>
      <c r="J4336" s="3" t="s">
        <v>15</v>
      </c>
      <c r="K4336" s="4">
        <v>8</v>
      </c>
      <c r="M4336"/>
    </row>
    <row r="4337" spans="1:13" x14ac:dyDescent="0.25">
      <c r="A4337" s="3" t="s">
        <v>216</v>
      </c>
      <c r="B4337" s="3" t="s">
        <v>245</v>
      </c>
      <c r="C4337" s="3" t="s">
        <v>9</v>
      </c>
      <c r="D4337" s="3" t="s">
        <v>19</v>
      </c>
      <c r="E4337" s="5" t="s">
        <v>21</v>
      </c>
      <c r="F4337" s="17">
        <v>33.07</v>
      </c>
      <c r="G4337" s="3">
        <v>6</v>
      </c>
      <c r="H4337" s="17">
        <f>Table1[[#This Row],[Unit price]]*Table1[[#This Row],[Quantity]]</f>
        <v>198.42000000000002</v>
      </c>
      <c r="I4337" s="29">
        <f>Table1[[#This Row],[Total Revenue]]/$H$5056*100</f>
        <v>2.1051518132001873E-2</v>
      </c>
      <c r="J4337" s="3" t="s">
        <v>12</v>
      </c>
      <c r="K4337" s="4">
        <v>6.5</v>
      </c>
      <c r="M4337"/>
    </row>
    <row r="4338" spans="1:13" x14ac:dyDescent="0.25">
      <c r="A4338" s="3" t="s">
        <v>216</v>
      </c>
      <c r="B4338" s="3" t="s">
        <v>243</v>
      </c>
      <c r="C4338" s="3" t="s">
        <v>13</v>
      </c>
      <c r="D4338" s="3" t="s">
        <v>19</v>
      </c>
      <c r="E4338" s="5" t="s">
        <v>20</v>
      </c>
      <c r="F4338" s="17">
        <v>42.82</v>
      </c>
      <c r="G4338" s="3">
        <v>8</v>
      </c>
      <c r="H4338" s="17">
        <f>Table1[[#This Row],[Unit price]]*Table1[[#This Row],[Quantity]]</f>
        <v>342.56</v>
      </c>
      <c r="I4338" s="29">
        <f>Table1[[#This Row],[Total Revenue]]/$H$5056*100</f>
        <v>3.6344159113489372E-2</v>
      </c>
      <c r="J4338" s="3" t="s">
        <v>12</v>
      </c>
      <c r="K4338" s="4">
        <v>5.7</v>
      </c>
      <c r="M4338"/>
    </row>
    <row r="4339" spans="1:13" x14ac:dyDescent="0.25">
      <c r="A4339" s="3" t="s">
        <v>216</v>
      </c>
      <c r="B4339" s="3" t="s">
        <v>243</v>
      </c>
      <c r="C4339" s="3" t="s">
        <v>13</v>
      </c>
      <c r="D4339" s="3" t="s">
        <v>19</v>
      </c>
      <c r="E4339" s="5" t="s">
        <v>11</v>
      </c>
      <c r="F4339" s="17">
        <v>4.5999999999999996</v>
      </c>
      <c r="G4339" s="3">
        <v>8</v>
      </c>
      <c r="H4339" s="17">
        <f>Table1[[#This Row],[Unit price]]*Table1[[#This Row],[Quantity]]</f>
        <v>36.799999999999997</v>
      </c>
      <c r="I4339" s="29">
        <f>Table1[[#This Row],[Total Revenue]]/$H$5056*100</f>
        <v>3.9043234918741494E-3</v>
      </c>
      <c r="J4339" s="3" t="s">
        <v>17</v>
      </c>
      <c r="K4339" s="4">
        <v>6.4</v>
      </c>
      <c r="M4339"/>
    </row>
    <row r="4340" spans="1:13" x14ac:dyDescent="0.25">
      <c r="A4340" s="3" t="s">
        <v>216</v>
      </c>
      <c r="B4340" s="3" t="s">
        <v>244</v>
      </c>
      <c r="C4340" s="3" t="s">
        <v>13</v>
      </c>
      <c r="D4340" s="3" t="s">
        <v>10</v>
      </c>
      <c r="E4340" s="5" t="s">
        <v>20</v>
      </c>
      <c r="F4340" s="17">
        <v>51.01</v>
      </c>
      <c r="G4340" s="3">
        <v>7</v>
      </c>
      <c r="H4340" s="17">
        <f>Table1[[#This Row],[Unit price]]*Table1[[#This Row],[Quantity]]</f>
        <v>357.07</v>
      </c>
      <c r="I4340" s="29">
        <f>Table1[[#This Row],[Total Revenue]]/$H$5056*100</f>
        <v>3.7883608403356049E-2</v>
      </c>
      <c r="J4340" s="3" t="s">
        <v>15</v>
      </c>
      <c r="K4340" s="4">
        <v>8.1</v>
      </c>
      <c r="M4340"/>
    </row>
    <row r="4341" spans="1:13" x14ac:dyDescent="0.25">
      <c r="A4341" s="3" t="s">
        <v>216</v>
      </c>
      <c r="B4341" s="3" t="s">
        <v>243</v>
      </c>
      <c r="C4341" s="3" t="s">
        <v>13</v>
      </c>
      <c r="D4341" s="3" t="s">
        <v>10</v>
      </c>
      <c r="E4341" s="5" t="s">
        <v>11</v>
      </c>
      <c r="F4341" s="17">
        <v>5.88</v>
      </c>
      <c r="G4341" s="3">
        <v>8</v>
      </c>
      <c r="H4341" s="17">
        <f>Table1[[#This Row],[Unit price]]*Table1[[#This Row],[Quantity]]</f>
        <v>47.04</v>
      </c>
      <c r="I4341" s="29">
        <f>Table1[[#This Row],[Total Revenue]]/$H$5056*100</f>
        <v>4.9907439417869563E-3</v>
      </c>
      <c r="J4341" s="3" t="s">
        <v>12</v>
      </c>
      <c r="K4341" s="4">
        <v>8.6999999999999993</v>
      </c>
      <c r="M4341"/>
    </row>
    <row r="4342" spans="1:13" x14ac:dyDescent="0.25">
      <c r="A4342" s="3" t="s">
        <v>216</v>
      </c>
      <c r="B4342" s="3" t="s">
        <v>243</v>
      </c>
      <c r="C4342" s="3" t="s">
        <v>9</v>
      </c>
      <c r="D4342" s="3" t="s">
        <v>10</v>
      </c>
      <c r="E4342" s="5" t="s">
        <v>20</v>
      </c>
      <c r="F4342" s="17">
        <v>55.31</v>
      </c>
      <c r="G4342" s="3">
        <v>4</v>
      </c>
      <c r="H4342" s="17">
        <f>Table1[[#This Row],[Unit price]]*Table1[[#This Row],[Quantity]]</f>
        <v>221.24</v>
      </c>
      <c r="I4342" s="29">
        <f>Table1[[#This Row],[Total Revenue]]/$H$5056*100</f>
        <v>2.3472623079952092E-2</v>
      </c>
      <c r="J4342" s="3" t="s">
        <v>15</v>
      </c>
      <c r="K4342" s="4">
        <v>5.2</v>
      </c>
      <c r="M4342"/>
    </row>
    <row r="4343" spans="1:13" x14ac:dyDescent="0.25">
      <c r="A4343" s="3" t="s">
        <v>216</v>
      </c>
      <c r="B4343" s="3" t="s">
        <v>243</v>
      </c>
      <c r="C4343" s="3" t="s">
        <v>13</v>
      </c>
      <c r="D4343" s="3" t="s">
        <v>19</v>
      </c>
      <c r="E4343" s="5" t="s">
        <v>20</v>
      </c>
      <c r="F4343" s="17">
        <v>48.24</v>
      </c>
      <c r="G4343" s="3">
        <v>9</v>
      </c>
      <c r="H4343" s="17">
        <f>Table1[[#This Row],[Unit price]]*Table1[[#This Row],[Quantity]]</f>
        <v>434.16</v>
      </c>
      <c r="I4343" s="29">
        <f>Table1[[#This Row],[Total Revenue]]/$H$5056*100</f>
        <v>4.6062529544350028E-2</v>
      </c>
      <c r="J4343" s="3" t="s">
        <v>15</v>
      </c>
      <c r="K4343" s="4">
        <v>5.2</v>
      </c>
      <c r="M4343"/>
    </row>
    <row r="4344" spans="1:13" x14ac:dyDescent="0.25">
      <c r="A4344" s="3" t="s">
        <v>216</v>
      </c>
      <c r="B4344" s="3" t="s">
        <v>243</v>
      </c>
      <c r="C4344" s="3" t="s">
        <v>13</v>
      </c>
      <c r="D4344" s="3" t="s">
        <v>19</v>
      </c>
      <c r="E4344" s="5" t="s">
        <v>21</v>
      </c>
      <c r="F4344" s="17">
        <v>17.649999999999999</v>
      </c>
      <c r="G4344" s="3">
        <v>1</v>
      </c>
      <c r="H4344" s="17">
        <f>Table1[[#This Row],[Unit price]]*Table1[[#This Row],[Quantity]]</f>
        <v>17.649999999999999</v>
      </c>
      <c r="I4344" s="29">
        <f>Table1[[#This Row],[Total Revenue]]/$H$5056*100</f>
        <v>1.8725899356407266E-3</v>
      </c>
      <c r="J4344" s="3" t="s">
        <v>12</v>
      </c>
      <c r="K4344" s="4">
        <v>3</v>
      </c>
      <c r="M4344"/>
    </row>
    <row r="4345" spans="1:13" x14ac:dyDescent="0.25">
      <c r="A4345" s="3" t="s">
        <v>216</v>
      </c>
      <c r="B4345" s="3" t="s">
        <v>243</v>
      </c>
      <c r="C4345" s="3" t="s">
        <v>13</v>
      </c>
      <c r="D4345" s="3" t="s">
        <v>19</v>
      </c>
      <c r="E4345" s="5" t="s">
        <v>21</v>
      </c>
      <c r="F4345" s="17">
        <v>33.479999999999997</v>
      </c>
      <c r="G4345" s="3">
        <v>10</v>
      </c>
      <c r="H4345" s="17">
        <f>Table1[[#This Row],[Unit price]]*Table1[[#This Row],[Quantity]]</f>
        <v>334.79999999999995</v>
      </c>
      <c r="I4345" s="29">
        <f>Table1[[#This Row],[Total Revenue]]/$H$5056*100</f>
        <v>3.5520856116289815E-2</v>
      </c>
      <c r="J4345" s="3" t="s">
        <v>17</v>
      </c>
      <c r="K4345" s="4">
        <v>6.6</v>
      </c>
      <c r="M4345"/>
    </row>
    <row r="4346" spans="1:13" x14ac:dyDescent="0.25">
      <c r="A4346" s="3" t="s">
        <v>216</v>
      </c>
      <c r="B4346" s="3" t="s">
        <v>244</v>
      </c>
      <c r="C4346" s="3" t="s">
        <v>9</v>
      </c>
      <c r="D4346" s="3" t="s">
        <v>19</v>
      </c>
      <c r="E4346" s="5" t="s">
        <v>11</v>
      </c>
      <c r="F4346" s="17">
        <v>5.6</v>
      </c>
      <c r="G4346" s="3">
        <v>5</v>
      </c>
      <c r="H4346" s="17">
        <f>Table1[[#This Row],[Unit price]]*Table1[[#This Row],[Quantity]]</f>
        <v>28</v>
      </c>
      <c r="I4346" s="29">
        <f>Table1[[#This Row],[Total Revenue]]/$H$5056*100</f>
        <v>2.9706809177303312E-3</v>
      </c>
      <c r="J4346" s="3" t="s">
        <v>15</v>
      </c>
      <c r="K4346" s="4">
        <v>9.3000000000000007</v>
      </c>
      <c r="M4346"/>
    </row>
    <row r="4347" spans="1:13" x14ac:dyDescent="0.25">
      <c r="A4347" s="3" t="s">
        <v>216</v>
      </c>
      <c r="B4347" s="3" t="s">
        <v>244</v>
      </c>
      <c r="C4347" s="3" t="s">
        <v>13</v>
      </c>
      <c r="D4347" s="3" t="s">
        <v>19</v>
      </c>
      <c r="E4347" s="5" t="s">
        <v>11</v>
      </c>
      <c r="F4347" s="17">
        <v>5.78</v>
      </c>
      <c r="G4347" s="3">
        <v>8</v>
      </c>
      <c r="H4347" s="17">
        <f>Table1[[#This Row],[Unit price]]*Table1[[#This Row],[Quantity]]</f>
        <v>46.24</v>
      </c>
      <c r="I4347" s="29">
        <f>Table1[[#This Row],[Total Revenue]]/$H$5056*100</f>
        <v>4.9058673441375192E-3</v>
      </c>
      <c r="J4347" s="3" t="s">
        <v>17</v>
      </c>
      <c r="K4347" s="4">
        <v>4.9000000000000004</v>
      </c>
      <c r="M4347"/>
    </row>
    <row r="4348" spans="1:13" x14ac:dyDescent="0.25">
      <c r="A4348" s="3" t="s">
        <v>216</v>
      </c>
      <c r="B4348" s="3" t="s">
        <v>245</v>
      </c>
      <c r="C4348" s="3" t="s">
        <v>9</v>
      </c>
      <c r="D4348" s="3" t="s">
        <v>19</v>
      </c>
      <c r="E4348" s="5" t="s">
        <v>21</v>
      </c>
      <c r="F4348" s="17">
        <v>28.06</v>
      </c>
      <c r="G4348" s="3">
        <v>8</v>
      </c>
      <c r="H4348" s="17">
        <f>Table1[[#This Row],[Unit price]]*Table1[[#This Row],[Quantity]]</f>
        <v>224.48</v>
      </c>
      <c r="I4348" s="29">
        <f>Table1[[#This Row],[Total Revenue]]/$H$5056*100</f>
        <v>2.3816373300432316E-2</v>
      </c>
      <c r="J4348" s="3" t="s">
        <v>12</v>
      </c>
      <c r="K4348" s="4">
        <v>6.1</v>
      </c>
      <c r="M4348"/>
    </row>
    <row r="4349" spans="1:13" x14ac:dyDescent="0.25">
      <c r="A4349" s="3" t="s">
        <v>216</v>
      </c>
      <c r="B4349" s="3" t="s">
        <v>245</v>
      </c>
      <c r="C4349" s="3" t="s">
        <v>9</v>
      </c>
      <c r="D4349" s="3" t="s">
        <v>19</v>
      </c>
      <c r="E4349" s="5" t="s">
        <v>11</v>
      </c>
      <c r="F4349" s="17">
        <v>11.09</v>
      </c>
      <c r="G4349" s="3">
        <v>7</v>
      </c>
      <c r="H4349" s="17">
        <f>Table1[[#This Row],[Unit price]]*Table1[[#This Row],[Quantity]]</f>
        <v>77.63</v>
      </c>
      <c r="I4349" s="29">
        <f>Table1[[#This Row],[Total Revenue]]/$H$5056*100</f>
        <v>8.2362128444073441E-3</v>
      </c>
      <c r="J4349" s="3" t="s">
        <v>15</v>
      </c>
      <c r="K4349" s="4">
        <v>6.8</v>
      </c>
      <c r="M4349"/>
    </row>
    <row r="4350" spans="1:13" x14ac:dyDescent="0.25">
      <c r="A4350" s="3" t="s">
        <v>217</v>
      </c>
      <c r="B4350" s="3" t="s">
        <v>245</v>
      </c>
      <c r="C4350" s="3" t="s">
        <v>9</v>
      </c>
      <c r="D4350" s="3" t="s">
        <v>19</v>
      </c>
      <c r="E4350" s="5" t="s">
        <v>21</v>
      </c>
      <c r="F4350" s="17">
        <v>35.56</v>
      </c>
      <c r="G4350" s="3">
        <v>4</v>
      </c>
      <c r="H4350" s="17">
        <f>Table1[[#This Row],[Unit price]]*Table1[[#This Row],[Quantity]]</f>
        <v>142.24</v>
      </c>
      <c r="I4350" s="29">
        <f>Table1[[#This Row],[Total Revenue]]/$H$5056*100</f>
        <v>1.5091059062070084E-2</v>
      </c>
      <c r="J4350" s="3" t="s">
        <v>12</v>
      </c>
      <c r="K4350" s="4">
        <v>9.3000000000000007</v>
      </c>
      <c r="M4350"/>
    </row>
    <row r="4351" spans="1:13" x14ac:dyDescent="0.25">
      <c r="A4351" s="3" t="s">
        <v>217</v>
      </c>
      <c r="B4351" s="3" t="s">
        <v>245</v>
      </c>
      <c r="C4351" s="3" t="s">
        <v>9</v>
      </c>
      <c r="D4351" s="3" t="s">
        <v>19</v>
      </c>
      <c r="E4351" s="5" t="s">
        <v>18</v>
      </c>
      <c r="F4351" s="17">
        <v>19.350000000000001</v>
      </c>
      <c r="G4351" s="3">
        <v>8</v>
      </c>
      <c r="H4351" s="17">
        <f>Table1[[#This Row],[Unit price]]*Table1[[#This Row],[Quantity]]</f>
        <v>154.80000000000001</v>
      </c>
      <c r="I4351" s="29">
        <f>Table1[[#This Row],[Total Revenue]]/$H$5056*100</f>
        <v>1.642362164516626E-2</v>
      </c>
      <c r="J4351" s="3" t="s">
        <v>15</v>
      </c>
      <c r="K4351" s="4">
        <v>3.6</v>
      </c>
      <c r="M4351"/>
    </row>
    <row r="4352" spans="1:13" x14ac:dyDescent="0.25">
      <c r="A4352" s="3" t="s">
        <v>217</v>
      </c>
      <c r="B4352" s="3" t="s">
        <v>244</v>
      </c>
      <c r="C4352" s="3" t="s">
        <v>13</v>
      </c>
      <c r="D4352" s="3" t="s">
        <v>19</v>
      </c>
      <c r="E4352" s="5" t="s">
        <v>11</v>
      </c>
      <c r="F4352" s="17">
        <v>7.14</v>
      </c>
      <c r="G4352" s="3">
        <v>2</v>
      </c>
      <c r="H4352" s="17">
        <f>Table1[[#This Row],[Unit price]]*Table1[[#This Row],[Quantity]]</f>
        <v>14.28</v>
      </c>
      <c r="I4352" s="29">
        <f>Table1[[#This Row],[Total Revenue]]/$H$5056*100</f>
        <v>1.5150472680424691E-3</v>
      </c>
      <c r="J4352" s="3" t="s">
        <v>12</v>
      </c>
      <c r="K4352" s="4">
        <v>4.2</v>
      </c>
      <c r="M4352"/>
    </row>
    <row r="4353" spans="1:13" x14ac:dyDescent="0.25">
      <c r="A4353" s="3" t="s">
        <v>217</v>
      </c>
      <c r="B4353" s="3" t="s">
        <v>245</v>
      </c>
      <c r="C4353" s="3" t="s">
        <v>13</v>
      </c>
      <c r="D4353" s="3" t="s">
        <v>19</v>
      </c>
      <c r="E4353" s="5" t="s">
        <v>21</v>
      </c>
      <c r="F4353" s="17">
        <v>26.87</v>
      </c>
      <c r="G4353" s="3">
        <v>5</v>
      </c>
      <c r="H4353" s="17">
        <f>Table1[[#This Row],[Unit price]]*Table1[[#This Row],[Quantity]]</f>
        <v>134.35</v>
      </c>
      <c r="I4353" s="29">
        <f>Table1[[#This Row],[Total Revenue]]/$H$5056*100</f>
        <v>1.42539636177525E-2</v>
      </c>
      <c r="J4353" s="3" t="s">
        <v>17</v>
      </c>
      <c r="K4353" s="4">
        <v>6.4</v>
      </c>
      <c r="M4353"/>
    </row>
    <row r="4354" spans="1:13" x14ac:dyDescent="0.25">
      <c r="A4354" s="3" t="s">
        <v>217</v>
      </c>
      <c r="B4354" s="3" t="s">
        <v>244</v>
      </c>
      <c r="C4354" s="3" t="s">
        <v>13</v>
      </c>
      <c r="D4354" s="3" t="s">
        <v>10</v>
      </c>
      <c r="E4354" s="5" t="s">
        <v>11</v>
      </c>
      <c r="F4354" s="17">
        <v>13.3</v>
      </c>
      <c r="G4354" s="3">
        <v>10</v>
      </c>
      <c r="H4354" s="17">
        <f>Table1[[#This Row],[Unit price]]*Table1[[#This Row],[Quantity]]</f>
        <v>133</v>
      </c>
      <c r="I4354" s="29">
        <f>Table1[[#This Row],[Total Revenue]]/$H$5056*100</f>
        <v>1.4110734359219074E-2</v>
      </c>
      <c r="J4354" s="3" t="s">
        <v>17</v>
      </c>
      <c r="K4354" s="4">
        <v>7</v>
      </c>
      <c r="M4354"/>
    </row>
    <row r="4355" spans="1:13" x14ac:dyDescent="0.25">
      <c r="A4355" s="3" t="s">
        <v>217</v>
      </c>
      <c r="B4355" s="3" t="s">
        <v>243</v>
      </c>
      <c r="C4355" s="3" t="s">
        <v>9</v>
      </c>
      <c r="D4355" s="3" t="s">
        <v>10</v>
      </c>
      <c r="E4355" s="5" t="s">
        <v>20</v>
      </c>
      <c r="F4355" s="17">
        <v>69.849999999999994</v>
      </c>
      <c r="G4355" s="3">
        <v>4</v>
      </c>
      <c r="H4355" s="17">
        <f>Table1[[#This Row],[Unit price]]*Table1[[#This Row],[Quantity]]</f>
        <v>279.39999999999998</v>
      </c>
      <c r="I4355" s="29">
        <f>Table1[[#This Row],[Total Revenue]]/$H$5056*100</f>
        <v>2.9643151729066234E-2</v>
      </c>
      <c r="J4355" s="3" t="s">
        <v>17</v>
      </c>
      <c r="K4355" s="4">
        <v>4.2</v>
      </c>
      <c r="M4355"/>
    </row>
    <row r="4356" spans="1:13" x14ac:dyDescent="0.25">
      <c r="A4356" s="3" t="s">
        <v>217</v>
      </c>
      <c r="B4356" s="3" t="s">
        <v>244</v>
      </c>
      <c r="C4356" s="3" t="s">
        <v>9</v>
      </c>
      <c r="D4356" s="3" t="s">
        <v>10</v>
      </c>
      <c r="E4356" s="5" t="s">
        <v>14</v>
      </c>
      <c r="F4356" s="17">
        <v>90.37</v>
      </c>
      <c r="G4356" s="3">
        <v>2</v>
      </c>
      <c r="H4356" s="17">
        <f>Table1[[#This Row],[Unit price]]*Table1[[#This Row],[Quantity]]</f>
        <v>180.74</v>
      </c>
      <c r="I4356" s="29">
        <f>Table1[[#This Row],[Total Revenue]]/$H$5056*100</f>
        <v>1.9175745323949292E-2</v>
      </c>
      <c r="J4356" s="3" t="s">
        <v>17</v>
      </c>
      <c r="K4356" s="4">
        <v>8.6999999999999993</v>
      </c>
      <c r="M4356"/>
    </row>
    <row r="4357" spans="1:13" x14ac:dyDescent="0.25">
      <c r="A4357" s="3" t="s">
        <v>217</v>
      </c>
      <c r="B4357" s="3" t="s">
        <v>244</v>
      </c>
      <c r="C4357" s="3" t="s">
        <v>9</v>
      </c>
      <c r="D4357" s="3" t="s">
        <v>10</v>
      </c>
      <c r="E4357" s="5" t="s">
        <v>20</v>
      </c>
      <c r="F4357" s="17">
        <v>68.5</v>
      </c>
      <c r="G4357" s="3">
        <v>6</v>
      </c>
      <c r="H4357" s="17">
        <f>Table1[[#This Row],[Unit price]]*Table1[[#This Row],[Quantity]]</f>
        <v>411</v>
      </c>
      <c r="I4357" s="29">
        <f>Table1[[#This Row],[Total Revenue]]/$H$5056*100</f>
        <v>4.36053520423988E-2</v>
      </c>
      <c r="J4357" s="3" t="s">
        <v>12</v>
      </c>
      <c r="K4357" s="4">
        <v>9.6999999999999993</v>
      </c>
      <c r="M4357"/>
    </row>
    <row r="4358" spans="1:13" x14ac:dyDescent="0.25">
      <c r="A4358" s="3" t="s">
        <v>217</v>
      </c>
      <c r="B4358" s="3" t="s">
        <v>244</v>
      </c>
      <c r="C4358" s="3" t="s">
        <v>13</v>
      </c>
      <c r="D4358" s="3" t="s">
        <v>19</v>
      </c>
      <c r="E4358" s="5" t="s">
        <v>16</v>
      </c>
      <c r="F4358" s="17">
        <v>71.650000000000006</v>
      </c>
      <c r="G4358" s="3">
        <v>9</v>
      </c>
      <c r="H4358" s="17">
        <f>Table1[[#This Row],[Unit price]]*Table1[[#This Row],[Quantity]]</f>
        <v>644.85</v>
      </c>
      <c r="I4358" s="29">
        <f>Table1[[#This Row],[Total Revenue]]/$H$5056*100</f>
        <v>6.8415842492800152E-2</v>
      </c>
      <c r="J4358" s="3" t="s">
        <v>12</v>
      </c>
      <c r="K4358" s="4">
        <v>6.4</v>
      </c>
      <c r="M4358"/>
    </row>
    <row r="4359" spans="1:13" x14ac:dyDescent="0.25">
      <c r="A4359" s="3" t="s">
        <v>217</v>
      </c>
      <c r="B4359" s="3" t="s">
        <v>244</v>
      </c>
      <c r="C4359" s="3" t="s">
        <v>13</v>
      </c>
      <c r="D4359" s="3" t="s">
        <v>10</v>
      </c>
      <c r="E4359" s="5" t="s">
        <v>11</v>
      </c>
      <c r="F4359" s="17">
        <v>9.85</v>
      </c>
      <c r="G4359" s="3">
        <v>1</v>
      </c>
      <c r="H4359" s="17">
        <f>Table1[[#This Row],[Unit price]]*Table1[[#This Row],[Quantity]]</f>
        <v>9.85</v>
      </c>
      <c r="I4359" s="29">
        <f>Table1[[#This Row],[Total Revenue]]/$H$5056*100</f>
        <v>1.0450431085587059E-3</v>
      </c>
      <c r="J4359" s="3" t="s">
        <v>12</v>
      </c>
      <c r="K4359" s="4">
        <v>8.6</v>
      </c>
      <c r="M4359"/>
    </row>
    <row r="4360" spans="1:13" x14ac:dyDescent="0.25">
      <c r="A4360" s="3" t="s">
        <v>217</v>
      </c>
      <c r="B4360" s="3" t="s">
        <v>244</v>
      </c>
      <c r="C4360" s="3" t="s">
        <v>13</v>
      </c>
      <c r="D4360" s="3" t="s">
        <v>10</v>
      </c>
      <c r="E4360" s="5" t="s">
        <v>18</v>
      </c>
      <c r="F4360" s="17">
        <v>17.350000000000001</v>
      </c>
      <c r="G4360" s="3">
        <v>9</v>
      </c>
      <c r="H4360" s="17">
        <f>Table1[[#This Row],[Unit price]]*Table1[[#This Row],[Quantity]]</f>
        <v>156.15</v>
      </c>
      <c r="I4360" s="29">
        <f>Table1[[#This Row],[Total Revenue]]/$H$5056*100</f>
        <v>1.6566850903699689E-2</v>
      </c>
      <c r="J4360" s="3" t="s">
        <v>17</v>
      </c>
      <c r="K4360" s="4">
        <v>3.8</v>
      </c>
      <c r="M4360"/>
    </row>
    <row r="4361" spans="1:13" x14ac:dyDescent="0.25">
      <c r="A4361" s="3" t="s">
        <v>217</v>
      </c>
      <c r="B4361" s="3" t="s">
        <v>245</v>
      </c>
      <c r="C4361" s="3" t="s">
        <v>13</v>
      </c>
      <c r="D4361" s="3" t="s">
        <v>10</v>
      </c>
      <c r="E4361" s="5" t="s">
        <v>20</v>
      </c>
      <c r="F4361" s="17">
        <v>56.25</v>
      </c>
      <c r="G4361" s="3">
        <v>7</v>
      </c>
      <c r="H4361" s="17">
        <f>Table1[[#This Row],[Unit price]]*Table1[[#This Row],[Quantity]]</f>
        <v>393.75</v>
      </c>
      <c r="I4361" s="29">
        <f>Table1[[#This Row],[Total Revenue]]/$H$5056*100</f>
        <v>4.1775200405582788E-2</v>
      </c>
      <c r="J4361" s="3" t="s">
        <v>12</v>
      </c>
      <c r="K4361" s="4">
        <v>3.3</v>
      </c>
      <c r="M4361"/>
    </row>
    <row r="4362" spans="1:13" x14ac:dyDescent="0.25">
      <c r="A4362" s="3" t="s">
        <v>217</v>
      </c>
      <c r="B4362" s="3" t="s">
        <v>244</v>
      </c>
      <c r="C4362" s="3" t="s">
        <v>13</v>
      </c>
      <c r="D4362" s="3" t="s">
        <v>10</v>
      </c>
      <c r="E4362" s="5" t="s">
        <v>18</v>
      </c>
      <c r="F4362" s="17">
        <v>12.64</v>
      </c>
      <c r="G4362" s="3">
        <v>4</v>
      </c>
      <c r="H4362" s="17">
        <f>Table1[[#This Row],[Unit price]]*Table1[[#This Row],[Quantity]]</f>
        <v>50.56</v>
      </c>
      <c r="I4362" s="29">
        <f>Table1[[#This Row],[Total Revenue]]/$H$5056*100</f>
        <v>5.3642009714444843E-3</v>
      </c>
      <c r="J4362" s="3" t="s">
        <v>17</v>
      </c>
      <c r="K4362" s="4">
        <v>3.4</v>
      </c>
      <c r="M4362"/>
    </row>
    <row r="4363" spans="1:13" x14ac:dyDescent="0.25">
      <c r="A4363" s="3" t="s">
        <v>217</v>
      </c>
      <c r="B4363" s="3" t="s">
        <v>244</v>
      </c>
      <c r="C4363" s="3" t="s">
        <v>13</v>
      </c>
      <c r="D4363" s="3" t="s">
        <v>10</v>
      </c>
      <c r="E4363" s="5" t="s">
        <v>11</v>
      </c>
      <c r="F4363" s="17">
        <v>6.1</v>
      </c>
      <c r="G4363" s="3">
        <v>3</v>
      </c>
      <c r="H4363" s="17">
        <f>Table1[[#This Row],[Unit price]]*Table1[[#This Row],[Quantity]]</f>
        <v>18.299999999999997</v>
      </c>
      <c r="I4363" s="29">
        <f>Table1[[#This Row],[Total Revenue]]/$H$5056*100</f>
        <v>1.9415521712308949E-3</v>
      </c>
      <c r="J4363" s="3" t="s">
        <v>17</v>
      </c>
      <c r="K4363" s="4">
        <v>9.3000000000000007</v>
      </c>
      <c r="M4363"/>
    </row>
    <row r="4364" spans="1:13" x14ac:dyDescent="0.25">
      <c r="A4364" s="3" t="s">
        <v>217</v>
      </c>
      <c r="B4364" s="3" t="s">
        <v>243</v>
      </c>
      <c r="C4364" s="3" t="s">
        <v>13</v>
      </c>
      <c r="D4364" s="3" t="s">
        <v>19</v>
      </c>
      <c r="E4364" s="5" t="s">
        <v>21</v>
      </c>
      <c r="F4364" s="17">
        <v>36.450000000000003</v>
      </c>
      <c r="G4364" s="3">
        <v>2</v>
      </c>
      <c r="H4364" s="17">
        <f>Table1[[#This Row],[Unit price]]*Table1[[#This Row],[Quantity]]</f>
        <v>72.900000000000006</v>
      </c>
      <c r="I4364" s="29">
        <f>Table1[[#This Row],[Total Revenue]]/$H$5056*100</f>
        <v>7.7343799608050419E-3</v>
      </c>
      <c r="J4364" s="3" t="s">
        <v>17</v>
      </c>
      <c r="K4364" s="4">
        <v>3.4</v>
      </c>
      <c r="M4364"/>
    </row>
    <row r="4365" spans="1:13" x14ac:dyDescent="0.25">
      <c r="A4365" s="3" t="s">
        <v>217</v>
      </c>
      <c r="B4365" s="3" t="s">
        <v>245</v>
      </c>
      <c r="C4365" s="3" t="s">
        <v>13</v>
      </c>
      <c r="D4365" s="3" t="s">
        <v>19</v>
      </c>
      <c r="E4365" s="5" t="s">
        <v>20</v>
      </c>
      <c r="F4365" s="17">
        <v>66.25</v>
      </c>
      <c r="G4365" s="3">
        <v>3</v>
      </c>
      <c r="H4365" s="17">
        <f>Table1[[#This Row],[Unit price]]*Table1[[#This Row],[Quantity]]</f>
        <v>198.75</v>
      </c>
      <c r="I4365" s="29">
        <f>Table1[[#This Row],[Total Revenue]]/$H$5056*100</f>
        <v>2.1086529728532262E-2</v>
      </c>
      <c r="J4365" s="3" t="s">
        <v>17</v>
      </c>
      <c r="K4365" s="4">
        <v>5.0999999999999996</v>
      </c>
      <c r="M4365"/>
    </row>
    <row r="4366" spans="1:13" x14ac:dyDescent="0.25">
      <c r="A4366" s="3" t="s">
        <v>217</v>
      </c>
      <c r="B4366" s="3" t="s">
        <v>245</v>
      </c>
      <c r="C4366" s="3" t="s">
        <v>13</v>
      </c>
      <c r="D4366" s="3" t="s">
        <v>10</v>
      </c>
      <c r="E4366" s="5" t="s">
        <v>16</v>
      </c>
      <c r="F4366" s="17">
        <v>63.49</v>
      </c>
      <c r="G4366" s="3">
        <v>1</v>
      </c>
      <c r="H4366" s="17">
        <f>Table1[[#This Row],[Unit price]]*Table1[[#This Row],[Quantity]]</f>
        <v>63.49</v>
      </c>
      <c r="I4366" s="29">
        <f>Table1[[#This Row],[Total Revenue]]/$H$5056*100</f>
        <v>6.7360189809535266E-3</v>
      </c>
      <c r="J4366" s="3" t="s">
        <v>12</v>
      </c>
      <c r="K4366" s="4">
        <v>9.3000000000000007</v>
      </c>
      <c r="M4366"/>
    </row>
    <row r="4367" spans="1:13" x14ac:dyDescent="0.25">
      <c r="A4367" s="3" t="s">
        <v>217</v>
      </c>
      <c r="B4367" s="3" t="s">
        <v>245</v>
      </c>
      <c r="C4367" s="3" t="s">
        <v>13</v>
      </c>
      <c r="D4367" s="3" t="s">
        <v>10</v>
      </c>
      <c r="E4367" s="5" t="s">
        <v>11</v>
      </c>
      <c r="F4367" s="17">
        <v>3.88</v>
      </c>
      <c r="G4367" s="3">
        <v>8</v>
      </c>
      <c r="H4367" s="17">
        <f>Table1[[#This Row],[Unit price]]*Table1[[#This Row],[Quantity]]</f>
        <v>31.04</v>
      </c>
      <c r="I4367" s="29">
        <f>Table1[[#This Row],[Total Revenue]]/$H$5056*100</f>
        <v>3.2932119887981955E-3</v>
      </c>
      <c r="J4367" s="3" t="s">
        <v>12</v>
      </c>
      <c r="K4367" s="4">
        <v>5.2</v>
      </c>
      <c r="M4367"/>
    </row>
    <row r="4368" spans="1:13" x14ac:dyDescent="0.25">
      <c r="A4368" s="3" t="s">
        <v>217</v>
      </c>
      <c r="B4368" s="3" t="s">
        <v>245</v>
      </c>
      <c r="C4368" s="3" t="s">
        <v>13</v>
      </c>
      <c r="D4368" s="3" t="s">
        <v>19</v>
      </c>
      <c r="E4368" s="5" t="s">
        <v>11</v>
      </c>
      <c r="F4368" s="17">
        <v>3.07</v>
      </c>
      <c r="G4368" s="3">
        <v>6</v>
      </c>
      <c r="H4368" s="17">
        <f>Table1[[#This Row],[Unit price]]*Table1[[#This Row],[Quantity]]</f>
        <v>18.419999999999998</v>
      </c>
      <c r="I4368" s="29">
        <f>Table1[[#This Row],[Total Revenue]]/$H$5056*100</f>
        <v>1.9542836608783106E-3</v>
      </c>
      <c r="J4368" s="3" t="s">
        <v>12</v>
      </c>
      <c r="K4368" s="4">
        <v>6.9</v>
      </c>
      <c r="M4368"/>
    </row>
    <row r="4369" spans="1:13" x14ac:dyDescent="0.25">
      <c r="A4369" s="3" t="s">
        <v>217</v>
      </c>
      <c r="B4369" s="3" t="s">
        <v>243</v>
      </c>
      <c r="C4369" s="3" t="s">
        <v>13</v>
      </c>
      <c r="D4369" s="3" t="s">
        <v>19</v>
      </c>
      <c r="E4369" s="5" t="s">
        <v>20</v>
      </c>
      <c r="F4369" s="17">
        <v>42.63</v>
      </c>
      <c r="G4369" s="3">
        <v>3</v>
      </c>
      <c r="H4369" s="17">
        <f>Table1[[#This Row],[Unit price]]*Table1[[#This Row],[Quantity]]</f>
        <v>127.89000000000001</v>
      </c>
      <c r="I4369" s="29">
        <f>Table1[[#This Row],[Total Revenue]]/$H$5056*100</f>
        <v>1.356858509173329E-2</v>
      </c>
      <c r="J4369" s="3" t="s">
        <v>17</v>
      </c>
      <c r="K4369" s="4">
        <v>8</v>
      </c>
      <c r="M4369"/>
    </row>
    <row r="4370" spans="1:13" x14ac:dyDescent="0.25">
      <c r="A4370" s="3" t="s">
        <v>218</v>
      </c>
      <c r="B4370" s="3" t="s">
        <v>243</v>
      </c>
      <c r="C4370" s="3" t="s">
        <v>13</v>
      </c>
      <c r="D4370" s="3" t="s">
        <v>10</v>
      </c>
      <c r="E4370" s="5" t="s">
        <v>11</v>
      </c>
      <c r="F4370" s="17">
        <v>9.0500000000000007</v>
      </c>
      <c r="G4370" s="3">
        <v>1</v>
      </c>
      <c r="H4370" s="17">
        <f>Table1[[#This Row],[Unit price]]*Table1[[#This Row],[Quantity]]</f>
        <v>9.0500000000000007</v>
      </c>
      <c r="I4370" s="29">
        <f>Table1[[#This Row],[Total Revenue]]/$H$5056*100</f>
        <v>9.6016651090926794E-4</v>
      </c>
      <c r="J4370" s="3" t="s">
        <v>12</v>
      </c>
      <c r="K4370" s="4">
        <v>8.9</v>
      </c>
      <c r="M4370"/>
    </row>
    <row r="4371" spans="1:13" x14ac:dyDescent="0.25">
      <c r="A4371" s="3" t="s">
        <v>218</v>
      </c>
      <c r="B4371" s="3" t="s">
        <v>244</v>
      </c>
      <c r="C4371" s="3" t="s">
        <v>13</v>
      </c>
      <c r="D4371" s="3" t="s">
        <v>19</v>
      </c>
      <c r="E4371" s="5" t="s">
        <v>14</v>
      </c>
      <c r="F4371" s="17">
        <v>83.84</v>
      </c>
      <c r="G4371" s="3">
        <v>9</v>
      </c>
      <c r="H4371" s="17">
        <f>Table1[[#This Row],[Unit price]]*Table1[[#This Row],[Quantity]]</f>
        <v>754.56000000000006</v>
      </c>
      <c r="I4371" s="29">
        <f>Table1[[#This Row],[Total Revenue]]/$H$5056*100</f>
        <v>8.0055606902949966E-2</v>
      </c>
      <c r="J4371" s="3" t="s">
        <v>15</v>
      </c>
      <c r="K4371" s="4">
        <v>8.3000000000000007</v>
      </c>
      <c r="M4371"/>
    </row>
    <row r="4372" spans="1:13" x14ac:dyDescent="0.25">
      <c r="A4372" s="3" t="s">
        <v>218</v>
      </c>
      <c r="B4372" s="3" t="s">
        <v>245</v>
      </c>
      <c r="C4372" s="3" t="s">
        <v>13</v>
      </c>
      <c r="D4372" s="3" t="s">
        <v>10</v>
      </c>
      <c r="E4372" s="5" t="s">
        <v>11</v>
      </c>
      <c r="F4372" s="17">
        <v>7.46</v>
      </c>
      <c r="G4372" s="3">
        <v>4</v>
      </c>
      <c r="H4372" s="17">
        <f>Table1[[#This Row],[Unit price]]*Table1[[#This Row],[Quantity]]</f>
        <v>29.84</v>
      </c>
      <c r="I4372" s="29">
        <f>Table1[[#This Row],[Total Revenue]]/$H$5056*100</f>
        <v>3.1658970923240386E-3</v>
      </c>
      <c r="J4372" s="3" t="s">
        <v>12</v>
      </c>
      <c r="K4372" s="4">
        <v>3.2</v>
      </c>
      <c r="M4372"/>
    </row>
    <row r="4373" spans="1:13" x14ac:dyDescent="0.25">
      <c r="A4373" s="3" t="s">
        <v>218</v>
      </c>
      <c r="B4373" s="3" t="s">
        <v>244</v>
      </c>
      <c r="C4373" s="3" t="s">
        <v>9</v>
      </c>
      <c r="D4373" s="3" t="s">
        <v>10</v>
      </c>
      <c r="E4373" s="5" t="s">
        <v>11</v>
      </c>
      <c r="F4373" s="17">
        <v>8.23</v>
      </c>
      <c r="G4373" s="3">
        <v>4</v>
      </c>
      <c r="H4373" s="17">
        <f>Table1[[#This Row],[Unit price]]*Table1[[#This Row],[Quantity]]</f>
        <v>32.92</v>
      </c>
      <c r="I4373" s="29">
        <f>Table1[[#This Row],[Total Revenue]]/$H$5056*100</f>
        <v>3.4926719932743757E-3</v>
      </c>
      <c r="J4373" s="3" t="s">
        <v>17</v>
      </c>
      <c r="K4373" s="4">
        <v>3.5</v>
      </c>
      <c r="M4373"/>
    </row>
    <row r="4374" spans="1:13" x14ac:dyDescent="0.25">
      <c r="A4374" s="3" t="s">
        <v>218</v>
      </c>
      <c r="B4374" s="3" t="s">
        <v>244</v>
      </c>
      <c r="C4374" s="3" t="s">
        <v>9</v>
      </c>
      <c r="D4374" s="3" t="s">
        <v>10</v>
      </c>
      <c r="E4374" s="5" t="s">
        <v>16</v>
      </c>
      <c r="F4374" s="17">
        <v>70.83</v>
      </c>
      <c r="G4374" s="3">
        <v>6</v>
      </c>
      <c r="H4374" s="17">
        <f>Table1[[#This Row],[Unit price]]*Table1[[#This Row],[Quantity]]</f>
        <v>424.98</v>
      </c>
      <c r="I4374" s="29">
        <f>Table1[[#This Row],[Total Revenue]]/$H$5056*100</f>
        <v>4.5088570586322728E-2</v>
      </c>
      <c r="J4374" s="3" t="s">
        <v>12</v>
      </c>
      <c r="K4374" s="4">
        <v>8.5</v>
      </c>
      <c r="M4374"/>
    </row>
    <row r="4375" spans="1:13" x14ac:dyDescent="0.25">
      <c r="A4375" s="3" t="s">
        <v>218</v>
      </c>
      <c r="B4375" s="3" t="s">
        <v>243</v>
      </c>
      <c r="C4375" s="3" t="s">
        <v>13</v>
      </c>
      <c r="D4375" s="3" t="s">
        <v>10</v>
      </c>
      <c r="E4375" s="5" t="s">
        <v>18</v>
      </c>
      <c r="F4375" s="17">
        <v>20.91</v>
      </c>
      <c r="G4375" s="3">
        <v>7</v>
      </c>
      <c r="H4375" s="17">
        <f>Table1[[#This Row],[Unit price]]*Table1[[#This Row],[Quantity]]</f>
        <v>146.37</v>
      </c>
      <c r="I4375" s="29">
        <f>Table1[[#This Row],[Total Revenue]]/$H$5056*100</f>
        <v>1.5529234497435308E-2</v>
      </c>
      <c r="J4375" s="3" t="s">
        <v>15</v>
      </c>
      <c r="K4375" s="4">
        <v>8.1</v>
      </c>
      <c r="M4375"/>
    </row>
    <row r="4376" spans="1:13" x14ac:dyDescent="0.25">
      <c r="A4376" s="3" t="s">
        <v>218</v>
      </c>
      <c r="B4376" s="3" t="s">
        <v>243</v>
      </c>
      <c r="C4376" s="3" t="s">
        <v>13</v>
      </c>
      <c r="D4376" s="3" t="s">
        <v>19</v>
      </c>
      <c r="E4376" s="5" t="s">
        <v>18</v>
      </c>
      <c r="F4376" s="17">
        <v>24.18</v>
      </c>
      <c r="G4376" s="3">
        <v>6</v>
      </c>
      <c r="H4376" s="17">
        <f>Table1[[#This Row],[Unit price]]*Table1[[#This Row],[Quantity]]</f>
        <v>145.07999999999998</v>
      </c>
      <c r="I4376" s="29">
        <f>Table1[[#This Row],[Total Revenue]]/$H$5056*100</f>
        <v>1.5392370983725588E-2</v>
      </c>
      <c r="J4376" s="3" t="s">
        <v>17</v>
      </c>
      <c r="K4376" s="4">
        <v>5.6</v>
      </c>
      <c r="M4376"/>
    </row>
    <row r="4377" spans="1:13" x14ac:dyDescent="0.25">
      <c r="A4377" s="3" t="s">
        <v>218</v>
      </c>
      <c r="B4377" s="3" t="s">
        <v>243</v>
      </c>
      <c r="C4377" s="3" t="s">
        <v>13</v>
      </c>
      <c r="D4377" s="3" t="s">
        <v>10</v>
      </c>
      <c r="E4377" s="5" t="s">
        <v>18</v>
      </c>
      <c r="F4377" s="17">
        <v>17.350000000000001</v>
      </c>
      <c r="G4377" s="3">
        <v>7</v>
      </c>
      <c r="H4377" s="17">
        <f>Table1[[#This Row],[Unit price]]*Table1[[#This Row],[Quantity]]</f>
        <v>121.45000000000002</v>
      </c>
      <c r="I4377" s="29">
        <f>Table1[[#This Row],[Total Revenue]]/$H$5056*100</f>
        <v>1.2885328480655316E-2</v>
      </c>
      <c r="J4377" s="3" t="s">
        <v>15</v>
      </c>
      <c r="K4377" s="4">
        <v>3.5</v>
      </c>
      <c r="M4377"/>
    </row>
    <row r="4378" spans="1:13" x14ac:dyDescent="0.25">
      <c r="A4378" s="3" t="s">
        <v>218</v>
      </c>
      <c r="B4378" s="3" t="s">
        <v>245</v>
      </c>
      <c r="C4378" s="3" t="s">
        <v>13</v>
      </c>
      <c r="D4378" s="3" t="s">
        <v>10</v>
      </c>
      <c r="E4378" s="5" t="s">
        <v>11</v>
      </c>
      <c r="F4378" s="17">
        <v>12.35</v>
      </c>
      <c r="G4378" s="3">
        <v>8</v>
      </c>
      <c r="H4378" s="17">
        <f>Table1[[#This Row],[Unit price]]*Table1[[#This Row],[Quantity]]</f>
        <v>98.8</v>
      </c>
      <c r="I4378" s="29">
        <f>Table1[[#This Row],[Total Revenue]]/$H$5056*100</f>
        <v>1.0482259809705598E-2</v>
      </c>
      <c r="J4378" s="3" t="s">
        <v>15</v>
      </c>
      <c r="K4378" s="4">
        <v>8.5</v>
      </c>
      <c r="M4378"/>
    </row>
    <row r="4379" spans="1:13" x14ac:dyDescent="0.25">
      <c r="A4379" s="3" t="s">
        <v>218</v>
      </c>
      <c r="B4379" s="3" t="s">
        <v>245</v>
      </c>
      <c r="C4379" s="3" t="s">
        <v>13</v>
      </c>
      <c r="D4379" s="3" t="s">
        <v>10</v>
      </c>
      <c r="E4379" s="5" t="s">
        <v>11</v>
      </c>
      <c r="F4379" s="17">
        <v>5.46</v>
      </c>
      <c r="G4379" s="3">
        <v>9</v>
      </c>
      <c r="H4379" s="17">
        <f>Table1[[#This Row],[Unit price]]*Table1[[#This Row],[Quantity]]</f>
        <v>49.14</v>
      </c>
      <c r="I4379" s="29">
        <f>Table1[[#This Row],[Total Revenue]]/$H$5056*100</f>
        <v>5.2135450106167314E-3</v>
      </c>
      <c r="J4379" s="3" t="s">
        <v>15</v>
      </c>
      <c r="K4379" s="4">
        <v>9.4</v>
      </c>
      <c r="M4379"/>
    </row>
    <row r="4380" spans="1:13" x14ac:dyDescent="0.25">
      <c r="A4380" s="3" t="s">
        <v>218</v>
      </c>
      <c r="B4380" s="3" t="s">
        <v>245</v>
      </c>
      <c r="C4380" s="3" t="s">
        <v>9</v>
      </c>
      <c r="D4380" s="3" t="s">
        <v>10</v>
      </c>
      <c r="E4380" s="5" t="s">
        <v>11</v>
      </c>
      <c r="F4380" s="17">
        <v>7.78</v>
      </c>
      <c r="G4380" s="3">
        <v>8</v>
      </c>
      <c r="H4380" s="17">
        <f>Table1[[#This Row],[Unit price]]*Table1[[#This Row],[Quantity]]</f>
        <v>62.24</v>
      </c>
      <c r="I4380" s="29">
        <f>Table1[[#This Row],[Total Revenue]]/$H$5056*100</f>
        <v>6.6033992971262804E-3</v>
      </c>
      <c r="J4380" s="3" t="s">
        <v>12</v>
      </c>
      <c r="K4380" s="4">
        <v>8.6</v>
      </c>
      <c r="M4380"/>
    </row>
    <row r="4381" spans="1:13" x14ac:dyDescent="0.25">
      <c r="A4381" s="3" t="s">
        <v>218</v>
      </c>
      <c r="B4381" s="3" t="s">
        <v>243</v>
      </c>
      <c r="C4381" s="3" t="s">
        <v>13</v>
      </c>
      <c r="D4381" s="3" t="s">
        <v>10</v>
      </c>
      <c r="E4381" s="5" t="s">
        <v>20</v>
      </c>
      <c r="F4381" s="17">
        <v>64.180000000000007</v>
      </c>
      <c r="G4381" s="3">
        <v>9</v>
      </c>
      <c r="H4381" s="17">
        <f>Table1[[#This Row],[Unit price]]*Table1[[#This Row],[Quantity]]</f>
        <v>577.62000000000012</v>
      </c>
      <c r="I4381" s="29">
        <f>Table1[[#This Row],[Total Revenue]]/$H$5056*100</f>
        <v>6.1283025417835521E-2</v>
      </c>
      <c r="J4381" s="3" t="s">
        <v>12</v>
      </c>
      <c r="K4381" s="4">
        <v>5.9</v>
      </c>
      <c r="M4381"/>
    </row>
    <row r="4382" spans="1:13" x14ac:dyDescent="0.25">
      <c r="A4382" s="3" t="s">
        <v>218</v>
      </c>
      <c r="B4382" s="3" t="s">
        <v>245</v>
      </c>
      <c r="C4382" s="3" t="s">
        <v>9</v>
      </c>
      <c r="D4382" s="3" t="s">
        <v>19</v>
      </c>
      <c r="E4382" s="5" t="s">
        <v>18</v>
      </c>
      <c r="F4382" s="17">
        <v>12.12</v>
      </c>
      <c r="G4382" s="3">
        <v>2</v>
      </c>
      <c r="H4382" s="17">
        <f>Table1[[#This Row],[Unit price]]*Table1[[#This Row],[Quantity]]</f>
        <v>24.24</v>
      </c>
      <c r="I4382" s="29">
        <f>Table1[[#This Row],[Total Revenue]]/$H$5056*100</f>
        <v>2.5717609087779728E-3</v>
      </c>
      <c r="J4382" s="3" t="s">
        <v>15</v>
      </c>
      <c r="K4382" s="4">
        <v>8.9</v>
      </c>
      <c r="M4382"/>
    </row>
    <row r="4383" spans="1:13" x14ac:dyDescent="0.25">
      <c r="A4383" s="3" t="s">
        <v>218</v>
      </c>
      <c r="B4383" s="3" t="s">
        <v>245</v>
      </c>
      <c r="C4383" s="3" t="s">
        <v>9</v>
      </c>
      <c r="D4383" s="3" t="s">
        <v>10</v>
      </c>
      <c r="E4383" s="5" t="s">
        <v>11</v>
      </c>
      <c r="F4383" s="17">
        <v>3.36</v>
      </c>
      <c r="G4383" s="3">
        <v>3</v>
      </c>
      <c r="H4383" s="17">
        <f>Table1[[#This Row],[Unit price]]*Table1[[#This Row],[Quantity]]</f>
        <v>10.08</v>
      </c>
      <c r="I4383" s="29">
        <f>Table1[[#This Row],[Total Revenue]]/$H$5056*100</f>
        <v>1.0694451303829193E-3</v>
      </c>
      <c r="J4383" s="3" t="s">
        <v>15</v>
      </c>
      <c r="K4383" s="4">
        <v>4</v>
      </c>
      <c r="M4383"/>
    </row>
    <row r="4384" spans="1:13" x14ac:dyDescent="0.25">
      <c r="A4384" s="3" t="s">
        <v>218</v>
      </c>
      <c r="B4384" s="3" t="s">
        <v>245</v>
      </c>
      <c r="C4384" s="3" t="s">
        <v>9</v>
      </c>
      <c r="D4384" s="3" t="s">
        <v>19</v>
      </c>
      <c r="E4384" s="5" t="s">
        <v>11</v>
      </c>
      <c r="F4384" s="17">
        <v>12.83</v>
      </c>
      <c r="G4384" s="3">
        <v>5</v>
      </c>
      <c r="H4384" s="17">
        <f>Table1[[#This Row],[Unit price]]*Table1[[#This Row],[Quantity]]</f>
        <v>64.150000000000006</v>
      </c>
      <c r="I4384" s="29">
        <f>Table1[[#This Row],[Total Revenue]]/$H$5056*100</f>
        <v>6.8060421740143142E-3</v>
      </c>
      <c r="J4384" s="3" t="s">
        <v>12</v>
      </c>
      <c r="K4384" s="4">
        <v>9.6999999999999993</v>
      </c>
      <c r="M4384"/>
    </row>
    <row r="4385" spans="1:13" x14ac:dyDescent="0.25">
      <c r="A4385" s="3" t="s">
        <v>218</v>
      </c>
      <c r="B4385" s="3" t="s">
        <v>243</v>
      </c>
      <c r="C4385" s="3" t="s">
        <v>9</v>
      </c>
      <c r="D4385" s="3" t="s">
        <v>19</v>
      </c>
      <c r="E4385" s="5" t="s">
        <v>16</v>
      </c>
      <c r="F4385" s="17">
        <v>62.86</v>
      </c>
      <c r="G4385" s="3">
        <v>6</v>
      </c>
      <c r="H4385" s="17">
        <f>Table1[[#This Row],[Unit price]]*Table1[[#This Row],[Quantity]]</f>
        <v>377.15999999999997</v>
      </c>
      <c r="I4385" s="29">
        <f>Table1[[#This Row],[Total Revenue]]/$H$5056*100</f>
        <v>4.0015071961827561E-2</v>
      </c>
      <c r="J4385" s="3" t="s">
        <v>12</v>
      </c>
      <c r="K4385" s="4">
        <v>5</v>
      </c>
      <c r="M4385"/>
    </row>
    <row r="4386" spans="1:13" x14ac:dyDescent="0.25">
      <c r="A4386" s="3" t="s">
        <v>218</v>
      </c>
      <c r="B4386" s="3" t="s">
        <v>244</v>
      </c>
      <c r="C4386" s="3" t="s">
        <v>9</v>
      </c>
      <c r="D4386" s="3" t="s">
        <v>10</v>
      </c>
      <c r="E4386" s="5" t="s">
        <v>11</v>
      </c>
      <c r="F4386" s="17">
        <v>8.9499999999999993</v>
      </c>
      <c r="G4386" s="3">
        <v>3</v>
      </c>
      <c r="H4386" s="17">
        <f>Table1[[#This Row],[Unit price]]*Table1[[#This Row],[Quantity]]</f>
        <v>26.849999999999998</v>
      </c>
      <c r="I4386" s="29">
        <f>Table1[[#This Row],[Total Revenue]]/$H$5056*100</f>
        <v>2.8486708086092639E-3</v>
      </c>
      <c r="J4386" s="3" t="s">
        <v>15</v>
      </c>
      <c r="K4386" s="4">
        <v>5.6</v>
      </c>
      <c r="M4386"/>
    </row>
    <row r="4387" spans="1:13" x14ac:dyDescent="0.25">
      <c r="A4387" s="3" t="s">
        <v>218</v>
      </c>
      <c r="B4387" s="3" t="s">
        <v>245</v>
      </c>
      <c r="C4387" s="3" t="s">
        <v>9</v>
      </c>
      <c r="D4387" s="3" t="s">
        <v>10</v>
      </c>
      <c r="E4387" s="5" t="s">
        <v>18</v>
      </c>
      <c r="F4387" s="17">
        <v>14.6</v>
      </c>
      <c r="G4387" s="3">
        <v>3</v>
      </c>
      <c r="H4387" s="17">
        <f>Table1[[#This Row],[Unit price]]*Table1[[#This Row],[Quantity]]</f>
        <v>43.8</v>
      </c>
      <c r="I4387" s="29">
        <f>Table1[[#This Row],[Total Revenue]]/$H$5056*100</f>
        <v>4.6469937213067325E-3</v>
      </c>
      <c r="J4387" s="3" t="s">
        <v>15</v>
      </c>
      <c r="K4387" s="4">
        <v>4.3</v>
      </c>
      <c r="M4387"/>
    </row>
    <row r="4388" spans="1:13" x14ac:dyDescent="0.25">
      <c r="A4388" s="3" t="s">
        <v>218</v>
      </c>
      <c r="B4388" s="3" t="s">
        <v>245</v>
      </c>
      <c r="C4388" s="3" t="s">
        <v>9</v>
      </c>
      <c r="D4388" s="3" t="s">
        <v>10</v>
      </c>
      <c r="E4388" s="5" t="s">
        <v>21</v>
      </c>
      <c r="F4388" s="17">
        <v>35.25</v>
      </c>
      <c r="G4388" s="3">
        <v>7</v>
      </c>
      <c r="H4388" s="17">
        <f>Table1[[#This Row],[Unit price]]*Table1[[#This Row],[Quantity]]</f>
        <v>246.75</v>
      </c>
      <c r="I4388" s="29">
        <f>Table1[[#This Row],[Total Revenue]]/$H$5056*100</f>
        <v>2.6179125587498547E-2</v>
      </c>
      <c r="J4388" s="3" t="s">
        <v>15</v>
      </c>
      <c r="K4388" s="4">
        <v>3.9</v>
      </c>
      <c r="M4388"/>
    </row>
    <row r="4389" spans="1:13" x14ac:dyDescent="0.25">
      <c r="A4389" s="3" t="s">
        <v>218</v>
      </c>
      <c r="B4389" s="3" t="s">
        <v>243</v>
      </c>
      <c r="C4389" s="3" t="s">
        <v>13</v>
      </c>
      <c r="D4389" s="3" t="s">
        <v>19</v>
      </c>
      <c r="E4389" s="5" t="s">
        <v>11</v>
      </c>
      <c r="F4389" s="17">
        <v>9.07</v>
      </c>
      <c r="G4389" s="3">
        <v>6</v>
      </c>
      <c r="H4389" s="17">
        <f>Table1[[#This Row],[Unit price]]*Table1[[#This Row],[Quantity]]</f>
        <v>54.42</v>
      </c>
      <c r="I4389" s="29">
        <f>Table1[[#This Row],[Total Revenue]]/$H$5056*100</f>
        <v>5.7737305551030229E-3</v>
      </c>
      <c r="J4389" s="3" t="s">
        <v>12</v>
      </c>
      <c r="K4389" s="4">
        <v>5.0999999999999996</v>
      </c>
      <c r="M4389"/>
    </row>
    <row r="4390" spans="1:13" x14ac:dyDescent="0.25">
      <c r="A4390" s="3" t="s">
        <v>218</v>
      </c>
      <c r="B4390" s="3" t="s">
        <v>245</v>
      </c>
      <c r="C4390" s="3" t="s">
        <v>9</v>
      </c>
      <c r="D4390" s="3" t="s">
        <v>10</v>
      </c>
      <c r="E4390" s="5" t="s">
        <v>11</v>
      </c>
      <c r="F4390" s="17">
        <v>8.98</v>
      </c>
      <c r="G4390" s="3">
        <v>1</v>
      </c>
      <c r="H4390" s="17">
        <f>Table1[[#This Row],[Unit price]]*Table1[[#This Row],[Quantity]]</f>
        <v>8.98</v>
      </c>
      <c r="I4390" s="29">
        <f>Table1[[#This Row],[Total Revenue]]/$H$5056*100</f>
        <v>9.5273980861494212E-4</v>
      </c>
      <c r="J4390" s="3" t="s">
        <v>15</v>
      </c>
      <c r="K4390" s="4">
        <v>8.1</v>
      </c>
      <c r="M4390"/>
    </row>
    <row r="4391" spans="1:13" x14ac:dyDescent="0.25">
      <c r="A4391" s="3" t="s">
        <v>218</v>
      </c>
      <c r="B4391" s="3" t="s">
        <v>245</v>
      </c>
      <c r="C4391" s="3" t="s">
        <v>9</v>
      </c>
      <c r="D4391" s="3" t="s">
        <v>10</v>
      </c>
      <c r="E4391" s="5" t="s">
        <v>20</v>
      </c>
      <c r="F4391" s="17">
        <v>46.1</v>
      </c>
      <c r="G4391" s="3">
        <v>8</v>
      </c>
      <c r="H4391" s="17">
        <f>Table1[[#This Row],[Unit price]]*Table1[[#This Row],[Quantity]]</f>
        <v>368.8</v>
      </c>
      <c r="I4391" s="29">
        <f>Table1[[#This Row],[Total Revenue]]/$H$5056*100</f>
        <v>3.9128111516390937E-2</v>
      </c>
      <c r="J4391" s="3" t="s">
        <v>12</v>
      </c>
      <c r="K4391" s="4">
        <v>3.8</v>
      </c>
      <c r="M4391"/>
    </row>
    <row r="4392" spans="1:13" x14ac:dyDescent="0.25">
      <c r="A4392" s="3" t="s">
        <v>219</v>
      </c>
      <c r="B4392" s="3" t="s">
        <v>243</v>
      </c>
      <c r="C4392" s="3" t="s">
        <v>13</v>
      </c>
      <c r="D4392" s="3" t="s">
        <v>10</v>
      </c>
      <c r="E4392" s="5" t="s">
        <v>20</v>
      </c>
      <c r="F4392" s="17">
        <v>40.159999999999997</v>
      </c>
      <c r="G4392" s="3">
        <v>2</v>
      </c>
      <c r="H4392" s="17">
        <f>Table1[[#This Row],[Unit price]]*Table1[[#This Row],[Quantity]]</f>
        <v>80.319999999999993</v>
      </c>
      <c r="I4392" s="29">
        <f>Table1[[#This Row],[Total Revenue]]/$H$5056*100</f>
        <v>8.5216104040035795E-3</v>
      </c>
      <c r="J4392" s="3" t="s">
        <v>12</v>
      </c>
      <c r="K4392" s="4">
        <v>9.5</v>
      </c>
      <c r="M4392"/>
    </row>
    <row r="4393" spans="1:13" x14ac:dyDescent="0.25">
      <c r="A4393" s="3" t="s">
        <v>219</v>
      </c>
      <c r="B4393" s="3" t="s">
        <v>245</v>
      </c>
      <c r="C4393" s="3" t="s">
        <v>9</v>
      </c>
      <c r="D4393" s="3" t="s">
        <v>19</v>
      </c>
      <c r="E4393" s="5" t="s">
        <v>18</v>
      </c>
      <c r="F4393" s="17">
        <v>23.71</v>
      </c>
      <c r="G4393" s="3">
        <v>4</v>
      </c>
      <c r="H4393" s="17">
        <f>Table1[[#This Row],[Unit price]]*Table1[[#This Row],[Quantity]]</f>
        <v>94.84</v>
      </c>
      <c r="I4393" s="29">
        <f>Table1[[#This Row],[Total Revenue]]/$H$5056*100</f>
        <v>1.006212065134088E-2</v>
      </c>
      <c r="J4393" s="3" t="s">
        <v>17</v>
      </c>
      <c r="K4393" s="4">
        <v>7.1</v>
      </c>
      <c r="M4393"/>
    </row>
    <row r="4394" spans="1:13" x14ac:dyDescent="0.25">
      <c r="A4394" s="3" t="s">
        <v>219</v>
      </c>
      <c r="B4394" s="3" t="s">
        <v>244</v>
      </c>
      <c r="C4394" s="3" t="s">
        <v>13</v>
      </c>
      <c r="D4394" s="3" t="s">
        <v>10</v>
      </c>
      <c r="E4394" s="5" t="s">
        <v>20</v>
      </c>
      <c r="F4394" s="17">
        <v>65.95</v>
      </c>
      <c r="G4394" s="3">
        <v>4</v>
      </c>
      <c r="H4394" s="17">
        <f>Table1[[#This Row],[Unit price]]*Table1[[#This Row],[Quantity]]</f>
        <v>263.8</v>
      </c>
      <c r="I4394" s="29">
        <f>Table1[[#This Row],[Total Revenue]]/$H$5056*100</f>
        <v>2.7988058074902192E-2</v>
      </c>
      <c r="J4394" s="3" t="s">
        <v>15</v>
      </c>
      <c r="K4394" s="4">
        <v>5.0999999999999996</v>
      </c>
      <c r="M4394"/>
    </row>
    <row r="4395" spans="1:13" x14ac:dyDescent="0.25">
      <c r="A4395" s="3" t="s">
        <v>219</v>
      </c>
      <c r="B4395" s="3" t="s">
        <v>244</v>
      </c>
      <c r="C4395" s="3" t="s">
        <v>13</v>
      </c>
      <c r="D4395" s="3" t="s">
        <v>19</v>
      </c>
      <c r="E4395" s="5" t="s">
        <v>14</v>
      </c>
      <c r="F4395" s="17">
        <v>93.98</v>
      </c>
      <c r="G4395" s="3">
        <v>4</v>
      </c>
      <c r="H4395" s="17">
        <f>Table1[[#This Row],[Unit price]]*Table1[[#This Row],[Quantity]]</f>
        <v>375.92</v>
      </c>
      <c r="I4395" s="29">
        <f>Table1[[#This Row],[Total Revenue]]/$H$5056*100</f>
        <v>3.9883513235470937E-2</v>
      </c>
      <c r="J4395" s="3" t="s">
        <v>12</v>
      </c>
      <c r="K4395" s="4">
        <v>7.4</v>
      </c>
      <c r="M4395"/>
    </row>
    <row r="4396" spans="1:13" x14ac:dyDescent="0.25">
      <c r="A4396" s="3" t="s">
        <v>219</v>
      </c>
      <c r="B4396" s="3" t="s">
        <v>245</v>
      </c>
      <c r="C4396" s="3" t="s">
        <v>13</v>
      </c>
      <c r="D4396" s="3" t="s">
        <v>10</v>
      </c>
      <c r="E4396" s="5" t="s">
        <v>18</v>
      </c>
      <c r="F4396" s="17">
        <v>8.56</v>
      </c>
      <c r="G4396" s="3">
        <v>6</v>
      </c>
      <c r="H4396" s="17">
        <f>Table1[[#This Row],[Unit price]]*Table1[[#This Row],[Quantity]]</f>
        <v>51.36</v>
      </c>
      <c r="I4396" s="29">
        <f>Table1[[#This Row],[Total Revenue]]/$H$5056*100</f>
        <v>5.4490775690939222E-3</v>
      </c>
      <c r="J4396" s="3" t="s">
        <v>17</v>
      </c>
      <c r="K4396" s="4">
        <v>9.3000000000000007</v>
      </c>
      <c r="M4396"/>
    </row>
    <row r="4397" spans="1:13" x14ac:dyDescent="0.25">
      <c r="A4397" s="3" t="s">
        <v>219</v>
      </c>
      <c r="B4397" s="3" t="s">
        <v>244</v>
      </c>
      <c r="C4397" s="3" t="s">
        <v>13</v>
      </c>
      <c r="D4397" s="3" t="s">
        <v>19</v>
      </c>
      <c r="E4397" s="5" t="s">
        <v>21</v>
      </c>
      <c r="F4397" s="17">
        <v>34.49</v>
      </c>
      <c r="G4397" s="3">
        <v>9</v>
      </c>
      <c r="H4397" s="17">
        <f>Table1[[#This Row],[Unit price]]*Table1[[#This Row],[Quantity]]</f>
        <v>310.41000000000003</v>
      </c>
      <c r="I4397" s="29">
        <f>Table1[[#This Row],[Total Revenue]]/$H$5056*100</f>
        <v>3.2933180845452582E-2</v>
      </c>
      <c r="J4397" s="3" t="s">
        <v>12</v>
      </c>
      <c r="K4397" s="4">
        <v>3.9</v>
      </c>
      <c r="M4397"/>
    </row>
    <row r="4398" spans="1:13" x14ac:dyDescent="0.25">
      <c r="A4398" s="3" t="s">
        <v>219</v>
      </c>
      <c r="B4398" s="3" t="s">
        <v>245</v>
      </c>
      <c r="C4398" s="3" t="s">
        <v>9</v>
      </c>
      <c r="D4398" s="3" t="s">
        <v>10</v>
      </c>
      <c r="E4398" s="5" t="s">
        <v>11</v>
      </c>
      <c r="F4398" s="17">
        <v>9.6999999999999993</v>
      </c>
      <c r="G4398" s="3">
        <v>8</v>
      </c>
      <c r="H4398" s="17">
        <f>Table1[[#This Row],[Unit price]]*Table1[[#This Row],[Quantity]]</f>
        <v>77.599999999999994</v>
      </c>
      <c r="I4398" s="29">
        <f>Table1[[#This Row],[Total Revenue]]/$H$5056*100</f>
        <v>8.2330299719954904E-3</v>
      </c>
      <c r="J4398" s="3" t="s">
        <v>12</v>
      </c>
      <c r="K4398" s="4">
        <v>7.6</v>
      </c>
      <c r="M4398"/>
    </row>
    <row r="4399" spans="1:13" x14ac:dyDescent="0.25">
      <c r="A4399" s="3" t="s">
        <v>219</v>
      </c>
      <c r="B4399" s="3" t="s">
        <v>243</v>
      </c>
      <c r="C4399" s="3" t="s">
        <v>13</v>
      </c>
      <c r="D4399" s="3" t="s">
        <v>19</v>
      </c>
      <c r="E4399" s="5" t="s">
        <v>14</v>
      </c>
      <c r="F4399" s="17">
        <v>85.77</v>
      </c>
      <c r="G4399" s="3">
        <v>4</v>
      </c>
      <c r="H4399" s="17">
        <f>Table1[[#This Row],[Unit price]]*Table1[[#This Row],[Quantity]]</f>
        <v>343.08</v>
      </c>
      <c r="I4399" s="29">
        <f>Table1[[#This Row],[Total Revenue]]/$H$5056*100</f>
        <v>3.6399328901961507E-2</v>
      </c>
      <c r="J4399" s="3" t="s">
        <v>17</v>
      </c>
      <c r="K4399" s="4">
        <v>4.5999999999999996</v>
      </c>
      <c r="M4399"/>
    </row>
    <row r="4400" spans="1:13" x14ac:dyDescent="0.25">
      <c r="A4400" s="3" t="s">
        <v>219</v>
      </c>
      <c r="B4400" s="3" t="s">
        <v>244</v>
      </c>
      <c r="C4400" s="3" t="s">
        <v>13</v>
      </c>
      <c r="D4400" s="3" t="s">
        <v>10</v>
      </c>
      <c r="E4400" s="5" t="s">
        <v>20</v>
      </c>
      <c r="F4400" s="17">
        <v>47.88</v>
      </c>
      <c r="G4400" s="3">
        <v>4</v>
      </c>
      <c r="H4400" s="17">
        <f>Table1[[#This Row],[Unit price]]*Table1[[#This Row],[Quantity]]</f>
        <v>191.52</v>
      </c>
      <c r="I4400" s="29">
        <f>Table1[[#This Row],[Total Revenue]]/$H$5056*100</f>
        <v>2.0319457477275468E-2</v>
      </c>
      <c r="J4400" s="3" t="s">
        <v>15</v>
      </c>
      <c r="K4400" s="4">
        <v>6.5</v>
      </c>
      <c r="M4400"/>
    </row>
    <row r="4401" spans="1:13" x14ac:dyDescent="0.25">
      <c r="A4401" s="3" t="s">
        <v>219</v>
      </c>
      <c r="B4401" s="3" t="s">
        <v>244</v>
      </c>
      <c r="C4401" s="3" t="s">
        <v>9</v>
      </c>
      <c r="D4401" s="3" t="s">
        <v>19</v>
      </c>
      <c r="E4401" s="5" t="s">
        <v>14</v>
      </c>
      <c r="F4401" s="17">
        <v>92.05</v>
      </c>
      <c r="G4401" s="3">
        <v>2</v>
      </c>
      <c r="H4401" s="17">
        <f>Table1[[#This Row],[Unit price]]*Table1[[#This Row],[Quantity]]</f>
        <v>184.1</v>
      </c>
      <c r="I4401" s="29">
        <f>Table1[[#This Row],[Total Revenue]]/$H$5056*100</f>
        <v>1.9532227034076931E-2</v>
      </c>
      <c r="J4401" s="3" t="s">
        <v>17</v>
      </c>
      <c r="K4401" s="4">
        <v>3.9</v>
      </c>
      <c r="M4401"/>
    </row>
    <row r="4402" spans="1:13" x14ac:dyDescent="0.25">
      <c r="A4402" s="3" t="s">
        <v>219</v>
      </c>
      <c r="B4402" s="3" t="s">
        <v>244</v>
      </c>
      <c r="C4402" s="3" t="s">
        <v>9</v>
      </c>
      <c r="D4402" s="3" t="s">
        <v>10</v>
      </c>
      <c r="E4402" s="5" t="s">
        <v>14</v>
      </c>
      <c r="F4402" s="17">
        <v>82.13</v>
      </c>
      <c r="G4402" s="3">
        <v>6</v>
      </c>
      <c r="H4402" s="17">
        <f>Table1[[#This Row],[Unit price]]*Table1[[#This Row],[Quantity]]</f>
        <v>492.78</v>
      </c>
      <c r="I4402" s="29">
        <f>Table1[[#This Row],[Total Revenue]]/$H$5056*100</f>
        <v>5.2281862237112599E-2</v>
      </c>
      <c r="J4402" s="3" t="s">
        <v>17</v>
      </c>
      <c r="K4402" s="4">
        <v>8</v>
      </c>
      <c r="M4402"/>
    </row>
    <row r="4403" spans="1:13" x14ac:dyDescent="0.25">
      <c r="A4403" s="3" t="s">
        <v>219</v>
      </c>
      <c r="B4403" s="3" t="s">
        <v>244</v>
      </c>
      <c r="C4403" s="3" t="s">
        <v>9</v>
      </c>
      <c r="D4403" s="3" t="s">
        <v>10</v>
      </c>
      <c r="E4403" s="5" t="s">
        <v>18</v>
      </c>
      <c r="F4403" s="17">
        <v>15.55</v>
      </c>
      <c r="G4403" s="3">
        <v>9</v>
      </c>
      <c r="H4403" s="17">
        <f>Table1[[#This Row],[Unit price]]*Table1[[#This Row],[Quantity]]</f>
        <v>139.95000000000002</v>
      </c>
      <c r="I4403" s="29">
        <f>Table1[[#This Row],[Total Revenue]]/$H$5056*100</f>
        <v>1.4848099801298569E-2</v>
      </c>
      <c r="J4403" s="3" t="s">
        <v>17</v>
      </c>
      <c r="K4403" s="4">
        <v>7.1</v>
      </c>
      <c r="M4403"/>
    </row>
    <row r="4404" spans="1:13" x14ac:dyDescent="0.25">
      <c r="A4404" s="3" t="s">
        <v>219</v>
      </c>
      <c r="B4404" s="3" t="s">
        <v>244</v>
      </c>
      <c r="C4404" s="3" t="s">
        <v>13</v>
      </c>
      <c r="D4404" s="3" t="s">
        <v>10</v>
      </c>
      <c r="E4404" s="5" t="s">
        <v>11</v>
      </c>
      <c r="F4404" s="17">
        <v>14.05</v>
      </c>
      <c r="G4404" s="3">
        <v>5</v>
      </c>
      <c r="H4404" s="17">
        <f>Table1[[#This Row],[Unit price]]*Table1[[#This Row],[Quantity]]</f>
        <v>70.25</v>
      </c>
      <c r="I4404" s="29">
        <f>Table1[[#This Row],[Total Revenue]]/$H$5056*100</f>
        <v>7.4532262310912775E-3</v>
      </c>
      <c r="J4404" s="3" t="s">
        <v>15</v>
      </c>
      <c r="K4404" s="4">
        <v>9.4</v>
      </c>
      <c r="M4404"/>
    </row>
    <row r="4405" spans="1:13" x14ac:dyDescent="0.25">
      <c r="A4405" s="3" t="s">
        <v>219</v>
      </c>
      <c r="B4405" s="3" t="s">
        <v>245</v>
      </c>
      <c r="C4405" s="3" t="s">
        <v>13</v>
      </c>
      <c r="D4405" s="3" t="s">
        <v>10</v>
      </c>
      <c r="E4405" s="5" t="s">
        <v>21</v>
      </c>
      <c r="F4405" s="17">
        <v>17.78</v>
      </c>
      <c r="G4405" s="3">
        <v>3</v>
      </c>
      <c r="H4405" s="17">
        <f>Table1[[#This Row],[Unit price]]*Table1[[#This Row],[Quantity]]</f>
        <v>53.34</v>
      </c>
      <c r="I4405" s="29">
        <f>Table1[[#This Row],[Total Revenue]]/$H$5056*100</f>
        <v>5.6591471482762817E-3</v>
      </c>
      <c r="J4405" s="3" t="s">
        <v>15</v>
      </c>
      <c r="K4405" s="4">
        <v>8.1</v>
      </c>
      <c r="M4405"/>
    </row>
    <row r="4406" spans="1:13" x14ac:dyDescent="0.25">
      <c r="A4406" s="3" t="s">
        <v>219</v>
      </c>
      <c r="B4406" s="3" t="s">
        <v>243</v>
      </c>
      <c r="C4406" s="3" t="s">
        <v>9</v>
      </c>
      <c r="D4406" s="3" t="s">
        <v>19</v>
      </c>
      <c r="E4406" s="5" t="s">
        <v>21</v>
      </c>
      <c r="F4406" s="17">
        <v>32.6</v>
      </c>
      <c r="G4406" s="3">
        <v>6</v>
      </c>
      <c r="H4406" s="17">
        <f>Table1[[#This Row],[Unit price]]*Table1[[#This Row],[Quantity]]</f>
        <v>195.60000000000002</v>
      </c>
      <c r="I4406" s="29">
        <f>Table1[[#This Row],[Total Revenue]]/$H$5056*100</f>
        <v>2.0752328125287604E-2</v>
      </c>
      <c r="J4406" s="3" t="s">
        <v>15</v>
      </c>
      <c r="K4406" s="4">
        <v>7.1</v>
      </c>
      <c r="M4406"/>
    </row>
    <row r="4407" spans="1:13" x14ac:dyDescent="0.25">
      <c r="A4407" s="3" t="s">
        <v>219</v>
      </c>
      <c r="B4407" s="3" t="s">
        <v>245</v>
      </c>
      <c r="C4407" s="3" t="s">
        <v>9</v>
      </c>
      <c r="D4407" s="3" t="s">
        <v>10</v>
      </c>
      <c r="E4407" s="5" t="s">
        <v>20</v>
      </c>
      <c r="F4407" s="17">
        <v>40.75</v>
      </c>
      <c r="G4407" s="3">
        <v>2</v>
      </c>
      <c r="H4407" s="17">
        <f>Table1[[#This Row],[Unit price]]*Table1[[#This Row],[Quantity]]</f>
        <v>81.5</v>
      </c>
      <c r="I4407" s="29">
        <f>Table1[[#This Row],[Total Revenue]]/$H$5056*100</f>
        <v>8.6468033855365001E-3</v>
      </c>
      <c r="J4407" s="3" t="s">
        <v>17</v>
      </c>
      <c r="K4407" s="4">
        <v>3</v>
      </c>
      <c r="M4407"/>
    </row>
    <row r="4408" spans="1:13" x14ac:dyDescent="0.25">
      <c r="A4408" s="3" t="s">
        <v>219</v>
      </c>
      <c r="B4408" s="3" t="s">
        <v>245</v>
      </c>
      <c r="C4408" s="3" t="s">
        <v>9</v>
      </c>
      <c r="D4408" s="3" t="s">
        <v>19</v>
      </c>
      <c r="E4408" s="5" t="s">
        <v>20</v>
      </c>
      <c r="F4408" s="17">
        <v>63.98</v>
      </c>
      <c r="G4408" s="3">
        <v>7</v>
      </c>
      <c r="H4408" s="17">
        <f>Table1[[#This Row],[Unit price]]*Table1[[#This Row],[Quantity]]</f>
        <v>447.85999999999996</v>
      </c>
      <c r="I4408" s="29">
        <f>Table1[[#This Row],[Total Revenue]]/$H$5056*100</f>
        <v>4.751604127909665E-2</v>
      </c>
      <c r="J4408" s="3" t="s">
        <v>15</v>
      </c>
      <c r="K4408" s="4">
        <v>3.8</v>
      </c>
      <c r="M4408"/>
    </row>
    <row r="4409" spans="1:13" x14ac:dyDescent="0.25">
      <c r="A4409" s="3" t="s">
        <v>219</v>
      </c>
      <c r="B4409" s="3" t="s">
        <v>244</v>
      </c>
      <c r="C4409" s="3" t="s">
        <v>9</v>
      </c>
      <c r="D4409" s="3" t="s">
        <v>19</v>
      </c>
      <c r="E4409" s="5" t="s">
        <v>16</v>
      </c>
      <c r="F4409" s="17">
        <v>77.27</v>
      </c>
      <c r="G4409" s="3">
        <v>9</v>
      </c>
      <c r="H4409" s="17">
        <f>Table1[[#This Row],[Unit price]]*Table1[[#This Row],[Quantity]]</f>
        <v>695.43</v>
      </c>
      <c r="I4409" s="29">
        <f>Table1[[#This Row],[Total Revenue]]/$H$5056*100</f>
        <v>7.3782165379185874E-2</v>
      </c>
      <c r="J4409" s="3" t="s">
        <v>15</v>
      </c>
      <c r="K4409" s="4">
        <v>9.1</v>
      </c>
      <c r="M4409"/>
    </row>
    <row r="4410" spans="1:13" x14ac:dyDescent="0.25">
      <c r="A4410" s="3" t="s">
        <v>219</v>
      </c>
      <c r="B4410" s="3" t="s">
        <v>245</v>
      </c>
      <c r="C4410" s="3" t="s">
        <v>9</v>
      </c>
      <c r="D4410" s="3" t="s">
        <v>10</v>
      </c>
      <c r="E4410" s="5" t="s">
        <v>16</v>
      </c>
      <c r="F4410" s="17">
        <v>56.49</v>
      </c>
      <c r="G4410" s="3">
        <v>4</v>
      </c>
      <c r="H4410" s="17">
        <f>Table1[[#This Row],[Unit price]]*Table1[[#This Row],[Quantity]]</f>
        <v>225.96</v>
      </c>
      <c r="I4410" s="29">
        <f>Table1[[#This Row],[Total Revenue]]/$H$5056*100</f>
        <v>2.3973395006083777E-2</v>
      </c>
      <c r="J4410" s="3" t="s">
        <v>15</v>
      </c>
      <c r="K4410" s="4">
        <v>6.7</v>
      </c>
      <c r="M4410"/>
    </row>
    <row r="4411" spans="1:13" x14ac:dyDescent="0.25">
      <c r="A4411" s="3" t="s">
        <v>219</v>
      </c>
      <c r="B4411" s="3" t="s">
        <v>245</v>
      </c>
      <c r="C4411" s="3" t="s">
        <v>13</v>
      </c>
      <c r="D4411" s="3" t="s">
        <v>10</v>
      </c>
      <c r="E4411" s="5" t="s">
        <v>11</v>
      </c>
      <c r="F4411" s="17">
        <v>10.71</v>
      </c>
      <c r="G4411" s="3">
        <v>7</v>
      </c>
      <c r="H4411" s="17">
        <f>Table1[[#This Row],[Unit price]]*Table1[[#This Row],[Quantity]]</f>
        <v>74.97</v>
      </c>
      <c r="I4411" s="29">
        <f>Table1[[#This Row],[Total Revenue]]/$H$5056*100</f>
        <v>7.9539981572229624E-3</v>
      </c>
      <c r="J4411" s="3" t="s">
        <v>15</v>
      </c>
      <c r="K4411" s="4">
        <v>9.1999999999999993</v>
      </c>
      <c r="M4411"/>
    </row>
    <row r="4412" spans="1:13" x14ac:dyDescent="0.25">
      <c r="A4412" s="3" t="s">
        <v>219</v>
      </c>
      <c r="B4412" s="3" t="s">
        <v>245</v>
      </c>
      <c r="C4412" s="3" t="s">
        <v>13</v>
      </c>
      <c r="D4412" s="3" t="s">
        <v>19</v>
      </c>
      <c r="E4412" s="5" t="s">
        <v>18</v>
      </c>
      <c r="F4412" s="17">
        <v>12.13</v>
      </c>
      <c r="G4412" s="3">
        <v>9</v>
      </c>
      <c r="H4412" s="17">
        <f>Table1[[#This Row],[Unit price]]*Table1[[#This Row],[Quantity]]</f>
        <v>109.17</v>
      </c>
      <c r="I4412" s="29">
        <f>Table1[[#This Row],[Total Revenue]]/$H$5056*100</f>
        <v>1.158247270673644E-2</v>
      </c>
      <c r="J4412" s="3" t="s">
        <v>12</v>
      </c>
      <c r="K4412" s="4">
        <v>4.3</v>
      </c>
      <c r="M4412"/>
    </row>
    <row r="4413" spans="1:13" x14ac:dyDescent="0.25">
      <c r="A4413" s="3" t="s">
        <v>219</v>
      </c>
      <c r="B4413" s="3" t="s">
        <v>243</v>
      </c>
      <c r="C4413" s="3" t="s">
        <v>9</v>
      </c>
      <c r="D4413" s="3" t="s">
        <v>19</v>
      </c>
      <c r="E4413" s="5" t="s">
        <v>18</v>
      </c>
      <c r="F4413" s="17">
        <v>22.96</v>
      </c>
      <c r="G4413" s="3">
        <v>8</v>
      </c>
      <c r="H4413" s="17">
        <f>Table1[[#This Row],[Unit price]]*Table1[[#This Row],[Quantity]]</f>
        <v>183.68</v>
      </c>
      <c r="I4413" s="29">
        <f>Table1[[#This Row],[Total Revenue]]/$H$5056*100</f>
        <v>1.9487666820310976E-2</v>
      </c>
      <c r="J4413" s="3" t="s">
        <v>17</v>
      </c>
      <c r="K4413" s="4">
        <v>5.2</v>
      </c>
      <c r="M4413"/>
    </row>
    <row r="4414" spans="1:13" x14ac:dyDescent="0.25">
      <c r="A4414" s="3" t="s">
        <v>219</v>
      </c>
      <c r="B4414" s="3" t="s">
        <v>245</v>
      </c>
      <c r="C4414" s="3" t="s">
        <v>9</v>
      </c>
      <c r="D4414" s="3" t="s">
        <v>10</v>
      </c>
      <c r="E4414" s="5" t="s">
        <v>11</v>
      </c>
      <c r="F4414" s="17">
        <v>10.98</v>
      </c>
      <c r="G4414" s="3">
        <v>7</v>
      </c>
      <c r="H4414" s="17">
        <f>Table1[[#This Row],[Unit price]]*Table1[[#This Row],[Quantity]]</f>
        <v>76.86</v>
      </c>
      <c r="I4414" s="29">
        <f>Table1[[#This Row],[Total Revenue]]/$H$5056*100</f>
        <v>8.1545191191697598E-3</v>
      </c>
      <c r="J4414" s="3" t="s">
        <v>12</v>
      </c>
      <c r="K4414" s="4">
        <v>6</v>
      </c>
      <c r="M4414"/>
    </row>
    <row r="4415" spans="1:13" x14ac:dyDescent="0.25">
      <c r="A4415" s="3" t="s">
        <v>219</v>
      </c>
      <c r="B4415" s="3" t="s">
        <v>243</v>
      </c>
      <c r="C4415" s="3" t="s">
        <v>13</v>
      </c>
      <c r="D4415" s="3" t="s">
        <v>19</v>
      </c>
      <c r="E4415" s="5" t="s">
        <v>21</v>
      </c>
      <c r="F4415" s="17">
        <v>34.86</v>
      </c>
      <c r="G4415" s="3">
        <v>7</v>
      </c>
      <c r="H4415" s="17">
        <f>Table1[[#This Row],[Unit price]]*Table1[[#This Row],[Quantity]]</f>
        <v>244.01999999999998</v>
      </c>
      <c r="I4415" s="29">
        <f>Table1[[#This Row],[Total Revenue]]/$H$5056*100</f>
        <v>2.5889484198019837E-2</v>
      </c>
      <c r="J4415" s="3" t="s">
        <v>15</v>
      </c>
      <c r="K4415" s="4">
        <v>8.8000000000000007</v>
      </c>
      <c r="M4415"/>
    </row>
    <row r="4416" spans="1:13" x14ac:dyDescent="0.25">
      <c r="A4416" s="3" t="s">
        <v>219</v>
      </c>
      <c r="B4416" s="3" t="s">
        <v>243</v>
      </c>
      <c r="C4416" s="3" t="s">
        <v>9</v>
      </c>
      <c r="D4416" s="3" t="s">
        <v>19</v>
      </c>
      <c r="E4416" s="5" t="s">
        <v>11</v>
      </c>
      <c r="F4416" s="17">
        <v>3.85</v>
      </c>
      <c r="G4416" s="3">
        <v>3</v>
      </c>
      <c r="H4416" s="17">
        <f>Table1[[#This Row],[Unit price]]*Table1[[#This Row],[Quantity]]</f>
        <v>11.55</v>
      </c>
      <c r="I4416" s="29">
        <f>Table1[[#This Row],[Total Revenue]]/$H$5056*100</f>
        <v>1.2254058785637618E-3</v>
      </c>
      <c r="J4416" s="3" t="s">
        <v>15</v>
      </c>
      <c r="K4416" s="4">
        <v>4.7</v>
      </c>
      <c r="M4416"/>
    </row>
    <row r="4417" spans="1:13" x14ac:dyDescent="0.25">
      <c r="A4417" s="3" t="s">
        <v>220</v>
      </c>
      <c r="B4417" s="3" t="s">
        <v>244</v>
      </c>
      <c r="C4417" s="3" t="s">
        <v>13</v>
      </c>
      <c r="D4417" s="3" t="s">
        <v>19</v>
      </c>
      <c r="E4417" s="5" t="s">
        <v>11</v>
      </c>
      <c r="F4417" s="17">
        <v>8.1199999999999992</v>
      </c>
      <c r="G4417" s="3">
        <v>4</v>
      </c>
      <c r="H4417" s="17">
        <f>Table1[[#This Row],[Unit price]]*Table1[[#This Row],[Quantity]]</f>
        <v>32.479999999999997</v>
      </c>
      <c r="I4417" s="29">
        <f>Table1[[#This Row],[Total Revenue]]/$H$5056*100</f>
        <v>3.4459898645671843E-3</v>
      </c>
      <c r="J4417" s="3" t="s">
        <v>15</v>
      </c>
      <c r="K4417" s="4">
        <v>3.8</v>
      </c>
      <c r="M4417"/>
    </row>
    <row r="4418" spans="1:13" x14ac:dyDescent="0.25">
      <c r="A4418" s="3" t="s">
        <v>220</v>
      </c>
      <c r="B4418" s="3" t="s">
        <v>245</v>
      </c>
      <c r="C4418" s="3" t="s">
        <v>13</v>
      </c>
      <c r="D4418" s="3" t="s">
        <v>10</v>
      </c>
      <c r="E4418" s="5" t="s">
        <v>21</v>
      </c>
      <c r="F4418" s="17">
        <v>17.850000000000001</v>
      </c>
      <c r="G4418" s="3">
        <v>4</v>
      </c>
      <c r="H4418" s="17">
        <f>Table1[[#This Row],[Unit price]]*Table1[[#This Row],[Quantity]]</f>
        <v>71.400000000000006</v>
      </c>
      <c r="I4418" s="29">
        <f>Table1[[#This Row],[Total Revenue]]/$H$5056*100</f>
        <v>7.5752363402123461E-3</v>
      </c>
      <c r="J4418" s="3" t="s">
        <v>17</v>
      </c>
      <c r="K4418" s="4">
        <v>9.5</v>
      </c>
      <c r="M4418"/>
    </row>
    <row r="4419" spans="1:13" x14ac:dyDescent="0.25">
      <c r="A4419" s="3" t="s">
        <v>220</v>
      </c>
      <c r="B4419" s="3" t="s">
        <v>245</v>
      </c>
      <c r="C4419" s="3" t="s">
        <v>9</v>
      </c>
      <c r="D4419" s="3" t="s">
        <v>10</v>
      </c>
      <c r="E4419" s="5" t="s">
        <v>16</v>
      </c>
      <c r="F4419" s="17">
        <v>66.09</v>
      </c>
      <c r="G4419" s="3">
        <v>7</v>
      </c>
      <c r="H4419" s="17">
        <f>Table1[[#This Row],[Unit price]]*Table1[[#This Row],[Quantity]]</f>
        <v>462.63</v>
      </c>
      <c r="I4419" s="29">
        <f>Table1[[#This Row],[Total Revenue]]/$H$5056*100</f>
        <v>4.9083075463199399E-2</v>
      </c>
      <c r="J4419" s="3" t="s">
        <v>15</v>
      </c>
      <c r="K4419" s="4">
        <v>8.6</v>
      </c>
      <c r="M4419"/>
    </row>
    <row r="4420" spans="1:13" x14ac:dyDescent="0.25">
      <c r="A4420" s="3" t="s">
        <v>220</v>
      </c>
      <c r="B4420" s="3" t="s">
        <v>243</v>
      </c>
      <c r="C4420" s="3" t="s">
        <v>9</v>
      </c>
      <c r="D4420" s="3" t="s">
        <v>10</v>
      </c>
      <c r="E4420" s="5" t="s">
        <v>11</v>
      </c>
      <c r="F4420" s="17">
        <v>13.46</v>
      </c>
      <c r="G4420" s="3">
        <v>4</v>
      </c>
      <c r="H4420" s="17">
        <f>Table1[[#This Row],[Unit price]]*Table1[[#This Row],[Quantity]]</f>
        <v>53.84</v>
      </c>
      <c r="I4420" s="29">
        <f>Table1[[#This Row],[Total Revenue]]/$H$5056*100</f>
        <v>5.7121950218071808E-3</v>
      </c>
      <c r="J4420" s="3" t="s">
        <v>17</v>
      </c>
      <c r="K4420" s="4">
        <v>3</v>
      </c>
      <c r="M4420"/>
    </row>
    <row r="4421" spans="1:13" x14ac:dyDescent="0.25">
      <c r="A4421" s="3" t="s">
        <v>220</v>
      </c>
      <c r="B4421" s="3" t="s">
        <v>245</v>
      </c>
      <c r="C4421" s="3" t="s">
        <v>13</v>
      </c>
      <c r="D4421" s="3" t="s">
        <v>19</v>
      </c>
      <c r="E4421" s="5" t="s">
        <v>11</v>
      </c>
      <c r="F4421" s="17">
        <v>9.65</v>
      </c>
      <c r="G4421" s="3">
        <v>10</v>
      </c>
      <c r="H4421" s="17">
        <f>Table1[[#This Row],[Unit price]]*Table1[[#This Row],[Quantity]]</f>
        <v>96.5</v>
      </c>
      <c r="I4421" s="29">
        <f>Table1[[#This Row],[Total Revenue]]/$H$5056*100</f>
        <v>1.0238239591463463E-2</v>
      </c>
      <c r="J4421" s="3" t="s">
        <v>17</v>
      </c>
      <c r="K4421" s="4">
        <v>3.6</v>
      </c>
      <c r="M4421"/>
    </row>
    <row r="4422" spans="1:13" x14ac:dyDescent="0.25">
      <c r="A4422" s="3" t="s">
        <v>220</v>
      </c>
      <c r="B4422" s="3" t="s">
        <v>243</v>
      </c>
      <c r="C4422" s="3" t="s">
        <v>13</v>
      </c>
      <c r="D4422" s="3" t="s">
        <v>10</v>
      </c>
      <c r="E4422" s="5" t="s">
        <v>11</v>
      </c>
      <c r="F4422" s="17">
        <v>8.82</v>
      </c>
      <c r="G4422" s="3">
        <v>10</v>
      </c>
      <c r="H4422" s="17">
        <f>Table1[[#This Row],[Unit price]]*Table1[[#This Row],[Quantity]]</f>
        <v>88.2</v>
      </c>
      <c r="I4422" s="29">
        <f>Table1[[#This Row],[Total Revenue]]/$H$5056*100</f>
        <v>9.3576448908505444E-3</v>
      </c>
      <c r="J4422" s="3" t="s">
        <v>12</v>
      </c>
      <c r="K4422" s="4">
        <v>6.4</v>
      </c>
      <c r="M4422"/>
    </row>
    <row r="4423" spans="1:13" x14ac:dyDescent="0.25">
      <c r="A4423" s="3" t="s">
        <v>220</v>
      </c>
      <c r="B4423" s="3" t="s">
        <v>245</v>
      </c>
      <c r="C4423" s="3" t="s">
        <v>9</v>
      </c>
      <c r="D4423" s="3" t="s">
        <v>19</v>
      </c>
      <c r="E4423" s="5" t="s">
        <v>11</v>
      </c>
      <c r="F4423" s="17">
        <v>9.86</v>
      </c>
      <c r="G4423" s="3">
        <v>3</v>
      </c>
      <c r="H4423" s="17">
        <f>Table1[[#This Row],[Unit price]]*Table1[[#This Row],[Quantity]]</f>
        <v>29.58</v>
      </c>
      <c r="I4423" s="29">
        <f>Table1[[#This Row],[Total Revenue]]/$H$5056*100</f>
        <v>3.1383121980879717E-3</v>
      </c>
      <c r="J4423" s="3" t="s">
        <v>17</v>
      </c>
      <c r="K4423" s="4">
        <v>3.6</v>
      </c>
      <c r="M4423"/>
    </row>
    <row r="4424" spans="1:13" x14ac:dyDescent="0.25">
      <c r="A4424" s="3" t="s">
        <v>220</v>
      </c>
      <c r="B4424" s="3" t="s">
        <v>244</v>
      </c>
      <c r="C4424" s="3" t="s">
        <v>9</v>
      </c>
      <c r="D4424" s="3" t="s">
        <v>10</v>
      </c>
      <c r="E4424" s="5" t="s">
        <v>20</v>
      </c>
      <c r="F4424" s="17">
        <v>56.38</v>
      </c>
      <c r="G4424" s="3">
        <v>4</v>
      </c>
      <c r="H4424" s="17">
        <f>Table1[[#This Row],[Unit price]]*Table1[[#This Row],[Quantity]]</f>
        <v>225.52</v>
      </c>
      <c r="I4424" s="29">
        <f>Table1[[#This Row],[Total Revenue]]/$H$5056*100</f>
        <v>2.3926712877376587E-2</v>
      </c>
      <c r="J4424" s="3" t="s">
        <v>17</v>
      </c>
      <c r="K4424" s="4">
        <v>3.5</v>
      </c>
      <c r="M4424"/>
    </row>
    <row r="4425" spans="1:13" x14ac:dyDescent="0.25">
      <c r="A4425" s="3" t="s">
        <v>220</v>
      </c>
      <c r="B4425" s="3" t="s">
        <v>244</v>
      </c>
      <c r="C4425" s="3" t="s">
        <v>13</v>
      </c>
      <c r="D4425" s="3" t="s">
        <v>10</v>
      </c>
      <c r="E4425" s="5" t="s">
        <v>16</v>
      </c>
      <c r="F4425" s="17">
        <v>68.63</v>
      </c>
      <c r="G4425" s="3">
        <v>2</v>
      </c>
      <c r="H4425" s="17">
        <f>Table1[[#This Row],[Unit price]]*Table1[[#This Row],[Quantity]]</f>
        <v>137.26</v>
      </c>
      <c r="I4425" s="29">
        <f>Table1[[#This Row],[Total Revenue]]/$H$5056*100</f>
        <v>1.4562702241702332E-2</v>
      </c>
      <c r="J4425" s="3" t="s">
        <v>15</v>
      </c>
      <c r="K4425" s="4">
        <v>3.3</v>
      </c>
      <c r="M4425"/>
    </row>
    <row r="4426" spans="1:13" x14ac:dyDescent="0.25">
      <c r="A4426" s="3" t="s">
        <v>220</v>
      </c>
      <c r="B4426" s="3" t="s">
        <v>245</v>
      </c>
      <c r="C4426" s="3" t="s">
        <v>9</v>
      </c>
      <c r="D4426" s="3" t="s">
        <v>10</v>
      </c>
      <c r="E4426" s="5" t="s">
        <v>20</v>
      </c>
      <c r="F4426" s="17">
        <v>52.94</v>
      </c>
      <c r="G4426" s="3">
        <v>5</v>
      </c>
      <c r="H4426" s="17">
        <f>Table1[[#This Row],[Unit price]]*Table1[[#This Row],[Quantity]]</f>
        <v>264.7</v>
      </c>
      <c r="I4426" s="29">
        <f>Table1[[#This Row],[Total Revenue]]/$H$5056*100</f>
        <v>2.808354424725781E-2</v>
      </c>
      <c r="J4426" s="3" t="s">
        <v>15</v>
      </c>
      <c r="K4426" s="4">
        <v>6.4</v>
      </c>
      <c r="M4426"/>
    </row>
    <row r="4427" spans="1:13" x14ac:dyDescent="0.25">
      <c r="A4427" s="3" t="s">
        <v>220</v>
      </c>
      <c r="B4427" s="3" t="s">
        <v>245</v>
      </c>
      <c r="C4427" s="3" t="s">
        <v>13</v>
      </c>
      <c r="D4427" s="3" t="s">
        <v>19</v>
      </c>
      <c r="E4427" s="5" t="s">
        <v>14</v>
      </c>
      <c r="F4427" s="17">
        <v>92.65</v>
      </c>
      <c r="G4427" s="3">
        <v>2</v>
      </c>
      <c r="H4427" s="17">
        <f>Table1[[#This Row],[Unit price]]*Table1[[#This Row],[Quantity]]</f>
        <v>185.3</v>
      </c>
      <c r="I4427" s="29">
        <f>Table1[[#This Row],[Total Revenue]]/$H$5056*100</f>
        <v>1.9659541930551087E-2</v>
      </c>
      <c r="J4427" s="3" t="s">
        <v>12</v>
      </c>
      <c r="K4427" s="4">
        <v>6.8</v>
      </c>
      <c r="M4427"/>
    </row>
    <row r="4428" spans="1:13" x14ac:dyDescent="0.25">
      <c r="A4428" s="3" t="s">
        <v>220</v>
      </c>
      <c r="B4428" s="3" t="s">
        <v>245</v>
      </c>
      <c r="C4428" s="3" t="s">
        <v>9</v>
      </c>
      <c r="D4428" s="3" t="s">
        <v>10</v>
      </c>
      <c r="E4428" s="5" t="s">
        <v>11</v>
      </c>
      <c r="F4428" s="17">
        <v>2.4</v>
      </c>
      <c r="G4428" s="3">
        <v>5</v>
      </c>
      <c r="H4428" s="17">
        <f>Table1[[#This Row],[Unit price]]*Table1[[#This Row],[Quantity]]</f>
        <v>12</v>
      </c>
      <c r="I4428" s="29">
        <f>Table1[[#This Row],[Total Revenue]]/$H$5056*100</f>
        <v>1.2731489647415707E-3</v>
      </c>
      <c r="J4428" s="3" t="s">
        <v>17</v>
      </c>
      <c r="K4428" s="4">
        <v>5</v>
      </c>
      <c r="M4428"/>
    </row>
    <row r="4429" spans="1:13" x14ac:dyDescent="0.25">
      <c r="A4429" s="3" t="s">
        <v>220</v>
      </c>
      <c r="B4429" s="3" t="s">
        <v>243</v>
      </c>
      <c r="C4429" s="3" t="s">
        <v>13</v>
      </c>
      <c r="D4429" s="3" t="s">
        <v>10</v>
      </c>
      <c r="E4429" s="5" t="s">
        <v>11</v>
      </c>
      <c r="F4429" s="17">
        <v>2.79</v>
      </c>
      <c r="G4429" s="3">
        <v>10</v>
      </c>
      <c r="H4429" s="17">
        <f>Table1[[#This Row],[Unit price]]*Table1[[#This Row],[Quantity]]</f>
        <v>27.9</v>
      </c>
      <c r="I4429" s="29">
        <f>Table1[[#This Row],[Total Revenue]]/$H$5056*100</f>
        <v>2.9600713430241515E-3</v>
      </c>
      <c r="J4429" s="3" t="s">
        <v>17</v>
      </c>
      <c r="K4429" s="4">
        <v>3.9</v>
      </c>
      <c r="M4429"/>
    </row>
    <row r="4430" spans="1:13" x14ac:dyDescent="0.25">
      <c r="A4430" s="3" t="s">
        <v>220</v>
      </c>
      <c r="B4430" s="3" t="s">
        <v>244</v>
      </c>
      <c r="C4430" s="3" t="s">
        <v>9</v>
      </c>
      <c r="D4430" s="3" t="s">
        <v>19</v>
      </c>
      <c r="E4430" s="5" t="s">
        <v>18</v>
      </c>
      <c r="F4430" s="17">
        <v>9.9600000000000009</v>
      </c>
      <c r="G4430" s="3">
        <v>10</v>
      </c>
      <c r="H4430" s="17">
        <f>Table1[[#This Row],[Unit price]]*Table1[[#This Row],[Quantity]]</f>
        <v>99.600000000000009</v>
      </c>
      <c r="I4430" s="29">
        <f>Table1[[#This Row],[Total Revenue]]/$H$5056*100</f>
        <v>1.0567136407355036E-2</v>
      </c>
      <c r="J4430" s="3" t="s">
        <v>12</v>
      </c>
      <c r="K4430" s="4">
        <v>5.7</v>
      </c>
      <c r="M4430"/>
    </row>
    <row r="4431" spans="1:13" x14ac:dyDescent="0.25">
      <c r="A4431" s="3" t="s">
        <v>220</v>
      </c>
      <c r="B4431" s="3" t="s">
        <v>244</v>
      </c>
      <c r="C4431" s="3" t="s">
        <v>9</v>
      </c>
      <c r="D4431" s="3" t="s">
        <v>10</v>
      </c>
      <c r="E4431" s="5" t="s">
        <v>20</v>
      </c>
      <c r="F4431" s="17">
        <v>49.95</v>
      </c>
      <c r="G4431" s="3">
        <v>6</v>
      </c>
      <c r="H4431" s="17">
        <f>Table1[[#This Row],[Unit price]]*Table1[[#This Row],[Quantity]]</f>
        <v>299.70000000000005</v>
      </c>
      <c r="I4431" s="29">
        <f>Table1[[#This Row],[Total Revenue]]/$H$5056*100</f>
        <v>3.1796895394420731E-2</v>
      </c>
      <c r="J4431" s="3" t="s">
        <v>15</v>
      </c>
      <c r="K4431" s="4">
        <v>6.2</v>
      </c>
      <c r="M4431"/>
    </row>
    <row r="4432" spans="1:13" x14ac:dyDescent="0.25">
      <c r="A4432" s="3" t="s">
        <v>220</v>
      </c>
      <c r="B4432" s="3" t="s">
        <v>245</v>
      </c>
      <c r="C4432" s="3" t="s">
        <v>13</v>
      </c>
      <c r="D4432" s="3" t="s">
        <v>10</v>
      </c>
      <c r="E4432" s="5" t="s">
        <v>11</v>
      </c>
      <c r="F4432" s="17">
        <v>2.12</v>
      </c>
      <c r="G4432" s="3">
        <v>6</v>
      </c>
      <c r="H4432" s="17">
        <f>Table1[[#This Row],[Unit price]]*Table1[[#This Row],[Quantity]]</f>
        <v>12.72</v>
      </c>
      <c r="I4432" s="29">
        <f>Table1[[#This Row],[Total Revenue]]/$H$5056*100</f>
        <v>1.3495379026260649E-3</v>
      </c>
      <c r="J4432" s="3" t="s">
        <v>12</v>
      </c>
      <c r="K4432" s="4">
        <v>3.3</v>
      </c>
      <c r="M4432"/>
    </row>
    <row r="4433" spans="1:13" x14ac:dyDescent="0.25">
      <c r="A4433" s="3" t="s">
        <v>220</v>
      </c>
      <c r="B4433" s="3" t="s">
        <v>245</v>
      </c>
      <c r="C4433" s="3" t="s">
        <v>9</v>
      </c>
      <c r="D4433" s="3" t="s">
        <v>19</v>
      </c>
      <c r="E4433" s="5" t="s">
        <v>14</v>
      </c>
      <c r="F4433" s="17">
        <v>94.87</v>
      </c>
      <c r="G4433" s="3">
        <v>10</v>
      </c>
      <c r="H4433" s="17">
        <f>Table1[[#This Row],[Unit price]]*Table1[[#This Row],[Quantity]]</f>
        <v>948.7</v>
      </c>
      <c r="I4433" s="29">
        <f>Table1[[#This Row],[Total Revenue]]/$H$5056*100</f>
        <v>0.10065303523752736</v>
      </c>
      <c r="J4433" s="3" t="s">
        <v>12</v>
      </c>
      <c r="K4433" s="4">
        <v>6.5</v>
      </c>
      <c r="M4433"/>
    </row>
    <row r="4434" spans="1:13" x14ac:dyDescent="0.25">
      <c r="A4434" s="3" t="s">
        <v>220</v>
      </c>
      <c r="B4434" s="3" t="s">
        <v>243</v>
      </c>
      <c r="C4434" s="3" t="s">
        <v>13</v>
      </c>
      <c r="D4434" s="3" t="s">
        <v>19</v>
      </c>
      <c r="E4434" s="5" t="s">
        <v>18</v>
      </c>
      <c r="F4434" s="17">
        <v>11.1</v>
      </c>
      <c r="G4434" s="3">
        <v>2</v>
      </c>
      <c r="H4434" s="17">
        <f>Table1[[#This Row],[Unit price]]*Table1[[#This Row],[Quantity]]</f>
        <v>22.2</v>
      </c>
      <c r="I4434" s="29">
        <f>Table1[[#This Row],[Total Revenue]]/$H$5056*100</f>
        <v>2.3553255847719055E-3</v>
      </c>
      <c r="J4434" s="3" t="s">
        <v>15</v>
      </c>
      <c r="K4434" s="4">
        <v>8.8000000000000007</v>
      </c>
      <c r="M4434"/>
    </row>
    <row r="4435" spans="1:13" x14ac:dyDescent="0.25">
      <c r="A4435" s="3" t="s">
        <v>220</v>
      </c>
      <c r="B4435" s="3" t="s">
        <v>244</v>
      </c>
      <c r="C4435" s="3" t="s">
        <v>13</v>
      </c>
      <c r="D4435" s="3" t="s">
        <v>10</v>
      </c>
      <c r="E4435" s="5" t="s">
        <v>21</v>
      </c>
      <c r="F4435" s="17">
        <v>19.03</v>
      </c>
      <c r="G4435" s="3">
        <v>9</v>
      </c>
      <c r="H4435" s="17">
        <f>Table1[[#This Row],[Unit price]]*Table1[[#This Row],[Quantity]]</f>
        <v>171.27</v>
      </c>
      <c r="I4435" s="29">
        <f>Table1[[#This Row],[Total Revenue]]/$H$5056*100</f>
        <v>1.8171018599274068E-2</v>
      </c>
      <c r="J4435" s="3" t="s">
        <v>17</v>
      </c>
      <c r="K4435" s="4">
        <v>5.6</v>
      </c>
      <c r="M4435"/>
    </row>
    <row r="4436" spans="1:13" x14ac:dyDescent="0.25">
      <c r="A4436" s="3" t="s">
        <v>221</v>
      </c>
      <c r="B4436" s="3" t="s">
        <v>244</v>
      </c>
      <c r="C4436" s="3" t="s">
        <v>13</v>
      </c>
      <c r="D4436" s="3" t="s">
        <v>10</v>
      </c>
      <c r="E4436" s="5" t="s">
        <v>18</v>
      </c>
      <c r="F4436" s="17">
        <v>13.11</v>
      </c>
      <c r="G4436" s="3">
        <v>5</v>
      </c>
      <c r="H4436" s="17">
        <f>Table1[[#This Row],[Unit price]]*Table1[[#This Row],[Quantity]]</f>
        <v>65.55</v>
      </c>
      <c r="I4436" s="29">
        <f>Table1[[#This Row],[Total Revenue]]/$H$5056*100</f>
        <v>6.954576219900829E-3</v>
      </c>
      <c r="J4436" s="3" t="s">
        <v>17</v>
      </c>
      <c r="K4436" s="4">
        <v>8.5</v>
      </c>
      <c r="M4436"/>
    </row>
    <row r="4437" spans="1:13" x14ac:dyDescent="0.25">
      <c r="A4437" s="3" t="s">
        <v>221</v>
      </c>
      <c r="B4437" s="3" t="s">
        <v>245</v>
      </c>
      <c r="C4437" s="3" t="s">
        <v>13</v>
      </c>
      <c r="D4437" s="3" t="s">
        <v>10</v>
      </c>
      <c r="E4437" s="5" t="s">
        <v>16</v>
      </c>
      <c r="F4437" s="17">
        <v>66.739999999999995</v>
      </c>
      <c r="G4437" s="3">
        <v>8</v>
      </c>
      <c r="H4437" s="17">
        <f>Table1[[#This Row],[Unit price]]*Table1[[#This Row],[Quantity]]</f>
        <v>533.91999999999996</v>
      </c>
      <c r="I4437" s="29">
        <f>Table1[[#This Row],[Total Revenue]]/$H$5056*100</f>
        <v>5.6646641271234949E-2</v>
      </c>
      <c r="J4437" s="3" t="s">
        <v>17</v>
      </c>
      <c r="K4437" s="4">
        <v>3.6</v>
      </c>
      <c r="M4437"/>
    </row>
    <row r="4438" spans="1:13" x14ac:dyDescent="0.25">
      <c r="A4438" s="3" t="s">
        <v>221</v>
      </c>
      <c r="B4438" s="3" t="s">
        <v>245</v>
      </c>
      <c r="C4438" s="3" t="s">
        <v>9</v>
      </c>
      <c r="D4438" s="3" t="s">
        <v>10</v>
      </c>
      <c r="E4438" s="5" t="s">
        <v>18</v>
      </c>
      <c r="F4438" s="17">
        <v>23.79</v>
      </c>
      <c r="G4438" s="3">
        <v>1</v>
      </c>
      <c r="H4438" s="17">
        <f>Table1[[#This Row],[Unit price]]*Table1[[#This Row],[Quantity]]</f>
        <v>23.79</v>
      </c>
      <c r="I4438" s="29">
        <f>Table1[[#This Row],[Total Revenue]]/$H$5056*100</f>
        <v>2.5240178226001637E-3</v>
      </c>
      <c r="J4438" s="3" t="s">
        <v>12</v>
      </c>
      <c r="K4438" s="4">
        <v>8.6999999999999993</v>
      </c>
      <c r="M4438"/>
    </row>
    <row r="4439" spans="1:13" x14ac:dyDescent="0.25">
      <c r="A4439" s="3" t="s">
        <v>221</v>
      </c>
      <c r="B4439" s="3" t="s">
        <v>244</v>
      </c>
      <c r="C4439" s="3" t="s">
        <v>9</v>
      </c>
      <c r="D4439" s="3" t="s">
        <v>19</v>
      </c>
      <c r="E4439" s="5" t="s">
        <v>20</v>
      </c>
      <c r="F4439" s="17">
        <v>47.51</v>
      </c>
      <c r="G4439" s="3">
        <v>8</v>
      </c>
      <c r="H4439" s="17">
        <f>Table1[[#This Row],[Unit price]]*Table1[[#This Row],[Quantity]]</f>
        <v>380.08</v>
      </c>
      <c r="I4439" s="29">
        <f>Table1[[#This Row],[Total Revenue]]/$H$5056*100</f>
        <v>4.0324871543248014E-2</v>
      </c>
      <c r="J4439" s="3" t="s">
        <v>12</v>
      </c>
      <c r="K4439" s="4">
        <v>4.4000000000000004</v>
      </c>
      <c r="M4439"/>
    </row>
    <row r="4440" spans="1:13" x14ac:dyDescent="0.25">
      <c r="A4440" s="3" t="s">
        <v>221</v>
      </c>
      <c r="B4440" s="3" t="s">
        <v>243</v>
      </c>
      <c r="C4440" s="3" t="s">
        <v>13</v>
      </c>
      <c r="D4440" s="3" t="s">
        <v>10</v>
      </c>
      <c r="E4440" s="5" t="s">
        <v>16</v>
      </c>
      <c r="F4440" s="17">
        <v>58.42</v>
      </c>
      <c r="G4440" s="3">
        <v>1</v>
      </c>
      <c r="H4440" s="17">
        <f>Table1[[#This Row],[Unit price]]*Table1[[#This Row],[Quantity]]</f>
        <v>58.42</v>
      </c>
      <c r="I4440" s="29">
        <f>Table1[[#This Row],[Total Revenue]]/$H$5056*100</f>
        <v>6.1981135433502128E-3</v>
      </c>
      <c r="J4440" s="3" t="s">
        <v>12</v>
      </c>
      <c r="K4440" s="4">
        <v>4.7</v>
      </c>
      <c r="M4440"/>
    </row>
    <row r="4441" spans="1:13" x14ac:dyDescent="0.25">
      <c r="A4441" s="3" t="s">
        <v>221</v>
      </c>
      <c r="B4441" s="3" t="s">
        <v>245</v>
      </c>
      <c r="C4441" s="3" t="s">
        <v>13</v>
      </c>
      <c r="D4441" s="3" t="s">
        <v>10</v>
      </c>
      <c r="E4441" s="5" t="s">
        <v>20</v>
      </c>
      <c r="F4441" s="17">
        <v>51.39</v>
      </c>
      <c r="G4441" s="3">
        <v>9</v>
      </c>
      <c r="H4441" s="17">
        <f>Table1[[#This Row],[Unit price]]*Table1[[#This Row],[Quantity]]</f>
        <v>462.51</v>
      </c>
      <c r="I4441" s="29">
        <f>Table1[[#This Row],[Total Revenue]]/$H$5056*100</f>
        <v>4.9070343973551991E-2</v>
      </c>
      <c r="J4441" s="3" t="s">
        <v>15</v>
      </c>
      <c r="K4441" s="4">
        <v>9</v>
      </c>
      <c r="M4441"/>
    </row>
    <row r="4442" spans="1:13" x14ac:dyDescent="0.25">
      <c r="A4442" s="3" t="s">
        <v>221</v>
      </c>
      <c r="B4442" s="3" t="s">
        <v>245</v>
      </c>
      <c r="C4442" s="3" t="s">
        <v>9</v>
      </c>
      <c r="D4442" s="3" t="s">
        <v>19</v>
      </c>
      <c r="E4442" s="5" t="s">
        <v>21</v>
      </c>
      <c r="F4442" s="17">
        <v>33.82</v>
      </c>
      <c r="G4442" s="3">
        <v>5</v>
      </c>
      <c r="H4442" s="17">
        <f>Table1[[#This Row],[Unit price]]*Table1[[#This Row],[Quantity]]</f>
        <v>169.1</v>
      </c>
      <c r="I4442" s="29">
        <f>Table1[[#This Row],[Total Revenue]]/$H$5056*100</f>
        <v>1.7940790828149967E-2</v>
      </c>
      <c r="J4442" s="3" t="s">
        <v>12</v>
      </c>
      <c r="K4442" s="4">
        <v>5</v>
      </c>
      <c r="M4442"/>
    </row>
    <row r="4443" spans="1:13" x14ac:dyDescent="0.25">
      <c r="A4443" s="3" t="s">
        <v>221</v>
      </c>
      <c r="B4443" s="3" t="s">
        <v>244</v>
      </c>
      <c r="C4443" s="3" t="s">
        <v>9</v>
      </c>
      <c r="D4443" s="3" t="s">
        <v>19</v>
      </c>
      <c r="E4443" s="5" t="s">
        <v>16</v>
      </c>
      <c r="F4443" s="17">
        <v>61</v>
      </c>
      <c r="G4443" s="3">
        <v>2</v>
      </c>
      <c r="H4443" s="17">
        <f>Table1[[#This Row],[Unit price]]*Table1[[#This Row],[Quantity]]</f>
        <v>122</v>
      </c>
      <c r="I4443" s="29">
        <f>Table1[[#This Row],[Total Revenue]]/$H$5056*100</f>
        <v>1.2943681141539301E-2</v>
      </c>
      <c r="J4443" s="3" t="s">
        <v>15</v>
      </c>
      <c r="K4443" s="4">
        <v>5.9</v>
      </c>
      <c r="M4443"/>
    </row>
    <row r="4444" spans="1:13" x14ac:dyDescent="0.25">
      <c r="A4444" s="3" t="s">
        <v>221</v>
      </c>
      <c r="B4444" s="3" t="s">
        <v>244</v>
      </c>
      <c r="C4444" s="3" t="s">
        <v>13</v>
      </c>
      <c r="D4444" s="3" t="s">
        <v>19</v>
      </c>
      <c r="E4444" s="5" t="s">
        <v>14</v>
      </c>
      <c r="F4444" s="17">
        <v>87.11</v>
      </c>
      <c r="G4444" s="3">
        <v>9</v>
      </c>
      <c r="H4444" s="17">
        <f>Table1[[#This Row],[Unit price]]*Table1[[#This Row],[Quantity]]</f>
        <v>783.99</v>
      </c>
      <c r="I4444" s="29">
        <f>Table1[[#This Row],[Total Revenue]]/$H$5056*100</f>
        <v>8.3178004738978656E-2</v>
      </c>
      <c r="J4444" s="3" t="s">
        <v>15</v>
      </c>
      <c r="K4444" s="4">
        <v>6.3</v>
      </c>
      <c r="M4444"/>
    </row>
    <row r="4445" spans="1:13" x14ac:dyDescent="0.25">
      <c r="A4445" s="3" t="s">
        <v>221</v>
      </c>
      <c r="B4445" s="3" t="s">
        <v>244</v>
      </c>
      <c r="C4445" s="3" t="s">
        <v>13</v>
      </c>
      <c r="D4445" s="3" t="s">
        <v>10</v>
      </c>
      <c r="E4445" s="5" t="s">
        <v>20</v>
      </c>
      <c r="F4445" s="17">
        <v>46.74</v>
      </c>
      <c r="G4445" s="3">
        <v>8</v>
      </c>
      <c r="H4445" s="17">
        <f>Table1[[#This Row],[Unit price]]*Table1[[#This Row],[Quantity]]</f>
        <v>373.92</v>
      </c>
      <c r="I4445" s="29">
        <f>Table1[[#This Row],[Total Revenue]]/$H$5056*100</f>
        <v>3.967132174134734E-2</v>
      </c>
      <c r="J4445" s="3" t="s">
        <v>17</v>
      </c>
      <c r="K4445" s="4">
        <v>7.1</v>
      </c>
      <c r="M4445"/>
    </row>
    <row r="4446" spans="1:13" x14ac:dyDescent="0.25">
      <c r="A4446" s="3" t="s">
        <v>221</v>
      </c>
      <c r="B4446" s="3" t="s">
        <v>245</v>
      </c>
      <c r="C4446" s="3" t="s">
        <v>13</v>
      </c>
      <c r="D4446" s="3" t="s">
        <v>10</v>
      </c>
      <c r="E4446" s="5" t="s">
        <v>11</v>
      </c>
      <c r="F4446" s="17">
        <v>8.3000000000000007</v>
      </c>
      <c r="G4446" s="3">
        <v>2</v>
      </c>
      <c r="H4446" s="17">
        <f>Table1[[#This Row],[Unit price]]*Table1[[#This Row],[Quantity]]</f>
        <v>16.600000000000001</v>
      </c>
      <c r="I4446" s="29">
        <f>Table1[[#This Row],[Total Revenue]]/$H$5056*100</f>
        <v>1.7611894012258397E-3</v>
      </c>
      <c r="J4446" s="3" t="s">
        <v>17</v>
      </c>
      <c r="K4446" s="4">
        <v>6.3</v>
      </c>
      <c r="M4446"/>
    </row>
    <row r="4447" spans="1:13" x14ac:dyDescent="0.25">
      <c r="A4447" s="3" t="s">
        <v>222</v>
      </c>
      <c r="B4447" s="3" t="s">
        <v>244</v>
      </c>
      <c r="C4447" s="3" t="s">
        <v>13</v>
      </c>
      <c r="D4447" s="3" t="s">
        <v>10</v>
      </c>
      <c r="E4447" s="5" t="s">
        <v>21</v>
      </c>
      <c r="F4447" s="17">
        <v>34.5</v>
      </c>
      <c r="G4447" s="3">
        <v>2</v>
      </c>
      <c r="H4447" s="17">
        <f>Table1[[#This Row],[Unit price]]*Table1[[#This Row],[Quantity]]</f>
        <v>69</v>
      </c>
      <c r="I4447" s="29">
        <f>Table1[[#This Row],[Total Revenue]]/$H$5056*100</f>
        <v>7.3206065472640304E-3</v>
      </c>
      <c r="J4447" s="3" t="s">
        <v>12</v>
      </c>
      <c r="K4447" s="4">
        <v>8.1</v>
      </c>
      <c r="M4447"/>
    </row>
    <row r="4448" spans="1:13" x14ac:dyDescent="0.25">
      <c r="A4448" s="3" t="s">
        <v>222</v>
      </c>
      <c r="B4448" s="3" t="s">
        <v>243</v>
      </c>
      <c r="C4448" s="3" t="s">
        <v>9</v>
      </c>
      <c r="D4448" s="3" t="s">
        <v>19</v>
      </c>
      <c r="E4448" s="5" t="s">
        <v>16</v>
      </c>
      <c r="F4448" s="17">
        <v>59.35</v>
      </c>
      <c r="G4448" s="3">
        <v>5</v>
      </c>
      <c r="H4448" s="17">
        <f>Table1[[#This Row],[Unit price]]*Table1[[#This Row],[Quantity]]</f>
        <v>296.75</v>
      </c>
      <c r="I4448" s="29">
        <f>Table1[[#This Row],[Total Revenue]]/$H$5056*100</f>
        <v>3.1483912940588422E-2</v>
      </c>
      <c r="J4448" s="3" t="s">
        <v>17</v>
      </c>
      <c r="K4448" s="4">
        <v>4</v>
      </c>
      <c r="M4448"/>
    </row>
    <row r="4449" spans="1:13" x14ac:dyDescent="0.25">
      <c r="A4449" s="3" t="s">
        <v>222</v>
      </c>
      <c r="B4449" s="3" t="s">
        <v>245</v>
      </c>
      <c r="C4449" s="3" t="s">
        <v>13</v>
      </c>
      <c r="D4449" s="3" t="s">
        <v>19</v>
      </c>
      <c r="E4449" s="5" t="s">
        <v>21</v>
      </c>
      <c r="F4449" s="17">
        <v>36.46</v>
      </c>
      <c r="G4449" s="3">
        <v>8</v>
      </c>
      <c r="H4449" s="17">
        <f>Table1[[#This Row],[Unit price]]*Table1[[#This Row],[Quantity]]</f>
        <v>291.68</v>
      </c>
      <c r="I4449" s="29">
        <f>Table1[[#This Row],[Total Revenue]]/$H$5056*100</f>
        <v>3.0946007502985109E-2</v>
      </c>
      <c r="J4449" s="3" t="s">
        <v>17</v>
      </c>
      <c r="K4449" s="4">
        <v>5.5</v>
      </c>
      <c r="M4449"/>
    </row>
    <row r="4450" spans="1:13" x14ac:dyDescent="0.25">
      <c r="A4450" s="3" t="s">
        <v>222</v>
      </c>
      <c r="B4450" s="3" t="s">
        <v>243</v>
      </c>
      <c r="C4450" s="3" t="s">
        <v>9</v>
      </c>
      <c r="D4450" s="3" t="s">
        <v>19</v>
      </c>
      <c r="E4450" s="5" t="s">
        <v>21</v>
      </c>
      <c r="F4450" s="17">
        <v>31.63</v>
      </c>
      <c r="G4450" s="3">
        <v>3</v>
      </c>
      <c r="H4450" s="17">
        <f>Table1[[#This Row],[Unit price]]*Table1[[#This Row],[Quantity]]</f>
        <v>94.89</v>
      </c>
      <c r="I4450" s="29">
        <f>Table1[[#This Row],[Total Revenue]]/$H$5056*100</f>
        <v>1.006742543869397E-2</v>
      </c>
      <c r="J4450" s="3" t="s">
        <v>12</v>
      </c>
      <c r="K4450" s="4">
        <v>6.6</v>
      </c>
      <c r="M4450"/>
    </row>
    <row r="4451" spans="1:13" x14ac:dyDescent="0.25">
      <c r="A4451" s="3" t="s">
        <v>222</v>
      </c>
      <c r="B4451" s="3" t="s">
        <v>243</v>
      </c>
      <c r="C4451" s="3" t="s">
        <v>9</v>
      </c>
      <c r="D4451" s="3" t="s">
        <v>19</v>
      </c>
      <c r="E4451" s="5" t="s">
        <v>16</v>
      </c>
      <c r="F4451" s="17">
        <v>78.41</v>
      </c>
      <c r="G4451" s="3">
        <v>2</v>
      </c>
      <c r="H4451" s="17">
        <f>Table1[[#This Row],[Unit price]]*Table1[[#This Row],[Quantity]]</f>
        <v>156.82</v>
      </c>
      <c r="I4451" s="29">
        <f>Table1[[#This Row],[Total Revenue]]/$H$5056*100</f>
        <v>1.6637935054231091E-2</v>
      </c>
      <c r="J4451" s="3" t="s">
        <v>17</v>
      </c>
      <c r="K4451" s="4">
        <v>7.4</v>
      </c>
      <c r="M4451"/>
    </row>
    <row r="4452" spans="1:13" x14ac:dyDescent="0.25">
      <c r="A4452" s="3" t="s">
        <v>222</v>
      </c>
      <c r="B4452" s="3" t="s">
        <v>245</v>
      </c>
      <c r="C4452" s="3" t="s">
        <v>13</v>
      </c>
      <c r="D4452" s="3" t="s">
        <v>10</v>
      </c>
      <c r="E4452" s="5" t="s">
        <v>21</v>
      </c>
      <c r="F4452" s="17">
        <v>20.25</v>
      </c>
      <c r="G4452" s="3">
        <v>4</v>
      </c>
      <c r="H4452" s="17">
        <f>Table1[[#This Row],[Unit price]]*Table1[[#This Row],[Quantity]]</f>
        <v>81</v>
      </c>
      <c r="I4452" s="29">
        <f>Table1[[#This Row],[Total Revenue]]/$H$5056*100</f>
        <v>8.5937555120056009E-3</v>
      </c>
      <c r="J4452" s="3" t="s">
        <v>17</v>
      </c>
      <c r="K4452" s="4">
        <v>4.9000000000000004</v>
      </c>
      <c r="M4452"/>
    </row>
    <row r="4453" spans="1:13" x14ac:dyDescent="0.25">
      <c r="A4453" s="3" t="s">
        <v>222</v>
      </c>
      <c r="B4453" s="3" t="s">
        <v>244</v>
      </c>
      <c r="C4453" s="3" t="s">
        <v>13</v>
      </c>
      <c r="D4453" s="3" t="s">
        <v>19</v>
      </c>
      <c r="E4453" s="5" t="s">
        <v>18</v>
      </c>
      <c r="F4453" s="17">
        <v>9.64</v>
      </c>
      <c r="G4453" s="3">
        <v>4</v>
      </c>
      <c r="H4453" s="17">
        <f>Table1[[#This Row],[Unit price]]*Table1[[#This Row],[Quantity]]</f>
        <v>38.56</v>
      </c>
      <c r="I4453" s="29">
        <f>Table1[[#This Row],[Total Revenue]]/$H$5056*100</f>
        <v>4.0910520067029138E-3</v>
      </c>
      <c r="J4453" s="3" t="s">
        <v>15</v>
      </c>
      <c r="K4453" s="4">
        <v>4.5</v>
      </c>
      <c r="M4453"/>
    </row>
    <row r="4454" spans="1:13" x14ac:dyDescent="0.25">
      <c r="A4454" s="3" t="s">
        <v>222</v>
      </c>
      <c r="B4454" s="3" t="s">
        <v>243</v>
      </c>
      <c r="C4454" s="3" t="s">
        <v>9</v>
      </c>
      <c r="D4454" s="3" t="s">
        <v>10</v>
      </c>
      <c r="E4454" s="5" t="s">
        <v>21</v>
      </c>
      <c r="F4454" s="17">
        <v>16.72</v>
      </c>
      <c r="G4454" s="3">
        <v>1</v>
      </c>
      <c r="H4454" s="17">
        <f>Table1[[#This Row],[Unit price]]*Table1[[#This Row],[Quantity]]</f>
        <v>16.72</v>
      </c>
      <c r="I4454" s="29">
        <f>Table1[[#This Row],[Total Revenue]]/$H$5056*100</f>
        <v>1.7739208908732552E-3</v>
      </c>
      <c r="J4454" s="3" t="s">
        <v>15</v>
      </c>
      <c r="K4454" s="4">
        <v>7</v>
      </c>
      <c r="M4454"/>
    </row>
    <row r="4455" spans="1:13" x14ac:dyDescent="0.25">
      <c r="A4455" s="3" t="s">
        <v>222</v>
      </c>
      <c r="B4455" s="3" t="s">
        <v>243</v>
      </c>
      <c r="C4455" s="3" t="s">
        <v>9</v>
      </c>
      <c r="D4455" s="3" t="s">
        <v>19</v>
      </c>
      <c r="E4455" s="5" t="s">
        <v>11</v>
      </c>
      <c r="F4455" s="17">
        <v>11.01</v>
      </c>
      <c r="G4455" s="3">
        <v>1</v>
      </c>
      <c r="H4455" s="17">
        <f>Table1[[#This Row],[Unit price]]*Table1[[#This Row],[Quantity]]</f>
        <v>11.01</v>
      </c>
      <c r="I4455" s="29">
        <f>Table1[[#This Row],[Total Revenue]]/$H$5056*100</f>
        <v>1.168114175150391E-3</v>
      </c>
      <c r="J4455" s="3" t="s">
        <v>17</v>
      </c>
      <c r="K4455" s="4">
        <v>5.7</v>
      </c>
      <c r="M4455"/>
    </row>
    <row r="4456" spans="1:13" x14ac:dyDescent="0.25">
      <c r="A4456" s="3" t="s">
        <v>222</v>
      </c>
      <c r="B4456" s="3" t="s">
        <v>244</v>
      </c>
      <c r="C4456" s="3" t="s">
        <v>13</v>
      </c>
      <c r="D4456" s="3" t="s">
        <v>19</v>
      </c>
      <c r="E4456" s="5" t="s">
        <v>14</v>
      </c>
      <c r="F4456" s="17">
        <v>91.86</v>
      </c>
      <c r="G4456" s="3">
        <v>5</v>
      </c>
      <c r="H4456" s="17">
        <f>Table1[[#This Row],[Unit price]]*Table1[[#This Row],[Quantity]]</f>
        <v>459.3</v>
      </c>
      <c r="I4456" s="29">
        <f>Table1[[#This Row],[Total Revenue]]/$H$5056*100</f>
        <v>4.8729776625483619E-2</v>
      </c>
      <c r="J4456" s="3" t="s">
        <v>17</v>
      </c>
      <c r="K4456" s="4">
        <v>7.2</v>
      </c>
      <c r="M4456"/>
    </row>
    <row r="4457" spans="1:13" x14ac:dyDescent="0.25">
      <c r="A4457" s="3" t="s">
        <v>222</v>
      </c>
      <c r="B4457" s="3" t="s">
        <v>243</v>
      </c>
      <c r="C4457" s="3" t="s">
        <v>13</v>
      </c>
      <c r="D4457" s="3" t="s">
        <v>10</v>
      </c>
      <c r="E4457" s="5" t="s">
        <v>11</v>
      </c>
      <c r="F4457" s="17">
        <v>10.52</v>
      </c>
      <c r="G4457" s="3">
        <v>7</v>
      </c>
      <c r="H4457" s="17">
        <f>Table1[[#This Row],[Unit price]]*Table1[[#This Row],[Quantity]]</f>
        <v>73.64</v>
      </c>
      <c r="I4457" s="29">
        <f>Table1[[#This Row],[Total Revenue]]/$H$5056*100</f>
        <v>7.8128908136307733E-3</v>
      </c>
      <c r="J4457" s="3" t="s">
        <v>17</v>
      </c>
      <c r="K4457" s="4">
        <v>4.5</v>
      </c>
      <c r="M4457"/>
    </row>
    <row r="4458" spans="1:13" x14ac:dyDescent="0.25">
      <c r="A4458" s="3" t="s">
        <v>222</v>
      </c>
      <c r="B4458" s="3" t="s">
        <v>243</v>
      </c>
      <c r="C4458" s="3" t="s">
        <v>13</v>
      </c>
      <c r="D4458" s="3" t="s">
        <v>19</v>
      </c>
      <c r="E4458" s="5" t="s">
        <v>21</v>
      </c>
      <c r="F4458" s="17">
        <v>39.869999999999997</v>
      </c>
      <c r="G4458" s="3">
        <v>9</v>
      </c>
      <c r="H4458" s="17">
        <f>Table1[[#This Row],[Unit price]]*Table1[[#This Row],[Quantity]]</f>
        <v>358.83</v>
      </c>
      <c r="I4458" s="29">
        <f>Table1[[#This Row],[Total Revenue]]/$H$5056*100</f>
        <v>3.8070336918184816E-2</v>
      </c>
      <c r="J4458" s="3" t="s">
        <v>15</v>
      </c>
      <c r="K4458" s="4">
        <v>6.7</v>
      </c>
      <c r="M4458"/>
    </row>
    <row r="4459" spans="1:13" x14ac:dyDescent="0.25">
      <c r="A4459" s="3" t="s">
        <v>222</v>
      </c>
      <c r="B4459" s="3" t="s">
        <v>243</v>
      </c>
      <c r="C4459" s="3" t="s">
        <v>13</v>
      </c>
      <c r="D4459" s="3" t="s">
        <v>10</v>
      </c>
      <c r="E4459" s="5" t="s">
        <v>11</v>
      </c>
      <c r="F4459" s="17">
        <v>8.39</v>
      </c>
      <c r="G4459" s="3">
        <v>2</v>
      </c>
      <c r="H4459" s="17">
        <f>Table1[[#This Row],[Unit price]]*Table1[[#This Row],[Quantity]]</f>
        <v>16.78</v>
      </c>
      <c r="I4459" s="29">
        <f>Table1[[#This Row],[Total Revenue]]/$H$5056*100</f>
        <v>1.780286635696963E-3</v>
      </c>
      <c r="J4459" s="3" t="s">
        <v>12</v>
      </c>
      <c r="K4459" s="4">
        <v>7.2</v>
      </c>
      <c r="M4459"/>
    </row>
    <row r="4460" spans="1:13" x14ac:dyDescent="0.25">
      <c r="A4460" s="3" t="s">
        <v>222</v>
      </c>
      <c r="B4460" s="3" t="s">
        <v>245</v>
      </c>
      <c r="C4460" s="3" t="s">
        <v>9</v>
      </c>
      <c r="D4460" s="3" t="s">
        <v>19</v>
      </c>
      <c r="E4460" s="5" t="s">
        <v>20</v>
      </c>
      <c r="F4460" s="17">
        <v>52.85</v>
      </c>
      <c r="G4460" s="3">
        <v>8</v>
      </c>
      <c r="H4460" s="17">
        <f>Table1[[#This Row],[Unit price]]*Table1[[#This Row],[Quantity]]</f>
        <v>422.8</v>
      </c>
      <c r="I4460" s="29">
        <f>Table1[[#This Row],[Total Revenue]]/$H$5056*100</f>
        <v>4.4857281857728006E-2</v>
      </c>
      <c r="J4460" s="3" t="s">
        <v>15</v>
      </c>
      <c r="K4460" s="4">
        <v>4.4000000000000004</v>
      </c>
      <c r="M4460"/>
    </row>
    <row r="4461" spans="1:13" x14ac:dyDescent="0.25">
      <c r="A4461" s="3" t="s">
        <v>222</v>
      </c>
      <c r="B4461" s="3" t="s">
        <v>245</v>
      </c>
      <c r="C4461" s="3" t="s">
        <v>9</v>
      </c>
      <c r="D4461" s="3" t="s">
        <v>10</v>
      </c>
      <c r="E4461" s="5" t="s">
        <v>20</v>
      </c>
      <c r="F4461" s="17">
        <v>49.43</v>
      </c>
      <c r="G4461" s="3">
        <v>5</v>
      </c>
      <c r="H4461" s="17">
        <f>Table1[[#This Row],[Unit price]]*Table1[[#This Row],[Quantity]]</f>
        <v>247.15</v>
      </c>
      <c r="I4461" s="29">
        <f>Table1[[#This Row],[Total Revenue]]/$H$5056*100</f>
        <v>2.6221563886323265E-2</v>
      </c>
      <c r="J4461" s="3" t="s">
        <v>17</v>
      </c>
      <c r="K4461" s="4">
        <v>3.9</v>
      </c>
      <c r="M4461"/>
    </row>
    <row r="4462" spans="1:13" x14ac:dyDescent="0.25">
      <c r="A4462" s="3" t="s">
        <v>222</v>
      </c>
      <c r="B4462" s="3" t="s">
        <v>243</v>
      </c>
      <c r="C4462" s="3" t="s">
        <v>13</v>
      </c>
      <c r="D4462" s="3" t="s">
        <v>10</v>
      </c>
      <c r="E4462" s="5" t="s">
        <v>18</v>
      </c>
      <c r="F4462" s="17">
        <v>18.11</v>
      </c>
      <c r="G4462" s="3">
        <v>10</v>
      </c>
      <c r="H4462" s="17">
        <f>Table1[[#This Row],[Unit price]]*Table1[[#This Row],[Quantity]]</f>
        <v>181.1</v>
      </c>
      <c r="I4462" s="29">
        <f>Table1[[#This Row],[Total Revenue]]/$H$5056*100</f>
        <v>1.9213939792891536E-2</v>
      </c>
      <c r="J4462" s="3" t="s">
        <v>15</v>
      </c>
      <c r="K4462" s="4">
        <v>4.5</v>
      </c>
      <c r="M4462"/>
    </row>
    <row r="4463" spans="1:13" x14ac:dyDescent="0.25">
      <c r="A4463" s="3" t="s">
        <v>222</v>
      </c>
      <c r="B4463" s="3" t="s">
        <v>244</v>
      </c>
      <c r="C4463" s="3" t="s">
        <v>13</v>
      </c>
      <c r="D4463" s="3" t="s">
        <v>19</v>
      </c>
      <c r="E4463" s="5" t="s">
        <v>20</v>
      </c>
      <c r="F4463" s="17">
        <v>49.27</v>
      </c>
      <c r="G4463" s="3">
        <v>8</v>
      </c>
      <c r="H4463" s="17">
        <f>Table1[[#This Row],[Unit price]]*Table1[[#This Row],[Quantity]]</f>
        <v>394.16</v>
      </c>
      <c r="I4463" s="29">
        <f>Table1[[#This Row],[Total Revenue]]/$H$5056*100</f>
        <v>4.181869966187813E-2</v>
      </c>
      <c r="J4463" s="3" t="s">
        <v>17</v>
      </c>
      <c r="K4463" s="4">
        <v>6.2</v>
      </c>
      <c r="M4463"/>
    </row>
    <row r="4464" spans="1:13" x14ac:dyDescent="0.25">
      <c r="A4464" s="3" t="s">
        <v>223</v>
      </c>
      <c r="B4464" s="3" t="s">
        <v>243</v>
      </c>
      <c r="C4464" s="3" t="s">
        <v>9</v>
      </c>
      <c r="D4464" s="3" t="s">
        <v>10</v>
      </c>
      <c r="E4464" s="5" t="s">
        <v>21</v>
      </c>
      <c r="F4464" s="17">
        <v>38.729999999999997</v>
      </c>
      <c r="G4464" s="3">
        <v>8</v>
      </c>
      <c r="H4464" s="17">
        <f>Table1[[#This Row],[Unit price]]*Table1[[#This Row],[Quantity]]</f>
        <v>309.83999999999997</v>
      </c>
      <c r="I4464" s="29">
        <f>Table1[[#This Row],[Total Revenue]]/$H$5056*100</f>
        <v>3.287270626962735E-2</v>
      </c>
      <c r="J4464" s="3" t="s">
        <v>12</v>
      </c>
      <c r="K4464" s="4">
        <v>8.4</v>
      </c>
      <c r="M4464"/>
    </row>
    <row r="4465" spans="1:13" x14ac:dyDescent="0.25">
      <c r="A4465" s="3" t="s">
        <v>223</v>
      </c>
      <c r="B4465" s="3" t="s">
        <v>243</v>
      </c>
      <c r="C4465" s="3" t="s">
        <v>13</v>
      </c>
      <c r="D4465" s="3" t="s">
        <v>10</v>
      </c>
      <c r="E4465" s="5" t="s">
        <v>20</v>
      </c>
      <c r="F4465" s="17">
        <v>63.94</v>
      </c>
      <c r="G4465" s="3">
        <v>5</v>
      </c>
      <c r="H4465" s="17">
        <f>Table1[[#This Row],[Unit price]]*Table1[[#This Row],[Quantity]]</f>
        <v>319.7</v>
      </c>
      <c r="I4465" s="29">
        <f>Table1[[#This Row],[Total Revenue]]/$H$5056*100</f>
        <v>3.3918810335656677E-2</v>
      </c>
      <c r="J4465" s="3" t="s">
        <v>12</v>
      </c>
      <c r="K4465" s="4">
        <v>8.6</v>
      </c>
      <c r="M4465"/>
    </row>
    <row r="4466" spans="1:13" x14ac:dyDescent="0.25">
      <c r="A4466" s="3" t="s">
        <v>223</v>
      </c>
      <c r="B4466" s="3" t="s">
        <v>244</v>
      </c>
      <c r="C4466" s="3" t="s">
        <v>13</v>
      </c>
      <c r="D4466" s="3" t="s">
        <v>10</v>
      </c>
      <c r="E4466" s="5" t="s">
        <v>21</v>
      </c>
      <c r="F4466" s="17">
        <v>28.09</v>
      </c>
      <c r="G4466" s="3">
        <v>2</v>
      </c>
      <c r="H4466" s="17">
        <f>Table1[[#This Row],[Unit price]]*Table1[[#This Row],[Quantity]]</f>
        <v>56.18</v>
      </c>
      <c r="I4466" s="29">
        <f>Table1[[#This Row],[Total Revenue]]/$H$5056*100</f>
        <v>5.9604590699317865E-3</v>
      </c>
      <c r="J4466" s="3" t="s">
        <v>15</v>
      </c>
      <c r="K4466" s="4">
        <v>7.6</v>
      </c>
      <c r="M4466"/>
    </row>
    <row r="4467" spans="1:13" x14ac:dyDescent="0.25">
      <c r="A4467" s="3" t="s">
        <v>223</v>
      </c>
      <c r="B4467" s="3" t="s">
        <v>245</v>
      </c>
      <c r="C4467" s="3" t="s">
        <v>13</v>
      </c>
      <c r="D4467" s="3" t="s">
        <v>10</v>
      </c>
      <c r="E4467" s="5" t="s">
        <v>21</v>
      </c>
      <c r="F4467" s="17">
        <v>16.53</v>
      </c>
      <c r="G4467" s="3">
        <v>2</v>
      </c>
      <c r="H4467" s="17">
        <f>Table1[[#This Row],[Unit price]]*Table1[[#This Row],[Quantity]]</f>
        <v>33.06</v>
      </c>
      <c r="I4467" s="29">
        <f>Table1[[#This Row],[Total Revenue]]/$H$5056*100</f>
        <v>3.5075253978630273E-3</v>
      </c>
      <c r="J4467" s="3" t="s">
        <v>17</v>
      </c>
      <c r="K4467" s="4">
        <v>7.1</v>
      </c>
      <c r="M4467"/>
    </row>
    <row r="4468" spans="1:13" x14ac:dyDescent="0.25">
      <c r="A4468" s="3" t="s">
        <v>223</v>
      </c>
      <c r="B4468" s="3" t="s">
        <v>245</v>
      </c>
      <c r="C4468" s="3" t="s">
        <v>13</v>
      </c>
      <c r="D4468" s="3" t="s">
        <v>19</v>
      </c>
      <c r="E4468" s="5" t="s">
        <v>18</v>
      </c>
      <c r="F4468" s="17">
        <v>23.93</v>
      </c>
      <c r="G4468" s="3">
        <v>8</v>
      </c>
      <c r="H4468" s="17">
        <f>Table1[[#This Row],[Unit price]]*Table1[[#This Row],[Quantity]]</f>
        <v>191.44</v>
      </c>
      <c r="I4468" s="29">
        <f>Table1[[#This Row],[Total Revenue]]/$H$5056*100</f>
        <v>2.0310969817510523E-2</v>
      </c>
      <c r="J4468" s="3" t="s">
        <v>17</v>
      </c>
      <c r="K4468" s="4">
        <v>3.4</v>
      </c>
      <c r="M4468"/>
    </row>
    <row r="4469" spans="1:13" x14ac:dyDescent="0.25">
      <c r="A4469" s="3" t="s">
        <v>223</v>
      </c>
      <c r="B4469" s="3" t="s">
        <v>243</v>
      </c>
      <c r="C4469" s="3" t="s">
        <v>9</v>
      </c>
      <c r="D4469" s="3" t="s">
        <v>19</v>
      </c>
      <c r="E4469" s="5" t="s">
        <v>11</v>
      </c>
      <c r="F4469" s="17">
        <v>6.89</v>
      </c>
      <c r="G4469" s="3">
        <v>4</v>
      </c>
      <c r="H4469" s="17">
        <f>Table1[[#This Row],[Unit price]]*Table1[[#This Row],[Quantity]]</f>
        <v>27.56</v>
      </c>
      <c r="I4469" s="29">
        <f>Table1[[#This Row],[Total Revenue]]/$H$5056*100</f>
        <v>2.9239987890231404E-3</v>
      </c>
      <c r="J4469" s="3" t="s">
        <v>12</v>
      </c>
      <c r="K4469" s="4">
        <v>9</v>
      </c>
      <c r="M4469"/>
    </row>
    <row r="4470" spans="1:13" x14ac:dyDescent="0.25">
      <c r="A4470" s="3" t="s">
        <v>223</v>
      </c>
      <c r="B4470" s="3" t="s">
        <v>244</v>
      </c>
      <c r="C4470" s="3" t="s">
        <v>9</v>
      </c>
      <c r="D4470" s="3" t="s">
        <v>10</v>
      </c>
      <c r="E4470" s="5" t="s">
        <v>16</v>
      </c>
      <c r="F4470" s="17">
        <v>71.47</v>
      </c>
      <c r="G4470" s="3">
        <v>4</v>
      </c>
      <c r="H4470" s="17">
        <f>Table1[[#This Row],[Unit price]]*Table1[[#This Row],[Quantity]]</f>
        <v>285.88</v>
      </c>
      <c r="I4470" s="29">
        <f>Table1[[#This Row],[Total Revenue]]/$H$5056*100</f>
        <v>3.0330652170026683E-2</v>
      </c>
      <c r="J4470" s="3" t="s">
        <v>12</v>
      </c>
      <c r="K4470" s="4">
        <v>4.2</v>
      </c>
      <c r="M4470"/>
    </row>
    <row r="4471" spans="1:13" x14ac:dyDescent="0.25">
      <c r="A4471" s="3" t="s">
        <v>223</v>
      </c>
      <c r="B4471" s="3" t="s">
        <v>243</v>
      </c>
      <c r="C4471" s="3" t="s">
        <v>9</v>
      </c>
      <c r="D4471" s="3" t="s">
        <v>19</v>
      </c>
      <c r="E4471" s="5" t="s">
        <v>18</v>
      </c>
      <c r="F4471" s="17">
        <v>12.36</v>
      </c>
      <c r="G4471" s="3">
        <v>7</v>
      </c>
      <c r="H4471" s="17">
        <f>Table1[[#This Row],[Unit price]]*Table1[[#This Row],[Quantity]]</f>
        <v>86.52</v>
      </c>
      <c r="I4471" s="29">
        <f>Table1[[#This Row],[Total Revenue]]/$H$5056*100</f>
        <v>9.1794040357867247E-3</v>
      </c>
      <c r="J4471" s="3" t="s">
        <v>17</v>
      </c>
      <c r="K4471" s="4">
        <v>7.3</v>
      </c>
      <c r="M4471"/>
    </row>
    <row r="4472" spans="1:13" x14ac:dyDescent="0.25">
      <c r="A4472" s="3" t="s">
        <v>223</v>
      </c>
      <c r="B4472" s="3" t="s">
        <v>243</v>
      </c>
      <c r="C4472" s="3" t="s">
        <v>9</v>
      </c>
      <c r="D4472" s="3" t="s">
        <v>10</v>
      </c>
      <c r="E4472" s="5" t="s">
        <v>16</v>
      </c>
      <c r="F4472" s="17">
        <v>60.89</v>
      </c>
      <c r="G4472" s="3">
        <v>2</v>
      </c>
      <c r="H4472" s="17">
        <f>Table1[[#This Row],[Unit price]]*Table1[[#This Row],[Quantity]]</f>
        <v>121.78</v>
      </c>
      <c r="I4472" s="29">
        <f>Table1[[#This Row],[Total Revenue]]/$H$5056*100</f>
        <v>1.2920340077185706E-2</v>
      </c>
      <c r="J4472" s="3" t="s">
        <v>15</v>
      </c>
      <c r="K4472" s="4">
        <v>5.9</v>
      </c>
      <c r="M4472"/>
    </row>
    <row r="4473" spans="1:13" x14ac:dyDescent="0.25">
      <c r="A4473" s="3" t="s">
        <v>223</v>
      </c>
      <c r="B4473" s="3" t="s">
        <v>243</v>
      </c>
      <c r="C4473" s="3" t="s">
        <v>9</v>
      </c>
      <c r="D4473" s="3" t="s">
        <v>19</v>
      </c>
      <c r="E4473" s="5" t="s">
        <v>11</v>
      </c>
      <c r="F4473" s="17">
        <v>10.23</v>
      </c>
      <c r="G4473" s="3">
        <v>8</v>
      </c>
      <c r="H4473" s="17">
        <f>Table1[[#This Row],[Unit price]]*Table1[[#This Row],[Quantity]]</f>
        <v>81.84</v>
      </c>
      <c r="I4473" s="29">
        <f>Table1[[#This Row],[Total Revenue]]/$H$5056*100</f>
        <v>8.6828759395375116E-3</v>
      </c>
      <c r="J4473" s="3" t="s">
        <v>17</v>
      </c>
      <c r="K4473" s="4">
        <v>7.6</v>
      </c>
      <c r="M4473"/>
    </row>
    <row r="4474" spans="1:13" x14ac:dyDescent="0.25">
      <c r="A4474" s="3" t="s">
        <v>223</v>
      </c>
      <c r="B4474" s="3" t="s">
        <v>243</v>
      </c>
      <c r="C4474" s="3" t="s">
        <v>9</v>
      </c>
      <c r="D4474" s="3" t="s">
        <v>19</v>
      </c>
      <c r="E4474" s="5" t="s">
        <v>21</v>
      </c>
      <c r="F4474" s="17">
        <v>38.020000000000003</v>
      </c>
      <c r="G4474" s="3">
        <v>2</v>
      </c>
      <c r="H4474" s="17">
        <f>Table1[[#This Row],[Unit price]]*Table1[[#This Row],[Quantity]]</f>
        <v>76.040000000000006</v>
      </c>
      <c r="I4474" s="29">
        <f>Table1[[#This Row],[Total Revenue]]/$H$5056*100</f>
        <v>8.0675206065790872E-3</v>
      </c>
      <c r="J4474" s="3" t="s">
        <v>15</v>
      </c>
      <c r="K4474" s="4">
        <v>5.6</v>
      </c>
      <c r="M4474"/>
    </row>
    <row r="4475" spans="1:13" x14ac:dyDescent="0.25">
      <c r="A4475" s="3" t="s">
        <v>223</v>
      </c>
      <c r="B4475" s="3" t="s">
        <v>244</v>
      </c>
      <c r="C4475" s="3" t="s">
        <v>9</v>
      </c>
      <c r="D4475" s="3" t="s">
        <v>10</v>
      </c>
      <c r="E4475" s="5" t="s">
        <v>18</v>
      </c>
      <c r="F4475" s="17">
        <v>20.09</v>
      </c>
      <c r="G4475" s="3">
        <v>7</v>
      </c>
      <c r="H4475" s="17">
        <f>Table1[[#This Row],[Unit price]]*Table1[[#This Row],[Quantity]]</f>
        <v>140.63</v>
      </c>
      <c r="I4475" s="29">
        <f>Table1[[#This Row],[Total Revenue]]/$H$5056*100</f>
        <v>1.4920244909300589E-2</v>
      </c>
      <c r="J4475" s="3" t="s">
        <v>12</v>
      </c>
      <c r="K4475" s="4">
        <v>6</v>
      </c>
      <c r="M4475"/>
    </row>
    <row r="4476" spans="1:13" x14ac:dyDescent="0.25">
      <c r="A4476" s="3" t="s">
        <v>223</v>
      </c>
      <c r="B4476" s="3" t="s">
        <v>244</v>
      </c>
      <c r="C4476" s="3" t="s">
        <v>13</v>
      </c>
      <c r="D4476" s="3" t="s">
        <v>19</v>
      </c>
      <c r="E4476" s="5" t="s">
        <v>11</v>
      </c>
      <c r="F4476" s="17">
        <v>10.220000000000001</v>
      </c>
      <c r="G4476" s="3">
        <v>2</v>
      </c>
      <c r="H4476" s="17">
        <f>Table1[[#This Row],[Unit price]]*Table1[[#This Row],[Quantity]]</f>
        <v>20.440000000000001</v>
      </c>
      <c r="I4476" s="29">
        <f>Table1[[#This Row],[Total Revenue]]/$H$5056*100</f>
        <v>2.1685970699431424E-3</v>
      </c>
      <c r="J4476" s="3" t="s">
        <v>12</v>
      </c>
      <c r="K4476" s="4">
        <v>4.7</v>
      </c>
      <c r="M4476"/>
    </row>
    <row r="4477" spans="1:13" x14ac:dyDescent="0.25">
      <c r="A4477" s="3" t="s">
        <v>223</v>
      </c>
      <c r="B4477" s="3" t="s">
        <v>243</v>
      </c>
      <c r="C4477" s="3" t="s">
        <v>13</v>
      </c>
      <c r="D4477" s="3" t="s">
        <v>10</v>
      </c>
      <c r="E4477" s="5" t="s">
        <v>11</v>
      </c>
      <c r="F4477" s="17">
        <v>7.96</v>
      </c>
      <c r="G4477" s="3">
        <v>10</v>
      </c>
      <c r="H4477" s="17">
        <f>Table1[[#This Row],[Unit price]]*Table1[[#This Row],[Quantity]]</f>
        <v>79.599999999999994</v>
      </c>
      <c r="I4477" s="29">
        <f>Table1[[#This Row],[Total Revenue]]/$H$5056*100</f>
        <v>8.4452214661190853E-3</v>
      </c>
      <c r="J4477" s="3" t="s">
        <v>15</v>
      </c>
      <c r="K4477" s="4">
        <v>5</v>
      </c>
      <c r="M4477"/>
    </row>
    <row r="4478" spans="1:13" x14ac:dyDescent="0.25">
      <c r="A4478" s="3" t="s">
        <v>223</v>
      </c>
      <c r="B4478" s="3" t="s">
        <v>244</v>
      </c>
      <c r="C4478" s="3" t="s">
        <v>9</v>
      </c>
      <c r="D4478" s="3" t="s">
        <v>19</v>
      </c>
      <c r="E4478" s="5" t="s">
        <v>21</v>
      </c>
      <c r="F4478" s="17">
        <v>33.979999999999997</v>
      </c>
      <c r="G4478" s="3">
        <v>10</v>
      </c>
      <c r="H4478" s="17">
        <f>Table1[[#This Row],[Unit price]]*Table1[[#This Row],[Quantity]]</f>
        <v>339.79999999999995</v>
      </c>
      <c r="I4478" s="29">
        <f>Table1[[#This Row],[Total Revenue]]/$H$5056*100</f>
        <v>3.605133485159881E-2</v>
      </c>
      <c r="J4478" s="3" t="s">
        <v>12</v>
      </c>
      <c r="K4478" s="4">
        <v>5.6</v>
      </c>
      <c r="M4478"/>
    </row>
    <row r="4479" spans="1:13" x14ac:dyDescent="0.25">
      <c r="A4479" s="3" t="s">
        <v>223</v>
      </c>
      <c r="B4479" s="3" t="s">
        <v>243</v>
      </c>
      <c r="C4479" s="3" t="s">
        <v>13</v>
      </c>
      <c r="D4479" s="3" t="s">
        <v>10</v>
      </c>
      <c r="E4479" s="5" t="s">
        <v>21</v>
      </c>
      <c r="F4479" s="17">
        <v>27.32</v>
      </c>
      <c r="G4479" s="3">
        <v>6</v>
      </c>
      <c r="H4479" s="17">
        <f>Table1[[#This Row],[Unit price]]*Table1[[#This Row],[Quantity]]</f>
        <v>163.92000000000002</v>
      </c>
      <c r="I4479" s="29">
        <f>Table1[[#This Row],[Total Revenue]]/$H$5056*100</f>
        <v>1.7391214858369856E-2</v>
      </c>
      <c r="J4479" s="3" t="s">
        <v>12</v>
      </c>
      <c r="K4479" s="4">
        <v>3.7</v>
      </c>
      <c r="M4479"/>
    </row>
    <row r="4480" spans="1:13" x14ac:dyDescent="0.25">
      <c r="A4480" s="3" t="s">
        <v>223</v>
      </c>
      <c r="B4480" s="3" t="s">
        <v>245</v>
      </c>
      <c r="C4480" s="3" t="s">
        <v>13</v>
      </c>
      <c r="D4480" s="3" t="s">
        <v>19</v>
      </c>
      <c r="E4480" s="5" t="s">
        <v>21</v>
      </c>
      <c r="F4480" s="17">
        <v>28.27</v>
      </c>
      <c r="G4480" s="3">
        <v>6</v>
      </c>
      <c r="H4480" s="17">
        <f>Table1[[#This Row],[Unit price]]*Table1[[#This Row],[Quantity]]</f>
        <v>169.62</v>
      </c>
      <c r="I4480" s="29">
        <f>Table1[[#This Row],[Total Revenue]]/$H$5056*100</f>
        <v>1.7995960616622102E-2</v>
      </c>
      <c r="J4480" s="3" t="s">
        <v>12</v>
      </c>
      <c r="K4480" s="4">
        <v>3.9</v>
      </c>
      <c r="M4480"/>
    </row>
    <row r="4481" spans="1:13" x14ac:dyDescent="0.25">
      <c r="A4481" s="3" t="s">
        <v>223</v>
      </c>
      <c r="B4481" s="3" t="s">
        <v>245</v>
      </c>
      <c r="C4481" s="3" t="s">
        <v>13</v>
      </c>
      <c r="D4481" s="3" t="s">
        <v>19</v>
      </c>
      <c r="E4481" s="5" t="s">
        <v>18</v>
      </c>
      <c r="F4481" s="17">
        <v>21.34</v>
      </c>
      <c r="G4481" s="3">
        <v>9</v>
      </c>
      <c r="H4481" s="17">
        <f>Table1[[#This Row],[Unit price]]*Table1[[#This Row],[Quantity]]</f>
        <v>192.06</v>
      </c>
      <c r="I4481" s="29">
        <f>Table1[[#This Row],[Total Revenue]]/$H$5056*100</f>
        <v>2.0376749180688838E-2</v>
      </c>
      <c r="J4481" s="3" t="s">
        <v>12</v>
      </c>
      <c r="K4481" s="4">
        <v>6.9</v>
      </c>
      <c r="M4481"/>
    </row>
    <row r="4482" spans="1:13" x14ac:dyDescent="0.25">
      <c r="A4482" s="3" t="s">
        <v>223</v>
      </c>
      <c r="B4482" s="3" t="s">
        <v>244</v>
      </c>
      <c r="C4482" s="3" t="s">
        <v>13</v>
      </c>
      <c r="D4482" s="3" t="s">
        <v>19</v>
      </c>
      <c r="E4482" s="5" t="s">
        <v>18</v>
      </c>
      <c r="F4482" s="17">
        <v>18.809999999999999</v>
      </c>
      <c r="G4482" s="3">
        <v>4</v>
      </c>
      <c r="H4482" s="17">
        <f>Table1[[#This Row],[Unit price]]*Table1[[#This Row],[Quantity]]</f>
        <v>75.239999999999995</v>
      </c>
      <c r="I4482" s="29">
        <f>Table1[[#This Row],[Total Revenue]]/$H$5056*100</f>
        <v>7.9826440089296475E-3</v>
      </c>
      <c r="J4482" s="3" t="s">
        <v>12</v>
      </c>
      <c r="K4482" s="4">
        <v>3.8</v>
      </c>
      <c r="M4482"/>
    </row>
    <row r="4483" spans="1:13" x14ac:dyDescent="0.25">
      <c r="A4483" s="3" t="s">
        <v>223</v>
      </c>
      <c r="B4483" s="3" t="s">
        <v>243</v>
      </c>
      <c r="C4483" s="3" t="s">
        <v>13</v>
      </c>
      <c r="D4483" s="3" t="s">
        <v>10</v>
      </c>
      <c r="E4483" s="5" t="s">
        <v>18</v>
      </c>
      <c r="F4483" s="17">
        <v>13.21</v>
      </c>
      <c r="G4483" s="3">
        <v>4</v>
      </c>
      <c r="H4483" s="17">
        <f>Table1[[#This Row],[Unit price]]*Table1[[#This Row],[Quantity]]</f>
        <v>52.84</v>
      </c>
      <c r="I4483" s="29">
        <f>Table1[[#This Row],[Total Revenue]]/$H$5056*100</f>
        <v>5.6060992747453834E-3</v>
      </c>
      <c r="J4483" s="3" t="s">
        <v>12</v>
      </c>
      <c r="K4483" s="4">
        <v>9</v>
      </c>
      <c r="M4483"/>
    </row>
    <row r="4484" spans="1:13" x14ac:dyDescent="0.25">
      <c r="A4484" s="3" t="s">
        <v>223</v>
      </c>
      <c r="B4484" s="3" t="s">
        <v>244</v>
      </c>
      <c r="C4484" s="3" t="s">
        <v>9</v>
      </c>
      <c r="D4484" s="3" t="s">
        <v>10</v>
      </c>
      <c r="E4484" s="5" t="s">
        <v>16</v>
      </c>
      <c r="F4484" s="17">
        <v>58.15</v>
      </c>
      <c r="G4484" s="3">
        <v>8</v>
      </c>
      <c r="H4484" s="17">
        <f>Table1[[#This Row],[Unit price]]*Table1[[#This Row],[Quantity]]</f>
        <v>465.2</v>
      </c>
      <c r="I4484" s="29">
        <f>Table1[[#This Row],[Total Revenue]]/$H$5056*100</f>
        <v>4.9355741533148229E-2</v>
      </c>
      <c r="J4484" s="3" t="s">
        <v>12</v>
      </c>
      <c r="K4484" s="4">
        <v>5</v>
      </c>
      <c r="M4484"/>
    </row>
    <row r="4485" spans="1:13" x14ac:dyDescent="0.25">
      <c r="A4485" s="3" t="s">
        <v>223</v>
      </c>
      <c r="B4485" s="3" t="s">
        <v>245</v>
      </c>
      <c r="C4485" s="3" t="s">
        <v>13</v>
      </c>
      <c r="D4485" s="3" t="s">
        <v>19</v>
      </c>
      <c r="E4485" s="5" t="s">
        <v>14</v>
      </c>
      <c r="F4485" s="17">
        <v>83.08</v>
      </c>
      <c r="G4485" s="3">
        <v>6</v>
      </c>
      <c r="H4485" s="17">
        <f>Table1[[#This Row],[Unit price]]*Table1[[#This Row],[Quantity]]</f>
        <v>498.48</v>
      </c>
      <c r="I4485" s="29">
        <f>Table1[[#This Row],[Total Revenue]]/$H$5056*100</f>
        <v>5.2886607995364841E-2</v>
      </c>
      <c r="J4485" s="3" t="s">
        <v>12</v>
      </c>
      <c r="K4485" s="4">
        <v>5.0999999999999996</v>
      </c>
      <c r="M4485"/>
    </row>
    <row r="4486" spans="1:13" x14ac:dyDescent="0.25">
      <c r="A4486" s="3" t="s">
        <v>223</v>
      </c>
      <c r="B4486" s="3" t="s">
        <v>244</v>
      </c>
      <c r="C4486" s="3" t="s">
        <v>13</v>
      </c>
      <c r="D4486" s="3" t="s">
        <v>19</v>
      </c>
      <c r="E4486" s="5" t="s">
        <v>20</v>
      </c>
      <c r="F4486" s="17">
        <v>65.13</v>
      </c>
      <c r="G4486" s="3">
        <v>10</v>
      </c>
      <c r="H4486" s="17">
        <f>Table1[[#This Row],[Unit price]]*Table1[[#This Row],[Quantity]]</f>
        <v>651.29999999999995</v>
      </c>
      <c r="I4486" s="29">
        <f>Table1[[#This Row],[Total Revenue]]/$H$5056*100</f>
        <v>6.9100160061348739E-2</v>
      </c>
      <c r="J4486" s="3" t="s">
        <v>17</v>
      </c>
      <c r="K4486" s="4">
        <v>7.1</v>
      </c>
      <c r="M4486"/>
    </row>
    <row r="4487" spans="1:13" x14ac:dyDescent="0.25">
      <c r="A4487" s="2">
        <v>45303</v>
      </c>
      <c r="B4487" s="3" t="s">
        <v>243</v>
      </c>
      <c r="C4487" s="3" t="s">
        <v>9</v>
      </c>
      <c r="D4487" s="3" t="s">
        <v>19</v>
      </c>
      <c r="E4487" s="5" t="s">
        <v>11</v>
      </c>
      <c r="F4487" s="17">
        <v>9.66</v>
      </c>
      <c r="G4487" s="3">
        <v>6</v>
      </c>
      <c r="H4487" s="17">
        <f>Table1[[#This Row],[Unit price]]*Table1[[#This Row],[Quantity]]</f>
        <v>57.96</v>
      </c>
      <c r="I4487" s="29">
        <f>Table1[[#This Row],[Total Revenue]]/$H$5056*100</f>
        <v>6.1493094997017864E-3</v>
      </c>
      <c r="J4487" s="3" t="s">
        <v>15</v>
      </c>
      <c r="K4487" s="4">
        <v>3.6</v>
      </c>
      <c r="M4487"/>
    </row>
    <row r="4488" spans="1:13" x14ac:dyDescent="0.25">
      <c r="A4488" s="2">
        <v>45303</v>
      </c>
      <c r="B4488" s="3" t="s">
        <v>243</v>
      </c>
      <c r="C4488" s="3" t="s">
        <v>9</v>
      </c>
      <c r="D4488" s="3" t="s">
        <v>10</v>
      </c>
      <c r="E4488" s="5" t="s">
        <v>14</v>
      </c>
      <c r="F4488" s="17">
        <v>91.13</v>
      </c>
      <c r="G4488" s="3">
        <v>9</v>
      </c>
      <c r="H4488" s="17">
        <f>Table1[[#This Row],[Unit price]]*Table1[[#This Row],[Quantity]]</f>
        <v>820.17</v>
      </c>
      <c r="I4488" s="29">
        <f>Table1[[#This Row],[Total Revenue]]/$H$5056*100</f>
        <v>8.7016548867674487E-2</v>
      </c>
      <c r="J4488" s="3" t="s">
        <v>15</v>
      </c>
      <c r="K4488" s="4">
        <v>9.6</v>
      </c>
      <c r="M4488"/>
    </row>
    <row r="4489" spans="1:13" x14ac:dyDescent="0.25">
      <c r="A4489" s="2">
        <v>45303</v>
      </c>
      <c r="B4489" s="3" t="s">
        <v>245</v>
      </c>
      <c r="C4489" s="3" t="s">
        <v>13</v>
      </c>
      <c r="D4489" s="3" t="s">
        <v>10</v>
      </c>
      <c r="E4489" s="5" t="s">
        <v>11</v>
      </c>
      <c r="F4489" s="17">
        <v>6.62</v>
      </c>
      <c r="G4489" s="3">
        <v>2</v>
      </c>
      <c r="H4489" s="17">
        <f>Table1[[#This Row],[Unit price]]*Table1[[#This Row],[Quantity]]</f>
        <v>13.24</v>
      </c>
      <c r="I4489" s="29">
        <f>Table1[[#This Row],[Total Revenue]]/$H$5056*100</f>
        <v>1.4047076910981995E-3</v>
      </c>
      <c r="J4489" s="3" t="s">
        <v>15</v>
      </c>
      <c r="K4489" s="4">
        <v>7.5</v>
      </c>
      <c r="M4489"/>
    </row>
    <row r="4490" spans="1:13" x14ac:dyDescent="0.25">
      <c r="A4490" s="2">
        <v>45303</v>
      </c>
      <c r="B4490" s="3" t="s">
        <v>244</v>
      </c>
      <c r="C4490" s="3" t="s">
        <v>9</v>
      </c>
      <c r="D4490" s="3" t="s">
        <v>19</v>
      </c>
      <c r="E4490" s="5" t="s">
        <v>20</v>
      </c>
      <c r="F4490" s="17">
        <v>57.6</v>
      </c>
      <c r="G4490" s="3">
        <v>8</v>
      </c>
      <c r="H4490" s="17">
        <f>Table1[[#This Row],[Unit price]]*Table1[[#This Row],[Quantity]]</f>
        <v>460.8</v>
      </c>
      <c r="I4490" s="29">
        <f>Table1[[#This Row],[Total Revenue]]/$H$5056*100</f>
        <v>4.8888920246076314E-2</v>
      </c>
      <c r="J4490" s="3" t="s">
        <v>17</v>
      </c>
      <c r="K4490" s="4">
        <v>8.6999999999999993</v>
      </c>
      <c r="M4490"/>
    </row>
    <row r="4491" spans="1:13" x14ac:dyDescent="0.25">
      <c r="A4491" s="2">
        <v>45303</v>
      </c>
      <c r="B4491" s="3" t="s">
        <v>243</v>
      </c>
      <c r="C4491" s="3" t="s">
        <v>13</v>
      </c>
      <c r="D4491" s="3" t="s">
        <v>19</v>
      </c>
      <c r="E4491" s="5" t="s">
        <v>18</v>
      </c>
      <c r="F4491" s="17">
        <v>14.63</v>
      </c>
      <c r="G4491" s="3">
        <v>2</v>
      </c>
      <c r="H4491" s="17">
        <f>Table1[[#This Row],[Unit price]]*Table1[[#This Row],[Quantity]]</f>
        <v>29.26</v>
      </c>
      <c r="I4491" s="29">
        <f>Table1[[#This Row],[Total Revenue]]/$H$5056*100</f>
        <v>3.1043615590281965E-3</v>
      </c>
      <c r="J4491" s="3" t="s">
        <v>17</v>
      </c>
      <c r="K4491" s="4">
        <v>7.3</v>
      </c>
      <c r="M4491"/>
    </row>
    <row r="4492" spans="1:13" x14ac:dyDescent="0.25">
      <c r="A4492" s="2">
        <v>45303</v>
      </c>
      <c r="B4492" s="3" t="s">
        <v>244</v>
      </c>
      <c r="C4492" s="3" t="s">
        <v>13</v>
      </c>
      <c r="D4492" s="3" t="s">
        <v>19</v>
      </c>
      <c r="E4492" s="5" t="s">
        <v>11</v>
      </c>
      <c r="F4492" s="17">
        <v>5.04</v>
      </c>
      <c r="G4492" s="3">
        <v>9</v>
      </c>
      <c r="H4492" s="17">
        <f>Table1[[#This Row],[Unit price]]*Table1[[#This Row],[Quantity]]</f>
        <v>45.36</v>
      </c>
      <c r="I4492" s="29">
        <f>Table1[[#This Row],[Total Revenue]]/$H$5056*100</f>
        <v>4.8125030867231366E-3</v>
      </c>
      <c r="J4492" s="3" t="s">
        <v>15</v>
      </c>
      <c r="K4492" s="4">
        <v>7.7</v>
      </c>
      <c r="M4492"/>
    </row>
    <row r="4493" spans="1:13" x14ac:dyDescent="0.25">
      <c r="A4493" s="2">
        <v>45303</v>
      </c>
      <c r="B4493" s="3" t="s">
        <v>244</v>
      </c>
      <c r="C4493" s="3" t="s">
        <v>9</v>
      </c>
      <c r="D4493" s="3" t="s">
        <v>19</v>
      </c>
      <c r="E4493" s="5" t="s">
        <v>20</v>
      </c>
      <c r="F4493" s="17">
        <v>66.099999999999994</v>
      </c>
      <c r="G4493" s="3">
        <v>7</v>
      </c>
      <c r="H4493" s="17">
        <f>Table1[[#This Row],[Unit price]]*Table1[[#This Row],[Quantity]]</f>
        <v>462.69999999999993</v>
      </c>
      <c r="I4493" s="29">
        <f>Table1[[#This Row],[Total Revenue]]/$H$5056*100</f>
        <v>4.9090502165493724E-2</v>
      </c>
      <c r="J4493" s="3" t="s">
        <v>12</v>
      </c>
      <c r="K4493" s="4">
        <v>3.5</v>
      </c>
      <c r="M4493"/>
    </row>
    <row r="4494" spans="1:13" x14ac:dyDescent="0.25">
      <c r="A4494" s="2">
        <v>45303</v>
      </c>
      <c r="B4494" s="3" t="s">
        <v>245</v>
      </c>
      <c r="C4494" s="3" t="s">
        <v>9</v>
      </c>
      <c r="D4494" s="3" t="s">
        <v>10</v>
      </c>
      <c r="E4494" s="5" t="s">
        <v>16</v>
      </c>
      <c r="F4494" s="17">
        <v>69.66</v>
      </c>
      <c r="G4494" s="3">
        <v>7</v>
      </c>
      <c r="H4494" s="17">
        <f>Table1[[#This Row],[Unit price]]*Table1[[#This Row],[Quantity]]</f>
        <v>487.62</v>
      </c>
      <c r="I4494" s="29">
        <f>Table1[[#This Row],[Total Revenue]]/$H$5056*100</f>
        <v>5.1734408182273726E-2</v>
      </c>
      <c r="J4494" s="3" t="s">
        <v>17</v>
      </c>
      <c r="K4494" s="4">
        <v>6.1</v>
      </c>
      <c r="M4494"/>
    </row>
    <row r="4495" spans="1:13" x14ac:dyDescent="0.25">
      <c r="A4495" s="2">
        <v>45303</v>
      </c>
      <c r="B4495" s="3" t="s">
        <v>244</v>
      </c>
      <c r="C4495" s="3" t="s">
        <v>13</v>
      </c>
      <c r="D4495" s="3" t="s">
        <v>10</v>
      </c>
      <c r="E4495" s="5" t="s">
        <v>18</v>
      </c>
      <c r="F4495" s="17">
        <v>18.16</v>
      </c>
      <c r="G4495" s="3">
        <v>7</v>
      </c>
      <c r="H4495" s="17">
        <f>Table1[[#This Row],[Unit price]]*Table1[[#This Row],[Quantity]]</f>
        <v>127.12</v>
      </c>
      <c r="I4495" s="29">
        <f>Table1[[#This Row],[Total Revenue]]/$H$5056*100</f>
        <v>1.3486891366495704E-2</v>
      </c>
      <c r="J4495" s="3" t="s">
        <v>12</v>
      </c>
      <c r="K4495" s="4">
        <v>4.5</v>
      </c>
      <c r="M4495"/>
    </row>
    <row r="4496" spans="1:13" x14ac:dyDescent="0.25">
      <c r="A4496" s="2">
        <v>45303</v>
      </c>
      <c r="B4496" s="3" t="s">
        <v>245</v>
      </c>
      <c r="C4496" s="3" t="s">
        <v>9</v>
      </c>
      <c r="D4496" s="3" t="s">
        <v>10</v>
      </c>
      <c r="E4496" s="5" t="s">
        <v>16</v>
      </c>
      <c r="F4496" s="17">
        <v>72.67</v>
      </c>
      <c r="G4496" s="3">
        <v>2</v>
      </c>
      <c r="H4496" s="17">
        <f>Table1[[#This Row],[Unit price]]*Table1[[#This Row],[Quantity]]</f>
        <v>145.34</v>
      </c>
      <c r="I4496" s="29">
        <f>Table1[[#This Row],[Total Revenue]]/$H$5056*100</f>
        <v>1.5419955877961656E-2</v>
      </c>
      <c r="J4496" s="3" t="s">
        <v>15</v>
      </c>
      <c r="K4496" s="4">
        <v>7.3</v>
      </c>
      <c r="M4496"/>
    </row>
    <row r="4497" spans="1:13" x14ac:dyDescent="0.25">
      <c r="A4497" s="2">
        <v>45303</v>
      </c>
      <c r="B4497" s="3" t="s">
        <v>243</v>
      </c>
      <c r="C4497" s="3" t="s">
        <v>13</v>
      </c>
      <c r="D4497" s="3" t="s">
        <v>19</v>
      </c>
      <c r="E4497" s="5" t="s">
        <v>20</v>
      </c>
      <c r="F4497" s="17">
        <v>57.63</v>
      </c>
      <c r="G4497" s="3">
        <v>8</v>
      </c>
      <c r="H4497" s="17">
        <f>Table1[[#This Row],[Unit price]]*Table1[[#This Row],[Quantity]]</f>
        <v>461.04</v>
      </c>
      <c r="I4497" s="29">
        <f>Table1[[#This Row],[Total Revenue]]/$H$5056*100</f>
        <v>4.8914383225371144E-2</v>
      </c>
      <c r="J4497" s="3" t="s">
        <v>17</v>
      </c>
      <c r="K4497" s="4">
        <v>4.7</v>
      </c>
      <c r="M4497"/>
    </row>
    <row r="4498" spans="1:13" x14ac:dyDescent="0.25">
      <c r="A4498" s="2">
        <v>45303</v>
      </c>
      <c r="B4498" s="3" t="s">
        <v>244</v>
      </c>
      <c r="C4498" s="3" t="s">
        <v>13</v>
      </c>
      <c r="D4498" s="3" t="s">
        <v>19</v>
      </c>
      <c r="E4498" s="5" t="s">
        <v>11</v>
      </c>
      <c r="F4498" s="17">
        <v>8.15</v>
      </c>
      <c r="G4498" s="3">
        <v>6</v>
      </c>
      <c r="H4498" s="17">
        <f>Table1[[#This Row],[Unit price]]*Table1[[#This Row],[Quantity]]</f>
        <v>48.900000000000006</v>
      </c>
      <c r="I4498" s="29">
        <f>Table1[[#This Row],[Total Revenue]]/$H$5056*100</f>
        <v>5.1880820313219009E-3</v>
      </c>
      <c r="J4498" s="3" t="s">
        <v>15</v>
      </c>
      <c r="K4498" s="4">
        <v>5</v>
      </c>
      <c r="M4498"/>
    </row>
    <row r="4499" spans="1:13" x14ac:dyDescent="0.25">
      <c r="A4499" s="2">
        <v>45303</v>
      </c>
      <c r="B4499" s="3" t="s">
        <v>244</v>
      </c>
      <c r="C4499" s="3" t="s">
        <v>9</v>
      </c>
      <c r="D4499" s="3" t="s">
        <v>10</v>
      </c>
      <c r="E4499" s="5" t="s">
        <v>18</v>
      </c>
      <c r="F4499" s="17">
        <v>11.14</v>
      </c>
      <c r="G4499" s="3">
        <v>2</v>
      </c>
      <c r="H4499" s="17">
        <f>Table1[[#This Row],[Unit price]]*Table1[[#This Row],[Quantity]]</f>
        <v>22.28</v>
      </c>
      <c r="I4499" s="29">
        <f>Table1[[#This Row],[Total Revenue]]/$H$5056*100</f>
        <v>2.3638132445368493E-3</v>
      </c>
      <c r="J4499" s="3" t="s">
        <v>17</v>
      </c>
      <c r="K4499" s="4">
        <v>5</v>
      </c>
      <c r="M4499"/>
    </row>
    <row r="4500" spans="1:13" x14ac:dyDescent="0.25">
      <c r="A4500" s="2">
        <v>45303</v>
      </c>
      <c r="B4500" s="3" t="s">
        <v>245</v>
      </c>
      <c r="C4500" s="3" t="s">
        <v>9</v>
      </c>
      <c r="D4500" s="3" t="s">
        <v>19</v>
      </c>
      <c r="E4500" s="5" t="s">
        <v>21</v>
      </c>
      <c r="F4500" s="17">
        <v>31.22</v>
      </c>
      <c r="G4500" s="3">
        <v>3</v>
      </c>
      <c r="H4500" s="17">
        <f>Table1[[#This Row],[Unit price]]*Table1[[#This Row],[Quantity]]</f>
        <v>93.66</v>
      </c>
      <c r="I4500" s="29">
        <f>Table1[[#This Row],[Total Revenue]]/$H$5056*100</f>
        <v>9.936927669807959E-3</v>
      </c>
      <c r="J4500" s="3" t="s">
        <v>17</v>
      </c>
      <c r="K4500" s="4">
        <v>9.5</v>
      </c>
      <c r="M4500"/>
    </row>
    <row r="4501" spans="1:13" x14ac:dyDescent="0.25">
      <c r="A4501" s="2">
        <v>45303</v>
      </c>
      <c r="B4501" s="3" t="s">
        <v>244</v>
      </c>
      <c r="C4501" s="3" t="s">
        <v>13</v>
      </c>
      <c r="D4501" s="3" t="s">
        <v>10</v>
      </c>
      <c r="E4501" s="5" t="s">
        <v>16</v>
      </c>
      <c r="F4501" s="17">
        <v>50.58</v>
      </c>
      <c r="G4501" s="3">
        <v>6</v>
      </c>
      <c r="H4501" s="17">
        <f>Table1[[#This Row],[Unit price]]*Table1[[#This Row],[Quantity]]</f>
        <v>303.48</v>
      </c>
      <c r="I4501" s="29">
        <f>Table1[[#This Row],[Total Revenue]]/$H$5056*100</f>
        <v>3.2197937318314329E-2</v>
      </c>
      <c r="J4501" s="3" t="s">
        <v>12</v>
      </c>
      <c r="K4501" s="4">
        <v>4.5999999999999996</v>
      </c>
      <c r="M4501"/>
    </row>
    <row r="4502" spans="1:13" x14ac:dyDescent="0.25">
      <c r="A4502" s="2">
        <v>45303</v>
      </c>
      <c r="B4502" s="3" t="s">
        <v>245</v>
      </c>
      <c r="C4502" s="3" t="s">
        <v>9</v>
      </c>
      <c r="D4502" s="3" t="s">
        <v>19</v>
      </c>
      <c r="E4502" s="5" t="s">
        <v>18</v>
      </c>
      <c r="F4502" s="17">
        <v>15.17</v>
      </c>
      <c r="G4502" s="3">
        <v>2</v>
      </c>
      <c r="H4502" s="17">
        <f>Table1[[#This Row],[Unit price]]*Table1[[#This Row],[Quantity]]</f>
        <v>30.34</v>
      </c>
      <c r="I4502" s="29">
        <f>Table1[[#This Row],[Total Revenue]]/$H$5056*100</f>
        <v>3.2189449658549373E-3</v>
      </c>
      <c r="J4502" s="3" t="s">
        <v>17</v>
      </c>
      <c r="K4502" s="4">
        <v>8.1999999999999993</v>
      </c>
      <c r="M4502"/>
    </row>
    <row r="4503" spans="1:13" x14ac:dyDescent="0.25">
      <c r="A4503" s="2">
        <v>45303</v>
      </c>
      <c r="B4503" s="3" t="s">
        <v>243</v>
      </c>
      <c r="C4503" s="3" t="s">
        <v>13</v>
      </c>
      <c r="D4503" s="3" t="s">
        <v>19</v>
      </c>
      <c r="E4503" s="5" t="s">
        <v>14</v>
      </c>
      <c r="F4503" s="17">
        <v>85.28</v>
      </c>
      <c r="G4503" s="3">
        <v>10</v>
      </c>
      <c r="H4503" s="17">
        <f>Table1[[#This Row],[Unit price]]*Table1[[#This Row],[Quantity]]</f>
        <v>852.8</v>
      </c>
      <c r="I4503" s="29">
        <f>Table1[[#This Row],[Total Revenue]]/$H$5056*100</f>
        <v>9.0478453094300942E-2</v>
      </c>
      <c r="J4503" s="3" t="s">
        <v>12</v>
      </c>
      <c r="K4503" s="4">
        <v>9.6</v>
      </c>
      <c r="M4503"/>
    </row>
    <row r="4504" spans="1:13" x14ac:dyDescent="0.25">
      <c r="A4504" s="2">
        <v>45303</v>
      </c>
      <c r="B4504" s="3" t="s">
        <v>245</v>
      </c>
      <c r="C4504" s="3" t="s">
        <v>13</v>
      </c>
      <c r="D4504" s="3" t="s">
        <v>19</v>
      </c>
      <c r="E4504" s="5" t="s">
        <v>16</v>
      </c>
      <c r="F4504" s="17">
        <v>61.97</v>
      </c>
      <c r="G4504" s="3">
        <v>6</v>
      </c>
      <c r="H4504" s="17">
        <f>Table1[[#This Row],[Unit price]]*Table1[[#This Row],[Quantity]]</f>
        <v>371.82</v>
      </c>
      <c r="I4504" s="29">
        <f>Table1[[#This Row],[Total Revenue]]/$H$5056*100</f>
        <v>3.9448520672517563E-2</v>
      </c>
      <c r="J4504" s="3" t="s">
        <v>12</v>
      </c>
      <c r="K4504" s="4">
        <v>9.1</v>
      </c>
      <c r="M4504"/>
    </row>
    <row r="4505" spans="1:13" x14ac:dyDescent="0.25">
      <c r="A4505" s="2">
        <v>45303</v>
      </c>
      <c r="B4505" s="3" t="s">
        <v>244</v>
      </c>
      <c r="C4505" s="3" t="s">
        <v>9</v>
      </c>
      <c r="D4505" s="3" t="s">
        <v>19</v>
      </c>
      <c r="E4505" s="5" t="s">
        <v>11</v>
      </c>
      <c r="F4505" s="17">
        <v>4.7</v>
      </c>
      <c r="G4505" s="3">
        <v>10</v>
      </c>
      <c r="H4505" s="17">
        <f>Table1[[#This Row],[Unit price]]*Table1[[#This Row],[Quantity]]</f>
        <v>47</v>
      </c>
      <c r="I4505" s="29">
        <f>Table1[[#This Row],[Total Revenue]]/$H$5056*100</f>
        <v>4.9865001119044853E-3</v>
      </c>
      <c r="J4505" s="3" t="s">
        <v>17</v>
      </c>
      <c r="K4505" s="4">
        <v>4.5999999999999996</v>
      </c>
      <c r="M4505"/>
    </row>
    <row r="4506" spans="1:13" x14ac:dyDescent="0.25">
      <c r="A4506" s="2">
        <v>45303</v>
      </c>
      <c r="B4506" s="3" t="s">
        <v>244</v>
      </c>
      <c r="C4506" s="3" t="s">
        <v>9</v>
      </c>
      <c r="D4506" s="3" t="s">
        <v>19</v>
      </c>
      <c r="E4506" s="5" t="s">
        <v>18</v>
      </c>
      <c r="F4506" s="17">
        <v>3.21</v>
      </c>
      <c r="G4506" s="3">
        <v>1</v>
      </c>
      <c r="H4506" s="17">
        <f>Table1[[#This Row],[Unit price]]*Table1[[#This Row],[Quantity]]</f>
        <v>3.21</v>
      </c>
      <c r="I4506" s="29">
        <f>Table1[[#This Row],[Total Revenue]]/$H$5056*100</f>
        <v>3.4056734806837014E-4</v>
      </c>
      <c r="J4506" s="3" t="s">
        <v>12</v>
      </c>
      <c r="K4506" s="4">
        <v>3.5</v>
      </c>
      <c r="M4506"/>
    </row>
    <row r="4507" spans="1:13" x14ac:dyDescent="0.25">
      <c r="A4507" s="2">
        <v>45303</v>
      </c>
      <c r="B4507" s="3" t="s">
        <v>245</v>
      </c>
      <c r="C4507" s="3" t="s">
        <v>9</v>
      </c>
      <c r="D4507" s="3" t="s">
        <v>10</v>
      </c>
      <c r="E4507" s="5" t="s">
        <v>18</v>
      </c>
      <c r="F4507" s="17">
        <v>11.71</v>
      </c>
      <c r="G4507" s="3">
        <v>10</v>
      </c>
      <c r="H4507" s="17">
        <f>Table1[[#This Row],[Unit price]]*Table1[[#This Row],[Quantity]]</f>
        <v>117.10000000000001</v>
      </c>
      <c r="I4507" s="29">
        <f>Table1[[#This Row],[Total Revenue]]/$H$5056*100</f>
        <v>1.2423811980936495E-2</v>
      </c>
      <c r="J4507" s="3" t="s">
        <v>17</v>
      </c>
      <c r="K4507" s="4">
        <v>6.2</v>
      </c>
      <c r="M4507"/>
    </row>
    <row r="4508" spans="1:13" x14ac:dyDescent="0.25">
      <c r="A4508" s="2">
        <v>45334</v>
      </c>
      <c r="B4508" s="3" t="s">
        <v>243</v>
      </c>
      <c r="C4508" s="3" t="s">
        <v>9</v>
      </c>
      <c r="D4508" s="3" t="s">
        <v>19</v>
      </c>
      <c r="E4508" s="5" t="s">
        <v>20</v>
      </c>
      <c r="F4508" s="17">
        <v>51.94</v>
      </c>
      <c r="G4508" s="3">
        <v>7</v>
      </c>
      <c r="H4508" s="17">
        <f>Table1[[#This Row],[Unit price]]*Table1[[#This Row],[Quantity]]</f>
        <v>363.58</v>
      </c>
      <c r="I4508" s="29">
        <f>Table1[[#This Row],[Total Revenue]]/$H$5056*100</f>
        <v>3.8574291716728354E-2</v>
      </c>
      <c r="J4508" s="3" t="s">
        <v>12</v>
      </c>
      <c r="K4508" s="4">
        <v>5.9</v>
      </c>
      <c r="M4508"/>
    </row>
    <row r="4509" spans="1:13" x14ac:dyDescent="0.25">
      <c r="A4509" s="2">
        <v>45334</v>
      </c>
      <c r="B4509" s="3" t="s">
        <v>245</v>
      </c>
      <c r="C4509" s="3" t="s">
        <v>9</v>
      </c>
      <c r="D4509" s="3" t="s">
        <v>19</v>
      </c>
      <c r="E4509" s="5" t="s">
        <v>11</v>
      </c>
      <c r="F4509" s="17">
        <v>2.48</v>
      </c>
      <c r="G4509" s="3">
        <v>6</v>
      </c>
      <c r="H4509" s="17">
        <f>Table1[[#This Row],[Unit price]]*Table1[[#This Row],[Quantity]]</f>
        <v>14.879999999999999</v>
      </c>
      <c r="I4509" s="29">
        <f>Table1[[#This Row],[Total Revenue]]/$H$5056*100</f>
        <v>1.5787047162795476E-3</v>
      </c>
      <c r="J4509" s="3" t="s">
        <v>15</v>
      </c>
      <c r="K4509" s="4">
        <v>4.7</v>
      </c>
      <c r="M4509"/>
    </row>
    <row r="4510" spans="1:13" x14ac:dyDescent="0.25">
      <c r="A4510" s="2">
        <v>45334</v>
      </c>
      <c r="B4510" s="3" t="s">
        <v>243</v>
      </c>
      <c r="C4510" s="3" t="s">
        <v>13</v>
      </c>
      <c r="D4510" s="3" t="s">
        <v>19</v>
      </c>
      <c r="E4510" s="5" t="s">
        <v>18</v>
      </c>
      <c r="F4510" s="17">
        <v>5.3</v>
      </c>
      <c r="G4510" s="3">
        <v>8</v>
      </c>
      <c r="H4510" s="17">
        <f>Table1[[#This Row],[Unit price]]*Table1[[#This Row],[Quantity]]</f>
        <v>42.4</v>
      </c>
      <c r="I4510" s="29">
        <f>Table1[[#This Row],[Total Revenue]]/$H$5056*100</f>
        <v>4.4984596754202161E-3</v>
      </c>
      <c r="J4510" s="3" t="s">
        <v>15</v>
      </c>
      <c r="K4510" s="4">
        <v>8.9</v>
      </c>
      <c r="M4510"/>
    </row>
    <row r="4511" spans="1:13" x14ac:dyDescent="0.25">
      <c r="A4511" s="2">
        <v>45334</v>
      </c>
      <c r="B4511" s="3" t="s">
        <v>245</v>
      </c>
      <c r="C4511" s="3" t="s">
        <v>9</v>
      </c>
      <c r="D4511" s="3" t="s">
        <v>19</v>
      </c>
      <c r="E4511" s="5" t="s">
        <v>14</v>
      </c>
      <c r="F4511" s="17">
        <v>88.88</v>
      </c>
      <c r="G4511" s="3">
        <v>9</v>
      </c>
      <c r="H4511" s="17">
        <f>Table1[[#This Row],[Unit price]]*Table1[[#This Row],[Quantity]]</f>
        <v>799.92</v>
      </c>
      <c r="I4511" s="29">
        <f>Table1[[#This Row],[Total Revenue]]/$H$5056*100</f>
        <v>8.4868109989673091E-2</v>
      </c>
      <c r="J4511" s="3" t="s">
        <v>15</v>
      </c>
      <c r="K4511" s="4">
        <v>9.6</v>
      </c>
      <c r="M4511"/>
    </row>
    <row r="4512" spans="1:13" x14ac:dyDescent="0.25">
      <c r="A4512" s="2">
        <v>45334</v>
      </c>
      <c r="B4512" s="3" t="s">
        <v>244</v>
      </c>
      <c r="C4512" s="3" t="s">
        <v>13</v>
      </c>
      <c r="D4512" s="3" t="s">
        <v>19</v>
      </c>
      <c r="E4512" s="5" t="s">
        <v>16</v>
      </c>
      <c r="F4512" s="17">
        <v>64.569999999999993</v>
      </c>
      <c r="G4512" s="3">
        <v>4</v>
      </c>
      <c r="H4512" s="17">
        <f>Table1[[#This Row],[Unit price]]*Table1[[#This Row],[Quantity]]</f>
        <v>258.27999999999997</v>
      </c>
      <c r="I4512" s="29">
        <f>Table1[[#This Row],[Total Revenue]]/$H$5056*100</f>
        <v>2.7402409551121068E-2</v>
      </c>
      <c r="J4512" s="3" t="s">
        <v>12</v>
      </c>
      <c r="K4512" s="4">
        <v>9.1</v>
      </c>
      <c r="M4512"/>
    </row>
    <row r="4513" spans="1:13" x14ac:dyDescent="0.25">
      <c r="A4513" s="2">
        <v>45334</v>
      </c>
      <c r="B4513" s="3" t="s">
        <v>244</v>
      </c>
      <c r="C4513" s="3" t="s">
        <v>13</v>
      </c>
      <c r="D4513" s="3" t="s">
        <v>10</v>
      </c>
      <c r="E4513" s="5" t="s">
        <v>18</v>
      </c>
      <c r="F4513" s="17">
        <v>18.68</v>
      </c>
      <c r="G4513" s="3">
        <v>8</v>
      </c>
      <c r="H4513" s="17">
        <f>Table1[[#This Row],[Unit price]]*Table1[[#This Row],[Quantity]]</f>
        <v>149.44</v>
      </c>
      <c r="I4513" s="29">
        <f>Table1[[#This Row],[Total Revenue]]/$H$5056*100</f>
        <v>1.5854948440915027E-2</v>
      </c>
      <c r="J4513" s="3" t="s">
        <v>12</v>
      </c>
      <c r="K4513" s="4">
        <v>5.9</v>
      </c>
      <c r="M4513"/>
    </row>
    <row r="4514" spans="1:13" x14ac:dyDescent="0.25">
      <c r="A4514" s="2">
        <v>45334</v>
      </c>
      <c r="B4514" s="3" t="s">
        <v>245</v>
      </c>
      <c r="C4514" s="3" t="s">
        <v>9</v>
      </c>
      <c r="D4514" s="3" t="s">
        <v>10</v>
      </c>
      <c r="E4514" s="5" t="s">
        <v>16</v>
      </c>
      <c r="F4514" s="17">
        <v>55.7</v>
      </c>
      <c r="G4514" s="3">
        <v>4</v>
      </c>
      <c r="H4514" s="17">
        <f>Table1[[#This Row],[Unit price]]*Table1[[#This Row],[Quantity]]</f>
        <v>222.8</v>
      </c>
      <c r="I4514" s="29">
        <f>Table1[[#This Row],[Total Revenue]]/$H$5056*100</f>
        <v>2.3638132445368498E-2</v>
      </c>
      <c r="J4514" s="3" t="s">
        <v>15</v>
      </c>
      <c r="K4514" s="4">
        <v>6.9</v>
      </c>
      <c r="M4514"/>
    </row>
    <row r="4515" spans="1:13" x14ac:dyDescent="0.25">
      <c r="A4515" s="2">
        <v>45334</v>
      </c>
      <c r="B4515" s="3" t="s">
        <v>245</v>
      </c>
      <c r="C4515" s="3" t="s">
        <v>9</v>
      </c>
      <c r="D4515" s="3" t="s">
        <v>10</v>
      </c>
      <c r="E4515" s="5" t="s">
        <v>11</v>
      </c>
      <c r="F4515" s="17">
        <v>2.4</v>
      </c>
      <c r="G4515" s="3">
        <v>8</v>
      </c>
      <c r="H4515" s="17">
        <f>Table1[[#This Row],[Unit price]]*Table1[[#This Row],[Quantity]]</f>
        <v>19.2</v>
      </c>
      <c r="I4515" s="29">
        <f>Table1[[#This Row],[Total Revenue]]/$H$5056*100</f>
        <v>2.0370383435865131E-3</v>
      </c>
      <c r="J4515" s="3" t="s">
        <v>17</v>
      </c>
      <c r="K4515" s="4">
        <v>9.3000000000000007</v>
      </c>
      <c r="M4515"/>
    </row>
    <row r="4516" spans="1:13" x14ac:dyDescent="0.25">
      <c r="A4516" s="2">
        <v>45334</v>
      </c>
      <c r="B4516" s="3" t="s">
        <v>244</v>
      </c>
      <c r="C4516" s="3" t="s">
        <v>9</v>
      </c>
      <c r="D4516" s="3" t="s">
        <v>19</v>
      </c>
      <c r="E4516" s="5" t="s">
        <v>11</v>
      </c>
      <c r="F4516" s="17">
        <v>2.5499999999999998</v>
      </c>
      <c r="G4516" s="3">
        <v>2</v>
      </c>
      <c r="H4516" s="17">
        <f>Table1[[#This Row],[Unit price]]*Table1[[#This Row],[Quantity]]</f>
        <v>5.0999999999999996</v>
      </c>
      <c r="I4516" s="29">
        <f>Table1[[#This Row],[Total Revenue]]/$H$5056*100</f>
        <v>5.4108831001516752E-4</v>
      </c>
      <c r="J4516" s="3" t="s">
        <v>17</v>
      </c>
      <c r="K4516" s="4">
        <v>8.9</v>
      </c>
      <c r="M4516"/>
    </row>
    <row r="4517" spans="1:13" x14ac:dyDescent="0.25">
      <c r="A4517" s="2">
        <v>45334</v>
      </c>
      <c r="B4517" s="3" t="s">
        <v>245</v>
      </c>
      <c r="C4517" s="3" t="s">
        <v>9</v>
      </c>
      <c r="D4517" s="3" t="s">
        <v>19</v>
      </c>
      <c r="E4517" s="5" t="s">
        <v>11</v>
      </c>
      <c r="F4517" s="17">
        <v>6.96</v>
      </c>
      <c r="G4517" s="3">
        <v>7</v>
      </c>
      <c r="H4517" s="17">
        <f>Table1[[#This Row],[Unit price]]*Table1[[#This Row],[Quantity]]</f>
        <v>48.72</v>
      </c>
      <c r="I4517" s="29">
        <f>Table1[[#This Row],[Total Revenue]]/$H$5056*100</f>
        <v>5.1689847968507769E-3</v>
      </c>
      <c r="J4517" s="3" t="s">
        <v>17</v>
      </c>
      <c r="K4517" s="4">
        <v>7</v>
      </c>
      <c r="M4517"/>
    </row>
    <row r="4518" spans="1:13" x14ac:dyDescent="0.25">
      <c r="A4518" s="2">
        <v>45334</v>
      </c>
      <c r="B4518" s="3" t="s">
        <v>243</v>
      </c>
      <c r="C4518" s="3" t="s">
        <v>13</v>
      </c>
      <c r="D4518" s="3" t="s">
        <v>19</v>
      </c>
      <c r="E4518" s="5" t="s">
        <v>11</v>
      </c>
      <c r="F4518" s="17">
        <v>3.91</v>
      </c>
      <c r="G4518" s="3">
        <v>7</v>
      </c>
      <c r="H4518" s="17">
        <f>Table1[[#This Row],[Unit price]]*Table1[[#This Row],[Quantity]]</f>
        <v>27.37</v>
      </c>
      <c r="I4518" s="29">
        <f>Table1[[#This Row],[Total Revenue]]/$H$5056*100</f>
        <v>2.9038405970813991E-3</v>
      </c>
      <c r="J4518" s="3" t="s">
        <v>15</v>
      </c>
      <c r="K4518" s="4">
        <v>7.6</v>
      </c>
      <c r="M4518"/>
    </row>
    <row r="4519" spans="1:13" x14ac:dyDescent="0.25">
      <c r="A4519" s="2">
        <v>45334</v>
      </c>
      <c r="B4519" s="3" t="s">
        <v>243</v>
      </c>
      <c r="C4519" s="3" t="s">
        <v>9</v>
      </c>
      <c r="D4519" s="3" t="s">
        <v>19</v>
      </c>
      <c r="E4519" s="5" t="s">
        <v>11</v>
      </c>
      <c r="F4519" s="17">
        <v>5.67</v>
      </c>
      <c r="G4519" s="3">
        <v>10</v>
      </c>
      <c r="H4519" s="17">
        <f>Table1[[#This Row],[Unit price]]*Table1[[#This Row],[Quantity]]</f>
        <v>56.7</v>
      </c>
      <c r="I4519" s="29">
        <f>Table1[[#This Row],[Total Revenue]]/$H$5056*100</f>
        <v>6.015628858403922E-3</v>
      </c>
      <c r="J4519" s="3" t="s">
        <v>15</v>
      </c>
      <c r="K4519" s="4">
        <v>3.5</v>
      </c>
      <c r="M4519"/>
    </row>
    <row r="4520" spans="1:13" x14ac:dyDescent="0.25">
      <c r="A4520" s="2">
        <v>45363</v>
      </c>
      <c r="B4520" s="3" t="s">
        <v>243</v>
      </c>
      <c r="C4520" s="3" t="s">
        <v>13</v>
      </c>
      <c r="D4520" s="3" t="s">
        <v>19</v>
      </c>
      <c r="E4520" s="5" t="s">
        <v>18</v>
      </c>
      <c r="F4520" s="17">
        <v>17.86</v>
      </c>
      <c r="G4520" s="3">
        <v>4</v>
      </c>
      <c r="H4520" s="17">
        <f>Table1[[#This Row],[Unit price]]*Table1[[#This Row],[Quantity]]</f>
        <v>71.44</v>
      </c>
      <c r="I4520" s="29">
        <f>Table1[[#This Row],[Total Revenue]]/$H$5056*100</f>
        <v>7.5794801700948171E-3</v>
      </c>
      <c r="J4520" s="3" t="s">
        <v>12</v>
      </c>
      <c r="K4520" s="4">
        <v>4.9000000000000004</v>
      </c>
      <c r="M4520"/>
    </row>
    <row r="4521" spans="1:13" x14ac:dyDescent="0.25">
      <c r="A4521" s="2">
        <v>45363</v>
      </c>
      <c r="B4521" s="3" t="s">
        <v>245</v>
      </c>
      <c r="C4521" s="3" t="s">
        <v>9</v>
      </c>
      <c r="D4521" s="3" t="s">
        <v>10</v>
      </c>
      <c r="E4521" s="5" t="s">
        <v>11</v>
      </c>
      <c r="F4521" s="17">
        <v>7.34</v>
      </c>
      <c r="G4521" s="3">
        <v>9</v>
      </c>
      <c r="H4521" s="17">
        <f>Table1[[#This Row],[Unit price]]*Table1[[#This Row],[Quantity]]</f>
        <v>66.06</v>
      </c>
      <c r="I4521" s="29">
        <f>Table1[[#This Row],[Total Revenue]]/$H$5056*100</f>
        <v>7.0086850509023472E-3</v>
      </c>
      <c r="J4521" s="3" t="s">
        <v>12</v>
      </c>
      <c r="K4521" s="4">
        <v>9.3000000000000007</v>
      </c>
      <c r="M4521"/>
    </row>
    <row r="4522" spans="1:13" x14ac:dyDescent="0.25">
      <c r="A4522" s="2">
        <v>45363</v>
      </c>
      <c r="B4522" s="3" t="s">
        <v>244</v>
      </c>
      <c r="C4522" s="3" t="s">
        <v>9</v>
      </c>
      <c r="D4522" s="3" t="s">
        <v>10</v>
      </c>
      <c r="E4522" s="5" t="s">
        <v>14</v>
      </c>
      <c r="F4522" s="17">
        <v>95.76</v>
      </c>
      <c r="G4522" s="3">
        <v>9</v>
      </c>
      <c r="H4522" s="17">
        <f>Table1[[#This Row],[Unit price]]*Table1[[#This Row],[Quantity]]</f>
        <v>861.84</v>
      </c>
      <c r="I4522" s="29">
        <f>Table1[[#This Row],[Total Revenue]]/$H$5056*100</f>
        <v>9.1437558647739614E-2</v>
      </c>
      <c r="J4522" s="3" t="s">
        <v>15</v>
      </c>
      <c r="K4522" s="4">
        <v>4.9000000000000004</v>
      </c>
      <c r="M4522"/>
    </row>
    <row r="4523" spans="1:13" x14ac:dyDescent="0.25">
      <c r="A4523" s="2">
        <v>45363</v>
      </c>
      <c r="B4523" s="3" t="s">
        <v>245</v>
      </c>
      <c r="C4523" s="3" t="s">
        <v>9</v>
      </c>
      <c r="D4523" s="3" t="s">
        <v>10</v>
      </c>
      <c r="E4523" s="5" t="s">
        <v>21</v>
      </c>
      <c r="F4523" s="17">
        <v>40.619999999999997</v>
      </c>
      <c r="G4523" s="3">
        <v>5</v>
      </c>
      <c r="H4523" s="17">
        <f>Table1[[#This Row],[Unit price]]*Table1[[#This Row],[Quantity]]</f>
        <v>203.1</v>
      </c>
      <c r="I4523" s="29">
        <f>Table1[[#This Row],[Total Revenue]]/$H$5056*100</f>
        <v>2.1548046228251082E-2</v>
      </c>
      <c r="J4523" s="3" t="s">
        <v>17</v>
      </c>
      <c r="K4523" s="4">
        <v>6.3</v>
      </c>
      <c r="M4523"/>
    </row>
    <row r="4524" spans="1:13" x14ac:dyDescent="0.25">
      <c r="A4524" s="2">
        <v>45363</v>
      </c>
      <c r="B4524" s="3" t="s">
        <v>244</v>
      </c>
      <c r="C4524" s="3" t="s">
        <v>13</v>
      </c>
      <c r="D4524" s="3" t="s">
        <v>19</v>
      </c>
      <c r="E4524" s="5" t="s">
        <v>16</v>
      </c>
      <c r="F4524" s="17">
        <v>74.88</v>
      </c>
      <c r="G4524" s="3">
        <v>1</v>
      </c>
      <c r="H4524" s="17">
        <f>Table1[[#This Row],[Unit price]]*Table1[[#This Row],[Quantity]]</f>
        <v>74.88</v>
      </c>
      <c r="I4524" s="29">
        <f>Table1[[#This Row],[Total Revenue]]/$H$5056*100</f>
        <v>7.9444495399873995E-3</v>
      </c>
      <c r="J4524" s="3" t="s">
        <v>15</v>
      </c>
      <c r="K4524" s="4">
        <v>5.3</v>
      </c>
      <c r="M4524"/>
    </row>
    <row r="4525" spans="1:13" x14ac:dyDescent="0.25">
      <c r="A4525" s="2">
        <v>45363</v>
      </c>
      <c r="B4525" s="3" t="s">
        <v>243</v>
      </c>
      <c r="C4525" s="3" t="s">
        <v>13</v>
      </c>
      <c r="D4525" s="3" t="s">
        <v>19</v>
      </c>
      <c r="E4525" s="5" t="s">
        <v>14</v>
      </c>
      <c r="F4525" s="17">
        <v>85.97</v>
      </c>
      <c r="G4525" s="3">
        <v>7</v>
      </c>
      <c r="H4525" s="17">
        <f>Table1[[#This Row],[Unit price]]*Table1[[#This Row],[Quantity]]</f>
        <v>601.79</v>
      </c>
      <c r="I4525" s="29">
        <f>Table1[[#This Row],[Total Revenue]]/$H$5056*100</f>
        <v>6.3847359624319144E-2</v>
      </c>
      <c r="J4525" s="3" t="s">
        <v>17</v>
      </c>
      <c r="K4525" s="4">
        <v>3.1</v>
      </c>
      <c r="M4525"/>
    </row>
    <row r="4526" spans="1:13" x14ac:dyDescent="0.25">
      <c r="A4526" s="2">
        <v>45363</v>
      </c>
      <c r="B4526" s="3" t="s">
        <v>245</v>
      </c>
      <c r="C4526" s="3" t="s">
        <v>9</v>
      </c>
      <c r="D4526" s="3" t="s">
        <v>19</v>
      </c>
      <c r="E4526" s="5" t="s">
        <v>14</v>
      </c>
      <c r="F4526" s="17">
        <v>94.16</v>
      </c>
      <c r="G4526" s="3">
        <v>10</v>
      </c>
      <c r="H4526" s="17">
        <f>Table1[[#This Row],[Unit price]]*Table1[[#This Row],[Quantity]]</f>
        <v>941.59999999999991</v>
      </c>
      <c r="I4526" s="29">
        <f>Table1[[#This Row],[Total Revenue]]/$H$5056*100</f>
        <v>9.9899755433388554E-2</v>
      </c>
      <c r="J4526" s="3" t="s">
        <v>17</v>
      </c>
      <c r="K4526" s="4">
        <v>4</v>
      </c>
      <c r="M4526"/>
    </row>
    <row r="4527" spans="1:13" x14ac:dyDescent="0.25">
      <c r="A4527" s="2">
        <v>45363</v>
      </c>
      <c r="B4527" s="3" t="s">
        <v>243</v>
      </c>
      <c r="C4527" s="3" t="s">
        <v>9</v>
      </c>
      <c r="D4527" s="3" t="s">
        <v>10</v>
      </c>
      <c r="E4527" s="5" t="s">
        <v>14</v>
      </c>
      <c r="F4527" s="17">
        <v>96.02</v>
      </c>
      <c r="G4527" s="3">
        <v>4</v>
      </c>
      <c r="H4527" s="17">
        <f>Table1[[#This Row],[Unit price]]*Table1[[#This Row],[Quantity]]</f>
        <v>384.08</v>
      </c>
      <c r="I4527" s="29">
        <f>Table1[[#This Row],[Total Revenue]]/$H$5056*100</f>
        <v>4.0749254531495201E-2</v>
      </c>
      <c r="J4527" s="3" t="s">
        <v>17</v>
      </c>
      <c r="K4527" s="4">
        <v>4.7</v>
      </c>
      <c r="M4527"/>
    </row>
    <row r="4528" spans="1:13" x14ac:dyDescent="0.25">
      <c r="A4528" s="2">
        <v>45363</v>
      </c>
      <c r="B4528" s="3" t="s">
        <v>245</v>
      </c>
      <c r="C4528" s="3" t="s">
        <v>9</v>
      </c>
      <c r="D4528" s="3" t="s">
        <v>10</v>
      </c>
      <c r="E4528" s="5" t="s">
        <v>14</v>
      </c>
      <c r="F4528" s="17">
        <v>96.8</v>
      </c>
      <c r="G4528" s="3">
        <v>4</v>
      </c>
      <c r="H4528" s="17">
        <f>Table1[[#This Row],[Unit price]]*Table1[[#This Row],[Quantity]]</f>
        <v>387.2</v>
      </c>
      <c r="I4528" s="29">
        <f>Table1[[#This Row],[Total Revenue]]/$H$5056*100</f>
        <v>4.1080273262328014E-2</v>
      </c>
      <c r="J4528" s="3" t="s">
        <v>15</v>
      </c>
      <c r="K4528" s="4">
        <v>9.6</v>
      </c>
      <c r="M4528"/>
    </row>
    <row r="4529" spans="1:13" x14ac:dyDescent="0.25">
      <c r="A4529" s="2">
        <v>45363</v>
      </c>
      <c r="B4529" s="3" t="s">
        <v>243</v>
      </c>
      <c r="C4529" s="3" t="s">
        <v>9</v>
      </c>
      <c r="D4529" s="3" t="s">
        <v>19</v>
      </c>
      <c r="E4529" s="5" t="s">
        <v>20</v>
      </c>
      <c r="F4529" s="17">
        <v>64.73</v>
      </c>
      <c r="G4529" s="3">
        <v>6</v>
      </c>
      <c r="H4529" s="17">
        <f>Table1[[#This Row],[Unit price]]*Table1[[#This Row],[Quantity]]</f>
        <v>388.38</v>
      </c>
      <c r="I4529" s="29">
        <f>Table1[[#This Row],[Total Revenue]]/$H$5056*100</f>
        <v>4.1205466243860935E-2</v>
      </c>
      <c r="J4529" s="3" t="s">
        <v>12</v>
      </c>
      <c r="K4529" s="4">
        <v>8.5</v>
      </c>
      <c r="M4529"/>
    </row>
    <row r="4530" spans="1:13" x14ac:dyDescent="0.25">
      <c r="A4530" s="2">
        <v>45363</v>
      </c>
      <c r="B4530" s="3" t="s">
        <v>244</v>
      </c>
      <c r="C4530" s="3" t="s">
        <v>9</v>
      </c>
      <c r="D4530" s="3" t="s">
        <v>10</v>
      </c>
      <c r="E4530" s="5" t="s">
        <v>16</v>
      </c>
      <c r="F4530" s="17">
        <v>73.62</v>
      </c>
      <c r="G4530" s="3">
        <v>2</v>
      </c>
      <c r="H4530" s="17">
        <f>Table1[[#This Row],[Unit price]]*Table1[[#This Row],[Quantity]]</f>
        <v>147.24</v>
      </c>
      <c r="I4530" s="29">
        <f>Table1[[#This Row],[Total Revenue]]/$H$5056*100</f>
        <v>1.5621537797379072E-2</v>
      </c>
      <c r="J4530" s="3" t="s">
        <v>12</v>
      </c>
      <c r="K4530" s="4">
        <v>8.9</v>
      </c>
      <c r="M4530"/>
    </row>
    <row r="4531" spans="1:13" x14ac:dyDescent="0.25">
      <c r="A4531" s="2">
        <v>45394</v>
      </c>
      <c r="B4531" s="3" t="s">
        <v>244</v>
      </c>
      <c r="C4531" s="3" t="s">
        <v>13</v>
      </c>
      <c r="D4531" s="3" t="s">
        <v>19</v>
      </c>
      <c r="E4531" s="5" t="s">
        <v>16</v>
      </c>
      <c r="F4531" s="17">
        <v>60.49</v>
      </c>
      <c r="G4531" s="3">
        <v>4</v>
      </c>
      <c r="H4531" s="17">
        <f>Table1[[#This Row],[Unit price]]*Table1[[#This Row],[Quantity]]</f>
        <v>241.96</v>
      </c>
      <c r="I4531" s="29">
        <f>Table1[[#This Row],[Total Revenue]]/$H$5056*100</f>
        <v>2.5670926959072537E-2</v>
      </c>
      <c r="J4531" s="3" t="s">
        <v>15</v>
      </c>
      <c r="K4531" s="4">
        <v>3.2</v>
      </c>
      <c r="M4531"/>
    </row>
    <row r="4532" spans="1:13" x14ac:dyDescent="0.25">
      <c r="A4532" s="2">
        <v>45394</v>
      </c>
      <c r="B4532" s="3" t="s">
        <v>243</v>
      </c>
      <c r="C4532" s="3" t="s">
        <v>9</v>
      </c>
      <c r="D4532" s="3" t="s">
        <v>10</v>
      </c>
      <c r="E4532" s="5" t="s">
        <v>18</v>
      </c>
      <c r="F4532" s="17">
        <v>19.399999999999999</v>
      </c>
      <c r="G4532" s="3">
        <v>5</v>
      </c>
      <c r="H4532" s="17">
        <f>Table1[[#This Row],[Unit price]]*Table1[[#This Row],[Quantity]]</f>
        <v>97</v>
      </c>
      <c r="I4532" s="29">
        <f>Table1[[#This Row],[Total Revenue]]/$H$5056*100</f>
        <v>1.0291287464994362E-2</v>
      </c>
      <c r="J4532" s="3" t="s">
        <v>12</v>
      </c>
      <c r="K4532" s="4">
        <v>7.4</v>
      </c>
      <c r="M4532"/>
    </row>
    <row r="4533" spans="1:13" x14ac:dyDescent="0.25">
      <c r="A4533" s="2">
        <v>45394</v>
      </c>
      <c r="B4533" s="3" t="s">
        <v>245</v>
      </c>
      <c r="C4533" s="3" t="s">
        <v>9</v>
      </c>
      <c r="D4533" s="3" t="s">
        <v>10</v>
      </c>
      <c r="E4533" s="5" t="s">
        <v>11</v>
      </c>
      <c r="F4533" s="17">
        <v>2.92</v>
      </c>
      <c r="G4533" s="3">
        <v>5</v>
      </c>
      <c r="H4533" s="17">
        <f>Table1[[#This Row],[Unit price]]*Table1[[#This Row],[Quantity]]</f>
        <v>14.6</v>
      </c>
      <c r="I4533" s="29">
        <f>Table1[[#This Row],[Total Revenue]]/$H$5056*100</f>
        <v>1.5489979071022443E-3</v>
      </c>
      <c r="J4533" s="3" t="s">
        <v>15</v>
      </c>
      <c r="K4533" s="4">
        <v>6.9</v>
      </c>
      <c r="M4533"/>
    </row>
    <row r="4534" spans="1:13" x14ac:dyDescent="0.25">
      <c r="A4534" s="2">
        <v>45394</v>
      </c>
      <c r="B4534" s="3" t="s">
        <v>244</v>
      </c>
      <c r="C4534" s="3" t="s">
        <v>13</v>
      </c>
      <c r="D4534" s="3" t="s">
        <v>19</v>
      </c>
      <c r="E4534" s="5" t="s">
        <v>16</v>
      </c>
      <c r="F4534" s="17">
        <v>60.37</v>
      </c>
      <c r="G4534" s="3">
        <v>6</v>
      </c>
      <c r="H4534" s="17">
        <f>Table1[[#This Row],[Unit price]]*Table1[[#This Row],[Quantity]]</f>
        <v>362.21999999999997</v>
      </c>
      <c r="I4534" s="29">
        <f>Table1[[#This Row],[Total Revenue]]/$H$5056*100</f>
        <v>3.8430001500724308E-2</v>
      </c>
      <c r="J4534" s="3" t="s">
        <v>12</v>
      </c>
      <c r="K4534" s="4">
        <v>7.1</v>
      </c>
      <c r="M4534"/>
    </row>
    <row r="4535" spans="1:13" x14ac:dyDescent="0.25">
      <c r="A4535" s="2">
        <v>45394</v>
      </c>
      <c r="B4535" s="3" t="s">
        <v>243</v>
      </c>
      <c r="C4535" s="3" t="s">
        <v>13</v>
      </c>
      <c r="D4535" s="3" t="s">
        <v>19</v>
      </c>
      <c r="E4535" s="5" t="s">
        <v>11</v>
      </c>
      <c r="F4535" s="17">
        <v>2.36</v>
      </c>
      <c r="G4535" s="3">
        <v>7</v>
      </c>
      <c r="H4535" s="17">
        <f>Table1[[#This Row],[Unit price]]*Table1[[#This Row],[Quantity]]</f>
        <v>16.52</v>
      </c>
      <c r="I4535" s="29">
        <f>Table1[[#This Row],[Total Revenue]]/$H$5056*100</f>
        <v>1.7527017414608957E-3</v>
      </c>
      <c r="J4535" s="3" t="s">
        <v>15</v>
      </c>
      <c r="K4535" s="4">
        <v>6.5</v>
      </c>
      <c r="M4535"/>
    </row>
    <row r="4536" spans="1:13" x14ac:dyDescent="0.25">
      <c r="A4536" s="2">
        <v>45394</v>
      </c>
      <c r="B4536" s="3" t="s">
        <v>245</v>
      </c>
      <c r="C4536" s="3" t="s">
        <v>13</v>
      </c>
      <c r="D4536" s="3" t="s">
        <v>19</v>
      </c>
      <c r="E4536" s="5" t="s">
        <v>20</v>
      </c>
      <c r="F4536" s="17">
        <v>58.63</v>
      </c>
      <c r="G4536" s="3">
        <v>6</v>
      </c>
      <c r="H4536" s="17">
        <f>Table1[[#This Row],[Unit price]]*Table1[[#This Row],[Quantity]]</f>
        <v>351.78000000000003</v>
      </c>
      <c r="I4536" s="29">
        <f>Table1[[#This Row],[Total Revenue]]/$H$5056*100</f>
        <v>3.7322361901399148E-2</v>
      </c>
      <c r="J4536" s="3" t="s">
        <v>17</v>
      </c>
      <c r="K4536" s="4">
        <v>5.0999999999999996</v>
      </c>
      <c r="M4536"/>
    </row>
    <row r="4537" spans="1:13" x14ac:dyDescent="0.25">
      <c r="A4537" s="2">
        <v>45394</v>
      </c>
      <c r="B4537" s="3" t="s">
        <v>245</v>
      </c>
      <c r="C4537" s="3" t="s">
        <v>13</v>
      </c>
      <c r="D4537" s="3" t="s">
        <v>10</v>
      </c>
      <c r="E4537" s="5" t="s">
        <v>20</v>
      </c>
      <c r="F4537" s="17">
        <v>63.34</v>
      </c>
      <c r="G4537" s="3">
        <v>6</v>
      </c>
      <c r="H4537" s="17">
        <f>Table1[[#This Row],[Unit price]]*Table1[[#This Row],[Quantity]]</f>
        <v>380.04</v>
      </c>
      <c r="I4537" s="29">
        <f>Table1[[#This Row],[Total Revenue]]/$H$5056*100</f>
        <v>4.0320627713365545E-2</v>
      </c>
      <c r="J4537" s="3" t="s">
        <v>12</v>
      </c>
      <c r="K4537" s="4">
        <v>7.7</v>
      </c>
      <c r="M4537"/>
    </row>
    <row r="4538" spans="1:13" x14ac:dyDescent="0.25">
      <c r="A4538" s="2">
        <v>45394</v>
      </c>
      <c r="B4538" s="3" t="s">
        <v>244</v>
      </c>
      <c r="C4538" s="3" t="s">
        <v>13</v>
      </c>
      <c r="D4538" s="3" t="s">
        <v>10</v>
      </c>
      <c r="E4538" s="5" t="s">
        <v>11</v>
      </c>
      <c r="F4538" s="17">
        <v>7.42</v>
      </c>
      <c r="G4538" s="3">
        <v>3</v>
      </c>
      <c r="H4538" s="17">
        <f>Table1[[#This Row],[Unit price]]*Table1[[#This Row],[Quantity]]</f>
        <v>22.259999999999998</v>
      </c>
      <c r="I4538" s="29">
        <f>Table1[[#This Row],[Total Revenue]]/$H$5056*100</f>
        <v>2.3616913295956134E-3</v>
      </c>
      <c r="J4538" s="3" t="s">
        <v>17</v>
      </c>
      <c r="K4538" s="4">
        <v>6.9</v>
      </c>
      <c r="M4538"/>
    </row>
    <row r="4539" spans="1:13" x14ac:dyDescent="0.25">
      <c r="A4539" s="2">
        <v>45394</v>
      </c>
      <c r="B4539" s="3" t="s">
        <v>244</v>
      </c>
      <c r="C4539" s="3" t="s">
        <v>13</v>
      </c>
      <c r="D4539" s="3" t="s">
        <v>10</v>
      </c>
      <c r="E4539" s="5" t="s">
        <v>11</v>
      </c>
      <c r="F4539" s="17">
        <v>3.68</v>
      </c>
      <c r="G4539" s="3">
        <v>10</v>
      </c>
      <c r="H4539" s="17">
        <f>Table1[[#This Row],[Unit price]]*Table1[[#This Row],[Quantity]]</f>
        <v>36.800000000000004</v>
      </c>
      <c r="I4539" s="29">
        <f>Table1[[#This Row],[Total Revenue]]/$H$5056*100</f>
        <v>3.9043234918741503E-3</v>
      </c>
      <c r="J4539" s="3" t="s">
        <v>17</v>
      </c>
      <c r="K4539" s="4">
        <v>7.5</v>
      </c>
      <c r="M4539"/>
    </row>
    <row r="4540" spans="1:13" x14ac:dyDescent="0.25">
      <c r="A4540" s="2">
        <v>45394</v>
      </c>
      <c r="B4540" s="3" t="s">
        <v>243</v>
      </c>
      <c r="C4540" s="3" t="s">
        <v>13</v>
      </c>
      <c r="D4540" s="3" t="s">
        <v>19</v>
      </c>
      <c r="E4540" s="5" t="s">
        <v>11</v>
      </c>
      <c r="F4540" s="17">
        <v>8.35</v>
      </c>
      <c r="G4540" s="3">
        <v>3</v>
      </c>
      <c r="H4540" s="17">
        <f>Table1[[#This Row],[Unit price]]*Table1[[#This Row],[Quantity]]</f>
        <v>25.049999999999997</v>
      </c>
      <c r="I4540" s="29">
        <f>Table1[[#This Row],[Total Revenue]]/$H$5056*100</f>
        <v>2.6576984638980285E-3</v>
      </c>
      <c r="J4540" s="3" t="s">
        <v>17</v>
      </c>
      <c r="K4540" s="4">
        <v>3.6</v>
      </c>
      <c r="M4540"/>
    </row>
    <row r="4541" spans="1:13" x14ac:dyDescent="0.25">
      <c r="A4541" s="2">
        <v>45394</v>
      </c>
      <c r="B4541" s="3" t="s">
        <v>245</v>
      </c>
      <c r="C4541" s="3" t="s">
        <v>9</v>
      </c>
      <c r="D4541" s="3" t="s">
        <v>10</v>
      </c>
      <c r="E4541" s="5" t="s">
        <v>11</v>
      </c>
      <c r="F4541" s="17">
        <v>8.5500000000000007</v>
      </c>
      <c r="G4541" s="3">
        <v>4</v>
      </c>
      <c r="H4541" s="17">
        <f>Table1[[#This Row],[Unit price]]*Table1[[#This Row],[Quantity]]</f>
        <v>34.200000000000003</v>
      </c>
      <c r="I4541" s="29">
        <f>Table1[[#This Row],[Total Revenue]]/$H$5056*100</f>
        <v>3.6284745495134768E-3</v>
      </c>
      <c r="J4541" s="3" t="s">
        <v>17</v>
      </c>
      <c r="K4541" s="4">
        <v>5.0999999999999996</v>
      </c>
      <c r="M4541"/>
    </row>
    <row r="4542" spans="1:13" x14ac:dyDescent="0.25">
      <c r="A4542" s="2">
        <v>45394</v>
      </c>
      <c r="B4542" s="3" t="s">
        <v>244</v>
      </c>
      <c r="C4542" s="3" t="s">
        <v>9</v>
      </c>
      <c r="D4542" s="3" t="s">
        <v>19</v>
      </c>
      <c r="E4542" s="5" t="s">
        <v>20</v>
      </c>
      <c r="F4542" s="17">
        <v>54.9</v>
      </c>
      <c r="G4542" s="3">
        <v>8</v>
      </c>
      <c r="H4542" s="17">
        <f>Table1[[#This Row],[Unit price]]*Table1[[#This Row],[Quantity]]</f>
        <v>439.2</v>
      </c>
      <c r="I4542" s="29">
        <f>Table1[[#This Row],[Total Revenue]]/$H$5056*100</f>
        <v>4.6597252109541486E-2</v>
      </c>
      <c r="J4542" s="3" t="s">
        <v>17</v>
      </c>
      <c r="K4542" s="4">
        <v>8.8000000000000007</v>
      </c>
      <c r="M4542"/>
    </row>
    <row r="4543" spans="1:13" x14ac:dyDescent="0.25">
      <c r="A4543" s="2">
        <v>45394</v>
      </c>
      <c r="B4543" s="3" t="s">
        <v>243</v>
      </c>
      <c r="C4543" s="3" t="s">
        <v>13</v>
      </c>
      <c r="D4543" s="3" t="s">
        <v>19</v>
      </c>
      <c r="E4543" s="5" t="s">
        <v>14</v>
      </c>
      <c r="F4543" s="17">
        <v>84.31</v>
      </c>
      <c r="G4543" s="3">
        <v>4</v>
      </c>
      <c r="H4543" s="17">
        <f>Table1[[#This Row],[Unit price]]*Table1[[#This Row],[Quantity]]</f>
        <v>337.24</v>
      </c>
      <c r="I4543" s="29">
        <f>Table1[[#This Row],[Total Revenue]]/$H$5056*100</f>
        <v>3.5779729739120608E-2</v>
      </c>
      <c r="J4543" s="3" t="s">
        <v>15</v>
      </c>
      <c r="K4543" s="4">
        <v>7.5</v>
      </c>
      <c r="M4543"/>
    </row>
    <row r="4544" spans="1:13" x14ac:dyDescent="0.25">
      <c r="A4544" s="2">
        <v>45394</v>
      </c>
      <c r="B4544" s="3" t="s">
        <v>244</v>
      </c>
      <c r="C4544" s="3" t="s">
        <v>9</v>
      </c>
      <c r="D4544" s="3" t="s">
        <v>10</v>
      </c>
      <c r="E4544" s="5" t="s">
        <v>14</v>
      </c>
      <c r="F4544" s="17">
        <v>75.09</v>
      </c>
      <c r="G4544" s="3">
        <v>9</v>
      </c>
      <c r="H4544" s="17">
        <f>Table1[[#This Row],[Unit price]]*Table1[[#This Row],[Quantity]]</f>
        <v>675.81000000000006</v>
      </c>
      <c r="I4544" s="29">
        <f>Table1[[#This Row],[Total Revenue]]/$H$5056*100</f>
        <v>7.1700566821833414E-2</v>
      </c>
      <c r="J4544" s="3" t="s">
        <v>12</v>
      </c>
      <c r="K4544" s="4">
        <v>3.3</v>
      </c>
      <c r="M4544"/>
    </row>
    <row r="4545" spans="1:13" x14ac:dyDescent="0.25">
      <c r="A4545" s="2">
        <v>45394</v>
      </c>
      <c r="B4545" s="3" t="s">
        <v>244</v>
      </c>
      <c r="C4545" s="3" t="s">
        <v>9</v>
      </c>
      <c r="D4545" s="3" t="s">
        <v>10</v>
      </c>
      <c r="E4545" s="5" t="s">
        <v>18</v>
      </c>
      <c r="F4545" s="17">
        <v>16.43</v>
      </c>
      <c r="G4545" s="3">
        <v>9</v>
      </c>
      <c r="H4545" s="17">
        <f>Table1[[#This Row],[Unit price]]*Table1[[#This Row],[Quantity]]</f>
        <v>147.87</v>
      </c>
      <c r="I4545" s="29">
        <f>Table1[[#This Row],[Total Revenue]]/$H$5056*100</f>
        <v>1.5688378118028003E-2</v>
      </c>
      <c r="J4545" s="3" t="s">
        <v>17</v>
      </c>
      <c r="K4545" s="4">
        <v>7</v>
      </c>
      <c r="M4545"/>
    </row>
    <row r="4546" spans="1:13" x14ac:dyDescent="0.25">
      <c r="A4546" s="2">
        <v>45394</v>
      </c>
      <c r="B4546" s="3" t="s">
        <v>243</v>
      </c>
      <c r="C4546" s="3" t="s">
        <v>13</v>
      </c>
      <c r="D4546" s="3" t="s">
        <v>10</v>
      </c>
      <c r="E4546" s="5" t="s">
        <v>16</v>
      </c>
      <c r="F4546" s="17">
        <v>76.92</v>
      </c>
      <c r="G4546" s="3">
        <v>8</v>
      </c>
      <c r="H4546" s="17">
        <f>Table1[[#This Row],[Unit price]]*Table1[[#This Row],[Quantity]]</f>
        <v>615.36</v>
      </c>
      <c r="I4546" s="29">
        <f>Table1[[#This Row],[Total Revenue]]/$H$5056*100</f>
        <v>6.5287078911947738E-2</v>
      </c>
      <c r="J4546" s="3" t="s">
        <v>12</v>
      </c>
      <c r="K4546" s="4">
        <v>4.8</v>
      </c>
      <c r="M4546"/>
    </row>
    <row r="4547" spans="1:13" x14ac:dyDescent="0.25">
      <c r="A4547" s="2">
        <v>45394</v>
      </c>
      <c r="B4547" s="3" t="s">
        <v>245</v>
      </c>
      <c r="C4547" s="3" t="s">
        <v>13</v>
      </c>
      <c r="D4547" s="3" t="s">
        <v>10</v>
      </c>
      <c r="E4547" s="5" t="s">
        <v>18</v>
      </c>
      <c r="F4547" s="17">
        <v>13.28</v>
      </c>
      <c r="G4547" s="3">
        <v>5</v>
      </c>
      <c r="H4547" s="17">
        <f>Table1[[#This Row],[Unit price]]*Table1[[#This Row],[Quantity]]</f>
        <v>66.399999999999991</v>
      </c>
      <c r="I4547" s="29">
        <f>Table1[[#This Row],[Total Revenue]]/$H$5056*100</f>
        <v>7.044757604903357E-3</v>
      </c>
      <c r="J4547" s="3" t="s">
        <v>12</v>
      </c>
      <c r="K4547" s="4">
        <v>3.5</v>
      </c>
      <c r="M4547"/>
    </row>
    <row r="4548" spans="1:13" x14ac:dyDescent="0.25">
      <c r="A4548" s="2">
        <v>45394</v>
      </c>
      <c r="B4548" s="3" t="s">
        <v>243</v>
      </c>
      <c r="C4548" s="3" t="s">
        <v>13</v>
      </c>
      <c r="D4548" s="3" t="s">
        <v>10</v>
      </c>
      <c r="E4548" s="5" t="s">
        <v>11</v>
      </c>
      <c r="F4548" s="17">
        <v>9.14</v>
      </c>
      <c r="G4548" s="3">
        <v>2</v>
      </c>
      <c r="H4548" s="17">
        <f>Table1[[#This Row],[Unit price]]*Table1[[#This Row],[Quantity]]</f>
        <v>18.28</v>
      </c>
      <c r="I4548" s="29">
        <f>Table1[[#This Row],[Total Revenue]]/$H$5056*100</f>
        <v>1.9394302562896592E-3</v>
      </c>
      <c r="J4548" s="3" t="s">
        <v>15</v>
      </c>
      <c r="K4548" s="4">
        <v>4</v>
      </c>
      <c r="M4548"/>
    </row>
    <row r="4549" spans="1:13" x14ac:dyDescent="0.25">
      <c r="A4549" s="2">
        <v>45394</v>
      </c>
      <c r="B4549" s="3" t="s">
        <v>244</v>
      </c>
      <c r="C4549" s="3" t="s">
        <v>9</v>
      </c>
      <c r="D4549" s="3" t="s">
        <v>19</v>
      </c>
      <c r="E4549" s="5" t="s">
        <v>11</v>
      </c>
      <c r="F4549" s="17">
        <v>5.32</v>
      </c>
      <c r="G4549" s="3">
        <v>6</v>
      </c>
      <c r="H4549" s="17">
        <f>Table1[[#This Row],[Unit price]]*Table1[[#This Row],[Quantity]]</f>
        <v>31.92</v>
      </c>
      <c r="I4549" s="29">
        <f>Table1[[#This Row],[Total Revenue]]/$H$5056*100</f>
        <v>3.3865762462125782E-3</v>
      </c>
      <c r="J4549" s="3" t="s">
        <v>17</v>
      </c>
      <c r="K4549" s="4">
        <v>6.2</v>
      </c>
      <c r="M4549"/>
    </row>
    <row r="4550" spans="1:13" x14ac:dyDescent="0.25">
      <c r="A4550" s="2">
        <v>45394</v>
      </c>
      <c r="B4550" s="3" t="s">
        <v>243</v>
      </c>
      <c r="C4550" s="3" t="s">
        <v>9</v>
      </c>
      <c r="D4550" s="3" t="s">
        <v>10</v>
      </c>
      <c r="E4550" s="5" t="s">
        <v>14</v>
      </c>
      <c r="F4550" s="17">
        <v>94.8</v>
      </c>
      <c r="G4550" s="3">
        <v>10</v>
      </c>
      <c r="H4550" s="17">
        <f>Table1[[#This Row],[Unit price]]*Table1[[#This Row],[Quantity]]</f>
        <v>948</v>
      </c>
      <c r="I4550" s="29">
        <f>Table1[[#This Row],[Total Revenue]]/$H$5056*100</f>
        <v>0.10057876821458409</v>
      </c>
      <c r="J4550" s="3" t="s">
        <v>12</v>
      </c>
      <c r="K4550" s="4">
        <v>6.2</v>
      </c>
      <c r="M4550"/>
    </row>
    <row r="4551" spans="1:13" x14ac:dyDescent="0.25">
      <c r="A4551" s="2">
        <v>45394</v>
      </c>
      <c r="B4551" s="3" t="s">
        <v>243</v>
      </c>
      <c r="C4551" s="3" t="s">
        <v>13</v>
      </c>
      <c r="D4551" s="3" t="s">
        <v>10</v>
      </c>
      <c r="E4551" s="5" t="s">
        <v>16</v>
      </c>
      <c r="F4551" s="17">
        <v>66.150000000000006</v>
      </c>
      <c r="G4551" s="3">
        <v>9</v>
      </c>
      <c r="H4551" s="17">
        <f>Table1[[#This Row],[Unit price]]*Table1[[#This Row],[Quantity]]</f>
        <v>595.35</v>
      </c>
      <c r="I4551" s="29">
        <f>Table1[[#This Row],[Total Revenue]]/$H$5056*100</f>
        <v>6.3164103013241171E-2</v>
      </c>
      <c r="J4551" s="3" t="s">
        <v>17</v>
      </c>
      <c r="K4551" s="4">
        <v>9.1</v>
      </c>
      <c r="M4551"/>
    </row>
    <row r="4552" spans="1:13" x14ac:dyDescent="0.25">
      <c r="A4552" s="2">
        <v>45394</v>
      </c>
      <c r="B4552" s="3" t="s">
        <v>243</v>
      </c>
      <c r="C4552" s="3" t="s">
        <v>13</v>
      </c>
      <c r="D4552" s="3" t="s">
        <v>10</v>
      </c>
      <c r="E4552" s="5" t="s">
        <v>11</v>
      </c>
      <c r="F4552" s="17">
        <v>2.23</v>
      </c>
      <c r="G4552" s="3">
        <v>6</v>
      </c>
      <c r="H4552" s="17">
        <f>Table1[[#This Row],[Unit price]]*Table1[[#This Row],[Quantity]]</f>
        <v>13.379999999999999</v>
      </c>
      <c r="I4552" s="29">
        <f>Table1[[#This Row],[Total Revenue]]/$H$5056*100</f>
        <v>1.4195610956868512E-3</v>
      </c>
      <c r="J4552" s="3" t="s">
        <v>17</v>
      </c>
      <c r="K4552" s="4">
        <v>7.6</v>
      </c>
      <c r="M4552"/>
    </row>
    <row r="4553" spans="1:13" x14ac:dyDescent="0.25">
      <c r="A4553" s="2">
        <v>45424</v>
      </c>
      <c r="B4553" s="3" t="s">
        <v>244</v>
      </c>
      <c r="C4553" s="3" t="s">
        <v>9</v>
      </c>
      <c r="D4553" s="3" t="s">
        <v>10</v>
      </c>
      <c r="E4553" s="5" t="s">
        <v>11</v>
      </c>
      <c r="F4553" s="17">
        <v>9.85</v>
      </c>
      <c r="G4553" s="3">
        <v>9</v>
      </c>
      <c r="H4553" s="17">
        <f>Table1[[#This Row],[Unit price]]*Table1[[#This Row],[Quantity]]</f>
        <v>88.649999999999991</v>
      </c>
      <c r="I4553" s="29">
        <f>Table1[[#This Row],[Total Revenue]]/$H$5056*100</f>
        <v>9.4053879770283517E-3</v>
      </c>
      <c r="J4553" s="3" t="s">
        <v>15</v>
      </c>
      <c r="K4553" s="4">
        <v>9.1999999999999993</v>
      </c>
      <c r="M4553"/>
    </row>
    <row r="4554" spans="1:13" x14ac:dyDescent="0.25">
      <c r="A4554" s="2">
        <v>45424</v>
      </c>
      <c r="B4554" s="3" t="s">
        <v>245</v>
      </c>
      <c r="C4554" s="3" t="s">
        <v>9</v>
      </c>
      <c r="D4554" s="3" t="s">
        <v>19</v>
      </c>
      <c r="E4554" s="5" t="s">
        <v>21</v>
      </c>
      <c r="F4554" s="17">
        <v>39.28</v>
      </c>
      <c r="G4554" s="3">
        <v>3</v>
      </c>
      <c r="H4554" s="17">
        <f>Table1[[#This Row],[Unit price]]*Table1[[#This Row],[Quantity]]</f>
        <v>117.84</v>
      </c>
      <c r="I4554" s="29">
        <f>Table1[[#This Row],[Total Revenue]]/$H$5056*100</f>
        <v>1.2502322833762224E-2</v>
      </c>
      <c r="J4554" s="3" t="s">
        <v>12</v>
      </c>
      <c r="K4554" s="4">
        <v>4.2</v>
      </c>
      <c r="M4554"/>
    </row>
    <row r="4555" spans="1:13" x14ac:dyDescent="0.25">
      <c r="A4555" s="2">
        <v>45424</v>
      </c>
      <c r="B4555" s="3" t="s">
        <v>243</v>
      </c>
      <c r="C4555" s="3" t="s">
        <v>13</v>
      </c>
      <c r="D4555" s="3" t="s">
        <v>19</v>
      </c>
      <c r="E4555" s="5" t="s">
        <v>18</v>
      </c>
      <c r="F4555" s="17">
        <v>7.88</v>
      </c>
      <c r="G4555" s="3">
        <v>7</v>
      </c>
      <c r="H4555" s="17">
        <f>Table1[[#This Row],[Unit price]]*Table1[[#This Row],[Quantity]]</f>
        <v>55.16</v>
      </c>
      <c r="I4555" s="29">
        <f>Table1[[#This Row],[Total Revenue]]/$H$5056*100</f>
        <v>5.8522414079287526E-3</v>
      </c>
      <c r="J4555" s="3" t="s">
        <v>12</v>
      </c>
      <c r="K4555" s="4">
        <v>8.1</v>
      </c>
      <c r="M4555"/>
    </row>
    <row r="4556" spans="1:13" x14ac:dyDescent="0.25">
      <c r="A4556" s="2">
        <v>45424</v>
      </c>
      <c r="B4556" s="3" t="s">
        <v>243</v>
      </c>
      <c r="C4556" s="3" t="s">
        <v>13</v>
      </c>
      <c r="D4556" s="3" t="s">
        <v>19</v>
      </c>
      <c r="E4556" s="5" t="s">
        <v>20</v>
      </c>
      <c r="F4556" s="17">
        <v>50.39</v>
      </c>
      <c r="G4556" s="3">
        <v>9</v>
      </c>
      <c r="H4556" s="17">
        <f>Table1[[#This Row],[Unit price]]*Table1[[#This Row],[Quantity]]</f>
        <v>453.51</v>
      </c>
      <c r="I4556" s="29">
        <f>Table1[[#This Row],[Total Revenue]]/$H$5056*100</f>
        <v>4.811548224999581E-2</v>
      </c>
      <c r="J4556" s="3" t="s">
        <v>15</v>
      </c>
      <c r="K4556" s="4">
        <v>9.8000000000000007</v>
      </c>
      <c r="M4556"/>
    </row>
    <row r="4557" spans="1:13" x14ac:dyDescent="0.25">
      <c r="A4557" s="2">
        <v>45424</v>
      </c>
      <c r="B4557" s="3" t="s">
        <v>245</v>
      </c>
      <c r="C4557" s="3" t="s">
        <v>9</v>
      </c>
      <c r="D4557" s="3" t="s">
        <v>19</v>
      </c>
      <c r="E4557" s="5" t="s">
        <v>11</v>
      </c>
      <c r="F4557" s="17">
        <v>8.0299999999999994</v>
      </c>
      <c r="G4557" s="3">
        <v>4</v>
      </c>
      <c r="H4557" s="17">
        <f>Table1[[#This Row],[Unit price]]*Table1[[#This Row],[Quantity]]</f>
        <v>32.119999999999997</v>
      </c>
      <c r="I4557" s="29">
        <f>Table1[[#This Row],[Total Revenue]]/$H$5056*100</f>
        <v>3.4077953956249377E-3</v>
      </c>
      <c r="J4557" s="3" t="s">
        <v>15</v>
      </c>
      <c r="K4557" s="4">
        <v>8.6999999999999993</v>
      </c>
      <c r="M4557"/>
    </row>
    <row r="4558" spans="1:13" x14ac:dyDescent="0.25">
      <c r="A4558" s="2">
        <v>45424</v>
      </c>
      <c r="B4558" s="3" t="s">
        <v>244</v>
      </c>
      <c r="C4558" s="3" t="s">
        <v>13</v>
      </c>
      <c r="D4558" s="3" t="s">
        <v>19</v>
      </c>
      <c r="E4558" s="5" t="s">
        <v>21</v>
      </c>
      <c r="F4558" s="17">
        <v>40.08</v>
      </c>
      <c r="G4558" s="3">
        <v>10</v>
      </c>
      <c r="H4558" s="17">
        <f>Table1[[#This Row],[Unit price]]*Table1[[#This Row],[Quantity]]</f>
        <v>400.79999999999995</v>
      </c>
      <c r="I4558" s="29">
        <f>Table1[[#This Row],[Total Revenue]]/$H$5056*100</f>
        <v>4.2523175422368456E-2</v>
      </c>
      <c r="J4558" s="3" t="s">
        <v>15</v>
      </c>
      <c r="K4558" s="4">
        <v>6.2</v>
      </c>
      <c r="M4558"/>
    </row>
    <row r="4559" spans="1:13" x14ac:dyDescent="0.25">
      <c r="A4559" s="2">
        <v>45424</v>
      </c>
      <c r="B4559" s="3" t="s">
        <v>243</v>
      </c>
      <c r="C4559" s="3" t="s">
        <v>9</v>
      </c>
      <c r="D4559" s="3" t="s">
        <v>19</v>
      </c>
      <c r="E4559" s="5" t="s">
        <v>18</v>
      </c>
      <c r="F4559" s="17">
        <v>16</v>
      </c>
      <c r="G4559" s="3">
        <v>3</v>
      </c>
      <c r="H4559" s="17">
        <f>Table1[[#This Row],[Unit price]]*Table1[[#This Row],[Quantity]]</f>
        <v>48</v>
      </c>
      <c r="I4559" s="29">
        <f>Table1[[#This Row],[Total Revenue]]/$H$5056*100</f>
        <v>5.0925958589662828E-3</v>
      </c>
      <c r="J4559" s="3" t="s">
        <v>12</v>
      </c>
      <c r="K4559" s="4">
        <v>3.7</v>
      </c>
      <c r="M4559"/>
    </row>
    <row r="4560" spans="1:13" x14ac:dyDescent="0.25">
      <c r="A4560" s="2">
        <v>45424</v>
      </c>
      <c r="B4560" s="3" t="s">
        <v>243</v>
      </c>
      <c r="C4560" s="3" t="s">
        <v>13</v>
      </c>
      <c r="D4560" s="3" t="s">
        <v>10</v>
      </c>
      <c r="E4560" s="5" t="s">
        <v>14</v>
      </c>
      <c r="F4560" s="17">
        <v>97.26</v>
      </c>
      <c r="G4560" s="3">
        <v>4</v>
      </c>
      <c r="H4560" s="17">
        <f>Table1[[#This Row],[Unit price]]*Table1[[#This Row],[Quantity]]</f>
        <v>389.04</v>
      </c>
      <c r="I4560" s="29">
        <f>Table1[[#This Row],[Total Revenue]]/$H$5056*100</f>
        <v>4.1275489436921727E-2</v>
      </c>
      <c r="J4560" s="3" t="s">
        <v>15</v>
      </c>
      <c r="K4560" s="4">
        <v>7</v>
      </c>
      <c r="M4560"/>
    </row>
    <row r="4561" spans="1:13" x14ac:dyDescent="0.25">
      <c r="A4561" s="2">
        <v>45424</v>
      </c>
      <c r="B4561" s="3" t="s">
        <v>244</v>
      </c>
      <c r="C4561" s="3" t="s">
        <v>13</v>
      </c>
      <c r="D4561" s="3" t="s">
        <v>19</v>
      </c>
      <c r="E4561" s="5" t="s">
        <v>20</v>
      </c>
      <c r="F4561" s="17">
        <v>67.010000000000005</v>
      </c>
      <c r="G4561" s="3">
        <v>10</v>
      </c>
      <c r="H4561" s="17">
        <f>Table1[[#This Row],[Unit price]]*Table1[[#This Row],[Quantity]]</f>
        <v>670.1</v>
      </c>
      <c r="I4561" s="29">
        <f>Table1[[#This Row],[Total Revenue]]/$H$5056*100</f>
        <v>7.1094760106110544E-2</v>
      </c>
      <c r="J4561" s="3" t="s">
        <v>15</v>
      </c>
      <c r="K4561" s="4">
        <v>8.4</v>
      </c>
      <c r="M4561"/>
    </row>
    <row r="4562" spans="1:13" x14ac:dyDescent="0.25">
      <c r="A4562" s="2">
        <v>45424</v>
      </c>
      <c r="B4562" s="3" t="s">
        <v>244</v>
      </c>
      <c r="C4562" s="3" t="s">
        <v>13</v>
      </c>
      <c r="D4562" s="3" t="s">
        <v>10</v>
      </c>
      <c r="E4562" s="5" t="s">
        <v>11</v>
      </c>
      <c r="F4562" s="17">
        <v>7.29</v>
      </c>
      <c r="G4562" s="3">
        <v>2</v>
      </c>
      <c r="H4562" s="17">
        <f>Table1[[#This Row],[Unit price]]*Table1[[#This Row],[Quantity]]</f>
        <v>14.58</v>
      </c>
      <c r="I4562" s="29">
        <f>Table1[[#This Row],[Total Revenue]]/$H$5056*100</f>
        <v>1.5468759921610084E-3</v>
      </c>
      <c r="J4562" s="3" t="s">
        <v>17</v>
      </c>
      <c r="K4562" s="4">
        <v>7.4</v>
      </c>
      <c r="M4562"/>
    </row>
    <row r="4563" spans="1:13" x14ac:dyDescent="0.25">
      <c r="A4563" s="2">
        <v>45424</v>
      </c>
      <c r="B4563" s="3" t="s">
        <v>243</v>
      </c>
      <c r="C4563" s="3" t="s">
        <v>9</v>
      </c>
      <c r="D4563" s="3" t="s">
        <v>10</v>
      </c>
      <c r="E4563" s="5" t="s">
        <v>14</v>
      </c>
      <c r="F4563" s="17">
        <v>82.55</v>
      </c>
      <c r="G4563" s="3">
        <v>6</v>
      </c>
      <c r="H4563" s="17">
        <f>Table1[[#This Row],[Unit price]]*Table1[[#This Row],[Quantity]]</f>
        <v>495.29999999999995</v>
      </c>
      <c r="I4563" s="29">
        <f>Table1[[#This Row],[Total Revenue]]/$H$5056*100</f>
        <v>5.2549223519708331E-2</v>
      </c>
      <c r="J4563" s="3" t="s">
        <v>17</v>
      </c>
      <c r="K4563" s="4">
        <v>9.1</v>
      </c>
      <c r="M4563"/>
    </row>
    <row r="4564" spans="1:13" x14ac:dyDescent="0.25">
      <c r="A4564" s="2">
        <v>45424</v>
      </c>
      <c r="B4564" s="3" t="s">
        <v>244</v>
      </c>
      <c r="C4564" s="3" t="s">
        <v>9</v>
      </c>
      <c r="D4564" s="3" t="s">
        <v>10</v>
      </c>
      <c r="E4564" s="5" t="s">
        <v>11</v>
      </c>
      <c r="F4564" s="17">
        <v>7.87</v>
      </c>
      <c r="G4564" s="3">
        <v>5</v>
      </c>
      <c r="H4564" s="17">
        <f>Table1[[#This Row],[Unit price]]*Table1[[#This Row],[Quantity]]</f>
        <v>39.35</v>
      </c>
      <c r="I4564" s="29">
        <f>Table1[[#This Row],[Total Revenue]]/$H$5056*100</f>
        <v>4.1748676468817336E-3</v>
      </c>
      <c r="J4564" s="3" t="s">
        <v>17</v>
      </c>
      <c r="K4564" s="4">
        <v>8.5</v>
      </c>
      <c r="M4564"/>
    </row>
    <row r="4565" spans="1:13" x14ac:dyDescent="0.25">
      <c r="A4565" s="2">
        <v>45424</v>
      </c>
      <c r="B4565" s="3" t="s">
        <v>243</v>
      </c>
      <c r="C4565" s="3" t="s">
        <v>13</v>
      </c>
      <c r="D4565" s="3" t="s">
        <v>10</v>
      </c>
      <c r="E4565" s="5" t="s">
        <v>11</v>
      </c>
      <c r="F4565" s="17">
        <v>8.61</v>
      </c>
      <c r="G4565" s="3">
        <v>10</v>
      </c>
      <c r="H4565" s="17">
        <f>Table1[[#This Row],[Unit price]]*Table1[[#This Row],[Quantity]]</f>
        <v>86.1</v>
      </c>
      <c r="I4565" s="29">
        <f>Table1[[#This Row],[Total Revenue]]/$H$5056*100</f>
        <v>9.1348438220207693E-3</v>
      </c>
      <c r="J4565" s="3" t="s">
        <v>12</v>
      </c>
      <c r="K4565" s="4">
        <v>5.2</v>
      </c>
      <c r="M4565"/>
    </row>
    <row r="4566" spans="1:13" x14ac:dyDescent="0.25">
      <c r="A4566" s="2">
        <v>45424</v>
      </c>
      <c r="B4566" s="3" t="s">
        <v>244</v>
      </c>
      <c r="C4566" s="3" t="s">
        <v>13</v>
      </c>
      <c r="D4566" s="3" t="s">
        <v>10</v>
      </c>
      <c r="E4566" s="5" t="s">
        <v>18</v>
      </c>
      <c r="F4566" s="17">
        <v>6.39</v>
      </c>
      <c r="G4566" s="3">
        <v>8</v>
      </c>
      <c r="H4566" s="17">
        <f>Table1[[#This Row],[Unit price]]*Table1[[#This Row],[Quantity]]</f>
        <v>51.12</v>
      </c>
      <c r="I4566" s="29">
        <f>Table1[[#This Row],[Total Revenue]]/$H$5056*100</f>
        <v>5.4236145897990909E-3</v>
      </c>
      <c r="J4566" s="3" t="s">
        <v>17</v>
      </c>
      <c r="K4566" s="4">
        <v>7.2</v>
      </c>
      <c r="M4566"/>
    </row>
    <row r="4567" spans="1:13" x14ac:dyDescent="0.25">
      <c r="A4567" s="2">
        <v>45424</v>
      </c>
      <c r="B4567" s="3" t="s">
        <v>244</v>
      </c>
      <c r="C4567" s="3" t="s">
        <v>13</v>
      </c>
      <c r="D4567" s="3" t="s">
        <v>10</v>
      </c>
      <c r="E4567" s="5" t="s">
        <v>11</v>
      </c>
      <c r="F4567" s="17">
        <v>3.45</v>
      </c>
      <c r="G4567" s="3">
        <v>4</v>
      </c>
      <c r="H4567" s="17">
        <f>Table1[[#This Row],[Unit price]]*Table1[[#This Row],[Quantity]]</f>
        <v>13.8</v>
      </c>
      <c r="I4567" s="29">
        <f>Table1[[#This Row],[Total Revenue]]/$H$5056*100</f>
        <v>1.4641213094528063E-3</v>
      </c>
      <c r="J4567" s="3" t="s">
        <v>12</v>
      </c>
      <c r="K4567" s="4">
        <v>8.4</v>
      </c>
      <c r="M4567"/>
    </row>
    <row r="4568" spans="1:13" x14ac:dyDescent="0.25">
      <c r="A4568" s="2">
        <v>45455</v>
      </c>
      <c r="B4568" s="3" t="s">
        <v>245</v>
      </c>
      <c r="C4568" s="3" t="s">
        <v>9</v>
      </c>
      <c r="D4568" s="3" t="s">
        <v>10</v>
      </c>
      <c r="E4568" s="5" t="s">
        <v>11</v>
      </c>
      <c r="F4568" s="17">
        <v>6.13</v>
      </c>
      <c r="G4568" s="3">
        <v>4</v>
      </c>
      <c r="H4568" s="17">
        <f>Table1[[#This Row],[Unit price]]*Table1[[#This Row],[Quantity]]</f>
        <v>24.52</v>
      </c>
      <c r="I4568" s="29">
        <f>Table1[[#This Row],[Total Revenue]]/$H$5056*100</f>
        <v>2.6014677179552761E-3</v>
      </c>
      <c r="J4568" s="3" t="s">
        <v>15</v>
      </c>
      <c r="K4568" s="4">
        <v>4.5999999999999996</v>
      </c>
      <c r="M4568"/>
    </row>
    <row r="4569" spans="1:13" x14ac:dyDescent="0.25">
      <c r="A4569" s="2">
        <v>45455</v>
      </c>
      <c r="B4569" s="3" t="s">
        <v>245</v>
      </c>
      <c r="C4569" s="3" t="s">
        <v>13</v>
      </c>
      <c r="D4569" s="3" t="s">
        <v>19</v>
      </c>
      <c r="E4569" s="5" t="s">
        <v>11</v>
      </c>
      <c r="F4569" s="17">
        <v>7.17</v>
      </c>
      <c r="G4569" s="3">
        <v>8</v>
      </c>
      <c r="H4569" s="17">
        <f>Table1[[#This Row],[Unit price]]*Table1[[#This Row],[Quantity]]</f>
        <v>57.36</v>
      </c>
      <c r="I4569" s="29">
        <f>Table1[[#This Row],[Total Revenue]]/$H$5056*100</f>
        <v>6.0856520514647079E-3</v>
      </c>
      <c r="J4569" s="3" t="s">
        <v>12</v>
      </c>
      <c r="K4569" s="4">
        <v>8.4</v>
      </c>
      <c r="M4569"/>
    </row>
    <row r="4570" spans="1:13" x14ac:dyDescent="0.25">
      <c r="A4570" s="2">
        <v>45455</v>
      </c>
      <c r="B4570" s="3" t="s">
        <v>244</v>
      </c>
      <c r="C4570" s="3" t="s">
        <v>9</v>
      </c>
      <c r="D4570" s="3" t="s">
        <v>10</v>
      </c>
      <c r="E4570" s="5" t="s">
        <v>14</v>
      </c>
      <c r="F4570" s="17">
        <v>78.86</v>
      </c>
      <c r="G4570" s="3">
        <v>10</v>
      </c>
      <c r="H4570" s="17">
        <f>Table1[[#This Row],[Unit price]]*Table1[[#This Row],[Quantity]]</f>
        <v>788.6</v>
      </c>
      <c r="I4570" s="29">
        <f>Table1[[#This Row],[Total Revenue]]/$H$5056*100</f>
        <v>8.3667106132933558E-2</v>
      </c>
      <c r="J4570" s="3" t="s">
        <v>12</v>
      </c>
      <c r="K4570" s="4">
        <v>6.2</v>
      </c>
      <c r="M4570"/>
    </row>
    <row r="4571" spans="1:13" x14ac:dyDescent="0.25">
      <c r="A4571" s="2">
        <v>45455</v>
      </c>
      <c r="B4571" s="3" t="s">
        <v>243</v>
      </c>
      <c r="C4571" s="3" t="s">
        <v>13</v>
      </c>
      <c r="D4571" s="3" t="s">
        <v>10</v>
      </c>
      <c r="E4571" s="5" t="s">
        <v>11</v>
      </c>
      <c r="F4571" s="17">
        <v>7.62</v>
      </c>
      <c r="G4571" s="3">
        <v>5</v>
      </c>
      <c r="H4571" s="17">
        <f>Table1[[#This Row],[Unit price]]*Table1[[#This Row],[Quantity]]</f>
        <v>38.1</v>
      </c>
      <c r="I4571" s="29">
        <f>Table1[[#This Row],[Total Revenue]]/$H$5056*100</f>
        <v>4.0422479630544865E-3</v>
      </c>
      <c r="J4571" s="3" t="s">
        <v>12</v>
      </c>
      <c r="K4571" s="4">
        <v>4.7</v>
      </c>
      <c r="M4571"/>
    </row>
    <row r="4572" spans="1:13" x14ac:dyDescent="0.25">
      <c r="A4572" s="2">
        <v>45455</v>
      </c>
      <c r="B4572" s="3" t="s">
        <v>244</v>
      </c>
      <c r="C4572" s="3" t="s">
        <v>9</v>
      </c>
      <c r="D4572" s="3" t="s">
        <v>10</v>
      </c>
      <c r="E4572" s="5" t="s">
        <v>14</v>
      </c>
      <c r="F4572" s="17">
        <v>91.51</v>
      </c>
      <c r="G4572" s="3">
        <v>3</v>
      </c>
      <c r="H4572" s="17">
        <f>Table1[[#This Row],[Unit price]]*Table1[[#This Row],[Quantity]]</f>
        <v>274.53000000000003</v>
      </c>
      <c r="I4572" s="29">
        <f>Table1[[#This Row],[Total Revenue]]/$H$5056*100</f>
        <v>2.9126465440875285E-2</v>
      </c>
      <c r="J4572" s="3" t="s">
        <v>15</v>
      </c>
      <c r="K4572" s="4">
        <v>4.5</v>
      </c>
      <c r="M4572"/>
    </row>
    <row r="4573" spans="1:13" x14ac:dyDescent="0.25">
      <c r="A4573" s="2">
        <v>45455</v>
      </c>
      <c r="B4573" s="3" t="s">
        <v>245</v>
      </c>
      <c r="C4573" s="3" t="s">
        <v>9</v>
      </c>
      <c r="D4573" s="3" t="s">
        <v>10</v>
      </c>
      <c r="E4573" s="5" t="s">
        <v>11</v>
      </c>
      <c r="F4573" s="17">
        <v>8.66</v>
      </c>
      <c r="G4573" s="3">
        <v>5</v>
      </c>
      <c r="H4573" s="17">
        <f>Table1[[#This Row],[Unit price]]*Table1[[#This Row],[Quantity]]</f>
        <v>43.3</v>
      </c>
      <c r="I4573" s="29">
        <f>Table1[[#This Row],[Total Revenue]]/$H$5056*100</f>
        <v>4.5939458477758334E-3</v>
      </c>
      <c r="J4573" s="3" t="s">
        <v>15</v>
      </c>
      <c r="K4573" s="4">
        <v>5.5</v>
      </c>
      <c r="M4573"/>
    </row>
    <row r="4574" spans="1:13" x14ac:dyDescent="0.25">
      <c r="A4574" s="2">
        <v>45455</v>
      </c>
      <c r="B4574" s="3" t="s">
        <v>245</v>
      </c>
      <c r="C4574" s="3" t="s">
        <v>13</v>
      </c>
      <c r="D4574" s="3" t="s">
        <v>19</v>
      </c>
      <c r="E4574" s="5" t="s">
        <v>11</v>
      </c>
      <c r="F4574" s="17">
        <v>2.36</v>
      </c>
      <c r="G4574" s="3">
        <v>1</v>
      </c>
      <c r="H4574" s="17">
        <f>Table1[[#This Row],[Unit price]]*Table1[[#This Row],[Quantity]]</f>
        <v>2.36</v>
      </c>
      <c r="I4574" s="29">
        <f>Table1[[#This Row],[Total Revenue]]/$H$5056*100</f>
        <v>2.5038596306584224E-4</v>
      </c>
      <c r="J4574" s="3" t="s">
        <v>17</v>
      </c>
      <c r="K4574" s="4">
        <v>5</v>
      </c>
      <c r="M4574"/>
    </row>
    <row r="4575" spans="1:13" x14ac:dyDescent="0.25">
      <c r="A4575" s="2">
        <v>45455</v>
      </c>
      <c r="B4575" s="3" t="s">
        <v>245</v>
      </c>
      <c r="C4575" s="3" t="s">
        <v>9</v>
      </c>
      <c r="D4575" s="3" t="s">
        <v>10</v>
      </c>
      <c r="E4575" s="5" t="s">
        <v>16</v>
      </c>
      <c r="F4575" s="17">
        <v>76.180000000000007</v>
      </c>
      <c r="G4575" s="3">
        <v>10</v>
      </c>
      <c r="H4575" s="17">
        <f>Table1[[#This Row],[Unit price]]*Table1[[#This Row],[Quantity]]</f>
        <v>761.80000000000007</v>
      </c>
      <c r="I4575" s="29">
        <f>Table1[[#This Row],[Total Revenue]]/$H$5056*100</f>
        <v>8.0823740111677381E-2</v>
      </c>
      <c r="J4575" s="3" t="s">
        <v>12</v>
      </c>
      <c r="K4575" s="4">
        <v>6.2</v>
      </c>
      <c r="M4575"/>
    </row>
    <row r="4576" spans="1:13" x14ac:dyDescent="0.25">
      <c r="A4576" s="2">
        <v>45455</v>
      </c>
      <c r="B4576" s="3" t="s">
        <v>244</v>
      </c>
      <c r="C4576" s="3" t="s">
        <v>13</v>
      </c>
      <c r="D4576" s="3" t="s">
        <v>19</v>
      </c>
      <c r="E4576" s="5" t="s">
        <v>11</v>
      </c>
      <c r="F4576" s="17">
        <v>9.5299999999999994</v>
      </c>
      <c r="G4576" s="3">
        <v>8</v>
      </c>
      <c r="H4576" s="17">
        <f>Table1[[#This Row],[Unit price]]*Table1[[#This Row],[Quantity]]</f>
        <v>76.239999999999995</v>
      </c>
      <c r="I4576" s="29">
        <f>Table1[[#This Row],[Total Revenue]]/$H$5056*100</f>
        <v>8.0887397559914441E-3</v>
      </c>
      <c r="J4576" s="3" t="s">
        <v>15</v>
      </c>
      <c r="K4576" s="4">
        <v>8.6</v>
      </c>
      <c r="M4576"/>
    </row>
    <row r="4577" spans="1:13" x14ac:dyDescent="0.25">
      <c r="A4577" s="2">
        <v>45455</v>
      </c>
      <c r="B4577" s="3" t="s">
        <v>244</v>
      </c>
      <c r="C4577" s="3" t="s">
        <v>9</v>
      </c>
      <c r="D4577" s="3" t="s">
        <v>19</v>
      </c>
      <c r="E4577" s="5" t="s">
        <v>11</v>
      </c>
      <c r="F4577" s="17">
        <v>3.19</v>
      </c>
      <c r="G4577" s="3">
        <v>10</v>
      </c>
      <c r="H4577" s="17">
        <f>Table1[[#This Row],[Unit price]]*Table1[[#This Row],[Quantity]]</f>
        <v>31.9</v>
      </c>
      <c r="I4577" s="29">
        <f>Table1[[#This Row],[Total Revenue]]/$H$5056*100</f>
        <v>3.3844543312713418E-3</v>
      </c>
      <c r="J4577" s="3" t="s">
        <v>12</v>
      </c>
      <c r="K4577" s="4">
        <v>3.6</v>
      </c>
      <c r="M4577"/>
    </row>
    <row r="4578" spans="1:13" x14ac:dyDescent="0.25">
      <c r="A4578" s="2">
        <v>45455</v>
      </c>
      <c r="B4578" s="3" t="s">
        <v>245</v>
      </c>
      <c r="C4578" s="3" t="s">
        <v>9</v>
      </c>
      <c r="D4578" s="3" t="s">
        <v>10</v>
      </c>
      <c r="E4578" s="5" t="s">
        <v>18</v>
      </c>
      <c r="F4578" s="17">
        <v>15.96</v>
      </c>
      <c r="G4578" s="3">
        <v>7</v>
      </c>
      <c r="H4578" s="17">
        <f>Table1[[#This Row],[Unit price]]*Table1[[#This Row],[Quantity]]</f>
        <v>111.72</v>
      </c>
      <c r="I4578" s="29">
        <f>Table1[[#This Row],[Total Revenue]]/$H$5056*100</f>
        <v>1.1853016861744023E-2</v>
      </c>
      <c r="J4578" s="3" t="s">
        <v>12</v>
      </c>
      <c r="K4578" s="4">
        <v>9.1999999999999993</v>
      </c>
      <c r="M4578"/>
    </row>
    <row r="4579" spans="1:13" x14ac:dyDescent="0.25">
      <c r="A4579" s="2">
        <v>45455</v>
      </c>
      <c r="B4579" s="3" t="s">
        <v>245</v>
      </c>
      <c r="C4579" s="3" t="s">
        <v>13</v>
      </c>
      <c r="D4579" s="3" t="s">
        <v>10</v>
      </c>
      <c r="E4579" s="5" t="s">
        <v>11</v>
      </c>
      <c r="F4579" s="17">
        <v>6.55</v>
      </c>
      <c r="G4579" s="3">
        <v>1</v>
      </c>
      <c r="H4579" s="17">
        <f>Table1[[#This Row],[Unit price]]*Table1[[#This Row],[Quantity]]</f>
        <v>6.55</v>
      </c>
      <c r="I4579" s="29">
        <f>Table1[[#This Row],[Total Revenue]]/$H$5056*100</f>
        <v>6.9492714325477395E-4</v>
      </c>
      <c r="J4579" s="3" t="s">
        <v>17</v>
      </c>
      <c r="K4579" s="4">
        <v>9.5</v>
      </c>
      <c r="M4579"/>
    </row>
    <row r="4580" spans="1:13" x14ac:dyDescent="0.25">
      <c r="A4580" s="2">
        <v>45455</v>
      </c>
      <c r="B4580" s="3" t="s">
        <v>244</v>
      </c>
      <c r="C4580" s="3" t="s">
        <v>13</v>
      </c>
      <c r="D4580" s="3" t="s">
        <v>19</v>
      </c>
      <c r="E4580" s="5" t="s">
        <v>14</v>
      </c>
      <c r="F4580" s="17">
        <v>89.12</v>
      </c>
      <c r="G4580" s="3">
        <v>3</v>
      </c>
      <c r="H4580" s="17">
        <f>Table1[[#This Row],[Unit price]]*Table1[[#This Row],[Quantity]]</f>
        <v>267.36</v>
      </c>
      <c r="I4580" s="29">
        <f>Table1[[#This Row],[Total Revenue]]/$H$5056*100</f>
        <v>2.8365758934442195E-2</v>
      </c>
      <c r="J4580" s="3" t="s">
        <v>15</v>
      </c>
      <c r="K4580" s="4">
        <v>4.2</v>
      </c>
      <c r="M4580"/>
    </row>
    <row r="4581" spans="1:13" x14ac:dyDescent="0.25">
      <c r="A4581" s="2">
        <v>45455</v>
      </c>
      <c r="B4581" s="3" t="s">
        <v>244</v>
      </c>
      <c r="C4581" s="3" t="s">
        <v>13</v>
      </c>
      <c r="D4581" s="3" t="s">
        <v>10</v>
      </c>
      <c r="E4581" s="5" t="s">
        <v>14</v>
      </c>
      <c r="F4581" s="17">
        <v>89.96</v>
      </c>
      <c r="G4581" s="3">
        <v>8</v>
      </c>
      <c r="H4581" s="17">
        <f>Table1[[#This Row],[Unit price]]*Table1[[#This Row],[Quantity]]</f>
        <v>719.68</v>
      </c>
      <c r="I4581" s="29">
        <f>Table1[[#This Row],[Total Revenue]]/$H$5056*100</f>
        <v>7.635498724543445E-2</v>
      </c>
      <c r="J4581" s="3" t="s">
        <v>12</v>
      </c>
      <c r="K4581" s="4">
        <v>3.2</v>
      </c>
      <c r="M4581"/>
    </row>
    <row r="4582" spans="1:13" x14ac:dyDescent="0.25">
      <c r="A4582" s="2">
        <v>45485</v>
      </c>
      <c r="B4582" s="3" t="s">
        <v>243</v>
      </c>
      <c r="C4582" s="3" t="s">
        <v>9</v>
      </c>
      <c r="D4582" s="3" t="s">
        <v>10</v>
      </c>
      <c r="E4582" s="5" t="s">
        <v>11</v>
      </c>
      <c r="F4582" s="17">
        <v>7.5</v>
      </c>
      <c r="G4582" s="3">
        <v>5</v>
      </c>
      <c r="H4582" s="17">
        <f>Table1[[#This Row],[Unit price]]*Table1[[#This Row],[Quantity]]</f>
        <v>37.5</v>
      </c>
      <c r="I4582" s="29">
        <f>Table1[[#This Row],[Total Revenue]]/$H$5056*100</f>
        <v>3.9785905148174081E-3</v>
      </c>
      <c r="J4582" s="3" t="s">
        <v>17</v>
      </c>
      <c r="K4582" s="4">
        <v>7</v>
      </c>
      <c r="M4582"/>
    </row>
    <row r="4583" spans="1:13" x14ac:dyDescent="0.25">
      <c r="A4583" s="2">
        <v>45485</v>
      </c>
      <c r="B4583" s="3" t="s">
        <v>244</v>
      </c>
      <c r="C4583" s="3" t="s">
        <v>9</v>
      </c>
      <c r="D4583" s="3" t="s">
        <v>10</v>
      </c>
      <c r="E4583" s="5" t="s">
        <v>20</v>
      </c>
      <c r="F4583" s="17">
        <v>60.89</v>
      </c>
      <c r="G4583" s="3">
        <v>3</v>
      </c>
      <c r="H4583" s="17">
        <f>Table1[[#This Row],[Unit price]]*Table1[[#This Row],[Quantity]]</f>
        <v>182.67000000000002</v>
      </c>
      <c r="I4583" s="29">
        <f>Table1[[#This Row],[Total Revenue]]/$H$5056*100</f>
        <v>1.938051011577856E-2</v>
      </c>
      <c r="J4583" s="3" t="s">
        <v>12</v>
      </c>
      <c r="K4583" s="4">
        <v>8.6</v>
      </c>
      <c r="M4583"/>
    </row>
    <row r="4584" spans="1:13" x14ac:dyDescent="0.25">
      <c r="A4584" s="2">
        <v>45485</v>
      </c>
      <c r="B4584" s="3" t="s">
        <v>244</v>
      </c>
      <c r="C4584" s="3" t="s">
        <v>13</v>
      </c>
      <c r="D4584" s="3" t="s">
        <v>10</v>
      </c>
      <c r="E4584" s="5" t="s">
        <v>14</v>
      </c>
      <c r="F4584" s="17">
        <v>82.71</v>
      </c>
      <c r="G4584" s="3">
        <v>8</v>
      </c>
      <c r="H4584" s="17">
        <f>Table1[[#This Row],[Unit price]]*Table1[[#This Row],[Quantity]]</f>
        <v>661.68</v>
      </c>
      <c r="I4584" s="29">
        <f>Table1[[#This Row],[Total Revenue]]/$H$5056*100</f>
        <v>7.0201433915850195E-2</v>
      </c>
      <c r="J4584" s="3" t="s">
        <v>17</v>
      </c>
      <c r="K4584" s="4">
        <v>5.0999999999999996</v>
      </c>
      <c r="M4584"/>
    </row>
    <row r="4585" spans="1:13" x14ac:dyDescent="0.25">
      <c r="A4585" s="2">
        <v>45485</v>
      </c>
      <c r="B4585" s="3" t="s">
        <v>243</v>
      </c>
      <c r="C4585" s="3" t="s">
        <v>13</v>
      </c>
      <c r="D4585" s="3" t="s">
        <v>10</v>
      </c>
      <c r="E4585" s="5" t="s">
        <v>11</v>
      </c>
      <c r="F4585" s="17">
        <v>2.64</v>
      </c>
      <c r="G4585" s="3">
        <v>1</v>
      </c>
      <c r="H4585" s="17">
        <f>Table1[[#This Row],[Unit price]]*Table1[[#This Row],[Quantity]]</f>
        <v>2.64</v>
      </c>
      <c r="I4585" s="29">
        <f>Table1[[#This Row],[Total Revenue]]/$H$5056*100</f>
        <v>2.8009277224314553E-4</v>
      </c>
      <c r="J4585" s="3" t="s">
        <v>12</v>
      </c>
      <c r="K4585" s="4">
        <v>8</v>
      </c>
      <c r="M4585"/>
    </row>
    <row r="4586" spans="1:13" x14ac:dyDescent="0.25">
      <c r="A4586" s="2">
        <v>45485</v>
      </c>
      <c r="B4586" s="3" t="s">
        <v>244</v>
      </c>
      <c r="C4586" s="3" t="s">
        <v>9</v>
      </c>
      <c r="D4586" s="3" t="s">
        <v>19</v>
      </c>
      <c r="E4586" s="5" t="s">
        <v>21</v>
      </c>
      <c r="F4586" s="17">
        <v>48.86</v>
      </c>
      <c r="G4586" s="3">
        <v>10</v>
      </c>
      <c r="H4586" s="17">
        <f>Table1[[#This Row],[Unit price]]*Table1[[#This Row],[Quantity]]</f>
        <v>488.6</v>
      </c>
      <c r="I4586" s="29">
        <f>Table1[[#This Row],[Total Revenue]]/$H$5056*100</f>
        <v>5.1838382014394287E-2</v>
      </c>
      <c r="J4586" s="3" t="s">
        <v>17</v>
      </c>
      <c r="K4586" s="4">
        <v>9.5</v>
      </c>
      <c r="M4586"/>
    </row>
    <row r="4587" spans="1:13" x14ac:dyDescent="0.25">
      <c r="A4587" s="2">
        <v>45485</v>
      </c>
      <c r="B4587" s="3" t="s">
        <v>245</v>
      </c>
      <c r="C4587" s="3" t="s">
        <v>9</v>
      </c>
      <c r="D4587" s="3" t="s">
        <v>10</v>
      </c>
      <c r="E4587" s="5" t="s">
        <v>16</v>
      </c>
      <c r="F4587" s="17">
        <v>72.89</v>
      </c>
      <c r="G4587" s="3">
        <v>3</v>
      </c>
      <c r="H4587" s="17">
        <f>Table1[[#This Row],[Unit price]]*Table1[[#This Row],[Quantity]]</f>
        <v>218.67000000000002</v>
      </c>
      <c r="I4587" s="29">
        <f>Table1[[#This Row],[Total Revenue]]/$H$5056*100</f>
        <v>2.3199957010003273E-2</v>
      </c>
      <c r="J4587" s="3" t="s">
        <v>12</v>
      </c>
      <c r="K4587" s="4">
        <v>6.5</v>
      </c>
      <c r="M4587"/>
    </row>
    <row r="4588" spans="1:13" x14ac:dyDescent="0.25">
      <c r="A4588" s="2">
        <v>45485</v>
      </c>
      <c r="B4588" s="3" t="s">
        <v>243</v>
      </c>
      <c r="C4588" s="3" t="s">
        <v>13</v>
      </c>
      <c r="D4588" s="3" t="s">
        <v>19</v>
      </c>
      <c r="E4588" s="5" t="s">
        <v>11</v>
      </c>
      <c r="F4588" s="17">
        <v>7.08</v>
      </c>
      <c r="G4588" s="3">
        <v>8</v>
      </c>
      <c r="H4588" s="17">
        <f>Table1[[#This Row],[Unit price]]*Table1[[#This Row],[Quantity]]</f>
        <v>56.64</v>
      </c>
      <c r="I4588" s="29">
        <f>Table1[[#This Row],[Total Revenue]]/$H$5056*100</f>
        <v>6.0092631135802137E-3</v>
      </c>
      <c r="J4588" s="3" t="s">
        <v>15</v>
      </c>
      <c r="K4588" s="4">
        <v>6.2</v>
      </c>
      <c r="M4588"/>
    </row>
    <row r="4589" spans="1:13" x14ac:dyDescent="0.25">
      <c r="A4589" s="2">
        <v>45485</v>
      </c>
      <c r="B4589" s="3" t="s">
        <v>243</v>
      </c>
      <c r="C4589" s="3" t="s">
        <v>9</v>
      </c>
      <c r="D4589" s="3" t="s">
        <v>19</v>
      </c>
      <c r="E4589" s="5" t="s">
        <v>11</v>
      </c>
      <c r="F4589" s="17">
        <v>4.6399999999999997</v>
      </c>
      <c r="G4589" s="3">
        <v>8</v>
      </c>
      <c r="H4589" s="17">
        <f>Table1[[#This Row],[Unit price]]*Table1[[#This Row],[Quantity]]</f>
        <v>37.119999999999997</v>
      </c>
      <c r="I4589" s="29">
        <f>Table1[[#This Row],[Total Revenue]]/$H$5056*100</f>
        <v>3.9382741309339246E-3</v>
      </c>
      <c r="J4589" s="3" t="s">
        <v>12</v>
      </c>
      <c r="K4589" s="4">
        <v>7.5</v>
      </c>
      <c r="M4589"/>
    </row>
    <row r="4590" spans="1:13" x14ac:dyDescent="0.25">
      <c r="A4590" s="2">
        <v>45485</v>
      </c>
      <c r="B4590" s="3" t="s">
        <v>245</v>
      </c>
      <c r="C4590" s="3" t="s">
        <v>13</v>
      </c>
      <c r="D4590" s="3" t="s">
        <v>19</v>
      </c>
      <c r="E4590" s="5" t="s">
        <v>11</v>
      </c>
      <c r="F4590" s="17">
        <v>2.7</v>
      </c>
      <c r="G4590" s="3">
        <v>5</v>
      </c>
      <c r="H4590" s="17">
        <f>Table1[[#This Row],[Unit price]]*Table1[[#This Row],[Quantity]]</f>
        <v>13.5</v>
      </c>
      <c r="I4590" s="29">
        <f>Table1[[#This Row],[Total Revenue]]/$H$5056*100</f>
        <v>1.4322925853342669E-3</v>
      </c>
      <c r="J4590" s="3" t="s">
        <v>12</v>
      </c>
      <c r="K4590" s="4">
        <v>3.8</v>
      </c>
      <c r="M4590"/>
    </row>
    <row r="4591" spans="1:13" x14ac:dyDescent="0.25">
      <c r="A4591" s="2">
        <v>45485</v>
      </c>
      <c r="B4591" s="3" t="s">
        <v>245</v>
      </c>
      <c r="C4591" s="3" t="s">
        <v>13</v>
      </c>
      <c r="D4591" s="3" t="s">
        <v>19</v>
      </c>
      <c r="E4591" s="5" t="s">
        <v>20</v>
      </c>
      <c r="F4591" s="17">
        <v>58.26</v>
      </c>
      <c r="G4591" s="3">
        <v>4</v>
      </c>
      <c r="H4591" s="17">
        <f>Table1[[#This Row],[Unit price]]*Table1[[#This Row],[Quantity]]</f>
        <v>233.04</v>
      </c>
      <c r="I4591" s="29">
        <f>Table1[[#This Row],[Total Revenue]]/$H$5056*100</f>
        <v>2.4724552895281301E-2</v>
      </c>
      <c r="J4591" s="3" t="s">
        <v>17</v>
      </c>
      <c r="K4591" s="4">
        <v>5.5</v>
      </c>
      <c r="M4591"/>
    </row>
    <row r="4592" spans="1:13" x14ac:dyDescent="0.25">
      <c r="A4592" s="2">
        <v>45485</v>
      </c>
      <c r="B4592" s="3" t="s">
        <v>245</v>
      </c>
      <c r="C4592" s="3" t="s">
        <v>9</v>
      </c>
      <c r="D4592" s="3" t="s">
        <v>10</v>
      </c>
      <c r="E4592" s="5" t="s">
        <v>20</v>
      </c>
      <c r="F4592" s="17">
        <v>54.07</v>
      </c>
      <c r="G4592" s="3">
        <v>9</v>
      </c>
      <c r="H4592" s="17">
        <f>Table1[[#This Row],[Unit price]]*Table1[[#This Row],[Quantity]]</f>
        <v>486.63</v>
      </c>
      <c r="I4592" s="29">
        <f>Table1[[#This Row],[Total Revenue]]/$H$5056*100</f>
        <v>5.1629373392682545E-2</v>
      </c>
      <c r="J4592" s="3" t="s">
        <v>15</v>
      </c>
      <c r="K4592" s="4">
        <v>9.3000000000000007</v>
      </c>
      <c r="M4592"/>
    </row>
    <row r="4593" spans="1:13" x14ac:dyDescent="0.25">
      <c r="A4593" s="2">
        <v>45485</v>
      </c>
      <c r="B4593" s="3" t="s">
        <v>245</v>
      </c>
      <c r="C4593" s="3" t="s">
        <v>9</v>
      </c>
      <c r="D4593" s="3" t="s">
        <v>10</v>
      </c>
      <c r="E4593" s="5" t="s">
        <v>11</v>
      </c>
      <c r="F4593" s="17">
        <v>2.23</v>
      </c>
      <c r="G4593" s="3">
        <v>10</v>
      </c>
      <c r="H4593" s="17">
        <f>Table1[[#This Row],[Unit price]]*Table1[[#This Row],[Quantity]]</f>
        <v>22.3</v>
      </c>
      <c r="I4593" s="29">
        <f>Table1[[#This Row],[Total Revenue]]/$H$5056*100</f>
        <v>2.3659351594780857E-3</v>
      </c>
      <c r="J4593" s="3" t="s">
        <v>15</v>
      </c>
      <c r="K4593" s="4">
        <v>7.8</v>
      </c>
      <c r="M4593"/>
    </row>
    <row r="4594" spans="1:13" x14ac:dyDescent="0.25">
      <c r="A4594" s="2">
        <v>45485</v>
      </c>
      <c r="B4594" s="3" t="s">
        <v>244</v>
      </c>
      <c r="C4594" s="3" t="s">
        <v>9</v>
      </c>
      <c r="D4594" s="3" t="s">
        <v>10</v>
      </c>
      <c r="E4594" s="5" t="s">
        <v>11</v>
      </c>
      <c r="F4594" s="17">
        <v>3.8</v>
      </c>
      <c r="G4594" s="3">
        <v>2</v>
      </c>
      <c r="H4594" s="17">
        <f>Table1[[#This Row],[Unit price]]*Table1[[#This Row],[Quantity]]</f>
        <v>7.6</v>
      </c>
      <c r="I4594" s="29">
        <f>Table1[[#This Row],[Total Revenue]]/$H$5056*100</f>
        <v>8.063276776696614E-4</v>
      </c>
      <c r="J4594" s="3" t="s">
        <v>12</v>
      </c>
      <c r="K4594" s="4">
        <v>9.4</v>
      </c>
      <c r="M4594"/>
    </row>
    <row r="4595" spans="1:13" x14ac:dyDescent="0.25">
      <c r="A4595" s="2">
        <v>45485</v>
      </c>
      <c r="B4595" s="3" t="s">
        <v>244</v>
      </c>
      <c r="C4595" s="3" t="s">
        <v>13</v>
      </c>
      <c r="D4595" s="3" t="s">
        <v>10</v>
      </c>
      <c r="E4595" s="5" t="s">
        <v>21</v>
      </c>
      <c r="F4595" s="17">
        <v>35.270000000000003</v>
      </c>
      <c r="G4595" s="3">
        <v>5</v>
      </c>
      <c r="H4595" s="17">
        <f>Table1[[#This Row],[Unit price]]*Table1[[#This Row],[Quantity]]</f>
        <v>176.35000000000002</v>
      </c>
      <c r="I4595" s="29">
        <f>Table1[[#This Row],[Total Revenue]]/$H$5056*100</f>
        <v>1.8709984994348002E-2</v>
      </c>
      <c r="J4595" s="3" t="s">
        <v>12</v>
      </c>
      <c r="K4595" s="4">
        <v>8.6999999999999993</v>
      </c>
      <c r="M4595"/>
    </row>
    <row r="4596" spans="1:13" x14ac:dyDescent="0.25">
      <c r="A4596" s="2">
        <v>45516</v>
      </c>
      <c r="B4596" s="3" t="s">
        <v>244</v>
      </c>
      <c r="C4596" s="3" t="s">
        <v>9</v>
      </c>
      <c r="D4596" s="3" t="s">
        <v>10</v>
      </c>
      <c r="E4596" s="5" t="s">
        <v>16</v>
      </c>
      <c r="F4596" s="17">
        <v>61.51</v>
      </c>
      <c r="G4596" s="3">
        <v>10</v>
      </c>
      <c r="H4596" s="17">
        <f>Table1[[#This Row],[Unit price]]*Table1[[#This Row],[Quantity]]</f>
        <v>615.1</v>
      </c>
      <c r="I4596" s="29">
        <f>Table1[[#This Row],[Total Revenue]]/$H$5056*100</f>
        <v>6.5259494017711681E-2</v>
      </c>
      <c r="J4596" s="3" t="s">
        <v>17</v>
      </c>
      <c r="K4596" s="4">
        <v>8.1</v>
      </c>
      <c r="M4596"/>
    </row>
    <row r="4597" spans="1:13" x14ac:dyDescent="0.25">
      <c r="A4597" s="2">
        <v>45516</v>
      </c>
      <c r="B4597" s="3" t="s">
        <v>244</v>
      </c>
      <c r="C4597" s="3" t="s">
        <v>13</v>
      </c>
      <c r="D4597" s="3" t="s">
        <v>10</v>
      </c>
      <c r="E4597" s="5" t="s">
        <v>14</v>
      </c>
      <c r="F4597" s="17">
        <v>79.84</v>
      </c>
      <c r="G4597" s="3">
        <v>9</v>
      </c>
      <c r="H4597" s="17">
        <f>Table1[[#This Row],[Unit price]]*Table1[[#This Row],[Quantity]]</f>
        <v>718.56000000000006</v>
      </c>
      <c r="I4597" s="29">
        <f>Table1[[#This Row],[Total Revenue]]/$H$5056*100</f>
        <v>7.6236160008725254E-2</v>
      </c>
      <c r="J4597" s="3" t="s">
        <v>12</v>
      </c>
      <c r="K4597" s="4">
        <v>8.6</v>
      </c>
      <c r="M4597"/>
    </row>
    <row r="4598" spans="1:13" x14ac:dyDescent="0.25">
      <c r="A4598" s="2">
        <v>45516</v>
      </c>
      <c r="B4598" s="3" t="s">
        <v>243</v>
      </c>
      <c r="C4598" s="3" t="s">
        <v>9</v>
      </c>
      <c r="D4598" s="3" t="s">
        <v>10</v>
      </c>
      <c r="E4598" s="5" t="s">
        <v>18</v>
      </c>
      <c r="F4598" s="17">
        <v>10.039999999999999</v>
      </c>
      <c r="G4598" s="3">
        <v>8</v>
      </c>
      <c r="H4598" s="17">
        <f>Table1[[#This Row],[Unit price]]*Table1[[#This Row],[Quantity]]</f>
        <v>80.319999999999993</v>
      </c>
      <c r="I4598" s="29">
        <f>Table1[[#This Row],[Total Revenue]]/$H$5056*100</f>
        <v>8.5216104040035795E-3</v>
      </c>
      <c r="J4598" s="3" t="s">
        <v>12</v>
      </c>
      <c r="K4598" s="4">
        <v>5.3</v>
      </c>
      <c r="M4598"/>
    </row>
    <row r="4599" spans="1:13" x14ac:dyDescent="0.25">
      <c r="A4599" s="2">
        <v>45516</v>
      </c>
      <c r="B4599" s="3" t="s">
        <v>243</v>
      </c>
      <c r="C4599" s="3" t="s">
        <v>13</v>
      </c>
      <c r="D4599" s="3" t="s">
        <v>10</v>
      </c>
      <c r="E4599" s="5" t="s">
        <v>20</v>
      </c>
      <c r="F4599" s="17">
        <v>67.39</v>
      </c>
      <c r="G4599" s="3">
        <v>4</v>
      </c>
      <c r="H4599" s="17">
        <f>Table1[[#This Row],[Unit price]]*Table1[[#This Row],[Quantity]]</f>
        <v>269.56</v>
      </c>
      <c r="I4599" s="29">
        <f>Table1[[#This Row],[Total Revenue]]/$H$5056*100</f>
        <v>2.8599169577978149E-2</v>
      </c>
      <c r="J4599" s="3" t="s">
        <v>17</v>
      </c>
      <c r="K4599" s="4">
        <v>5.6</v>
      </c>
      <c r="M4599"/>
    </row>
    <row r="4600" spans="1:13" x14ac:dyDescent="0.25">
      <c r="A4600" s="2">
        <v>45516</v>
      </c>
      <c r="B4600" s="3" t="s">
        <v>243</v>
      </c>
      <c r="C4600" s="3" t="s">
        <v>13</v>
      </c>
      <c r="D4600" s="3" t="s">
        <v>19</v>
      </c>
      <c r="E4600" s="5" t="s">
        <v>20</v>
      </c>
      <c r="F4600" s="17">
        <v>64.89</v>
      </c>
      <c r="G4600" s="3">
        <v>7</v>
      </c>
      <c r="H4600" s="17">
        <f>Table1[[#This Row],[Unit price]]*Table1[[#This Row],[Quantity]]</f>
        <v>454.23</v>
      </c>
      <c r="I4600" s="29">
        <f>Table1[[#This Row],[Total Revenue]]/$H$5056*100</f>
        <v>4.8191871187880306E-2</v>
      </c>
      <c r="J4600" s="3" t="s">
        <v>12</v>
      </c>
      <c r="K4600" s="4">
        <v>9.6999999999999993</v>
      </c>
      <c r="M4600"/>
    </row>
    <row r="4601" spans="1:13" x14ac:dyDescent="0.25">
      <c r="A4601" s="2">
        <v>45516</v>
      </c>
      <c r="B4601" s="3" t="s">
        <v>245</v>
      </c>
      <c r="C4601" s="3" t="s">
        <v>13</v>
      </c>
      <c r="D4601" s="3" t="s">
        <v>19</v>
      </c>
      <c r="E4601" s="5" t="s">
        <v>20</v>
      </c>
      <c r="F4601" s="17">
        <v>69.3</v>
      </c>
      <c r="G4601" s="3">
        <v>3</v>
      </c>
      <c r="H4601" s="17">
        <f>Table1[[#This Row],[Unit price]]*Table1[[#This Row],[Quantity]]</f>
        <v>207.89999999999998</v>
      </c>
      <c r="I4601" s="29">
        <f>Table1[[#This Row],[Total Revenue]]/$H$5056*100</f>
        <v>2.205730581414771E-2</v>
      </c>
      <c r="J4601" s="3" t="s">
        <v>17</v>
      </c>
      <c r="K4601" s="4">
        <v>9.6</v>
      </c>
      <c r="M4601"/>
    </row>
    <row r="4602" spans="1:13" x14ac:dyDescent="0.25">
      <c r="A4602" s="2">
        <v>45516</v>
      </c>
      <c r="B4602" s="3" t="s">
        <v>244</v>
      </c>
      <c r="C4602" s="3" t="s">
        <v>9</v>
      </c>
      <c r="D4602" s="3" t="s">
        <v>10</v>
      </c>
      <c r="E4602" s="5" t="s">
        <v>11</v>
      </c>
      <c r="F4602" s="17">
        <v>6.21</v>
      </c>
      <c r="G4602" s="3">
        <v>8</v>
      </c>
      <c r="H4602" s="17">
        <f>Table1[[#This Row],[Unit price]]*Table1[[#This Row],[Quantity]]</f>
        <v>49.68</v>
      </c>
      <c r="I4602" s="29">
        <f>Table1[[#This Row],[Total Revenue]]/$H$5056*100</f>
        <v>5.2708367140301025E-3</v>
      </c>
      <c r="J4602" s="3" t="s">
        <v>15</v>
      </c>
      <c r="K4602" s="4">
        <v>7.9</v>
      </c>
      <c r="M4602"/>
    </row>
    <row r="4603" spans="1:13" x14ac:dyDescent="0.25">
      <c r="A4603" s="2">
        <v>45516</v>
      </c>
      <c r="B4603" s="3" t="s">
        <v>245</v>
      </c>
      <c r="C4603" s="3" t="s">
        <v>9</v>
      </c>
      <c r="D4603" s="3" t="s">
        <v>19</v>
      </c>
      <c r="E4603" s="5" t="s">
        <v>11</v>
      </c>
      <c r="F4603" s="17">
        <v>5.76</v>
      </c>
      <c r="G4603" s="3">
        <v>5</v>
      </c>
      <c r="H4603" s="17">
        <f>Table1[[#This Row],[Unit price]]*Table1[[#This Row],[Quantity]]</f>
        <v>28.799999999999997</v>
      </c>
      <c r="I4603" s="29">
        <f>Table1[[#This Row],[Total Revenue]]/$H$5056*100</f>
        <v>3.0555575153797692E-3</v>
      </c>
      <c r="J4603" s="3" t="s">
        <v>12</v>
      </c>
      <c r="K4603" s="4">
        <v>7.2</v>
      </c>
      <c r="M4603"/>
    </row>
    <row r="4604" spans="1:13" x14ac:dyDescent="0.25">
      <c r="A4604" s="2">
        <v>45516</v>
      </c>
      <c r="B4604" s="3" t="s">
        <v>244</v>
      </c>
      <c r="C4604" s="3" t="s">
        <v>13</v>
      </c>
      <c r="D4604" s="3" t="s">
        <v>10</v>
      </c>
      <c r="E4604" s="5" t="s">
        <v>11</v>
      </c>
      <c r="F4604" s="17">
        <v>9.6300000000000008</v>
      </c>
      <c r="G4604" s="3">
        <v>8</v>
      </c>
      <c r="H4604" s="17">
        <f>Table1[[#This Row],[Unit price]]*Table1[[#This Row],[Quantity]]</f>
        <v>77.040000000000006</v>
      </c>
      <c r="I4604" s="29">
        <f>Table1[[#This Row],[Total Revenue]]/$H$5056*100</f>
        <v>8.1736163536408838E-3</v>
      </c>
      <c r="J4604" s="3" t="s">
        <v>17</v>
      </c>
      <c r="K4604" s="4">
        <v>3.2</v>
      </c>
      <c r="M4604"/>
    </row>
    <row r="4605" spans="1:13" x14ac:dyDescent="0.25">
      <c r="A4605" s="2">
        <v>45516</v>
      </c>
      <c r="B4605" s="3" t="s">
        <v>245</v>
      </c>
      <c r="C4605" s="3" t="s">
        <v>9</v>
      </c>
      <c r="D4605" s="3" t="s">
        <v>10</v>
      </c>
      <c r="E4605" s="5" t="s">
        <v>14</v>
      </c>
      <c r="F4605" s="17">
        <v>91.62</v>
      </c>
      <c r="G4605" s="3">
        <v>7</v>
      </c>
      <c r="H4605" s="17">
        <f>Table1[[#This Row],[Unit price]]*Table1[[#This Row],[Quantity]]</f>
        <v>641.34</v>
      </c>
      <c r="I4605" s="29">
        <f>Table1[[#This Row],[Total Revenue]]/$H$5056*100</f>
        <v>6.8043446420613246E-2</v>
      </c>
      <c r="J4605" s="3" t="s">
        <v>15</v>
      </c>
      <c r="K4605" s="4">
        <v>8.1999999999999993</v>
      </c>
      <c r="M4605"/>
    </row>
    <row r="4606" spans="1:13" x14ac:dyDescent="0.25">
      <c r="A4606" s="2">
        <v>45516</v>
      </c>
      <c r="B4606" s="3" t="s">
        <v>244</v>
      </c>
      <c r="C4606" s="3" t="s">
        <v>9</v>
      </c>
      <c r="D4606" s="3" t="s">
        <v>10</v>
      </c>
      <c r="E4606" s="5" t="s">
        <v>21</v>
      </c>
      <c r="F4606" s="17">
        <v>40.82</v>
      </c>
      <c r="G4606" s="3">
        <v>1</v>
      </c>
      <c r="H4606" s="17">
        <f>Table1[[#This Row],[Unit price]]*Table1[[#This Row],[Quantity]]</f>
        <v>40.82</v>
      </c>
      <c r="I4606" s="29">
        <f>Table1[[#This Row],[Total Revenue]]/$H$5056*100</f>
        <v>4.3308283950625765E-3</v>
      </c>
      <c r="J4606" s="3" t="s">
        <v>15</v>
      </c>
      <c r="K4606" s="4">
        <v>5.2</v>
      </c>
      <c r="M4606"/>
    </row>
    <row r="4607" spans="1:13" x14ac:dyDescent="0.25">
      <c r="A4607" s="2">
        <v>45516</v>
      </c>
      <c r="B4607" s="3" t="s">
        <v>243</v>
      </c>
      <c r="C4607" s="3" t="s">
        <v>13</v>
      </c>
      <c r="D4607" s="3" t="s">
        <v>10</v>
      </c>
      <c r="E4607" s="5" t="s">
        <v>14</v>
      </c>
      <c r="F4607" s="17">
        <v>74.209999999999994</v>
      </c>
      <c r="G4607" s="3">
        <v>9</v>
      </c>
      <c r="H4607" s="17">
        <f>Table1[[#This Row],[Unit price]]*Table1[[#This Row],[Quantity]]</f>
        <v>667.89</v>
      </c>
      <c r="I4607" s="29">
        <f>Table1[[#This Row],[Total Revenue]]/$H$5056*100</f>
        <v>7.0860288505103966E-2</v>
      </c>
      <c r="J4607" s="3" t="s">
        <v>12</v>
      </c>
      <c r="K4607" s="4">
        <v>6.8</v>
      </c>
      <c r="M4607"/>
    </row>
    <row r="4608" spans="1:13" x14ac:dyDescent="0.25">
      <c r="A4608" s="2">
        <v>45516</v>
      </c>
      <c r="B4608" s="3" t="s">
        <v>244</v>
      </c>
      <c r="C4608" s="3" t="s">
        <v>9</v>
      </c>
      <c r="D4608" s="3" t="s">
        <v>19</v>
      </c>
      <c r="E4608" s="5" t="s">
        <v>20</v>
      </c>
      <c r="F4608" s="17">
        <v>62.19</v>
      </c>
      <c r="G4608" s="3">
        <v>7</v>
      </c>
      <c r="H4608" s="17">
        <f>Table1[[#This Row],[Unit price]]*Table1[[#This Row],[Quantity]]</f>
        <v>435.33</v>
      </c>
      <c r="I4608" s="29">
        <f>Table1[[#This Row],[Total Revenue]]/$H$5056*100</f>
        <v>4.6186661568412328E-2</v>
      </c>
      <c r="J4608" s="3" t="s">
        <v>17</v>
      </c>
      <c r="K4608" s="4">
        <v>7.6</v>
      </c>
      <c r="M4608"/>
    </row>
    <row r="4609" spans="1:13" x14ac:dyDescent="0.25">
      <c r="A4609" s="2">
        <v>45547</v>
      </c>
      <c r="B4609" s="3" t="s">
        <v>245</v>
      </c>
      <c r="C4609" s="3" t="s">
        <v>9</v>
      </c>
      <c r="D4609" s="3" t="s">
        <v>19</v>
      </c>
      <c r="E4609" s="5" t="s">
        <v>11</v>
      </c>
      <c r="F4609" s="17">
        <v>5.69</v>
      </c>
      <c r="G4609" s="3">
        <v>5</v>
      </c>
      <c r="H4609" s="17">
        <f>Table1[[#This Row],[Unit price]]*Table1[[#This Row],[Quantity]]</f>
        <v>28.450000000000003</v>
      </c>
      <c r="I4609" s="29">
        <f>Table1[[#This Row],[Total Revenue]]/$H$5056*100</f>
        <v>3.0184240039081408E-3</v>
      </c>
      <c r="J4609" s="3" t="s">
        <v>12</v>
      </c>
      <c r="K4609" s="4">
        <v>4.7</v>
      </c>
      <c r="M4609"/>
    </row>
    <row r="4610" spans="1:13" x14ac:dyDescent="0.25">
      <c r="A4610" s="2">
        <v>45547</v>
      </c>
      <c r="B4610" s="3" t="s">
        <v>243</v>
      </c>
      <c r="C4610" s="3" t="s">
        <v>9</v>
      </c>
      <c r="D4610" s="3" t="s">
        <v>10</v>
      </c>
      <c r="E4610" s="5" t="s">
        <v>14</v>
      </c>
      <c r="F4610" s="17">
        <v>72.14</v>
      </c>
      <c r="G4610" s="3">
        <v>6</v>
      </c>
      <c r="H4610" s="17">
        <f>Table1[[#This Row],[Unit price]]*Table1[[#This Row],[Quantity]]</f>
        <v>432.84000000000003</v>
      </c>
      <c r="I4610" s="29">
        <f>Table1[[#This Row],[Total Revenue]]/$H$5056*100</f>
        <v>4.5922483158228458E-2</v>
      </c>
      <c r="J4610" s="3" t="s">
        <v>17</v>
      </c>
      <c r="K4610" s="4">
        <v>5</v>
      </c>
      <c r="M4610"/>
    </row>
    <row r="4611" spans="1:13" x14ac:dyDescent="0.25">
      <c r="A4611" s="2">
        <v>45547</v>
      </c>
      <c r="B4611" s="3" t="s">
        <v>245</v>
      </c>
      <c r="C4611" s="3" t="s">
        <v>13</v>
      </c>
      <c r="D4611" s="3" t="s">
        <v>10</v>
      </c>
      <c r="E4611" s="5" t="s">
        <v>16</v>
      </c>
      <c r="F4611" s="17">
        <v>75.36</v>
      </c>
      <c r="G4611" s="3">
        <v>4</v>
      </c>
      <c r="H4611" s="17">
        <f>Table1[[#This Row],[Unit price]]*Table1[[#This Row],[Quantity]]</f>
        <v>301.44</v>
      </c>
      <c r="I4611" s="29">
        <f>Table1[[#This Row],[Total Revenue]]/$H$5056*100</f>
        <v>3.1981501994308256E-2</v>
      </c>
      <c r="J4611" s="3" t="s">
        <v>12</v>
      </c>
      <c r="K4611" s="4">
        <v>8.8000000000000007</v>
      </c>
      <c r="M4611"/>
    </row>
    <row r="4612" spans="1:13" x14ac:dyDescent="0.25">
      <c r="A4612" s="2">
        <v>45547</v>
      </c>
      <c r="B4612" s="3" t="s">
        <v>243</v>
      </c>
      <c r="C4612" s="3" t="s">
        <v>13</v>
      </c>
      <c r="D4612" s="3" t="s">
        <v>10</v>
      </c>
      <c r="E4612" s="5" t="s">
        <v>14</v>
      </c>
      <c r="F4612" s="17">
        <v>98.74</v>
      </c>
      <c r="G4612" s="3">
        <v>5</v>
      </c>
      <c r="H4612" s="17">
        <f>Table1[[#This Row],[Unit price]]*Table1[[#This Row],[Quantity]]</f>
        <v>493.7</v>
      </c>
      <c r="I4612" s="29">
        <f>Table1[[#This Row],[Total Revenue]]/$H$5056*100</f>
        <v>5.2379470324409455E-2</v>
      </c>
      <c r="J4612" s="3" t="s">
        <v>15</v>
      </c>
      <c r="K4612" s="4">
        <v>9.6999999999999993</v>
      </c>
      <c r="M4612"/>
    </row>
    <row r="4613" spans="1:13" x14ac:dyDescent="0.25">
      <c r="A4613" s="2">
        <v>45547</v>
      </c>
      <c r="B4613" s="3" t="s">
        <v>243</v>
      </c>
      <c r="C4613" s="3" t="s">
        <v>9</v>
      </c>
      <c r="D4613" s="3" t="s">
        <v>19</v>
      </c>
      <c r="E4613" s="5" t="s">
        <v>21</v>
      </c>
      <c r="F4613" s="17">
        <v>47.32</v>
      </c>
      <c r="G4613" s="3">
        <v>8</v>
      </c>
      <c r="H4613" s="17">
        <f>Table1[[#This Row],[Unit price]]*Table1[[#This Row],[Quantity]]</f>
        <v>378.56</v>
      </c>
      <c r="I4613" s="29">
        <f>Table1[[#This Row],[Total Revenue]]/$H$5056*100</f>
        <v>4.0163606007714084E-2</v>
      </c>
      <c r="J4613" s="3" t="s">
        <v>12</v>
      </c>
      <c r="K4613" s="4">
        <v>8.3000000000000007</v>
      </c>
      <c r="M4613"/>
    </row>
    <row r="4614" spans="1:13" x14ac:dyDescent="0.25">
      <c r="A4614" s="2">
        <v>45547</v>
      </c>
      <c r="B4614" s="3" t="s">
        <v>243</v>
      </c>
      <c r="C4614" s="3" t="s">
        <v>9</v>
      </c>
      <c r="D4614" s="3" t="s">
        <v>19</v>
      </c>
      <c r="E4614" s="5" t="s">
        <v>18</v>
      </c>
      <c r="F4614" s="17">
        <v>13.18</v>
      </c>
      <c r="G4614" s="3">
        <v>3</v>
      </c>
      <c r="H4614" s="17">
        <f>Table1[[#This Row],[Unit price]]*Table1[[#This Row],[Quantity]]</f>
        <v>39.54</v>
      </c>
      <c r="I4614" s="29">
        <f>Table1[[#This Row],[Total Revenue]]/$H$5056*100</f>
        <v>4.1950258388234758E-3</v>
      </c>
      <c r="J4614" s="3" t="s">
        <v>17</v>
      </c>
      <c r="K4614" s="4">
        <v>3.7</v>
      </c>
      <c r="M4614"/>
    </row>
    <row r="4615" spans="1:13" x14ac:dyDescent="0.25">
      <c r="A4615" s="2">
        <v>45547</v>
      </c>
      <c r="B4615" s="3" t="s">
        <v>244</v>
      </c>
      <c r="C4615" s="3" t="s">
        <v>13</v>
      </c>
      <c r="D4615" s="3" t="s">
        <v>10</v>
      </c>
      <c r="E4615" s="5" t="s">
        <v>21</v>
      </c>
      <c r="F4615" s="17">
        <v>21</v>
      </c>
      <c r="G4615" s="3">
        <v>6</v>
      </c>
      <c r="H4615" s="17">
        <f>Table1[[#This Row],[Unit price]]*Table1[[#This Row],[Quantity]]</f>
        <v>126</v>
      </c>
      <c r="I4615" s="29">
        <f>Table1[[#This Row],[Total Revenue]]/$H$5056*100</f>
        <v>1.3368064129786491E-2</v>
      </c>
      <c r="J4615" s="3" t="s">
        <v>17</v>
      </c>
      <c r="K4615" s="4">
        <v>3.9</v>
      </c>
      <c r="M4615"/>
    </row>
    <row r="4616" spans="1:13" x14ac:dyDescent="0.25">
      <c r="A4616" s="2">
        <v>45547</v>
      </c>
      <c r="B4616" s="3" t="s">
        <v>243</v>
      </c>
      <c r="C4616" s="3" t="s">
        <v>9</v>
      </c>
      <c r="D4616" s="3" t="s">
        <v>10</v>
      </c>
      <c r="E4616" s="5" t="s">
        <v>16</v>
      </c>
      <c r="F4616" s="17">
        <v>56.02</v>
      </c>
      <c r="G4616" s="3">
        <v>9</v>
      </c>
      <c r="H4616" s="17">
        <f>Table1[[#This Row],[Unit price]]*Table1[[#This Row],[Quantity]]</f>
        <v>504.18</v>
      </c>
      <c r="I4616" s="29">
        <f>Table1[[#This Row],[Total Revenue]]/$H$5056*100</f>
        <v>5.3491353753617091E-2</v>
      </c>
      <c r="J4616" s="3" t="s">
        <v>12</v>
      </c>
      <c r="K4616" s="4">
        <v>6.6</v>
      </c>
      <c r="M4616"/>
    </row>
    <row r="4617" spans="1:13" x14ac:dyDescent="0.25">
      <c r="A4617" s="2">
        <v>45547</v>
      </c>
      <c r="B4617" s="3" t="s">
        <v>244</v>
      </c>
      <c r="C4617" s="3" t="s">
        <v>13</v>
      </c>
      <c r="D4617" s="3" t="s">
        <v>10</v>
      </c>
      <c r="E4617" s="5" t="s">
        <v>16</v>
      </c>
      <c r="F4617" s="17">
        <v>79.02</v>
      </c>
      <c r="G4617" s="3">
        <v>5</v>
      </c>
      <c r="H4617" s="17">
        <f>Table1[[#This Row],[Unit price]]*Table1[[#This Row],[Quantity]]</f>
        <v>395.09999999999997</v>
      </c>
      <c r="I4617" s="29">
        <f>Table1[[#This Row],[Total Revenue]]/$H$5056*100</f>
        <v>4.1918429664116214E-2</v>
      </c>
      <c r="J4617" s="3" t="s">
        <v>17</v>
      </c>
      <c r="K4617" s="4">
        <v>8.9</v>
      </c>
      <c r="M4617"/>
    </row>
    <row r="4618" spans="1:13" x14ac:dyDescent="0.25">
      <c r="A4618" s="2">
        <v>45547</v>
      </c>
      <c r="B4618" s="3" t="s">
        <v>243</v>
      </c>
      <c r="C4618" s="3" t="s">
        <v>9</v>
      </c>
      <c r="D4618" s="3" t="s">
        <v>19</v>
      </c>
      <c r="E4618" s="5" t="s">
        <v>20</v>
      </c>
      <c r="F4618" s="17">
        <v>65.08</v>
      </c>
      <c r="G4618" s="3">
        <v>4</v>
      </c>
      <c r="H4618" s="17">
        <f>Table1[[#This Row],[Unit price]]*Table1[[#This Row],[Quantity]]</f>
        <v>260.32</v>
      </c>
      <c r="I4618" s="29">
        <f>Table1[[#This Row],[Total Revenue]]/$H$5056*100</f>
        <v>2.7618844875127141E-2</v>
      </c>
      <c r="J4618" s="3" t="s">
        <v>17</v>
      </c>
      <c r="K4618" s="4">
        <v>7.9</v>
      </c>
      <c r="M4618"/>
    </row>
    <row r="4619" spans="1:13" x14ac:dyDescent="0.25">
      <c r="A4619" s="2">
        <v>45547</v>
      </c>
      <c r="B4619" s="3" t="s">
        <v>245</v>
      </c>
      <c r="C4619" s="3" t="s">
        <v>9</v>
      </c>
      <c r="D4619" s="3" t="s">
        <v>10</v>
      </c>
      <c r="E4619" s="5" t="s">
        <v>16</v>
      </c>
      <c r="F4619" s="17">
        <v>73.72</v>
      </c>
      <c r="G4619" s="3">
        <v>1</v>
      </c>
      <c r="H4619" s="17">
        <f>Table1[[#This Row],[Unit price]]*Table1[[#This Row],[Quantity]]</f>
        <v>73.72</v>
      </c>
      <c r="I4619" s="29">
        <f>Table1[[#This Row],[Total Revenue]]/$H$5056*100</f>
        <v>7.8213784733957153E-3</v>
      </c>
      <c r="J4619" s="3" t="s">
        <v>12</v>
      </c>
      <c r="K4619" s="4">
        <v>6.6</v>
      </c>
      <c r="M4619"/>
    </row>
    <row r="4620" spans="1:13" x14ac:dyDescent="0.25">
      <c r="A4620" s="2">
        <v>45547</v>
      </c>
      <c r="B4620" s="3" t="s">
        <v>245</v>
      </c>
      <c r="C4620" s="3" t="s">
        <v>13</v>
      </c>
      <c r="D4620" s="3" t="s">
        <v>10</v>
      </c>
      <c r="E4620" s="5" t="s">
        <v>11</v>
      </c>
      <c r="F4620" s="17">
        <v>8.58</v>
      </c>
      <c r="G4620" s="3">
        <v>6</v>
      </c>
      <c r="H4620" s="17">
        <f>Table1[[#This Row],[Unit price]]*Table1[[#This Row],[Quantity]]</f>
        <v>51.480000000000004</v>
      </c>
      <c r="I4620" s="29">
        <f>Table1[[#This Row],[Total Revenue]]/$H$5056*100</f>
        <v>5.4618090587413379E-3</v>
      </c>
      <c r="J4620" s="3" t="s">
        <v>15</v>
      </c>
      <c r="K4620" s="4">
        <v>7.6</v>
      </c>
      <c r="M4620"/>
    </row>
    <row r="4621" spans="1:13" x14ac:dyDescent="0.25">
      <c r="A4621" s="2">
        <v>45547</v>
      </c>
      <c r="B4621" s="3" t="s">
        <v>245</v>
      </c>
      <c r="C4621" s="3" t="s">
        <v>9</v>
      </c>
      <c r="D4621" s="3" t="s">
        <v>10</v>
      </c>
      <c r="E4621" s="5" t="s">
        <v>11</v>
      </c>
      <c r="F4621" s="17">
        <v>7.18</v>
      </c>
      <c r="G4621" s="3">
        <v>8</v>
      </c>
      <c r="H4621" s="17">
        <f>Table1[[#This Row],[Unit price]]*Table1[[#This Row],[Quantity]]</f>
        <v>57.44</v>
      </c>
      <c r="I4621" s="29">
        <f>Table1[[#This Row],[Total Revenue]]/$H$5056*100</f>
        <v>6.0941397112296517E-3</v>
      </c>
      <c r="J4621" s="3" t="s">
        <v>17</v>
      </c>
      <c r="K4621" s="4">
        <v>5.0999999999999996</v>
      </c>
      <c r="M4621"/>
    </row>
    <row r="4622" spans="1:13" x14ac:dyDescent="0.25">
      <c r="A4622" s="2">
        <v>45547</v>
      </c>
      <c r="B4622" s="3" t="s">
        <v>244</v>
      </c>
      <c r="C4622" s="3" t="s">
        <v>9</v>
      </c>
      <c r="D4622" s="3" t="s">
        <v>19</v>
      </c>
      <c r="E4622" s="5" t="s">
        <v>11</v>
      </c>
      <c r="F4622" s="17">
        <v>4.43</v>
      </c>
      <c r="G4622" s="3">
        <v>8</v>
      </c>
      <c r="H4622" s="17">
        <f>Table1[[#This Row],[Unit price]]*Table1[[#This Row],[Quantity]]</f>
        <v>35.44</v>
      </c>
      <c r="I4622" s="29">
        <f>Table1[[#This Row],[Total Revenue]]/$H$5056*100</f>
        <v>3.7600332758701053E-3</v>
      </c>
      <c r="J4622" s="3" t="s">
        <v>15</v>
      </c>
      <c r="K4622" s="4">
        <v>3.7</v>
      </c>
      <c r="M4622"/>
    </row>
    <row r="4623" spans="1:13" x14ac:dyDescent="0.25">
      <c r="A4623" s="2">
        <v>45547</v>
      </c>
      <c r="B4623" s="3" t="s">
        <v>244</v>
      </c>
      <c r="C4623" s="3" t="s">
        <v>13</v>
      </c>
      <c r="D4623" s="3" t="s">
        <v>10</v>
      </c>
      <c r="E4623" s="5" t="s">
        <v>16</v>
      </c>
      <c r="F4623" s="17">
        <v>61.13</v>
      </c>
      <c r="G4623" s="3">
        <v>9</v>
      </c>
      <c r="H4623" s="17">
        <f>Table1[[#This Row],[Unit price]]*Table1[[#This Row],[Quantity]]</f>
        <v>550.17000000000007</v>
      </c>
      <c r="I4623" s="29">
        <f>Table1[[#This Row],[Total Revenue]]/$H$5056*100</f>
        <v>5.8370697160989166E-2</v>
      </c>
      <c r="J4623" s="3" t="s">
        <v>12</v>
      </c>
      <c r="K4623" s="4">
        <v>7</v>
      </c>
      <c r="M4623"/>
    </row>
    <row r="4624" spans="1:13" x14ac:dyDescent="0.25">
      <c r="A4624" s="2">
        <v>45547</v>
      </c>
      <c r="B4624" s="3" t="s">
        <v>243</v>
      </c>
      <c r="C4624" s="3" t="s">
        <v>13</v>
      </c>
      <c r="D4624" s="3" t="s">
        <v>19</v>
      </c>
      <c r="E4624" s="5" t="s">
        <v>20</v>
      </c>
      <c r="F4624" s="17">
        <v>62.31</v>
      </c>
      <c r="G4624" s="3">
        <v>5</v>
      </c>
      <c r="H4624" s="17">
        <f>Table1[[#This Row],[Unit price]]*Table1[[#This Row],[Quantity]]</f>
        <v>311.55</v>
      </c>
      <c r="I4624" s="29">
        <f>Table1[[#This Row],[Total Revenue]]/$H$5056*100</f>
        <v>3.3054129997103027E-2</v>
      </c>
      <c r="J4624" s="3" t="s">
        <v>15</v>
      </c>
      <c r="K4624" s="4">
        <v>7.7</v>
      </c>
      <c r="M4624"/>
    </row>
    <row r="4625" spans="1:13" x14ac:dyDescent="0.25">
      <c r="A4625" s="2">
        <v>45547</v>
      </c>
      <c r="B4625" s="3" t="s">
        <v>243</v>
      </c>
      <c r="C4625" s="3" t="s">
        <v>13</v>
      </c>
      <c r="D4625" s="3" t="s">
        <v>19</v>
      </c>
      <c r="E4625" s="5" t="s">
        <v>18</v>
      </c>
      <c r="F4625" s="17">
        <v>3.79</v>
      </c>
      <c r="G4625" s="3">
        <v>6</v>
      </c>
      <c r="H4625" s="17">
        <f>Table1[[#This Row],[Unit price]]*Table1[[#This Row],[Quantity]]</f>
        <v>22.740000000000002</v>
      </c>
      <c r="I4625" s="29">
        <f>Table1[[#This Row],[Total Revenue]]/$H$5056*100</f>
        <v>2.4126172881852766E-3</v>
      </c>
      <c r="J4625" s="3" t="s">
        <v>17</v>
      </c>
      <c r="K4625" s="4">
        <v>9.1</v>
      </c>
      <c r="M4625"/>
    </row>
    <row r="4626" spans="1:13" x14ac:dyDescent="0.25">
      <c r="A4626" s="2">
        <v>45547</v>
      </c>
      <c r="B4626" s="3" t="s">
        <v>244</v>
      </c>
      <c r="C4626" s="3" t="s">
        <v>13</v>
      </c>
      <c r="D4626" s="3" t="s">
        <v>10</v>
      </c>
      <c r="E4626" s="5" t="s">
        <v>21</v>
      </c>
      <c r="F4626" s="17">
        <v>25.69</v>
      </c>
      <c r="G4626" s="3">
        <v>2</v>
      </c>
      <c r="H4626" s="17">
        <f>Table1[[#This Row],[Unit price]]*Table1[[#This Row],[Quantity]]</f>
        <v>51.38</v>
      </c>
      <c r="I4626" s="29">
        <f>Table1[[#This Row],[Total Revenue]]/$H$5056*100</f>
        <v>5.4511994840351586E-3</v>
      </c>
      <c r="J4626" s="3" t="s">
        <v>12</v>
      </c>
      <c r="K4626" s="4">
        <v>3.6</v>
      </c>
      <c r="M4626"/>
    </row>
    <row r="4627" spans="1:13" x14ac:dyDescent="0.25">
      <c r="A4627" s="2">
        <v>45547</v>
      </c>
      <c r="B4627" s="3" t="s">
        <v>245</v>
      </c>
      <c r="C4627" s="3" t="s">
        <v>9</v>
      </c>
      <c r="D4627" s="3" t="s">
        <v>19</v>
      </c>
      <c r="E4627" s="5" t="s">
        <v>18</v>
      </c>
      <c r="F4627" s="17">
        <v>16.16</v>
      </c>
      <c r="G4627" s="3">
        <v>4</v>
      </c>
      <c r="H4627" s="17">
        <f>Table1[[#This Row],[Unit price]]*Table1[[#This Row],[Quantity]]</f>
        <v>64.64</v>
      </c>
      <c r="I4627" s="29">
        <f>Table1[[#This Row],[Total Revenue]]/$H$5056*100</f>
        <v>6.8580290900745943E-3</v>
      </c>
      <c r="J4627" s="3" t="s">
        <v>15</v>
      </c>
      <c r="K4627" s="4">
        <v>8.4</v>
      </c>
      <c r="M4627"/>
    </row>
    <row r="4628" spans="1:13" x14ac:dyDescent="0.25">
      <c r="A4628" s="2">
        <v>45547</v>
      </c>
      <c r="B4628" s="3" t="s">
        <v>245</v>
      </c>
      <c r="C4628" s="3" t="s">
        <v>9</v>
      </c>
      <c r="D4628" s="3" t="s">
        <v>19</v>
      </c>
      <c r="E4628" s="5" t="s">
        <v>18</v>
      </c>
      <c r="F4628" s="17">
        <v>16.63</v>
      </c>
      <c r="G4628" s="3">
        <v>4</v>
      </c>
      <c r="H4628" s="17">
        <f>Table1[[#This Row],[Unit price]]*Table1[[#This Row],[Quantity]]</f>
        <v>66.52</v>
      </c>
      <c r="I4628" s="29">
        <f>Table1[[#This Row],[Total Revenue]]/$H$5056*100</f>
        <v>7.0574890945507727E-3</v>
      </c>
      <c r="J4628" s="3" t="s">
        <v>12</v>
      </c>
      <c r="K4628" s="4">
        <v>8.3000000000000007</v>
      </c>
      <c r="M4628"/>
    </row>
    <row r="4629" spans="1:13" x14ac:dyDescent="0.25">
      <c r="A4629" s="2">
        <v>45547</v>
      </c>
      <c r="B4629" s="3" t="s">
        <v>245</v>
      </c>
      <c r="C4629" s="3" t="s">
        <v>13</v>
      </c>
      <c r="D4629" s="3" t="s">
        <v>19</v>
      </c>
      <c r="E4629" s="5" t="s">
        <v>20</v>
      </c>
      <c r="F4629" s="17">
        <v>67.17</v>
      </c>
      <c r="G4629" s="3">
        <v>3</v>
      </c>
      <c r="H4629" s="17">
        <f>Table1[[#This Row],[Unit price]]*Table1[[#This Row],[Quantity]]</f>
        <v>201.51</v>
      </c>
      <c r="I4629" s="29">
        <f>Table1[[#This Row],[Total Revenue]]/$H$5056*100</f>
        <v>2.1379353990422824E-2</v>
      </c>
      <c r="J4629" s="3" t="s">
        <v>15</v>
      </c>
      <c r="K4629" s="4">
        <v>6.7</v>
      </c>
      <c r="M4629"/>
    </row>
    <row r="4630" spans="1:13" x14ac:dyDescent="0.25">
      <c r="A4630" s="2">
        <v>45547</v>
      </c>
      <c r="B4630" s="3" t="s">
        <v>244</v>
      </c>
      <c r="C4630" s="3" t="s">
        <v>9</v>
      </c>
      <c r="D4630" s="3" t="s">
        <v>19</v>
      </c>
      <c r="E4630" s="5" t="s">
        <v>20</v>
      </c>
      <c r="F4630" s="17">
        <v>50.3</v>
      </c>
      <c r="G4630" s="3">
        <v>4</v>
      </c>
      <c r="H4630" s="17">
        <f>Table1[[#This Row],[Unit price]]*Table1[[#This Row],[Quantity]]</f>
        <v>201.2</v>
      </c>
      <c r="I4630" s="29">
        <f>Table1[[#This Row],[Total Revenue]]/$H$5056*100</f>
        <v>2.1346464308833666E-2</v>
      </c>
      <c r="J4630" s="3" t="s">
        <v>17</v>
      </c>
      <c r="K4630" s="4">
        <v>5.2</v>
      </c>
      <c r="M4630"/>
    </row>
    <row r="4631" spans="1:13" x14ac:dyDescent="0.25">
      <c r="A4631" s="2">
        <v>45577</v>
      </c>
      <c r="B4631" s="3" t="s">
        <v>244</v>
      </c>
      <c r="C4631" s="3" t="s">
        <v>13</v>
      </c>
      <c r="D4631" s="3" t="s">
        <v>19</v>
      </c>
      <c r="E4631" s="5" t="s">
        <v>18</v>
      </c>
      <c r="F4631" s="17">
        <v>11.47</v>
      </c>
      <c r="G4631" s="3">
        <v>2</v>
      </c>
      <c r="H4631" s="17">
        <f>Table1[[#This Row],[Unit price]]*Table1[[#This Row],[Quantity]]</f>
        <v>22.94</v>
      </c>
      <c r="I4631" s="29">
        <f>Table1[[#This Row],[Total Revenue]]/$H$5056*100</f>
        <v>2.4338364375976361E-3</v>
      </c>
      <c r="J4631" s="3" t="s">
        <v>12</v>
      </c>
      <c r="K4631" s="4">
        <v>6</v>
      </c>
      <c r="M4631"/>
    </row>
    <row r="4632" spans="1:13" x14ac:dyDescent="0.25">
      <c r="A4632" s="2">
        <v>45577</v>
      </c>
      <c r="B4632" s="3" t="s">
        <v>245</v>
      </c>
      <c r="C4632" s="3" t="s">
        <v>13</v>
      </c>
      <c r="D4632" s="3" t="s">
        <v>19</v>
      </c>
      <c r="E4632" s="5" t="s">
        <v>11</v>
      </c>
      <c r="F4632" s="17">
        <v>6.03</v>
      </c>
      <c r="G4632" s="3">
        <v>10</v>
      </c>
      <c r="H4632" s="17">
        <f>Table1[[#This Row],[Unit price]]*Table1[[#This Row],[Quantity]]</f>
        <v>60.300000000000004</v>
      </c>
      <c r="I4632" s="29">
        <f>Table1[[#This Row],[Total Revenue]]/$H$5056*100</f>
        <v>6.3975735478263929E-3</v>
      </c>
      <c r="J4632" s="3" t="s">
        <v>15</v>
      </c>
      <c r="K4632" s="4">
        <v>7.9</v>
      </c>
      <c r="M4632"/>
    </row>
    <row r="4633" spans="1:13" x14ac:dyDescent="0.25">
      <c r="A4633" s="2">
        <v>45577</v>
      </c>
      <c r="B4633" s="3" t="s">
        <v>245</v>
      </c>
      <c r="C4633" s="3" t="s">
        <v>13</v>
      </c>
      <c r="D4633" s="3" t="s">
        <v>10</v>
      </c>
      <c r="E4633" s="5" t="s">
        <v>16</v>
      </c>
      <c r="F4633" s="17">
        <v>69.3</v>
      </c>
      <c r="G4633" s="3">
        <v>1</v>
      </c>
      <c r="H4633" s="17">
        <f>Table1[[#This Row],[Unit price]]*Table1[[#This Row],[Quantity]]</f>
        <v>69.3</v>
      </c>
      <c r="I4633" s="29">
        <f>Table1[[#This Row],[Total Revenue]]/$H$5056*100</f>
        <v>7.3524352713825701E-3</v>
      </c>
      <c r="J4633" s="3" t="s">
        <v>15</v>
      </c>
      <c r="K4633" s="4">
        <v>9.8000000000000007</v>
      </c>
      <c r="M4633"/>
    </row>
    <row r="4634" spans="1:13" x14ac:dyDescent="0.25">
      <c r="A4634" s="2">
        <v>45577</v>
      </c>
      <c r="B4634" s="3" t="s">
        <v>243</v>
      </c>
      <c r="C4634" s="3" t="s">
        <v>13</v>
      </c>
      <c r="D4634" s="3" t="s">
        <v>19</v>
      </c>
      <c r="E4634" s="5" t="s">
        <v>20</v>
      </c>
      <c r="F4634" s="17">
        <v>64.25</v>
      </c>
      <c r="G4634" s="3">
        <v>8</v>
      </c>
      <c r="H4634" s="17">
        <f>Table1[[#This Row],[Unit price]]*Table1[[#This Row],[Quantity]]</f>
        <v>514</v>
      </c>
      <c r="I4634" s="29">
        <f>Table1[[#This Row],[Total Revenue]]/$H$5056*100</f>
        <v>5.4533213989763941E-2</v>
      </c>
      <c r="J4634" s="3" t="s">
        <v>15</v>
      </c>
      <c r="K4634" s="4">
        <v>9.1</v>
      </c>
      <c r="M4634"/>
    </row>
    <row r="4635" spans="1:13" x14ac:dyDescent="0.25">
      <c r="A4635" s="2">
        <v>45577</v>
      </c>
      <c r="B4635" s="3" t="s">
        <v>244</v>
      </c>
      <c r="C4635" s="3" t="s">
        <v>9</v>
      </c>
      <c r="D4635" s="3" t="s">
        <v>19</v>
      </c>
      <c r="E4635" s="5" t="s">
        <v>11</v>
      </c>
      <c r="F4635" s="17">
        <v>4.2</v>
      </c>
      <c r="G4635" s="3">
        <v>10</v>
      </c>
      <c r="H4635" s="17">
        <f>Table1[[#This Row],[Unit price]]*Table1[[#This Row],[Quantity]]</f>
        <v>42</v>
      </c>
      <c r="I4635" s="29">
        <f>Table1[[#This Row],[Total Revenue]]/$H$5056*100</f>
        <v>4.4560213765954971E-3</v>
      </c>
      <c r="J4635" s="3" t="s">
        <v>17</v>
      </c>
      <c r="K4635" s="4">
        <v>7.8</v>
      </c>
      <c r="M4635"/>
    </row>
    <row r="4636" spans="1:13" x14ac:dyDescent="0.25">
      <c r="A4636" s="2">
        <v>45577</v>
      </c>
      <c r="B4636" s="3" t="s">
        <v>245</v>
      </c>
      <c r="C4636" s="3" t="s">
        <v>13</v>
      </c>
      <c r="D4636" s="3" t="s">
        <v>10</v>
      </c>
      <c r="E4636" s="5" t="s">
        <v>11</v>
      </c>
      <c r="F4636" s="17">
        <v>6.04</v>
      </c>
      <c r="G4636" s="3">
        <v>7</v>
      </c>
      <c r="H4636" s="17">
        <f>Table1[[#This Row],[Unit price]]*Table1[[#This Row],[Quantity]]</f>
        <v>42.28</v>
      </c>
      <c r="I4636" s="29">
        <f>Table1[[#This Row],[Total Revenue]]/$H$5056*100</f>
        <v>4.4857281857728012E-3</v>
      </c>
      <c r="J4636" s="3" t="s">
        <v>15</v>
      </c>
      <c r="K4636" s="4">
        <v>8.4</v>
      </c>
      <c r="M4636"/>
    </row>
    <row r="4637" spans="1:13" x14ac:dyDescent="0.25">
      <c r="A4637" s="2">
        <v>45577</v>
      </c>
      <c r="B4637" s="3" t="s">
        <v>245</v>
      </c>
      <c r="C4637" s="3" t="s">
        <v>13</v>
      </c>
      <c r="D4637" s="3" t="s">
        <v>19</v>
      </c>
      <c r="E4637" s="5" t="s">
        <v>14</v>
      </c>
      <c r="F4637" s="17">
        <v>83.07</v>
      </c>
      <c r="G4637" s="3">
        <v>4</v>
      </c>
      <c r="H4637" s="17">
        <f>Table1[[#This Row],[Unit price]]*Table1[[#This Row],[Quantity]]</f>
        <v>332.28</v>
      </c>
      <c r="I4637" s="29">
        <f>Table1[[#This Row],[Total Revenue]]/$H$5056*100</f>
        <v>3.5253494833694089E-2</v>
      </c>
      <c r="J4637" s="3" t="s">
        <v>12</v>
      </c>
      <c r="K4637" s="4">
        <v>5.3</v>
      </c>
      <c r="M4637"/>
    </row>
    <row r="4638" spans="1:13" x14ac:dyDescent="0.25">
      <c r="A4638" s="2">
        <v>45577</v>
      </c>
      <c r="B4638" s="3" t="s">
        <v>243</v>
      </c>
      <c r="C4638" s="3" t="s">
        <v>13</v>
      </c>
      <c r="D4638" s="3" t="s">
        <v>19</v>
      </c>
      <c r="E4638" s="5" t="s">
        <v>11</v>
      </c>
      <c r="F4638" s="17">
        <v>5.41</v>
      </c>
      <c r="G4638" s="3">
        <v>5</v>
      </c>
      <c r="H4638" s="17">
        <f>Table1[[#This Row],[Unit price]]*Table1[[#This Row],[Quantity]]</f>
        <v>27.05</v>
      </c>
      <c r="I4638" s="29">
        <f>Table1[[#This Row],[Total Revenue]]/$H$5056*100</f>
        <v>2.8698899580216239E-3</v>
      </c>
      <c r="J4638" s="3" t="s">
        <v>12</v>
      </c>
      <c r="K4638" s="4">
        <v>9.5</v>
      </c>
      <c r="M4638"/>
    </row>
    <row r="4639" spans="1:13" x14ac:dyDescent="0.25">
      <c r="A4639" s="2">
        <v>45577</v>
      </c>
      <c r="B4639" s="3" t="s">
        <v>243</v>
      </c>
      <c r="C4639" s="3" t="s">
        <v>9</v>
      </c>
      <c r="D4639" s="3" t="s">
        <v>19</v>
      </c>
      <c r="E4639" s="5" t="s">
        <v>21</v>
      </c>
      <c r="F4639" s="17">
        <v>44.95</v>
      </c>
      <c r="G4639" s="3">
        <v>2</v>
      </c>
      <c r="H4639" s="17">
        <f>Table1[[#This Row],[Unit price]]*Table1[[#This Row],[Quantity]]</f>
        <v>89.9</v>
      </c>
      <c r="I4639" s="29">
        <f>Table1[[#This Row],[Total Revenue]]/$H$5056*100</f>
        <v>9.5380076608556005E-3</v>
      </c>
      <c r="J4639" s="3" t="s">
        <v>12</v>
      </c>
      <c r="K4639" s="4">
        <v>3.7</v>
      </c>
      <c r="M4639"/>
    </row>
    <row r="4640" spans="1:13" x14ac:dyDescent="0.25">
      <c r="A4640" s="2">
        <v>45577</v>
      </c>
      <c r="B4640" s="3" t="s">
        <v>244</v>
      </c>
      <c r="C4640" s="3" t="s">
        <v>13</v>
      </c>
      <c r="D4640" s="3" t="s">
        <v>19</v>
      </c>
      <c r="E4640" s="5" t="s">
        <v>20</v>
      </c>
      <c r="F4640" s="17">
        <v>63.4</v>
      </c>
      <c r="G4640" s="3">
        <v>7</v>
      </c>
      <c r="H4640" s="17">
        <f>Table1[[#This Row],[Unit price]]*Table1[[#This Row],[Quantity]]</f>
        <v>443.8</v>
      </c>
      <c r="I4640" s="29">
        <f>Table1[[#This Row],[Total Revenue]]/$H$5056*100</f>
        <v>4.7085292546025753E-2</v>
      </c>
      <c r="J4640" s="3" t="s">
        <v>12</v>
      </c>
      <c r="K4640" s="4">
        <v>8.9</v>
      </c>
      <c r="M4640"/>
    </row>
    <row r="4641" spans="1:13" x14ac:dyDescent="0.25">
      <c r="A4641" s="2">
        <v>45577</v>
      </c>
      <c r="B4641" s="3" t="s">
        <v>243</v>
      </c>
      <c r="C4641" s="3" t="s">
        <v>13</v>
      </c>
      <c r="D4641" s="3" t="s">
        <v>19</v>
      </c>
      <c r="E4641" s="5" t="s">
        <v>16</v>
      </c>
      <c r="F4641" s="17">
        <v>68.010000000000005</v>
      </c>
      <c r="G4641" s="3">
        <v>6</v>
      </c>
      <c r="H4641" s="17">
        <f>Table1[[#This Row],[Unit price]]*Table1[[#This Row],[Quantity]]</f>
        <v>408.06000000000006</v>
      </c>
      <c r="I4641" s="29">
        <f>Table1[[#This Row],[Total Revenue]]/$H$5056*100</f>
        <v>4.3293430546037112E-2</v>
      </c>
      <c r="J4641" s="3" t="s">
        <v>15</v>
      </c>
      <c r="K4641" s="4">
        <v>6.9</v>
      </c>
      <c r="M4641"/>
    </row>
    <row r="4642" spans="1:13" x14ac:dyDescent="0.25">
      <c r="A4642" s="2">
        <v>45577</v>
      </c>
      <c r="B4642" s="3" t="s">
        <v>245</v>
      </c>
      <c r="C4642" s="3" t="s">
        <v>9</v>
      </c>
      <c r="D4642" s="3" t="s">
        <v>10</v>
      </c>
      <c r="E4642" s="5" t="s">
        <v>18</v>
      </c>
      <c r="F4642" s="17">
        <v>17.25</v>
      </c>
      <c r="G4642" s="3">
        <v>6</v>
      </c>
      <c r="H4642" s="17">
        <f>Table1[[#This Row],[Unit price]]*Table1[[#This Row],[Quantity]]</f>
        <v>103.5</v>
      </c>
      <c r="I4642" s="29">
        <f>Table1[[#This Row],[Total Revenue]]/$H$5056*100</f>
        <v>1.0980909820896048E-2</v>
      </c>
      <c r="J4642" s="3" t="s">
        <v>17</v>
      </c>
      <c r="K4642" s="4">
        <v>5.5</v>
      </c>
      <c r="M4642"/>
    </row>
    <row r="4643" spans="1:13" x14ac:dyDescent="0.25">
      <c r="A4643" s="2">
        <v>45608</v>
      </c>
      <c r="B4643" s="3" t="s">
        <v>245</v>
      </c>
      <c r="C4643" s="3" t="s">
        <v>13</v>
      </c>
      <c r="D4643" s="3" t="s">
        <v>19</v>
      </c>
      <c r="E4643" s="5" t="s">
        <v>20</v>
      </c>
      <c r="F4643" s="17">
        <v>66.900000000000006</v>
      </c>
      <c r="G4643" s="3">
        <v>10</v>
      </c>
      <c r="H4643" s="17">
        <f>Table1[[#This Row],[Unit price]]*Table1[[#This Row],[Quantity]]</f>
        <v>669</v>
      </c>
      <c r="I4643" s="29">
        <f>Table1[[#This Row],[Total Revenue]]/$H$5056*100</f>
        <v>7.0978054784342562E-2</v>
      </c>
      <c r="J4643" s="3" t="s">
        <v>17</v>
      </c>
      <c r="K4643" s="4">
        <v>7.6</v>
      </c>
      <c r="M4643"/>
    </row>
    <row r="4644" spans="1:13" x14ac:dyDescent="0.25">
      <c r="A4644" s="2">
        <v>45608</v>
      </c>
      <c r="B4644" s="3" t="s">
        <v>245</v>
      </c>
      <c r="C4644" s="3" t="s">
        <v>9</v>
      </c>
      <c r="D4644" s="3" t="s">
        <v>10</v>
      </c>
      <c r="E4644" s="5" t="s">
        <v>11</v>
      </c>
      <c r="F4644" s="17">
        <v>3.44</v>
      </c>
      <c r="G4644" s="3">
        <v>5</v>
      </c>
      <c r="H4644" s="17">
        <f>Table1[[#This Row],[Unit price]]*Table1[[#This Row],[Quantity]]</f>
        <v>17.2</v>
      </c>
      <c r="I4644" s="29">
        <f>Table1[[#This Row],[Total Revenue]]/$H$5056*100</f>
        <v>1.8248468494629177E-3</v>
      </c>
      <c r="J4644" s="3" t="s">
        <v>12</v>
      </c>
      <c r="K4644" s="4">
        <v>5.4</v>
      </c>
      <c r="M4644"/>
    </row>
    <row r="4645" spans="1:13" x14ac:dyDescent="0.25">
      <c r="A4645" s="2">
        <v>45608</v>
      </c>
      <c r="B4645" s="3" t="s">
        <v>244</v>
      </c>
      <c r="C4645" s="3" t="s">
        <v>9</v>
      </c>
      <c r="D4645" s="3" t="s">
        <v>10</v>
      </c>
      <c r="E4645" s="5" t="s">
        <v>18</v>
      </c>
      <c r="F4645" s="17">
        <v>4.55</v>
      </c>
      <c r="G4645" s="3">
        <v>1</v>
      </c>
      <c r="H4645" s="17">
        <f>Table1[[#This Row],[Unit price]]*Table1[[#This Row],[Quantity]]</f>
        <v>4.55</v>
      </c>
      <c r="I4645" s="29">
        <f>Table1[[#This Row],[Total Revenue]]/$H$5056*100</f>
        <v>4.827356491311788E-4</v>
      </c>
      <c r="J4645" s="3" t="s">
        <v>15</v>
      </c>
      <c r="K4645" s="4">
        <v>8.1</v>
      </c>
      <c r="M4645"/>
    </row>
    <row r="4646" spans="1:13" x14ac:dyDescent="0.25">
      <c r="A4646" s="2">
        <v>45608</v>
      </c>
      <c r="B4646" s="3" t="s">
        <v>243</v>
      </c>
      <c r="C4646" s="3" t="s">
        <v>13</v>
      </c>
      <c r="D4646" s="3" t="s">
        <v>10</v>
      </c>
      <c r="E4646" s="5" t="s">
        <v>18</v>
      </c>
      <c r="F4646" s="17">
        <v>4.83</v>
      </c>
      <c r="G4646" s="3">
        <v>5</v>
      </c>
      <c r="H4646" s="17">
        <f>Table1[[#This Row],[Unit price]]*Table1[[#This Row],[Quantity]]</f>
        <v>24.15</v>
      </c>
      <c r="I4646" s="29">
        <f>Table1[[#This Row],[Total Revenue]]/$H$5056*100</f>
        <v>2.5622122915424108E-3</v>
      </c>
      <c r="J4646" s="3" t="s">
        <v>17</v>
      </c>
      <c r="K4646" s="4">
        <v>5.2</v>
      </c>
      <c r="M4646"/>
    </row>
    <row r="4647" spans="1:13" x14ac:dyDescent="0.25">
      <c r="A4647" s="2">
        <v>45608</v>
      </c>
      <c r="B4647" s="3" t="s">
        <v>245</v>
      </c>
      <c r="C4647" s="3" t="s">
        <v>9</v>
      </c>
      <c r="D4647" s="3" t="s">
        <v>19</v>
      </c>
      <c r="E4647" s="5" t="s">
        <v>16</v>
      </c>
      <c r="F4647" s="17">
        <v>54.67</v>
      </c>
      <c r="G4647" s="3">
        <v>10</v>
      </c>
      <c r="H4647" s="17">
        <f>Table1[[#This Row],[Unit price]]*Table1[[#This Row],[Quantity]]</f>
        <v>546.70000000000005</v>
      </c>
      <c r="I4647" s="29">
        <f>Table1[[#This Row],[Total Revenue]]/$H$5056*100</f>
        <v>5.8002544918684729E-2</v>
      </c>
      <c r="J4647" s="3" t="s">
        <v>15</v>
      </c>
      <c r="K4647" s="4">
        <v>7.6</v>
      </c>
      <c r="M4647"/>
    </row>
    <row r="4648" spans="1:13" x14ac:dyDescent="0.25">
      <c r="A4648" s="2">
        <v>45608</v>
      </c>
      <c r="B4648" s="3" t="s">
        <v>245</v>
      </c>
      <c r="C4648" s="3" t="s">
        <v>13</v>
      </c>
      <c r="D4648" s="3" t="s">
        <v>10</v>
      </c>
      <c r="E4648" s="5" t="s">
        <v>18</v>
      </c>
      <c r="F4648" s="17">
        <v>12.93</v>
      </c>
      <c r="G4648" s="3">
        <v>7</v>
      </c>
      <c r="H4648" s="17">
        <f>Table1[[#This Row],[Unit price]]*Table1[[#This Row],[Quantity]]</f>
        <v>90.509999999999991</v>
      </c>
      <c r="I4648" s="29">
        <f>Table1[[#This Row],[Total Revenue]]/$H$5056*100</f>
        <v>9.6027260665632955E-3</v>
      </c>
      <c r="J4648" s="3" t="s">
        <v>12</v>
      </c>
      <c r="K4648" s="4">
        <v>4.5</v>
      </c>
      <c r="M4648"/>
    </row>
    <row r="4649" spans="1:13" x14ac:dyDescent="0.25">
      <c r="A4649" s="2">
        <v>45608</v>
      </c>
      <c r="B4649" s="3" t="s">
        <v>243</v>
      </c>
      <c r="C4649" s="3" t="s">
        <v>9</v>
      </c>
      <c r="D4649" s="3" t="s">
        <v>10</v>
      </c>
      <c r="E4649" s="5" t="s">
        <v>11</v>
      </c>
      <c r="F4649" s="17">
        <v>4.2699999999999996</v>
      </c>
      <c r="G4649" s="3">
        <v>10</v>
      </c>
      <c r="H4649" s="17">
        <f>Table1[[#This Row],[Unit price]]*Table1[[#This Row],[Quantity]]</f>
        <v>42.699999999999996</v>
      </c>
      <c r="I4649" s="29">
        <f>Table1[[#This Row],[Total Revenue]]/$H$5056*100</f>
        <v>4.5302883995387549E-3</v>
      </c>
      <c r="J4649" s="3" t="s">
        <v>12</v>
      </c>
      <c r="K4649" s="4">
        <v>6.6</v>
      </c>
      <c r="M4649"/>
    </row>
    <row r="4650" spans="1:13" x14ac:dyDescent="0.25">
      <c r="A4650" s="2">
        <v>45608</v>
      </c>
      <c r="B4650" s="3" t="s">
        <v>244</v>
      </c>
      <c r="C4650" s="3" t="s">
        <v>9</v>
      </c>
      <c r="D4650" s="3" t="s">
        <v>10</v>
      </c>
      <c r="E4650" s="5" t="s">
        <v>11</v>
      </c>
      <c r="F4650" s="17">
        <v>2.06</v>
      </c>
      <c r="G4650" s="3">
        <v>5</v>
      </c>
      <c r="H4650" s="17">
        <f>Table1[[#This Row],[Unit price]]*Table1[[#This Row],[Quantity]]</f>
        <v>10.3</v>
      </c>
      <c r="I4650" s="29">
        <f>Table1[[#This Row],[Total Revenue]]/$H$5056*100</f>
        <v>1.092786194736515E-3</v>
      </c>
      <c r="J4650" s="3" t="s">
        <v>15</v>
      </c>
      <c r="K4650" s="4">
        <v>8.1999999999999993</v>
      </c>
      <c r="M4650"/>
    </row>
    <row r="4651" spans="1:13" x14ac:dyDescent="0.25">
      <c r="A4651" s="2">
        <v>45608</v>
      </c>
      <c r="B4651" s="3" t="s">
        <v>243</v>
      </c>
      <c r="C4651" s="3" t="s">
        <v>9</v>
      </c>
      <c r="D4651" s="3" t="s">
        <v>10</v>
      </c>
      <c r="E4651" s="5" t="s">
        <v>20</v>
      </c>
      <c r="F4651" s="17">
        <v>50.15</v>
      </c>
      <c r="G4651" s="3">
        <v>7</v>
      </c>
      <c r="H4651" s="17">
        <f>Table1[[#This Row],[Unit price]]*Table1[[#This Row],[Quantity]]</f>
        <v>351.05</v>
      </c>
      <c r="I4651" s="29">
        <f>Table1[[#This Row],[Total Revenue]]/$H$5056*100</f>
        <v>3.7244912006044031E-2</v>
      </c>
      <c r="J4651" s="3" t="s">
        <v>15</v>
      </c>
      <c r="K4651" s="4">
        <v>3.9</v>
      </c>
      <c r="M4651"/>
    </row>
    <row r="4652" spans="1:13" x14ac:dyDescent="0.25">
      <c r="A4652" s="2">
        <v>45608</v>
      </c>
      <c r="B4652" s="3" t="s">
        <v>244</v>
      </c>
      <c r="C4652" s="3" t="s">
        <v>9</v>
      </c>
      <c r="D4652" s="3" t="s">
        <v>10</v>
      </c>
      <c r="E4652" s="5" t="s">
        <v>11</v>
      </c>
      <c r="F4652" s="17">
        <v>5.18</v>
      </c>
      <c r="G4652" s="3">
        <v>1</v>
      </c>
      <c r="H4652" s="17">
        <f>Table1[[#This Row],[Unit price]]*Table1[[#This Row],[Quantity]]</f>
        <v>5.18</v>
      </c>
      <c r="I4652" s="29">
        <f>Table1[[#This Row],[Total Revenue]]/$H$5056*100</f>
        <v>5.4957596978011131E-4</v>
      </c>
      <c r="J4652" s="3" t="s">
        <v>12</v>
      </c>
      <c r="K4652" s="4">
        <v>3.1</v>
      </c>
      <c r="M4652"/>
    </row>
    <row r="4653" spans="1:13" x14ac:dyDescent="0.25">
      <c r="A4653" s="2">
        <v>45608</v>
      </c>
      <c r="B4653" s="3" t="s">
        <v>243</v>
      </c>
      <c r="C4653" s="3" t="s">
        <v>13</v>
      </c>
      <c r="D4653" s="3" t="s">
        <v>10</v>
      </c>
      <c r="E4653" s="5" t="s">
        <v>16</v>
      </c>
      <c r="F4653" s="17">
        <v>71.28</v>
      </c>
      <c r="G4653" s="3">
        <v>7</v>
      </c>
      <c r="H4653" s="17">
        <f>Table1[[#This Row],[Unit price]]*Table1[[#This Row],[Quantity]]</f>
        <v>498.96000000000004</v>
      </c>
      <c r="I4653" s="29">
        <f>Table1[[#This Row],[Total Revenue]]/$H$5056*100</f>
        <v>5.2937533953954514E-2</v>
      </c>
      <c r="J4653" s="3" t="s">
        <v>12</v>
      </c>
      <c r="K4653" s="4">
        <v>3.8</v>
      </c>
      <c r="M4653"/>
    </row>
    <row r="4654" spans="1:13" x14ac:dyDescent="0.25">
      <c r="A4654" s="2">
        <v>45608</v>
      </c>
      <c r="B4654" s="3" t="s">
        <v>243</v>
      </c>
      <c r="C4654" s="3" t="s">
        <v>13</v>
      </c>
      <c r="D4654" s="3" t="s">
        <v>19</v>
      </c>
      <c r="E4654" s="5" t="s">
        <v>14</v>
      </c>
      <c r="F4654" s="17">
        <v>94.09</v>
      </c>
      <c r="G4654" s="3">
        <v>6</v>
      </c>
      <c r="H4654" s="17">
        <f>Table1[[#This Row],[Unit price]]*Table1[[#This Row],[Quantity]]</f>
        <v>564.54</v>
      </c>
      <c r="I4654" s="29">
        <f>Table1[[#This Row],[Total Revenue]]/$H$5056*100</f>
        <v>5.9895293046267187E-2</v>
      </c>
      <c r="J4654" s="3" t="s">
        <v>15</v>
      </c>
      <c r="K4654" s="4">
        <v>6</v>
      </c>
      <c r="M4654"/>
    </row>
    <row r="4655" spans="1:13" x14ac:dyDescent="0.25">
      <c r="A4655" s="2">
        <v>45608</v>
      </c>
      <c r="B4655" s="3" t="s">
        <v>243</v>
      </c>
      <c r="C4655" s="3" t="s">
        <v>9</v>
      </c>
      <c r="D4655" s="3" t="s">
        <v>10</v>
      </c>
      <c r="E4655" s="5" t="s">
        <v>14</v>
      </c>
      <c r="F4655" s="17">
        <v>81.459999999999994</v>
      </c>
      <c r="G4655" s="3">
        <v>5</v>
      </c>
      <c r="H4655" s="17">
        <f>Table1[[#This Row],[Unit price]]*Table1[[#This Row],[Quantity]]</f>
        <v>407.29999999999995</v>
      </c>
      <c r="I4655" s="29">
        <f>Table1[[#This Row],[Total Revenue]]/$H$5056*100</f>
        <v>4.321279777827014E-2</v>
      </c>
      <c r="J4655" s="3" t="s">
        <v>17</v>
      </c>
      <c r="K4655" s="4">
        <v>5.3</v>
      </c>
      <c r="M4655"/>
    </row>
    <row r="4656" spans="1:13" x14ac:dyDescent="0.25">
      <c r="A4656" s="2">
        <v>45608</v>
      </c>
      <c r="B4656" s="3" t="s">
        <v>244</v>
      </c>
      <c r="C4656" s="3" t="s">
        <v>9</v>
      </c>
      <c r="D4656" s="3" t="s">
        <v>19</v>
      </c>
      <c r="E4656" s="5" t="s">
        <v>11</v>
      </c>
      <c r="F4656" s="17">
        <v>6.24</v>
      </c>
      <c r="G4656" s="3">
        <v>4</v>
      </c>
      <c r="H4656" s="17">
        <f>Table1[[#This Row],[Unit price]]*Table1[[#This Row],[Quantity]]</f>
        <v>24.96</v>
      </c>
      <c r="I4656" s="29">
        <f>Table1[[#This Row],[Total Revenue]]/$H$5056*100</f>
        <v>2.6481498466624669E-3</v>
      </c>
      <c r="J4656" s="3" t="s">
        <v>12</v>
      </c>
      <c r="K4656" s="4">
        <v>5.4</v>
      </c>
      <c r="M4656"/>
    </row>
    <row r="4657" spans="1:13" x14ac:dyDescent="0.25">
      <c r="A4657" s="2">
        <v>45608</v>
      </c>
      <c r="B4657" s="3" t="s">
        <v>245</v>
      </c>
      <c r="C4657" s="3" t="s">
        <v>9</v>
      </c>
      <c r="D4657" s="3" t="s">
        <v>19</v>
      </c>
      <c r="E4657" s="5" t="s">
        <v>16</v>
      </c>
      <c r="F4657" s="17">
        <v>53.08</v>
      </c>
      <c r="G4657" s="3">
        <v>5</v>
      </c>
      <c r="H4657" s="17">
        <f>Table1[[#This Row],[Unit price]]*Table1[[#This Row],[Quantity]]</f>
        <v>265.39999999999998</v>
      </c>
      <c r="I4657" s="29">
        <f>Table1[[#This Row],[Total Revenue]]/$H$5056*100</f>
        <v>2.8157811270201068E-2</v>
      </c>
      <c r="J4657" s="3" t="s">
        <v>15</v>
      </c>
      <c r="K4657" s="4">
        <v>4.2</v>
      </c>
      <c r="M4657"/>
    </row>
    <row r="4658" spans="1:13" x14ac:dyDescent="0.25">
      <c r="A4658" s="2">
        <v>45608</v>
      </c>
      <c r="B4658" s="3" t="s">
        <v>245</v>
      </c>
      <c r="C4658" s="3" t="s">
        <v>9</v>
      </c>
      <c r="D4658" s="3" t="s">
        <v>19</v>
      </c>
      <c r="E4658" s="5" t="s">
        <v>18</v>
      </c>
      <c r="F4658" s="17">
        <v>19.12</v>
      </c>
      <c r="G4658" s="3">
        <v>8</v>
      </c>
      <c r="H4658" s="17">
        <f>Table1[[#This Row],[Unit price]]*Table1[[#This Row],[Quantity]]</f>
        <v>152.96</v>
      </c>
      <c r="I4658" s="29">
        <f>Table1[[#This Row],[Total Revenue]]/$H$5056*100</f>
        <v>1.6228405470572554E-2</v>
      </c>
      <c r="J4658" s="3" t="s">
        <v>12</v>
      </c>
      <c r="K4658" s="4">
        <v>8.1</v>
      </c>
      <c r="M4658"/>
    </row>
    <row r="4659" spans="1:13" x14ac:dyDescent="0.25">
      <c r="A4659" s="2">
        <v>45608</v>
      </c>
      <c r="B4659" s="3" t="s">
        <v>243</v>
      </c>
      <c r="C4659" s="3" t="s">
        <v>13</v>
      </c>
      <c r="D4659" s="3" t="s">
        <v>10</v>
      </c>
      <c r="E4659" s="5" t="s">
        <v>20</v>
      </c>
      <c r="F4659" s="17">
        <v>53.02</v>
      </c>
      <c r="G4659" s="3">
        <v>2</v>
      </c>
      <c r="H4659" s="17">
        <f>Table1[[#This Row],[Unit price]]*Table1[[#This Row],[Quantity]]</f>
        <v>106.04</v>
      </c>
      <c r="I4659" s="29">
        <f>Table1[[#This Row],[Total Revenue]]/$H$5056*100</f>
        <v>1.1250393018433013E-2</v>
      </c>
      <c r="J4659" s="3" t="s">
        <v>12</v>
      </c>
      <c r="K4659" s="4">
        <v>6</v>
      </c>
      <c r="M4659"/>
    </row>
    <row r="4660" spans="1:13" x14ac:dyDescent="0.25">
      <c r="A4660" s="2">
        <v>45608</v>
      </c>
      <c r="B4660" s="3" t="s">
        <v>243</v>
      </c>
      <c r="C4660" s="3" t="s">
        <v>13</v>
      </c>
      <c r="D4660" s="3" t="s">
        <v>19</v>
      </c>
      <c r="E4660" s="5" t="s">
        <v>11</v>
      </c>
      <c r="F4660" s="17">
        <v>6.06</v>
      </c>
      <c r="G4660" s="3">
        <v>5</v>
      </c>
      <c r="H4660" s="17">
        <f>Table1[[#This Row],[Unit price]]*Table1[[#This Row],[Quantity]]</f>
        <v>30.299999999999997</v>
      </c>
      <c r="I4660" s="29">
        <f>Table1[[#This Row],[Total Revenue]]/$H$5056*100</f>
        <v>3.2147011359724654E-3</v>
      </c>
      <c r="J4660" s="3" t="s">
        <v>12</v>
      </c>
      <c r="K4660" s="4">
        <v>6.1</v>
      </c>
      <c r="M4660"/>
    </row>
    <row r="4661" spans="1:13" x14ac:dyDescent="0.25">
      <c r="A4661" s="2">
        <v>45608</v>
      </c>
      <c r="B4661" s="3" t="s">
        <v>243</v>
      </c>
      <c r="C4661" s="3" t="s">
        <v>9</v>
      </c>
      <c r="D4661" s="3" t="s">
        <v>19</v>
      </c>
      <c r="E4661" s="5" t="s">
        <v>14</v>
      </c>
      <c r="F4661" s="17">
        <v>87.8</v>
      </c>
      <c r="G4661" s="3">
        <v>9</v>
      </c>
      <c r="H4661" s="17">
        <f>Table1[[#This Row],[Unit price]]*Table1[[#This Row],[Quantity]]</f>
        <v>790.19999999999993</v>
      </c>
      <c r="I4661" s="29">
        <f>Table1[[#This Row],[Total Revenue]]/$H$5056*100</f>
        <v>8.3836859328232427E-2</v>
      </c>
      <c r="J4661" s="3" t="s">
        <v>12</v>
      </c>
      <c r="K4661" s="4">
        <v>6.1</v>
      </c>
      <c r="M4661"/>
    </row>
    <row r="4662" spans="1:13" x14ac:dyDescent="0.25">
      <c r="A4662" s="2">
        <v>45608</v>
      </c>
      <c r="B4662" s="3" t="s">
        <v>245</v>
      </c>
      <c r="C4662" s="3" t="s">
        <v>13</v>
      </c>
      <c r="D4662" s="3" t="s">
        <v>19</v>
      </c>
      <c r="E4662" s="5" t="s">
        <v>11</v>
      </c>
      <c r="F4662" s="17">
        <v>9.27</v>
      </c>
      <c r="G4662" s="3">
        <v>10</v>
      </c>
      <c r="H4662" s="17">
        <f>Table1[[#This Row],[Unit price]]*Table1[[#This Row],[Quantity]]</f>
        <v>92.699999999999989</v>
      </c>
      <c r="I4662" s="29">
        <f>Table1[[#This Row],[Total Revenue]]/$H$5056*100</f>
        <v>9.8350757526286317E-3</v>
      </c>
      <c r="J4662" s="3" t="s">
        <v>17</v>
      </c>
      <c r="K4662" s="4">
        <v>4.3</v>
      </c>
      <c r="M4662"/>
    </row>
    <row r="4663" spans="1:13" x14ac:dyDescent="0.25">
      <c r="A4663" s="2">
        <v>45608</v>
      </c>
      <c r="B4663" s="3" t="s">
        <v>245</v>
      </c>
      <c r="C4663" s="3" t="s">
        <v>9</v>
      </c>
      <c r="D4663" s="3" t="s">
        <v>19</v>
      </c>
      <c r="E4663" s="5" t="s">
        <v>21</v>
      </c>
      <c r="F4663" s="17">
        <v>33.520000000000003</v>
      </c>
      <c r="G4663" s="3">
        <v>6</v>
      </c>
      <c r="H4663" s="17">
        <f>Table1[[#This Row],[Unit price]]*Table1[[#This Row],[Quantity]]</f>
        <v>201.12</v>
      </c>
      <c r="I4663" s="29">
        <f>Table1[[#This Row],[Total Revenue]]/$H$5056*100</f>
        <v>2.1337976649068724E-2</v>
      </c>
      <c r="J4663" s="3" t="s">
        <v>17</v>
      </c>
      <c r="K4663" s="4">
        <v>3.6</v>
      </c>
      <c r="M4663"/>
    </row>
    <row r="4664" spans="1:13" x14ac:dyDescent="0.25">
      <c r="A4664" s="2">
        <v>45638</v>
      </c>
      <c r="B4664" s="3" t="s">
        <v>244</v>
      </c>
      <c r="C4664" s="3" t="s">
        <v>13</v>
      </c>
      <c r="D4664" s="3" t="s">
        <v>19</v>
      </c>
      <c r="E4664" s="5" t="s">
        <v>21</v>
      </c>
      <c r="F4664" s="17">
        <v>49.73</v>
      </c>
      <c r="G4664" s="3">
        <v>9</v>
      </c>
      <c r="H4664" s="17">
        <f>Table1[[#This Row],[Unit price]]*Table1[[#This Row],[Quantity]]</f>
        <v>447.57</v>
      </c>
      <c r="I4664" s="29">
        <f>Table1[[#This Row],[Total Revenue]]/$H$5056*100</f>
        <v>4.7485273512448731E-2</v>
      </c>
      <c r="J4664" s="3" t="s">
        <v>17</v>
      </c>
      <c r="K4664" s="4">
        <v>7.1</v>
      </c>
      <c r="M4664"/>
    </row>
    <row r="4665" spans="1:13" x14ac:dyDescent="0.25">
      <c r="A4665" s="2">
        <v>45638</v>
      </c>
      <c r="B4665" s="3" t="s">
        <v>243</v>
      </c>
      <c r="C4665" s="3" t="s">
        <v>13</v>
      </c>
      <c r="D4665" s="3" t="s">
        <v>10</v>
      </c>
      <c r="E4665" s="5" t="s">
        <v>11</v>
      </c>
      <c r="F4665" s="17">
        <v>8.1999999999999993</v>
      </c>
      <c r="G4665" s="3">
        <v>10</v>
      </c>
      <c r="H4665" s="17">
        <f>Table1[[#This Row],[Unit price]]*Table1[[#This Row],[Quantity]]</f>
        <v>82</v>
      </c>
      <c r="I4665" s="29">
        <f>Table1[[#This Row],[Total Revenue]]/$H$5056*100</f>
        <v>8.6998512590673992E-3</v>
      </c>
      <c r="J4665" s="3" t="s">
        <v>15</v>
      </c>
      <c r="K4665" s="4">
        <v>8.4</v>
      </c>
      <c r="M4665"/>
    </row>
    <row r="4666" spans="1:13" x14ac:dyDescent="0.25">
      <c r="A4666" s="2">
        <v>45638</v>
      </c>
      <c r="B4666" s="3" t="s">
        <v>244</v>
      </c>
      <c r="C4666" s="3" t="s">
        <v>9</v>
      </c>
      <c r="D4666" s="3" t="s">
        <v>10</v>
      </c>
      <c r="E4666" s="5" t="s">
        <v>21</v>
      </c>
      <c r="F4666" s="17">
        <v>36.74</v>
      </c>
      <c r="G4666" s="3">
        <v>7</v>
      </c>
      <c r="H4666" s="17">
        <f>Table1[[#This Row],[Unit price]]*Table1[[#This Row],[Quantity]]</f>
        <v>257.18</v>
      </c>
      <c r="I4666" s="29">
        <f>Table1[[#This Row],[Total Revenue]]/$H$5056*100</f>
        <v>2.7285704229353096E-2</v>
      </c>
      <c r="J4666" s="3" t="s">
        <v>12</v>
      </c>
      <c r="K4666" s="4">
        <v>4.7</v>
      </c>
      <c r="M4666"/>
    </row>
    <row r="4667" spans="1:13" x14ac:dyDescent="0.25">
      <c r="A4667" s="2">
        <v>45638</v>
      </c>
      <c r="B4667" s="3" t="s">
        <v>245</v>
      </c>
      <c r="C4667" s="3" t="s">
        <v>13</v>
      </c>
      <c r="D4667" s="3" t="s">
        <v>19</v>
      </c>
      <c r="E4667" s="5" t="s">
        <v>20</v>
      </c>
      <c r="F4667" s="17">
        <v>51.63</v>
      </c>
      <c r="G4667" s="3">
        <v>3</v>
      </c>
      <c r="H4667" s="17">
        <f>Table1[[#This Row],[Unit price]]*Table1[[#This Row],[Quantity]]</f>
        <v>154.89000000000001</v>
      </c>
      <c r="I4667" s="29">
        <f>Table1[[#This Row],[Total Revenue]]/$H$5056*100</f>
        <v>1.6433170262401826E-2</v>
      </c>
      <c r="J4667" s="3" t="s">
        <v>12</v>
      </c>
      <c r="K4667" s="4">
        <v>5.0999999999999996</v>
      </c>
      <c r="M4667"/>
    </row>
    <row r="4668" spans="1:13" x14ac:dyDescent="0.25">
      <c r="A4668" s="2">
        <v>45638</v>
      </c>
      <c r="B4668" s="3" t="s">
        <v>245</v>
      </c>
      <c r="C4668" s="3" t="s">
        <v>9</v>
      </c>
      <c r="D4668" s="3" t="s">
        <v>10</v>
      </c>
      <c r="E4668" s="5" t="s">
        <v>21</v>
      </c>
      <c r="F4668" s="17">
        <v>37.85</v>
      </c>
      <c r="G4668" s="3">
        <v>2</v>
      </c>
      <c r="H4668" s="17">
        <f>Table1[[#This Row],[Unit price]]*Table1[[#This Row],[Quantity]]</f>
        <v>75.7</v>
      </c>
      <c r="I4668" s="29">
        <f>Table1[[#This Row],[Total Revenue]]/$H$5056*100</f>
        <v>8.0314480525780756E-3</v>
      </c>
      <c r="J4668" s="3" t="s">
        <v>12</v>
      </c>
      <c r="K4668" s="4">
        <v>6.8</v>
      </c>
      <c r="M4668"/>
    </row>
    <row r="4669" spans="1:13" x14ac:dyDescent="0.25">
      <c r="A4669" s="2">
        <v>45638</v>
      </c>
      <c r="B4669" s="3" t="s">
        <v>243</v>
      </c>
      <c r="C4669" s="3" t="s">
        <v>9</v>
      </c>
      <c r="D4669" s="3" t="s">
        <v>19</v>
      </c>
      <c r="E4669" s="5" t="s">
        <v>21</v>
      </c>
      <c r="F4669" s="17">
        <v>39.380000000000003</v>
      </c>
      <c r="G4669" s="3">
        <v>7</v>
      </c>
      <c r="H4669" s="17">
        <f>Table1[[#This Row],[Unit price]]*Table1[[#This Row],[Quantity]]</f>
        <v>275.66000000000003</v>
      </c>
      <c r="I4669" s="29">
        <f>Table1[[#This Row],[Total Revenue]]/$H$5056*100</f>
        <v>2.9246353635055119E-2</v>
      </c>
      <c r="J4669" s="3" t="s">
        <v>17</v>
      </c>
      <c r="K4669" s="4">
        <v>5.5</v>
      </c>
      <c r="M4669"/>
    </row>
    <row r="4670" spans="1:13" x14ac:dyDescent="0.25">
      <c r="A4670" s="2">
        <v>45638</v>
      </c>
      <c r="B4670" s="3" t="s">
        <v>244</v>
      </c>
      <c r="C4670" s="3" t="s">
        <v>13</v>
      </c>
      <c r="D4670" s="3" t="s">
        <v>19</v>
      </c>
      <c r="E4670" s="5" t="s">
        <v>11</v>
      </c>
      <c r="F4670" s="17">
        <v>9.58</v>
      </c>
      <c r="G4670" s="3">
        <v>8</v>
      </c>
      <c r="H4670" s="17">
        <f>Table1[[#This Row],[Unit price]]*Table1[[#This Row],[Quantity]]</f>
        <v>76.64</v>
      </c>
      <c r="I4670" s="29">
        <f>Table1[[#This Row],[Total Revenue]]/$H$5056*100</f>
        <v>8.1311780548161648E-3</v>
      </c>
      <c r="J4670" s="3" t="s">
        <v>15</v>
      </c>
      <c r="K4670" s="4">
        <v>4.5</v>
      </c>
      <c r="M4670"/>
    </row>
    <row r="4671" spans="1:13" x14ac:dyDescent="0.25">
      <c r="A4671" s="2">
        <v>45638</v>
      </c>
      <c r="B4671" s="3" t="s">
        <v>244</v>
      </c>
      <c r="C4671" s="3" t="s">
        <v>9</v>
      </c>
      <c r="D4671" s="3" t="s">
        <v>10</v>
      </c>
      <c r="E4671" s="5" t="s">
        <v>14</v>
      </c>
      <c r="F4671" s="17">
        <v>84.7</v>
      </c>
      <c r="G4671" s="3">
        <v>9</v>
      </c>
      <c r="H4671" s="17">
        <f>Table1[[#This Row],[Unit price]]*Table1[[#This Row],[Quantity]]</f>
        <v>762.30000000000007</v>
      </c>
      <c r="I4671" s="29">
        <f>Table1[[#This Row],[Total Revenue]]/$H$5056*100</f>
        <v>8.0876787985208282E-2</v>
      </c>
      <c r="J4671" s="3" t="s">
        <v>17</v>
      </c>
      <c r="K4671" s="4">
        <v>9</v>
      </c>
      <c r="M4671"/>
    </row>
    <row r="4672" spans="1:13" x14ac:dyDescent="0.25">
      <c r="A4672" s="2">
        <v>45638</v>
      </c>
      <c r="B4672" s="3" t="s">
        <v>243</v>
      </c>
      <c r="C4672" s="3" t="s">
        <v>13</v>
      </c>
      <c r="D4672" s="3" t="s">
        <v>19</v>
      </c>
      <c r="E4672" s="5" t="s">
        <v>14</v>
      </c>
      <c r="F4672" s="17">
        <v>74.47</v>
      </c>
      <c r="G4672" s="3">
        <v>3</v>
      </c>
      <c r="H4672" s="17">
        <f>Table1[[#This Row],[Unit price]]*Table1[[#This Row],[Quantity]]</f>
        <v>223.41</v>
      </c>
      <c r="I4672" s="29">
        <f>Table1[[#This Row],[Total Revenue]]/$H$5056*100</f>
        <v>2.3702850851076193E-2</v>
      </c>
      <c r="J4672" s="3" t="s">
        <v>17</v>
      </c>
      <c r="K4672" s="4">
        <v>8.1999999999999993</v>
      </c>
      <c r="M4672"/>
    </row>
    <row r="4673" spans="1:13" x14ac:dyDescent="0.25">
      <c r="A4673" s="2">
        <v>45638</v>
      </c>
      <c r="B4673" s="3" t="s">
        <v>244</v>
      </c>
      <c r="C4673" s="3" t="s">
        <v>9</v>
      </c>
      <c r="D4673" s="3" t="s">
        <v>10</v>
      </c>
      <c r="E4673" s="5" t="s">
        <v>20</v>
      </c>
      <c r="F4673" s="17">
        <v>58.22</v>
      </c>
      <c r="G4673" s="3">
        <v>4</v>
      </c>
      <c r="H4673" s="17">
        <f>Table1[[#This Row],[Unit price]]*Table1[[#This Row],[Quantity]]</f>
        <v>232.88</v>
      </c>
      <c r="I4673" s="29">
        <f>Table1[[#This Row],[Total Revenue]]/$H$5056*100</f>
        <v>2.4707577575751413E-2</v>
      </c>
      <c r="J4673" s="3" t="s">
        <v>12</v>
      </c>
      <c r="K4673" s="4">
        <v>7.2</v>
      </c>
      <c r="M4673"/>
    </row>
    <row r="4674" spans="1:13" x14ac:dyDescent="0.25">
      <c r="A4674" s="2">
        <v>45638</v>
      </c>
      <c r="B4674" s="3" t="s">
        <v>243</v>
      </c>
      <c r="C4674" s="3" t="s">
        <v>9</v>
      </c>
      <c r="D4674" s="3" t="s">
        <v>19</v>
      </c>
      <c r="E4674" s="5" t="s">
        <v>20</v>
      </c>
      <c r="F4674" s="17">
        <v>56.19</v>
      </c>
      <c r="G4674" s="3">
        <v>8</v>
      </c>
      <c r="H4674" s="17">
        <f>Table1[[#This Row],[Unit price]]*Table1[[#This Row],[Quantity]]</f>
        <v>449.52</v>
      </c>
      <c r="I4674" s="29">
        <f>Table1[[#This Row],[Total Revenue]]/$H$5056*100</f>
        <v>4.769216021921923E-2</v>
      </c>
      <c r="J4674" s="3" t="s">
        <v>15</v>
      </c>
      <c r="K4674" s="4">
        <v>5.5</v>
      </c>
      <c r="M4674"/>
    </row>
    <row r="4675" spans="1:13" x14ac:dyDescent="0.25">
      <c r="A4675" s="2">
        <v>45638</v>
      </c>
      <c r="B4675" s="3" t="s">
        <v>243</v>
      </c>
      <c r="C4675" s="3" t="s">
        <v>13</v>
      </c>
      <c r="D4675" s="3" t="s">
        <v>10</v>
      </c>
      <c r="E4675" s="5" t="s">
        <v>16</v>
      </c>
      <c r="F4675" s="17">
        <v>73.34</v>
      </c>
      <c r="G4675" s="3">
        <v>9</v>
      </c>
      <c r="H4675" s="17">
        <f>Table1[[#This Row],[Unit price]]*Table1[[#This Row],[Quantity]]</f>
        <v>660.06000000000006</v>
      </c>
      <c r="I4675" s="29">
        <f>Table1[[#This Row],[Total Revenue]]/$H$5056*100</f>
        <v>7.0029558805610098E-2</v>
      </c>
      <c r="J4675" s="3" t="s">
        <v>17</v>
      </c>
      <c r="K4675" s="4">
        <v>5.8</v>
      </c>
      <c r="M4675"/>
    </row>
    <row r="4676" spans="1:13" x14ac:dyDescent="0.25">
      <c r="A4676" s="2">
        <v>45638</v>
      </c>
      <c r="B4676" s="3" t="s">
        <v>244</v>
      </c>
      <c r="C4676" s="3" t="s">
        <v>13</v>
      </c>
      <c r="D4676" s="3" t="s">
        <v>19</v>
      </c>
      <c r="E4676" s="5" t="s">
        <v>18</v>
      </c>
      <c r="F4676" s="17">
        <v>2.94</v>
      </c>
      <c r="G4676" s="3">
        <v>8</v>
      </c>
      <c r="H4676" s="17">
        <f>Table1[[#This Row],[Unit price]]*Table1[[#This Row],[Quantity]]</f>
        <v>23.52</v>
      </c>
      <c r="I4676" s="29">
        <f>Table1[[#This Row],[Total Revenue]]/$H$5056*100</f>
        <v>2.4953719708934782E-3</v>
      </c>
      <c r="J4676" s="3" t="s">
        <v>12</v>
      </c>
      <c r="K4676" s="4">
        <v>6.8</v>
      </c>
      <c r="M4676"/>
    </row>
    <row r="4677" spans="1:13" x14ac:dyDescent="0.25">
      <c r="A4677" s="2">
        <v>45638</v>
      </c>
      <c r="B4677" s="3" t="s">
        <v>245</v>
      </c>
      <c r="C4677" s="3" t="s">
        <v>13</v>
      </c>
      <c r="D4677" s="3" t="s">
        <v>19</v>
      </c>
      <c r="E4677" s="5" t="s">
        <v>14</v>
      </c>
      <c r="F4677" s="17">
        <v>72.430000000000007</v>
      </c>
      <c r="G4677" s="3">
        <v>3</v>
      </c>
      <c r="H4677" s="17">
        <f>Table1[[#This Row],[Unit price]]*Table1[[#This Row],[Quantity]]</f>
        <v>217.29000000000002</v>
      </c>
      <c r="I4677" s="29">
        <f>Table1[[#This Row],[Total Revenue]]/$H$5056*100</f>
        <v>2.3053544879057992E-2</v>
      </c>
      <c r="J4677" s="3" t="s">
        <v>12</v>
      </c>
      <c r="K4677" s="4">
        <v>6.1</v>
      </c>
      <c r="M4677"/>
    </row>
    <row r="4678" spans="1:13" x14ac:dyDescent="0.25">
      <c r="A4678" s="2">
        <v>45638</v>
      </c>
      <c r="B4678" s="3" t="s">
        <v>243</v>
      </c>
      <c r="C4678" s="3" t="s">
        <v>9</v>
      </c>
      <c r="D4678" s="3" t="s">
        <v>19</v>
      </c>
      <c r="E4678" s="5" t="s">
        <v>11</v>
      </c>
      <c r="F4678" s="17">
        <v>8.5299999999999994</v>
      </c>
      <c r="G4678" s="3">
        <v>6</v>
      </c>
      <c r="H4678" s="17">
        <f>Table1[[#This Row],[Unit price]]*Table1[[#This Row],[Quantity]]</f>
        <v>51.179999999999993</v>
      </c>
      <c r="I4678" s="29">
        <f>Table1[[#This Row],[Total Revenue]]/$H$5056*100</f>
        <v>5.4299803346227983E-3</v>
      </c>
      <c r="J4678" s="3" t="s">
        <v>15</v>
      </c>
      <c r="K4678" s="4">
        <v>5.8</v>
      </c>
      <c r="M4678"/>
    </row>
    <row r="4679" spans="1:13" x14ac:dyDescent="0.25">
      <c r="A4679" s="2">
        <v>45638</v>
      </c>
      <c r="B4679" s="3" t="s">
        <v>243</v>
      </c>
      <c r="C4679" s="3" t="s">
        <v>13</v>
      </c>
      <c r="D4679" s="3" t="s">
        <v>19</v>
      </c>
      <c r="E4679" s="5" t="s">
        <v>11</v>
      </c>
      <c r="F4679" s="17">
        <v>9.9600000000000009</v>
      </c>
      <c r="G4679" s="3">
        <v>6</v>
      </c>
      <c r="H4679" s="17">
        <f>Table1[[#This Row],[Unit price]]*Table1[[#This Row],[Quantity]]</f>
        <v>59.760000000000005</v>
      </c>
      <c r="I4679" s="29">
        <f>Table1[[#This Row],[Total Revenue]]/$H$5056*100</f>
        <v>6.3402818444130218E-3</v>
      </c>
      <c r="J4679" s="3" t="s">
        <v>15</v>
      </c>
      <c r="K4679" s="4">
        <v>3.2</v>
      </c>
      <c r="M4679"/>
    </row>
    <row r="4680" spans="1:13" x14ac:dyDescent="0.25">
      <c r="A4680" s="2">
        <v>45638</v>
      </c>
      <c r="B4680" s="3" t="s">
        <v>245</v>
      </c>
      <c r="C4680" s="3" t="s">
        <v>9</v>
      </c>
      <c r="D4680" s="3" t="s">
        <v>10</v>
      </c>
      <c r="E4680" s="5" t="s">
        <v>16</v>
      </c>
      <c r="F4680" s="17">
        <v>54.13</v>
      </c>
      <c r="G4680" s="3">
        <v>5</v>
      </c>
      <c r="H4680" s="17">
        <f>Table1[[#This Row],[Unit price]]*Table1[[#This Row],[Quantity]]</f>
        <v>270.65000000000003</v>
      </c>
      <c r="I4680" s="29">
        <f>Table1[[#This Row],[Total Revenue]]/$H$5056*100</f>
        <v>2.8714813942275513E-2</v>
      </c>
      <c r="J4680" s="3" t="s">
        <v>12</v>
      </c>
      <c r="K4680" s="4">
        <v>7.7</v>
      </c>
      <c r="M4680"/>
    </row>
    <row r="4681" spans="1:13" x14ac:dyDescent="0.25">
      <c r="A4681" s="2">
        <v>45638</v>
      </c>
      <c r="B4681" s="3" t="s">
        <v>245</v>
      </c>
      <c r="C4681" s="3" t="s">
        <v>13</v>
      </c>
      <c r="D4681" s="3" t="s">
        <v>10</v>
      </c>
      <c r="E4681" s="5" t="s">
        <v>14</v>
      </c>
      <c r="F4681" s="17">
        <v>87.81</v>
      </c>
      <c r="G4681" s="3">
        <v>2</v>
      </c>
      <c r="H4681" s="17">
        <f>Table1[[#This Row],[Unit price]]*Table1[[#This Row],[Quantity]]</f>
        <v>175.62</v>
      </c>
      <c r="I4681" s="29">
        <f>Table1[[#This Row],[Total Revenue]]/$H$5056*100</f>
        <v>1.8632535098992885E-2</v>
      </c>
      <c r="J4681" s="3" t="s">
        <v>15</v>
      </c>
      <c r="K4681" s="4">
        <v>4.7</v>
      </c>
      <c r="M4681"/>
    </row>
    <row r="4682" spans="1:13" x14ac:dyDescent="0.25">
      <c r="A4682" s="2">
        <v>45638</v>
      </c>
      <c r="B4682" s="3" t="s">
        <v>245</v>
      </c>
      <c r="C4682" s="3" t="s">
        <v>9</v>
      </c>
      <c r="D4682" s="3" t="s">
        <v>10</v>
      </c>
      <c r="E4682" s="5" t="s">
        <v>20</v>
      </c>
      <c r="F4682" s="17">
        <v>65.52</v>
      </c>
      <c r="G4682" s="3">
        <v>4</v>
      </c>
      <c r="H4682" s="17">
        <f>Table1[[#This Row],[Unit price]]*Table1[[#This Row],[Quantity]]</f>
        <v>262.08</v>
      </c>
      <c r="I4682" s="29">
        <f>Table1[[#This Row],[Total Revenue]]/$H$5056*100</f>
        <v>2.7805573389955901E-2</v>
      </c>
      <c r="J4682" s="3" t="s">
        <v>12</v>
      </c>
      <c r="K4682" s="4">
        <v>3.8</v>
      </c>
      <c r="M4682"/>
    </row>
    <row r="4683" spans="1:13" x14ac:dyDescent="0.25">
      <c r="A4683" s="2">
        <v>45638</v>
      </c>
      <c r="B4683" s="3" t="s">
        <v>245</v>
      </c>
      <c r="C4683" s="3" t="s">
        <v>9</v>
      </c>
      <c r="D4683" s="3" t="s">
        <v>10</v>
      </c>
      <c r="E4683" s="5" t="s">
        <v>18</v>
      </c>
      <c r="F4683" s="17">
        <v>4</v>
      </c>
      <c r="G4683" s="3">
        <v>8</v>
      </c>
      <c r="H4683" s="17">
        <f>Table1[[#This Row],[Unit price]]*Table1[[#This Row],[Quantity]]</f>
        <v>32</v>
      </c>
      <c r="I4683" s="29">
        <f>Table1[[#This Row],[Total Revenue]]/$H$5056*100</f>
        <v>3.3950639059775215E-3</v>
      </c>
      <c r="J4683" s="3" t="s">
        <v>17</v>
      </c>
      <c r="K4683" s="4">
        <v>6.6</v>
      </c>
      <c r="M4683"/>
    </row>
    <row r="4684" spans="1:13" x14ac:dyDescent="0.25">
      <c r="A4684" s="2">
        <v>45638</v>
      </c>
      <c r="B4684" s="3" t="s">
        <v>245</v>
      </c>
      <c r="C4684" s="3" t="s">
        <v>9</v>
      </c>
      <c r="D4684" s="3" t="s">
        <v>19</v>
      </c>
      <c r="E4684" s="5" t="s">
        <v>21</v>
      </c>
      <c r="F4684" s="17">
        <v>28.74</v>
      </c>
      <c r="G4684" s="3">
        <v>1</v>
      </c>
      <c r="H4684" s="17">
        <f>Table1[[#This Row],[Unit price]]*Table1[[#This Row],[Quantity]]</f>
        <v>28.74</v>
      </c>
      <c r="I4684" s="29">
        <f>Table1[[#This Row],[Total Revenue]]/$H$5056*100</f>
        <v>3.0491917705560614E-3</v>
      </c>
      <c r="J4684" s="3" t="s">
        <v>17</v>
      </c>
      <c r="K4684" s="4">
        <v>5.4</v>
      </c>
      <c r="M4684"/>
    </row>
    <row r="4685" spans="1:13" x14ac:dyDescent="0.25">
      <c r="A4685" s="2">
        <v>45638</v>
      </c>
      <c r="B4685" s="3" t="s">
        <v>244</v>
      </c>
      <c r="C4685" s="3" t="s">
        <v>13</v>
      </c>
      <c r="D4685" s="3" t="s">
        <v>19</v>
      </c>
      <c r="E4685" s="5" t="s">
        <v>11</v>
      </c>
      <c r="F4685" s="17">
        <v>2.54</v>
      </c>
      <c r="G4685" s="3">
        <v>9</v>
      </c>
      <c r="H4685" s="17">
        <f>Table1[[#This Row],[Unit price]]*Table1[[#This Row],[Quantity]]</f>
        <v>22.86</v>
      </c>
      <c r="I4685" s="29">
        <f>Table1[[#This Row],[Total Revenue]]/$H$5056*100</f>
        <v>2.4253487778326918E-3</v>
      </c>
      <c r="J4685" s="3" t="s">
        <v>17</v>
      </c>
      <c r="K4685" s="4">
        <v>6.4</v>
      </c>
      <c r="M4685"/>
    </row>
    <row r="4686" spans="1:13" x14ac:dyDescent="0.25">
      <c r="A4686" s="3" t="s">
        <v>224</v>
      </c>
      <c r="B4686" s="3" t="s">
        <v>245</v>
      </c>
      <c r="C4686" s="3" t="s">
        <v>13</v>
      </c>
      <c r="D4686" s="3" t="s">
        <v>19</v>
      </c>
      <c r="E4686" s="5" t="s">
        <v>16</v>
      </c>
      <c r="F4686" s="17">
        <v>76.2</v>
      </c>
      <c r="G4686" s="3">
        <v>1</v>
      </c>
      <c r="H4686" s="17">
        <f>Table1[[#This Row],[Unit price]]*Table1[[#This Row],[Quantity]]</f>
        <v>76.2</v>
      </c>
      <c r="I4686" s="29">
        <f>Table1[[#This Row],[Total Revenue]]/$H$5056*100</f>
        <v>8.0844959261089731E-3</v>
      </c>
      <c r="J4686" s="3" t="s">
        <v>17</v>
      </c>
      <c r="K4686" s="4">
        <v>5.6</v>
      </c>
      <c r="M4686"/>
    </row>
    <row r="4687" spans="1:13" x14ac:dyDescent="0.25">
      <c r="A4687" s="3" t="s">
        <v>224</v>
      </c>
      <c r="B4687" s="3" t="s">
        <v>245</v>
      </c>
      <c r="C4687" s="3" t="s">
        <v>13</v>
      </c>
      <c r="D4687" s="3" t="s">
        <v>19</v>
      </c>
      <c r="E4687" s="5" t="s">
        <v>11</v>
      </c>
      <c r="F4687" s="17">
        <v>8.31</v>
      </c>
      <c r="G4687" s="3">
        <v>6</v>
      </c>
      <c r="H4687" s="17">
        <f>Table1[[#This Row],[Unit price]]*Table1[[#This Row],[Quantity]]</f>
        <v>49.86</v>
      </c>
      <c r="I4687" s="29">
        <f>Table1[[#This Row],[Total Revenue]]/$H$5056*100</f>
        <v>5.2899339485012265E-3</v>
      </c>
      <c r="J4687" s="3" t="s">
        <v>15</v>
      </c>
      <c r="K4687" s="4">
        <v>8</v>
      </c>
      <c r="M4687"/>
    </row>
    <row r="4688" spans="1:13" x14ac:dyDescent="0.25">
      <c r="A4688" s="3" t="s">
        <v>224</v>
      </c>
      <c r="B4688" s="3" t="s">
        <v>245</v>
      </c>
      <c r="C4688" s="3" t="s">
        <v>9</v>
      </c>
      <c r="D4688" s="3" t="s">
        <v>10</v>
      </c>
      <c r="E4688" s="5" t="s">
        <v>21</v>
      </c>
      <c r="F4688" s="17">
        <v>21.33</v>
      </c>
      <c r="G4688" s="3">
        <v>9</v>
      </c>
      <c r="H4688" s="17">
        <f>Table1[[#This Row],[Unit price]]*Table1[[#This Row],[Quantity]]</f>
        <v>191.96999999999997</v>
      </c>
      <c r="I4688" s="29">
        <f>Table1[[#This Row],[Total Revenue]]/$H$5056*100</f>
        <v>2.0367200563453272E-2</v>
      </c>
      <c r="J4688" s="3" t="s">
        <v>12</v>
      </c>
      <c r="K4688" s="4">
        <v>8.5</v>
      </c>
      <c r="M4688"/>
    </row>
    <row r="4689" spans="1:13" x14ac:dyDescent="0.25">
      <c r="A4689" s="3" t="s">
        <v>224</v>
      </c>
      <c r="B4689" s="3" t="s">
        <v>245</v>
      </c>
      <c r="C4689" s="3" t="s">
        <v>13</v>
      </c>
      <c r="D4689" s="3" t="s">
        <v>10</v>
      </c>
      <c r="E4689" s="5" t="s">
        <v>18</v>
      </c>
      <c r="F4689" s="17">
        <v>13.37</v>
      </c>
      <c r="G4689" s="3">
        <v>3</v>
      </c>
      <c r="H4689" s="17">
        <f>Table1[[#This Row],[Unit price]]*Table1[[#This Row],[Quantity]]</f>
        <v>40.11</v>
      </c>
      <c r="I4689" s="29">
        <f>Table1[[#This Row],[Total Revenue]]/$H$5056*100</f>
        <v>4.2555004146486997E-3</v>
      </c>
      <c r="J4689" s="3" t="s">
        <v>15</v>
      </c>
      <c r="K4689" s="4">
        <v>7.9</v>
      </c>
      <c r="M4689"/>
    </row>
    <row r="4690" spans="1:13" x14ac:dyDescent="0.25">
      <c r="A4690" s="3" t="s">
        <v>224</v>
      </c>
      <c r="B4690" s="3" t="s">
        <v>244</v>
      </c>
      <c r="C4690" s="3" t="s">
        <v>9</v>
      </c>
      <c r="D4690" s="3" t="s">
        <v>10</v>
      </c>
      <c r="E4690" s="5" t="s">
        <v>16</v>
      </c>
      <c r="F4690" s="17">
        <v>51.31</v>
      </c>
      <c r="G4690" s="3">
        <v>4</v>
      </c>
      <c r="H4690" s="17">
        <f>Table1[[#This Row],[Unit price]]*Table1[[#This Row],[Quantity]]</f>
        <v>205.24</v>
      </c>
      <c r="I4690" s="29">
        <f>Table1[[#This Row],[Total Revenue]]/$H$5056*100</f>
        <v>2.1775091126963329E-2</v>
      </c>
      <c r="J4690" s="3" t="s">
        <v>15</v>
      </c>
      <c r="K4690" s="4">
        <v>5.0999999999999996</v>
      </c>
      <c r="M4690"/>
    </row>
    <row r="4691" spans="1:13" x14ac:dyDescent="0.25">
      <c r="A4691" s="3" t="s">
        <v>224</v>
      </c>
      <c r="B4691" s="3" t="s">
        <v>243</v>
      </c>
      <c r="C4691" s="3" t="s">
        <v>13</v>
      </c>
      <c r="D4691" s="3" t="s">
        <v>10</v>
      </c>
      <c r="E4691" s="5" t="s">
        <v>11</v>
      </c>
      <c r="F4691" s="17">
        <v>2.29</v>
      </c>
      <c r="G4691" s="3">
        <v>4</v>
      </c>
      <c r="H4691" s="17">
        <f>Table1[[#This Row],[Unit price]]*Table1[[#This Row],[Quantity]]</f>
        <v>9.16</v>
      </c>
      <c r="I4691" s="29">
        <f>Table1[[#This Row],[Total Revenue]]/$H$5056*100</f>
        <v>9.7183704308606556E-4</v>
      </c>
      <c r="J4691" s="3" t="s">
        <v>12</v>
      </c>
      <c r="K4691" s="4">
        <v>5.4</v>
      </c>
      <c r="M4691"/>
    </row>
    <row r="4692" spans="1:13" x14ac:dyDescent="0.25">
      <c r="A4692" s="3" t="s">
        <v>224</v>
      </c>
      <c r="B4692" s="3" t="s">
        <v>245</v>
      </c>
      <c r="C4692" s="3" t="s">
        <v>13</v>
      </c>
      <c r="D4692" s="3" t="s">
        <v>10</v>
      </c>
      <c r="E4692" s="5" t="s">
        <v>20</v>
      </c>
      <c r="F4692" s="17">
        <v>52.49</v>
      </c>
      <c r="G4692" s="3">
        <v>6</v>
      </c>
      <c r="H4692" s="17">
        <f>Table1[[#This Row],[Unit price]]*Table1[[#This Row],[Quantity]]</f>
        <v>314.94</v>
      </c>
      <c r="I4692" s="29">
        <f>Table1[[#This Row],[Total Revenue]]/$H$5056*100</f>
        <v>3.3413794579642518E-2</v>
      </c>
      <c r="J4692" s="3" t="s">
        <v>12</v>
      </c>
      <c r="K4692" s="4">
        <v>9</v>
      </c>
      <c r="M4692"/>
    </row>
    <row r="4693" spans="1:13" x14ac:dyDescent="0.25">
      <c r="A4693" s="3" t="s">
        <v>224</v>
      </c>
      <c r="B4693" s="3" t="s">
        <v>243</v>
      </c>
      <c r="C4693" s="3" t="s">
        <v>9</v>
      </c>
      <c r="D4693" s="3" t="s">
        <v>10</v>
      </c>
      <c r="E4693" s="5" t="s">
        <v>20</v>
      </c>
      <c r="F4693" s="17">
        <v>59.92</v>
      </c>
      <c r="G4693" s="3">
        <v>8</v>
      </c>
      <c r="H4693" s="17">
        <f>Table1[[#This Row],[Unit price]]*Table1[[#This Row],[Quantity]]</f>
        <v>479.36</v>
      </c>
      <c r="I4693" s="29">
        <f>Table1[[#This Row],[Total Revenue]]/$H$5056*100</f>
        <v>5.0858057311543275E-2</v>
      </c>
      <c r="J4693" s="3" t="s">
        <v>12</v>
      </c>
      <c r="K4693" s="4">
        <v>9.3000000000000007</v>
      </c>
      <c r="M4693"/>
    </row>
    <row r="4694" spans="1:13" x14ac:dyDescent="0.25">
      <c r="A4694" s="3" t="s">
        <v>224</v>
      </c>
      <c r="B4694" s="3" t="s">
        <v>244</v>
      </c>
      <c r="C4694" s="3" t="s">
        <v>9</v>
      </c>
      <c r="D4694" s="3" t="s">
        <v>10</v>
      </c>
      <c r="E4694" s="5" t="s">
        <v>11</v>
      </c>
      <c r="F4694" s="17">
        <v>5.44</v>
      </c>
      <c r="G4694" s="3">
        <v>3</v>
      </c>
      <c r="H4694" s="17">
        <f>Table1[[#This Row],[Unit price]]*Table1[[#This Row],[Quantity]]</f>
        <v>16.32</v>
      </c>
      <c r="I4694" s="29">
        <f>Table1[[#This Row],[Total Revenue]]/$H$5056*100</f>
        <v>1.7314825920485362E-3</v>
      </c>
      <c r="J4694" s="3" t="s">
        <v>17</v>
      </c>
      <c r="K4694" s="4">
        <v>5</v>
      </c>
      <c r="M4694"/>
    </row>
    <row r="4695" spans="1:13" x14ac:dyDescent="0.25">
      <c r="A4695" s="3" t="s">
        <v>224</v>
      </c>
      <c r="B4695" s="3" t="s">
        <v>243</v>
      </c>
      <c r="C4695" s="3" t="s">
        <v>13</v>
      </c>
      <c r="D4695" s="3" t="s">
        <v>10</v>
      </c>
      <c r="E4695" s="5" t="s">
        <v>14</v>
      </c>
      <c r="F4695" s="17">
        <v>82.91</v>
      </c>
      <c r="G4695" s="3">
        <v>7</v>
      </c>
      <c r="H4695" s="17">
        <f>Table1[[#This Row],[Unit price]]*Table1[[#This Row],[Quantity]]</f>
        <v>580.37</v>
      </c>
      <c r="I4695" s="29">
        <f>Table1[[#This Row],[Total Revenue]]/$H$5056*100</f>
        <v>6.1574788722255448E-2</v>
      </c>
      <c r="J4695" s="3" t="s">
        <v>15</v>
      </c>
      <c r="K4695" s="4">
        <v>7.7</v>
      </c>
      <c r="M4695"/>
    </row>
    <row r="4696" spans="1:13" x14ac:dyDescent="0.25">
      <c r="A4696" s="3" t="s">
        <v>224</v>
      </c>
      <c r="B4696" s="3" t="s">
        <v>244</v>
      </c>
      <c r="C4696" s="3" t="s">
        <v>13</v>
      </c>
      <c r="D4696" s="3" t="s">
        <v>10</v>
      </c>
      <c r="E4696" s="5" t="s">
        <v>11</v>
      </c>
      <c r="F4696" s="17">
        <v>4.2</v>
      </c>
      <c r="G4696" s="3">
        <v>1</v>
      </c>
      <c r="H4696" s="17">
        <f>Table1[[#This Row],[Unit price]]*Table1[[#This Row],[Quantity]]</f>
        <v>4.2</v>
      </c>
      <c r="I4696" s="29">
        <f>Table1[[#This Row],[Total Revenue]]/$H$5056*100</f>
        <v>4.456021376595498E-4</v>
      </c>
      <c r="J4696" s="3" t="s">
        <v>15</v>
      </c>
      <c r="K4696" s="4">
        <v>7.6</v>
      </c>
      <c r="M4696"/>
    </row>
    <row r="4697" spans="1:13" x14ac:dyDescent="0.25">
      <c r="A4697" s="3" t="s">
        <v>224</v>
      </c>
      <c r="B4697" s="3" t="s">
        <v>245</v>
      </c>
      <c r="C4697" s="3" t="s">
        <v>9</v>
      </c>
      <c r="D4697" s="3" t="s">
        <v>19</v>
      </c>
      <c r="E4697" s="5" t="s">
        <v>11</v>
      </c>
      <c r="F4697" s="17">
        <v>3.14</v>
      </c>
      <c r="G4697" s="3">
        <v>10</v>
      </c>
      <c r="H4697" s="17">
        <f>Table1[[#This Row],[Unit price]]*Table1[[#This Row],[Quantity]]</f>
        <v>31.400000000000002</v>
      </c>
      <c r="I4697" s="29">
        <f>Table1[[#This Row],[Total Revenue]]/$H$5056*100</f>
        <v>3.3314064577404431E-3</v>
      </c>
      <c r="J4697" s="3" t="s">
        <v>17</v>
      </c>
      <c r="K4697" s="4">
        <v>8.3000000000000007</v>
      </c>
      <c r="M4697"/>
    </row>
    <row r="4698" spans="1:13" x14ac:dyDescent="0.25">
      <c r="A4698" s="3" t="s">
        <v>224</v>
      </c>
      <c r="B4698" s="3" t="s">
        <v>244</v>
      </c>
      <c r="C4698" s="3" t="s">
        <v>13</v>
      </c>
      <c r="D4698" s="3" t="s">
        <v>19</v>
      </c>
      <c r="E4698" s="5" t="s">
        <v>14</v>
      </c>
      <c r="F4698" s="17">
        <v>80.48</v>
      </c>
      <c r="G4698" s="3">
        <v>10</v>
      </c>
      <c r="H4698" s="17">
        <f>Table1[[#This Row],[Unit price]]*Table1[[#This Row],[Quantity]]</f>
        <v>804.80000000000007</v>
      </c>
      <c r="I4698" s="29">
        <f>Table1[[#This Row],[Total Revenue]]/$H$5056*100</f>
        <v>8.5385857235334678E-2</v>
      </c>
      <c r="J4698" s="3" t="s">
        <v>15</v>
      </c>
      <c r="K4698" s="4">
        <v>7.1</v>
      </c>
      <c r="M4698"/>
    </row>
    <row r="4699" spans="1:13" x14ac:dyDescent="0.25">
      <c r="A4699" s="3" t="s">
        <v>224</v>
      </c>
      <c r="B4699" s="3" t="s">
        <v>243</v>
      </c>
      <c r="C4699" s="3" t="s">
        <v>13</v>
      </c>
      <c r="D4699" s="3" t="s">
        <v>10</v>
      </c>
      <c r="E4699" s="5" t="s">
        <v>21</v>
      </c>
      <c r="F4699" s="17">
        <v>42.89</v>
      </c>
      <c r="G4699" s="3">
        <v>10</v>
      </c>
      <c r="H4699" s="17">
        <f>Table1[[#This Row],[Unit price]]*Table1[[#This Row],[Quantity]]</f>
        <v>428.9</v>
      </c>
      <c r="I4699" s="29">
        <f>Table1[[#This Row],[Total Revenue]]/$H$5056*100</f>
        <v>4.5504465914804969E-2</v>
      </c>
      <c r="J4699" s="3" t="s">
        <v>15</v>
      </c>
      <c r="K4699" s="4">
        <v>6.6</v>
      </c>
      <c r="M4699"/>
    </row>
    <row r="4700" spans="1:13" x14ac:dyDescent="0.25">
      <c r="A4700" s="3" t="s">
        <v>224</v>
      </c>
      <c r="B4700" s="3" t="s">
        <v>245</v>
      </c>
      <c r="C4700" s="3" t="s">
        <v>9</v>
      </c>
      <c r="D4700" s="3" t="s">
        <v>10</v>
      </c>
      <c r="E4700" s="5" t="s">
        <v>11</v>
      </c>
      <c r="F4700" s="17">
        <v>9.68</v>
      </c>
      <c r="G4700" s="3">
        <v>1</v>
      </c>
      <c r="H4700" s="17">
        <f>Table1[[#This Row],[Unit price]]*Table1[[#This Row],[Quantity]]</f>
        <v>9.68</v>
      </c>
      <c r="I4700" s="29">
        <f>Table1[[#This Row],[Total Revenue]]/$H$5056*100</f>
        <v>1.0270068315582003E-3</v>
      </c>
      <c r="J4700" s="3" t="s">
        <v>17</v>
      </c>
      <c r="K4700" s="4">
        <v>4.3</v>
      </c>
      <c r="M4700"/>
    </row>
    <row r="4701" spans="1:13" x14ac:dyDescent="0.25">
      <c r="A4701" s="3" t="s">
        <v>224</v>
      </c>
      <c r="B4701" s="3" t="s">
        <v>245</v>
      </c>
      <c r="C4701" s="3" t="s">
        <v>13</v>
      </c>
      <c r="D4701" s="3" t="s">
        <v>19</v>
      </c>
      <c r="E4701" s="5" t="s">
        <v>11</v>
      </c>
      <c r="F4701" s="17">
        <v>8.1999999999999993</v>
      </c>
      <c r="G4701" s="3">
        <v>8</v>
      </c>
      <c r="H4701" s="17">
        <f>Table1[[#This Row],[Unit price]]*Table1[[#This Row],[Quantity]]</f>
        <v>65.599999999999994</v>
      </c>
      <c r="I4701" s="29">
        <f>Table1[[#This Row],[Total Revenue]]/$H$5056*100</f>
        <v>6.959881007253919E-3</v>
      </c>
      <c r="J4701" s="3" t="s">
        <v>15</v>
      </c>
      <c r="K4701" s="4">
        <v>9.8000000000000007</v>
      </c>
      <c r="M4701"/>
    </row>
    <row r="4702" spans="1:13" x14ac:dyDescent="0.25">
      <c r="A4702" s="3" t="s">
        <v>224</v>
      </c>
      <c r="B4702" s="3" t="s">
        <v>243</v>
      </c>
      <c r="C4702" s="3" t="s">
        <v>9</v>
      </c>
      <c r="D4702" s="3" t="s">
        <v>19</v>
      </c>
      <c r="E4702" s="5" t="s">
        <v>18</v>
      </c>
      <c r="F4702" s="17">
        <v>4.4400000000000004</v>
      </c>
      <c r="G4702" s="3">
        <v>2</v>
      </c>
      <c r="H4702" s="17">
        <f>Table1[[#This Row],[Unit price]]*Table1[[#This Row],[Quantity]]</f>
        <v>8.8800000000000008</v>
      </c>
      <c r="I4702" s="29">
        <f>Table1[[#This Row],[Total Revenue]]/$H$5056*100</f>
        <v>9.4213023390876238E-4</v>
      </c>
      <c r="J4702" s="3" t="s">
        <v>12</v>
      </c>
      <c r="K4702" s="4">
        <v>4.2</v>
      </c>
      <c r="M4702"/>
    </row>
    <row r="4703" spans="1:13" x14ac:dyDescent="0.25">
      <c r="A4703" s="3" t="s">
        <v>224</v>
      </c>
      <c r="B4703" s="3" t="s">
        <v>244</v>
      </c>
      <c r="C4703" s="3" t="s">
        <v>13</v>
      </c>
      <c r="D4703" s="3" t="s">
        <v>10</v>
      </c>
      <c r="E4703" s="5" t="s">
        <v>21</v>
      </c>
      <c r="F4703" s="17">
        <v>41.29</v>
      </c>
      <c r="G4703" s="3">
        <v>9</v>
      </c>
      <c r="H4703" s="17">
        <f>Table1[[#This Row],[Unit price]]*Table1[[#This Row],[Quantity]]</f>
        <v>371.61</v>
      </c>
      <c r="I4703" s="29">
        <f>Table1[[#This Row],[Total Revenue]]/$H$5056*100</f>
        <v>3.9426240565634589E-2</v>
      </c>
      <c r="J4703" s="3" t="s">
        <v>17</v>
      </c>
      <c r="K4703" s="4">
        <v>5</v>
      </c>
      <c r="M4703"/>
    </row>
    <row r="4704" spans="1:13" x14ac:dyDescent="0.25">
      <c r="A4704" s="3" t="s">
        <v>224</v>
      </c>
      <c r="B4704" s="3" t="s">
        <v>244</v>
      </c>
      <c r="C4704" s="3" t="s">
        <v>13</v>
      </c>
      <c r="D4704" s="3" t="s">
        <v>19</v>
      </c>
      <c r="E4704" s="5" t="s">
        <v>11</v>
      </c>
      <c r="F4704" s="17">
        <v>6.07</v>
      </c>
      <c r="G4704" s="3">
        <v>2</v>
      </c>
      <c r="H4704" s="17">
        <f>Table1[[#This Row],[Unit price]]*Table1[[#This Row],[Quantity]]</f>
        <v>12.14</v>
      </c>
      <c r="I4704" s="29">
        <f>Table1[[#This Row],[Total Revenue]]/$H$5056*100</f>
        <v>1.2880023693302223E-3</v>
      </c>
      <c r="J4704" s="3" t="s">
        <v>15</v>
      </c>
      <c r="K4704" s="4">
        <v>8.4</v>
      </c>
      <c r="M4704"/>
    </row>
    <row r="4705" spans="1:13" x14ac:dyDescent="0.25">
      <c r="A4705" s="3" t="s">
        <v>224</v>
      </c>
      <c r="B4705" s="3" t="s">
        <v>243</v>
      </c>
      <c r="C4705" s="3" t="s">
        <v>13</v>
      </c>
      <c r="D4705" s="3" t="s">
        <v>19</v>
      </c>
      <c r="E4705" s="5" t="s">
        <v>18</v>
      </c>
      <c r="F4705" s="17">
        <v>11.97</v>
      </c>
      <c r="G4705" s="3">
        <v>6</v>
      </c>
      <c r="H4705" s="17">
        <f>Table1[[#This Row],[Unit price]]*Table1[[#This Row],[Quantity]]</f>
        <v>71.820000000000007</v>
      </c>
      <c r="I4705" s="29">
        <f>Table1[[#This Row],[Total Revenue]]/$H$5056*100</f>
        <v>7.6197965539783015E-3</v>
      </c>
      <c r="J4705" s="3" t="s">
        <v>12</v>
      </c>
      <c r="K4705" s="4">
        <v>8.5</v>
      </c>
      <c r="M4705"/>
    </row>
    <row r="4706" spans="1:13" x14ac:dyDescent="0.25">
      <c r="A4706" s="3" t="s">
        <v>224</v>
      </c>
      <c r="B4706" s="3" t="s">
        <v>245</v>
      </c>
      <c r="C4706" s="3" t="s">
        <v>9</v>
      </c>
      <c r="D4706" s="3" t="s">
        <v>19</v>
      </c>
      <c r="E4706" s="5" t="s">
        <v>11</v>
      </c>
      <c r="F4706" s="17">
        <v>4.47</v>
      </c>
      <c r="G4706" s="3">
        <v>8</v>
      </c>
      <c r="H4706" s="17">
        <f>Table1[[#This Row],[Unit price]]*Table1[[#This Row],[Quantity]]</f>
        <v>35.76</v>
      </c>
      <c r="I4706" s="29">
        <f>Table1[[#This Row],[Total Revenue]]/$H$5056*100</f>
        <v>3.7939839149298805E-3</v>
      </c>
      <c r="J4706" s="3" t="s">
        <v>17</v>
      </c>
      <c r="K4706" s="4">
        <v>5.8</v>
      </c>
      <c r="M4706"/>
    </row>
    <row r="4707" spans="1:13" x14ac:dyDescent="0.25">
      <c r="A4707" s="3" t="s">
        <v>224</v>
      </c>
      <c r="B4707" s="3" t="s">
        <v>245</v>
      </c>
      <c r="C4707" s="3" t="s">
        <v>9</v>
      </c>
      <c r="D4707" s="3" t="s">
        <v>19</v>
      </c>
      <c r="E4707" s="5" t="s">
        <v>11</v>
      </c>
      <c r="F4707" s="17">
        <v>9.7799999999999994</v>
      </c>
      <c r="G4707" s="3">
        <v>2</v>
      </c>
      <c r="H4707" s="17">
        <f>Table1[[#This Row],[Unit price]]*Table1[[#This Row],[Quantity]]</f>
        <v>19.559999999999999</v>
      </c>
      <c r="I4707" s="29">
        <f>Table1[[#This Row],[Total Revenue]]/$H$5056*100</f>
        <v>2.0752328125287598E-3</v>
      </c>
      <c r="J4707" s="3" t="s">
        <v>12</v>
      </c>
      <c r="K4707" s="4">
        <v>6.2</v>
      </c>
      <c r="M4707"/>
    </row>
    <row r="4708" spans="1:13" x14ac:dyDescent="0.25">
      <c r="A4708" s="3" t="s">
        <v>224</v>
      </c>
      <c r="B4708" s="3" t="s">
        <v>244</v>
      </c>
      <c r="C4708" s="3" t="s">
        <v>9</v>
      </c>
      <c r="D4708" s="3" t="s">
        <v>19</v>
      </c>
      <c r="E4708" s="5" t="s">
        <v>11</v>
      </c>
      <c r="F4708" s="17">
        <v>5.46</v>
      </c>
      <c r="G4708" s="3">
        <v>1</v>
      </c>
      <c r="H4708" s="17">
        <f>Table1[[#This Row],[Unit price]]*Table1[[#This Row],[Quantity]]</f>
        <v>5.46</v>
      </c>
      <c r="I4708" s="29">
        <f>Table1[[#This Row],[Total Revenue]]/$H$5056*100</f>
        <v>5.7928277895741471E-4</v>
      </c>
      <c r="J4708" s="3" t="s">
        <v>15</v>
      </c>
      <c r="K4708" s="4">
        <v>6.5</v>
      </c>
      <c r="M4708"/>
    </row>
    <row r="4709" spans="1:13" x14ac:dyDescent="0.25">
      <c r="A4709" s="3" t="s">
        <v>224</v>
      </c>
      <c r="B4709" s="3" t="s">
        <v>244</v>
      </c>
      <c r="C4709" s="3" t="s">
        <v>9</v>
      </c>
      <c r="D4709" s="3" t="s">
        <v>10</v>
      </c>
      <c r="E4709" s="5" t="s">
        <v>11</v>
      </c>
      <c r="F4709" s="17">
        <v>4.7699999999999996</v>
      </c>
      <c r="G4709" s="3">
        <v>9</v>
      </c>
      <c r="H4709" s="17">
        <f>Table1[[#This Row],[Unit price]]*Table1[[#This Row],[Quantity]]</f>
        <v>42.929999999999993</v>
      </c>
      <c r="I4709" s="29">
        <f>Table1[[#This Row],[Total Revenue]]/$H$5056*100</f>
        <v>4.5546904213629689E-3</v>
      </c>
      <c r="J4709" s="3" t="s">
        <v>12</v>
      </c>
      <c r="K4709" s="4">
        <v>8.8000000000000007</v>
      </c>
      <c r="M4709"/>
    </row>
    <row r="4710" spans="1:13" x14ac:dyDescent="0.25">
      <c r="A4710" s="3" t="s">
        <v>224</v>
      </c>
      <c r="B4710" s="3" t="s">
        <v>245</v>
      </c>
      <c r="C4710" s="3" t="s">
        <v>9</v>
      </c>
      <c r="D4710" s="3" t="s">
        <v>10</v>
      </c>
      <c r="E4710" s="5" t="s">
        <v>18</v>
      </c>
      <c r="F4710" s="17">
        <v>13.25</v>
      </c>
      <c r="G4710" s="3">
        <v>10</v>
      </c>
      <c r="H4710" s="17">
        <f>Table1[[#This Row],[Unit price]]*Table1[[#This Row],[Quantity]]</f>
        <v>132.5</v>
      </c>
      <c r="I4710" s="29">
        <f>Table1[[#This Row],[Total Revenue]]/$H$5056*100</f>
        <v>1.4057686485688175E-2</v>
      </c>
      <c r="J4710" s="3" t="s">
        <v>17</v>
      </c>
      <c r="K4710" s="4">
        <v>3.6</v>
      </c>
      <c r="M4710"/>
    </row>
    <row r="4711" spans="1:13" x14ac:dyDescent="0.25">
      <c r="A4711" s="3" t="s">
        <v>225</v>
      </c>
      <c r="B4711" s="3" t="s">
        <v>245</v>
      </c>
      <c r="C4711" s="3" t="s">
        <v>9</v>
      </c>
      <c r="D4711" s="3" t="s">
        <v>19</v>
      </c>
      <c r="E4711" s="5" t="s">
        <v>21</v>
      </c>
      <c r="F4711" s="17">
        <v>39.76</v>
      </c>
      <c r="G4711" s="3">
        <v>10</v>
      </c>
      <c r="H4711" s="17">
        <f>Table1[[#This Row],[Unit price]]*Table1[[#This Row],[Quantity]]</f>
        <v>397.59999999999997</v>
      </c>
      <c r="I4711" s="29">
        <f>Table1[[#This Row],[Total Revenue]]/$H$5056*100</f>
        <v>4.2183669031770704E-2</v>
      </c>
      <c r="J4711" s="3" t="s">
        <v>12</v>
      </c>
      <c r="K4711" s="4">
        <v>8.6999999999999993</v>
      </c>
      <c r="M4711"/>
    </row>
    <row r="4712" spans="1:13" x14ac:dyDescent="0.25">
      <c r="A4712" s="3" t="s">
        <v>225</v>
      </c>
      <c r="B4712" s="3" t="s">
        <v>244</v>
      </c>
      <c r="C4712" s="3" t="s">
        <v>9</v>
      </c>
      <c r="D4712" s="3" t="s">
        <v>19</v>
      </c>
      <c r="E4712" s="5" t="s">
        <v>11</v>
      </c>
      <c r="F4712" s="17">
        <v>9.59</v>
      </c>
      <c r="G4712" s="3">
        <v>10</v>
      </c>
      <c r="H4712" s="17">
        <f>Table1[[#This Row],[Unit price]]*Table1[[#This Row],[Quantity]]</f>
        <v>95.9</v>
      </c>
      <c r="I4712" s="29">
        <f>Table1[[#This Row],[Total Revenue]]/$H$5056*100</f>
        <v>1.0174582143226387E-2</v>
      </c>
      <c r="J4712" s="3" t="s">
        <v>12</v>
      </c>
      <c r="K4712" s="4">
        <v>7.4</v>
      </c>
      <c r="M4712"/>
    </row>
    <row r="4713" spans="1:13" x14ac:dyDescent="0.25">
      <c r="A4713" s="3" t="s">
        <v>225</v>
      </c>
      <c r="B4713" s="3" t="s">
        <v>243</v>
      </c>
      <c r="C4713" s="3" t="s">
        <v>13</v>
      </c>
      <c r="D4713" s="3" t="s">
        <v>19</v>
      </c>
      <c r="E4713" s="5" t="s">
        <v>20</v>
      </c>
      <c r="F4713" s="17">
        <v>67.78</v>
      </c>
      <c r="G4713" s="3">
        <v>9</v>
      </c>
      <c r="H4713" s="17">
        <f>Table1[[#This Row],[Unit price]]*Table1[[#This Row],[Quantity]]</f>
        <v>610.02</v>
      </c>
      <c r="I4713" s="29">
        <f>Table1[[#This Row],[Total Revenue]]/$H$5056*100</f>
        <v>6.4720527622637733E-2</v>
      </c>
      <c r="J4713" s="3" t="s">
        <v>12</v>
      </c>
      <c r="K4713" s="4">
        <v>7.4</v>
      </c>
      <c r="M4713"/>
    </row>
    <row r="4714" spans="1:13" x14ac:dyDescent="0.25">
      <c r="A4714" s="3" t="s">
        <v>225</v>
      </c>
      <c r="B4714" s="3" t="s">
        <v>244</v>
      </c>
      <c r="C4714" s="3" t="s">
        <v>13</v>
      </c>
      <c r="D4714" s="3" t="s">
        <v>10</v>
      </c>
      <c r="E4714" s="5" t="s">
        <v>11</v>
      </c>
      <c r="F4714" s="17">
        <v>5.63</v>
      </c>
      <c r="G4714" s="3">
        <v>1</v>
      </c>
      <c r="H4714" s="17">
        <f>Table1[[#This Row],[Unit price]]*Table1[[#This Row],[Quantity]]</f>
        <v>5.63</v>
      </c>
      <c r="I4714" s="29">
        <f>Table1[[#This Row],[Total Revenue]]/$H$5056*100</f>
        <v>5.9731905595792017E-4</v>
      </c>
      <c r="J4714" s="3" t="s">
        <v>15</v>
      </c>
      <c r="K4714" s="4">
        <v>6</v>
      </c>
      <c r="M4714"/>
    </row>
    <row r="4715" spans="1:13" x14ac:dyDescent="0.25">
      <c r="A4715" s="3" t="s">
        <v>225</v>
      </c>
      <c r="B4715" s="3" t="s">
        <v>244</v>
      </c>
      <c r="C4715" s="3" t="s">
        <v>9</v>
      </c>
      <c r="D4715" s="3" t="s">
        <v>10</v>
      </c>
      <c r="E4715" s="5" t="s">
        <v>11</v>
      </c>
      <c r="F4715" s="17">
        <v>4.5</v>
      </c>
      <c r="G4715" s="3">
        <v>6</v>
      </c>
      <c r="H4715" s="17">
        <f>Table1[[#This Row],[Unit price]]*Table1[[#This Row],[Quantity]]</f>
        <v>27</v>
      </c>
      <c r="I4715" s="29">
        <f>Table1[[#This Row],[Total Revenue]]/$H$5056*100</f>
        <v>2.8645851706685338E-3</v>
      </c>
      <c r="J4715" s="3" t="s">
        <v>17</v>
      </c>
      <c r="K4715" s="4">
        <v>9.6999999999999993</v>
      </c>
      <c r="M4715"/>
    </row>
    <row r="4716" spans="1:13" x14ac:dyDescent="0.25">
      <c r="A4716" s="3" t="s">
        <v>225</v>
      </c>
      <c r="B4716" s="3" t="s">
        <v>243</v>
      </c>
      <c r="C4716" s="3" t="s">
        <v>13</v>
      </c>
      <c r="D4716" s="3" t="s">
        <v>19</v>
      </c>
      <c r="E4716" s="5" t="s">
        <v>11</v>
      </c>
      <c r="F4716" s="17">
        <v>6.12</v>
      </c>
      <c r="G4716" s="3">
        <v>2</v>
      </c>
      <c r="H4716" s="17">
        <f>Table1[[#This Row],[Unit price]]*Table1[[#This Row],[Quantity]]</f>
        <v>12.24</v>
      </c>
      <c r="I4716" s="29">
        <f>Table1[[#This Row],[Total Revenue]]/$H$5056*100</f>
        <v>1.2986119440364021E-3</v>
      </c>
      <c r="J4716" s="3" t="s">
        <v>12</v>
      </c>
      <c r="K4716" s="4">
        <v>4.5999999999999996</v>
      </c>
      <c r="M4716"/>
    </row>
    <row r="4717" spans="1:13" x14ac:dyDescent="0.25">
      <c r="A4717" s="3" t="s">
        <v>225</v>
      </c>
      <c r="B4717" s="3" t="s">
        <v>243</v>
      </c>
      <c r="C4717" s="3" t="s">
        <v>9</v>
      </c>
      <c r="D4717" s="3" t="s">
        <v>19</v>
      </c>
      <c r="E4717" s="5" t="s">
        <v>14</v>
      </c>
      <c r="F4717" s="17">
        <v>72.8</v>
      </c>
      <c r="G4717" s="3">
        <v>5</v>
      </c>
      <c r="H4717" s="17">
        <f>Table1[[#This Row],[Unit price]]*Table1[[#This Row],[Quantity]]</f>
        <v>364</v>
      </c>
      <c r="I4717" s="29">
        <f>Table1[[#This Row],[Total Revenue]]/$H$5056*100</f>
        <v>3.8618851930494309E-2</v>
      </c>
      <c r="J4717" s="3" t="s">
        <v>12</v>
      </c>
      <c r="K4717" s="4">
        <v>8.9</v>
      </c>
      <c r="M4717"/>
    </row>
    <row r="4718" spans="1:13" x14ac:dyDescent="0.25">
      <c r="A4718" s="3" t="s">
        <v>225</v>
      </c>
      <c r="B4718" s="3" t="s">
        <v>244</v>
      </c>
      <c r="C4718" s="3" t="s">
        <v>13</v>
      </c>
      <c r="D4718" s="3" t="s">
        <v>10</v>
      </c>
      <c r="E4718" s="5" t="s">
        <v>11</v>
      </c>
      <c r="F4718" s="17">
        <v>3.52</v>
      </c>
      <c r="G4718" s="3">
        <v>3</v>
      </c>
      <c r="H4718" s="17">
        <f>Table1[[#This Row],[Unit price]]*Table1[[#This Row],[Quantity]]</f>
        <v>10.56</v>
      </c>
      <c r="I4718" s="29">
        <f>Table1[[#This Row],[Total Revenue]]/$H$5056*100</f>
        <v>1.1203710889725821E-3</v>
      </c>
      <c r="J4718" s="3" t="s">
        <v>12</v>
      </c>
      <c r="K4718" s="4">
        <v>9.8000000000000007</v>
      </c>
      <c r="M4718"/>
    </row>
    <row r="4719" spans="1:13" x14ac:dyDescent="0.25">
      <c r="A4719" s="3" t="s">
        <v>225</v>
      </c>
      <c r="B4719" s="3" t="s">
        <v>243</v>
      </c>
      <c r="C4719" s="3" t="s">
        <v>9</v>
      </c>
      <c r="D4719" s="3" t="s">
        <v>10</v>
      </c>
      <c r="E4719" s="5" t="s">
        <v>11</v>
      </c>
      <c r="F4719" s="17">
        <v>2.72</v>
      </c>
      <c r="G4719" s="3">
        <v>7</v>
      </c>
      <c r="H4719" s="17">
        <f>Table1[[#This Row],[Unit price]]*Table1[[#This Row],[Quantity]]</f>
        <v>19.040000000000003</v>
      </c>
      <c r="I4719" s="29">
        <f>Table1[[#This Row],[Total Revenue]]/$H$5056*100</f>
        <v>2.0200630240566259E-3</v>
      </c>
      <c r="J4719" s="3" t="s">
        <v>17</v>
      </c>
      <c r="K4719" s="4">
        <v>6.1</v>
      </c>
      <c r="M4719"/>
    </row>
    <row r="4720" spans="1:13" x14ac:dyDescent="0.25">
      <c r="A4720" s="3" t="s">
        <v>225</v>
      </c>
      <c r="B4720" s="3" t="s">
        <v>245</v>
      </c>
      <c r="C4720" s="3" t="s">
        <v>9</v>
      </c>
      <c r="D4720" s="3" t="s">
        <v>10</v>
      </c>
      <c r="E4720" s="5" t="s">
        <v>18</v>
      </c>
      <c r="F4720" s="17">
        <v>2.91</v>
      </c>
      <c r="G4720" s="3">
        <v>8</v>
      </c>
      <c r="H4720" s="17">
        <f>Table1[[#This Row],[Unit price]]*Table1[[#This Row],[Quantity]]</f>
        <v>23.28</v>
      </c>
      <c r="I4720" s="29">
        <f>Table1[[#This Row],[Total Revenue]]/$H$5056*100</f>
        <v>2.4699089915986472E-3</v>
      </c>
      <c r="J4720" s="3" t="s">
        <v>17</v>
      </c>
      <c r="K4720" s="4">
        <v>9</v>
      </c>
      <c r="M4720"/>
    </row>
    <row r="4721" spans="1:13" x14ac:dyDescent="0.25">
      <c r="A4721" s="3" t="s">
        <v>225</v>
      </c>
      <c r="B4721" s="3" t="s">
        <v>243</v>
      </c>
      <c r="C4721" s="3" t="s">
        <v>9</v>
      </c>
      <c r="D4721" s="3" t="s">
        <v>10</v>
      </c>
      <c r="E4721" s="5" t="s">
        <v>21</v>
      </c>
      <c r="F4721" s="17">
        <v>45.42</v>
      </c>
      <c r="G4721" s="3">
        <v>7</v>
      </c>
      <c r="H4721" s="17">
        <f>Table1[[#This Row],[Unit price]]*Table1[[#This Row],[Quantity]]</f>
        <v>317.94</v>
      </c>
      <c r="I4721" s="29">
        <f>Table1[[#This Row],[Total Revenue]]/$H$5056*100</f>
        <v>3.373208182082791E-2</v>
      </c>
      <c r="J4721" s="3" t="s">
        <v>15</v>
      </c>
      <c r="K4721" s="4">
        <v>9</v>
      </c>
      <c r="M4721"/>
    </row>
    <row r="4722" spans="1:13" x14ac:dyDescent="0.25">
      <c r="A4722" s="3" t="s">
        <v>225</v>
      </c>
      <c r="B4722" s="3" t="s">
        <v>243</v>
      </c>
      <c r="C4722" s="3" t="s">
        <v>9</v>
      </c>
      <c r="D4722" s="3" t="s">
        <v>10</v>
      </c>
      <c r="E4722" s="5" t="s">
        <v>20</v>
      </c>
      <c r="F4722" s="17">
        <v>58.01</v>
      </c>
      <c r="G4722" s="3">
        <v>10</v>
      </c>
      <c r="H4722" s="17">
        <f>Table1[[#This Row],[Unit price]]*Table1[[#This Row],[Quantity]]</f>
        <v>580.1</v>
      </c>
      <c r="I4722" s="29">
        <f>Table1[[#This Row],[Total Revenue]]/$H$5056*100</f>
        <v>6.1546142870548763E-2</v>
      </c>
      <c r="J4722" s="3" t="s">
        <v>17</v>
      </c>
      <c r="K4722" s="4">
        <v>4.3</v>
      </c>
      <c r="M4722"/>
    </row>
    <row r="4723" spans="1:13" x14ac:dyDescent="0.25">
      <c r="A4723" s="3" t="s">
        <v>225</v>
      </c>
      <c r="B4723" s="3" t="s">
        <v>244</v>
      </c>
      <c r="C4723" s="3" t="s">
        <v>13</v>
      </c>
      <c r="D4723" s="3" t="s">
        <v>10</v>
      </c>
      <c r="E4723" s="5" t="s">
        <v>11</v>
      </c>
      <c r="F4723" s="17">
        <v>8.1199999999999992</v>
      </c>
      <c r="G4723" s="3">
        <v>5</v>
      </c>
      <c r="H4723" s="17">
        <f>Table1[[#This Row],[Unit price]]*Table1[[#This Row],[Quantity]]</f>
        <v>40.599999999999994</v>
      </c>
      <c r="I4723" s="29">
        <f>Table1[[#This Row],[Total Revenue]]/$H$5056*100</f>
        <v>4.3074873307089798E-3</v>
      </c>
      <c r="J4723" s="3" t="s">
        <v>17</v>
      </c>
      <c r="K4723" s="4">
        <v>7.6</v>
      </c>
      <c r="M4723"/>
    </row>
    <row r="4724" spans="1:13" x14ac:dyDescent="0.25">
      <c r="A4724" s="3" t="s">
        <v>225</v>
      </c>
      <c r="B4724" s="3" t="s">
        <v>244</v>
      </c>
      <c r="C4724" s="3" t="s">
        <v>13</v>
      </c>
      <c r="D4724" s="3" t="s">
        <v>10</v>
      </c>
      <c r="E4724" s="5" t="s">
        <v>14</v>
      </c>
      <c r="F4724" s="17">
        <v>93.01</v>
      </c>
      <c r="G4724" s="3">
        <v>6</v>
      </c>
      <c r="H4724" s="17">
        <f>Table1[[#This Row],[Unit price]]*Table1[[#This Row],[Quantity]]</f>
        <v>558.06000000000006</v>
      </c>
      <c r="I4724" s="29">
        <f>Table1[[#This Row],[Total Revenue]]/$H$5056*100</f>
        <v>5.9207792605306744E-2</v>
      </c>
      <c r="J4724" s="3" t="s">
        <v>17</v>
      </c>
      <c r="K4724" s="4">
        <v>9.4</v>
      </c>
      <c r="M4724"/>
    </row>
    <row r="4725" spans="1:13" x14ac:dyDescent="0.25">
      <c r="A4725" s="3" t="s">
        <v>225</v>
      </c>
      <c r="B4725" s="3" t="s">
        <v>244</v>
      </c>
      <c r="C4725" s="3" t="s">
        <v>9</v>
      </c>
      <c r="D4725" s="3" t="s">
        <v>10</v>
      </c>
      <c r="E4725" s="5" t="s">
        <v>20</v>
      </c>
      <c r="F4725" s="17">
        <v>50.91</v>
      </c>
      <c r="G4725" s="3">
        <v>3</v>
      </c>
      <c r="H4725" s="17">
        <f>Table1[[#This Row],[Unit price]]*Table1[[#This Row],[Quantity]]</f>
        <v>152.72999999999999</v>
      </c>
      <c r="I4725" s="29">
        <f>Table1[[#This Row],[Total Revenue]]/$H$5056*100</f>
        <v>1.6204003448748339E-2</v>
      </c>
      <c r="J4725" s="3" t="s">
        <v>17</v>
      </c>
      <c r="K4725" s="4">
        <v>5.3</v>
      </c>
      <c r="M4725"/>
    </row>
    <row r="4726" spans="1:13" x14ac:dyDescent="0.25">
      <c r="A4726" s="3" t="s">
        <v>225</v>
      </c>
      <c r="B4726" s="3" t="s">
        <v>243</v>
      </c>
      <c r="C4726" s="3" t="s">
        <v>9</v>
      </c>
      <c r="D4726" s="3" t="s">
        <v>19</v>
      </c>
      <c r="E4726" s="5" t="s">
        <v>11</v>
      </c>
      <c r="F4726" s="17">
        <v>4.62</v>
      </c>
      <c r="G4726" s="3">
        <v>10</v>
      </c>
      <c r="H4726" s="17">
        <f>Table1[[#This Row],[Unit price]]*Table1[[#This Row],[Quantity]]</f>
        <v>46.2</v>
      </c>
      <c r="I4726" s="29">
        <f>Table1[[#This Row],[Total Revenue]]/$H$5056*100</f>
        <v>4.9016235142550473E-3</v>
      </c>
      <c r="J4726" s="3" t="s">
        <v>12</v>
      </c>
      <c r="K4726" s="4">
        <v>4.0999999999999996</v>
      </c>
      <c r="M4726"/>
    </row>
    <row r="4727" spans="1:13" x14ac:dyDescent="0.25">
      <c r="A4727" s="3" t="s">
        <v>225</v>
      </c>
      <c r="B4727" s="3" t="s">
        <v>245</v>
      </c>
      <c r="C4727" s="3" t="s">
        <v>13</v>
      </c>
      <c r="D4727" s="3" t="s">
        <v>10</v>
      </c>
      <c r="E4727" s="5" t="s">
        <v>16</v>
      </c>
      <c r="F4727" s="17">
        <v>65.22</v>
      </c>
      <c r="G4727" s="3">
        <v>9</v>
      </c>
      <c r="H4727" s="17">
        <f>Table1[[#This Row],[Unit price]]*Table1[[#This Row],[Quantity]]</f>
        <v>586.98</v>
      </c>
      <c r="I4727" s="29">
        <f>Table1[[#This Row],[Total Revenue]]/$H$5056*100</f>
        <v>6.2276081610333926E-2</v>
      </c>
      <c r="J4727" s="3" t="s">
        <v>17</v>
      </c>
      <c r="K4727" s="4">
        <v>6.3</v>
      </c>
      <c r="M4727"/>
    </row>
    <row r="4728" spans="1:13" x14ac:dyDescent="0.25">
      <c r="A4728" s="3" t="s">
        <v>225</v>
      </c>
      <c r="B4728" s="3" t="s">
        <v>243</v>
      </c>
      <c r="C4728" s="3" t="s">
        <v>13</v>
      </c>
      <c r="D4728" s="3" t="s">
        <v>19</v>
      </c>
      <c r="E4728" s="5" t="s">
        <v>11</v>
      </c>
      <c r="F4728" s="17">
        <v>4.6500000000000004</v>
      </c>
      <c r="G4728" s="3">
        <v>2</v>
      </c>
      <c r="H4728" s="17">
        <f>Table1[[#This Row],[Unit price]]*Table1[[#This Row],[Quantity]]</f>
        <v>9.3000000000000007</v>
      </c>
      <c r="I4728" s="29">
        <f>Table1[[#This Row],[Total Revenue]]/$H$5056*100</f>
        <v>9.8669044767471731E-4</v>
      </c>
      <c r="J4728" s="3" t="s">
        <v>12</v>
      </c>
      <c r="K4728" s="4">
        <v>7</v>
      </c>
      <c r="M4728"/>
    </row>
    <row r="4729" spans="1:13" x14ac:dyDescent="0.25">
      <c r="A4729" s="3" t="s">
        <v>225</v>
      </c>
      <c r="B4729" s="3" t="s">
        <v>245</v>
      </c>
      <c r="C4729" s="3" t="s">
        <v>13</v>
      </c>
      <c r="D4729" s="3" t="s">
        <v>19</v>
      </c>
      <c r="E4729" s="5" t="s">
        <v>20</v>
      </c>
      <c r="F4729" s="17">
        <v>55.31</v>
      </c>
      <c r="G4729" s="3">
        <v>10</v>
      </c>
      <c r="H4729" s="17">
        <f>Table1[[#This Row],[Unit price]]*Table1[[#This Row],[Quantity]]</f>
        <v>553.1</v>
      </c>
      <c r="I4729" s="29">
        <f>Table1[[#This Row],[Total Revenue]]/$H$5056*100</f>
        <v>5.8681557699880232E-2</v>
      </c>
      <c r="J4729" s="3" t="s">
        <v>17</v>
      </c>
      <c r="K4729" s="4">
        <v>4.5</v>
      </c>
      <c r="M4729"/>
    </row>
    <row r="4730" spans="1:13" x14ac:dyDescent="0.25">
      <c r="A4730" s="3" t="s">
        <v>226</v>
      </c>
      <c r="B4730" s="3" t="s">
        <v>243</v>
      </c>
      <c r="C4730" s="3" t="s">
        <v>13</v>
      </c>
      <c r="D4730" s="3" t="s">
        <v>19</v>
      </c>
      <c r="E4730" s="5" t="s">
        <v>14</v>
      </c>
      <c r="F4730" s="17">
        <v>74.28</v>
      </c>
      <c r="G4730" s="3">
        <v>4</v>
      </c>
      <c r="H4730" s="17">
        <f>Table1[[#This Row],[Unit price]]*Table1[[#This Row],[Quantity]]</f>
        <v>297.12</v>
      </c>
      <c r="I4730" s="29">
        <f>Table1[[#This Row],[Total Revenue]]/$H$5056*100</f>
        <v>3.1523168367001288E-2</v>
      </c>
      <c r="J4730" s="3" t="s">
        <v>15</v>
      </c>
      <c r="K4730" s="4">
        <v>6.9</v>
      </c>
      <c r="M4730"/>
    </row>
    <row r="4731" spans="1:13" x14ac:dyDescent="0.25">
      <c r="A4731" s="3" t="s">
        <v>226</v>
      </c>
      <c r="B4731" s="3" t="s">
        <v>244</v>
      </c>
      <c r="C4731" s="3" t="s">
        <v>13</v>
      </c>
      <c r="D4731" s="3" t="s">
        <v>19</v>
      </c>
      <c r="E4731" s="5" t="s">
        <v>21</v>
      </c>
      <c r="F4731" s="17">
        <v>29.41</v>
      </c>
      <c r="G4731" s="3">
        <v>3</v>
      </c>
      <c r="H4731" s="17">
        <f>Table1[[#This Row],[Unit price]]*Table1[[#This Row],[Quantity]]</f>
        <v>88.23</v>
      </c>
      <c r="I4731" s="29">
        <f>Table1[[#This Row],[Total Revenue]]/$H$5056*100</f>
        <v>9.3608277632623998E-3</v>
      </c>
      <c r="J4731" s="3" t="s">
        <v>12</v>
      </c>
      <c r="K4731" s="4">
        <v>7.7</v>
      </c>
      <c r="M4731"/>
    </row>
    <row r="4732" spans="1:13" x14ac:dyDescent="0.25">
      <c r="A4732" s="3" t="s">
        <v>226</v>
      </c>
      <c r="B4732" s="3" t="s">
        <v>245</v>
      </c>
      <c r="C4732" s="3" t="s">
        <v>9</v>
      </c>
      <c r="D4732" s="3" t="s">
        <v>10</v>
      </c>
      <c r="E4732" s="5" t="s">
        <v>11</v>
      </c>
      <c r="F4732" s="17">
        <v>7.65</v>
      </c>
      <c r="G4732" s="3">
        <v>9</v>
      </c>
      <c r="H4732" s="17">
        <f>Table1[[#This Row],[Unit price]]*Table1[[#This Row],[Quantity]]</f>
        <v>68.850000000000009</v>
      </c>
      <c r="I4732" s="29">
        <f>Table1[[#This Row],[Total Revenue]]/$H$5056*100</f>
        <v>7.3046921852047628E-3</v>
      </c>
      <c r="J4732" s="3" t="s">
        <v>15</v>
      </c>
      <c r="K4732" s="4">
        <v>6.8</v>
      </c>
      <c r="M4732"/>
    </row>
    <row r="4733" spans="1:13" x14ac:dyDescent="0.25">
      <c r="A4733" s="3" t="s">
        <v>226</v>
      </c>
      <c r="B4733" s="3" t="s">
        <v>243</v>
      </c>
      <c r="C4733" s="3" t="s">
        <v>13</v>
      </c>
      <c r="D4733" s="3" t="s">
        <v>10</v>
      </c>
      <c r="E4733" s="5" t="s">
        <v>16</v>
      </c>
      <c r="F4733" s="17">
        <v>78.7</v>
      </c>
      <c r="G4733" s="3">
        <v>8</v>
      </c>
      <c r="H4733" s="17">
        <f>Table1[[#This Row],[Unit price]]*Table1[[#This Row],[Quantity]]</f>
        <v>629.6</v>
      </c>
      <c r="I4733" s="29">
        <f>Table1[[#This Row],[Total Revenue]]/$H$5056*100</f>
        <v>6.6797882350107737E-2</v>
      </c>
      <c r="J4733" s="3" t="s">
        <v>17</v>
      </c>
      <c r="K4733" s="4">
        <v>5.3</v>
      </c>
      <c r="M4733"/>
    </row>
    <row r="4734" spans="1:13" x14ac:dyDescent="0.25">
      <c r="A4734" s="3" t="s">
        <v>226</v>
      </c>
      <c r="B4734" s="3" t="s">
        <v>245</v>
      </c>
      <c r="C4734" s="3" t="s">
        <v>13</v>
      </c>
      <c r="D4734" s="3" t="s">
        <v>10</v>
      </c>
      <c r="E4734" s="5" t="s">
        <v>11</v>
      </c>
      <c r="F4734" s="17">
        <v>3.54</v>
      </c>
      <c r="G4734" s="3">
        <v>4</v>
      </c>
      <c r="H4734" s="17">
        <f>Table1[[#This Row],[Unit price]]*Table1[[#This Row],[Quantity]]</f>
        <v>14.16</v>
      </c>
      <c r="I4734" s="29">
        <f>Table1[[#This Row],[Total Revenue]]/$H$5056*100</f>
        <v>1.5023157783950534E-3</v>
      </c>
      <c r="J4734" s="3" t="s">
        <v>12</v>
      </c>
      <c r="K4734" s="4">
        <v>6.8</v>
      </c>
      <c r="M4734"/>
    </row>
    <row r="4735" spans="1:13" x14ac:dyDescent="0.25">
      <c r="A4735" s="3" t="s">
        <v>226</v>
      </c>
      <c r="B4735" s="3" t="s">
        <v>243</v>
      </c>
      <c r="C4735" s="3" t="s">
        <v>9</v>
      </c>
      <c r="D4735" s="3" t="s">
        <v>10</v>
      </c>
      <c r="E4735" s="5" t="s">
        <v>18</v>
      </c>
      <c r="F4735" s="17">
        <v>14.42</v>
      </c>
      <c r="G4735" s="3">
        <v>8</v>
      </c>
      <c r="H4735" s="17">
        <f>Table1[[#This Row],[Unit price]]*Table1[[#This Row],[Quantity]]</f>
        <v>115.36</v>
      </c>
      <c r="I4735" s="29">
        <f>Table1[[#This Row],[Total Revenue]]/$H$5056*100</f>
        <v>1.2239205381048964E-2</v>
      </c>
      <c r="J4735" s="3" t="s">
        <v>12</v>
      </c>
      <c r="K4735" s="4">
        <v>6.3</v>
      </c>
      <c r="M4735"/>
    </row>
    <row r="4736" spans="1:13" x14ac:dyDescent="0.25">
      <c r="A4736" s="3" t="s">
        <v>226</v>
      </c>
      <c r="B4736" s="3" t="s">
        <v>245</v>
      </c>
      <c r="C4736" s="3" t="s">
        <v>13</v>
      </c>
      <c r="D4736" s="3" t="s">
        <v>10</v>
      </c>
      <c r="E4736" s="5" t="s">
        <v>11</v>
      </c>
      <c r="F4736" s="17">
        <v>2.97</v>
      </c>
      <c r="G4736" s="3">
        <v>9</v>
      </c>
      <c r="H4736" s="17">
        <f>Table1[[#This Row],[Unit price]]*Table1[[#This Row],[Quantity]]</f>
        <v>26.73</v>
      </c>
      <c r="I4736" s="29">
        <f>Table1[[#This Row],[Total Revenue]]/$H$5056*100</f>
        <v>2.8359393189618487E-3</v>
      </c>
      <c r="J4736" s="3" t="s">
        <v>12</v>
      </c>
      <c r="K4736" s="4">
        <v>9.1</v>
      </c>
      <c r="M4736"/>
    </row>
    <row r="4737" spans="1:13" x14ac:dyDescent="0.25">
      <c r="A4737" s="3" t="s">
        <v>226</v>
      </c>
      <c r="B4737" s="3" t="s">
        <v>243</v>
      </c>
      <c r="C4737" s="3" t="s">
        <v>13</v>
      </c>
      <c r="D4737" s="3" t="s">
        <v>19</v>
      </c>
      <c r="E4737" s="5" t="s">
        <v>11</v>
      </c>
      <c r="F4737" s="17">
        <v>2.34</v>
      </c>
      <c r="G4737" s="3">
        <v>2</v>
      </c>
      <c r="H4737" s="17">
        <f>Table1[[#This Row],[Unit price]]*Table1[[#This Row],[Quantity]]</f>
        <v>4.68</v>
      </c>
      <c r="I4737" s="29">
        <f>Table1[[#This Row],[Total Revenue]]/$H$5056*100</f>
        <v>4.9652809624921247E-4</v>
      </c>
      <c r="J4737" s="3" t="s">
        <v>12</v>
      </c>
      <c r="K4737" s="4">
        <v>9.3000000000000007</v>
      </c>
      <c r="M4737"/>
    </row>
    <row r="4738" spans="1:13" x14ac:dyDescent="0.25">
      <c r="A4738" s="3" t="s">
        <v>226</v>
      </c>
      <c r="B4738" s="3" t="s">
        <v>245</v>
      </c>
      <c r="C4738" s="3" t="s">
        <v>9</v>
      </c>
      <c r="D4738" s="3" t="s">
        <v>10</v>
      </c>
      <c r="E4738" s="5" t="s">
        <v>21</v>
      </c>
      <c r="F4738" s="17">
        <v>26.06</v>
      </c>
      <c r="G4738" s="3">
        <v>9</v>
      </c>
      <c r="H4738" s="17">
        <f>Table1[[#This Row],[Unit price]]*Table1[[#This Row],[Quantity]]</f>
        <v>234.54</v>
      </c>
      <c r="I4738" s="29">
        <f>Table1[[#This Row],[Total Revenue]]/$H$5056*100</f>
        <v>2.4883696515874E-2</v>
      </c>
      <c r="J4738" s="3" t="s">
        <v>12</v>
      </c>
      <c r="K4738" s="4">
        <v>9.3000000000000007</v>
      </c>
      <c r="M4738"/>
    </row>
    <row r="4739" spans="1:13" x14ac:dyDescent="0.25">
      <c r="A4739" s="3" t="s">
        <v>226</v>
      </c>
      <c r="B4739" s="3" t="s">
        <v>244</v>
      </c>
      <c r="C4739" s="3" t="s">
        <v>9</v>
      </c>
      <c r="D4739" s="3" t="s">
        <v>19</v>
      </c>
      <c r="E4739" s="5" t="s">
        <v>21</v>
      </c>
      <c r="F4739" s="17">
        <v>27.27</v>
      </c>
      <c r="G4739" s="3">
        <v>9</v>
      </c>
      <c r="H4739" s="17">
        <f>Table1[[#This Row],[Unit price]]*Table1[[#This Row],[Quantity]]</f>
        <v>245.43</v>
      </c>
      <c r="I4739" s="29">
        <f>Table1[[#This Row],[Total Revenue]]/$H$5056*100</f>
        <v>2.603907920137697E-2</v>
      </c>
      <c r="J4739" s="3" t="s">
        <v>15</v>
      </c>
      <c r="K4739" s="4">
        <v>7.3</v>
      </c>
      <c r="M4739"/>
    </row>
    <row r="4740" spans="1:13" x14ac:dyDescent="0.25">
      <c r="A4740" s="3" t="s">
        <v>226</v>
      </c>
      <c r="B4740" s="3" t="s">
        <v>243</v>
      </c>
      <c r="C4740" s="3" t="s">
        <v>13</v>
      </c>
      <c r="D4740" s="3" t="s">
        <v>10</v>
      </c>
      <c r="E4740" s="5" t="s">
        <v>14</v>
      </c>
      <c r="F4740" s="17">
        <v>72.91</v>
      </c>
      <c r="G4740" s="3">
        <v>3</v>
      </c>
      <c r="H4740" s="17">
        <f>Table1[[#This Row],[Unit price]]*Table1[[#This Row],[Quantity]]</f>
        <v>218.73</v>
      </c>
      <c r="I4740" s="29">
        <f>Table1[[#This Row],[Total Revenue]]/$H$5056*100</f>
        <v>2.3206322754826977E-2</v>
      </c>
      <c r="J4740" s="3" t="s">
        <v>15</v>
      </c>
      <c r="K4740" s="4">
        <v>9.6</v>
      </c>
      <c r="M4740"/>
    </row>
    <row r="4741" spans="1:13" x14ac:dyDescent="0.25">
      <c r="A4741" s="3" t="s">
        <v>226</v>
      </c>
      <c r="B4741" s="3" t="s">
        <v>244</v>
      </c>
      <c r="C4741" s="3" t="s">
        <v>13</v>
      </c>
      <c r="D4741" s="3" t="s">
        <v>10</v>
      </c>
      <c r="E4741" s="5" t="s">
        <v>16</v>
      </c>
      <c r="F4741" s="17">
        <v>64.319999999999993</v>
      </c>
      <c r="G4741" s="3">
        <v>4</v>
      </c>
      <c r="H4741" s="17">
        <f>Table1[[#This Row],[Unit price]]*Table1[[#This Row],[Quantity]]</f>
        <v>257.27999999999997</v>
      </c>
      <c r="I4741" s="29">
        <f>Table1[[#This Row],[Total Revenue]]/$H$5056*100</f>
        <v>2.7296313804059273E-2</v>
      </c>
      <c r="J4741" s="3" t="s">
        <v>12</v>
      </c>
      <c r="K4741" s="4">
        <v>5.2</v>
      </c>
      <c r="M4741"/>
    </row>
    <row r="4742" spans="1:13" x14ac:dyDescent="0.25">
      <c r="A4742" s="3" t="s">
        <v>227</v>
      </c>
      <c r="B4742" s="3" t="s">
        <v>244</v>
      </c>
      <c r="C4742" s="3" t="s">
        <v>9</v>
      </c>
      <c r="D4742" s="3" t="s">
        <v>19</v>
      </c>
      <c r="E4742" s="5" t="s">
        <v>21</v>
      </c>
      <c r="F4742" s="17">
        <v>47.4</v>
      </c>
      <c r="G4742" s="3">
        <v>3</v>
      </c>
      <c r="H4742" s="17">
        <f>Table1[[#This Row],[Unit price]]*Table1[[#This Row],[Quantity]]</f>
        <v>142.19999999999999</v>
      </c>
      <c r="I4742" s="29">
        <f>Table1[[#This Row],[Total Revenue]]/$H$5056*100</f>
        <v>1.5086815232187611E-2</v>
      </c>
      <c r="J4742" s="3" t="s">
        <v>12</v>
      </c>
      <c r="K4742" s="4">
        <v>9</v>
      </c>
      <c r="M4742"/>
    </row>
    <row r="4743" spans="1:13" x14ac:dyDescent="0.25">
      <c r="A4743" s="3" t="s">
        <v>227</v>
      </c>
      <c r="B4743" s="3" t="s">
        <v>244</v>
      </c>
      <c r="C4743" s="3" t="s">
        <v>13</v>
      </c>
      <c r="D4743" s="3" t="s">
        <v>10</v>
      </c>
      <c r="E4743" s="5" t="s">
        <v>18</v>
      </c>
      <c r="F4743" s="17">
        <v>5.35</v>
      </c>
      <c r="G4743" s="3">
        <v>5</v>
      </c>
      <c r="H4743" s="17">
        <f>Table1[[#This Row],[Unit price]]*Table1[[#This Row],[Quantity]]</f>
        <v>26.75</v>
      </c>
      <c r="I4743" s="29">
        <f>Table1[[#This Row],[Total Revenue]]/$H$5056*100</f>
        <v>2.8380612339030846E-3</v>
      </c>
      <c r="J4743" s="3" t="s">
        <v>15</v>
      </c>
      <c r="K4743" s="4">
        <v>3.1</v>
      </c>
      <c r="M4743"/>
    </row>
    <row r="4744" spans="1:13" x14ac:dyDescent="0.25">
      <c r="A4744" s="3" t="s">
        <v>227</v>
      </c>
      <c r="B4744" s="3" t="s">
        <v>244</v>
      </c>
      <c r="C4744" s="3" t="s">
        <v>13</v>
      </c>
      <c r="D4744" s="3" t="s">
        <v>10</v>
      </c>
      <c r="E4744" s="5" t="s">
        <v>11</v>
      </c>
      <c r="F4744" s="17">
        <v>5.63</v>
      </c>
      <c r="G4744" s="3">
        <v>9</v>
      </c>
      <c r="H4744" s="17">
        <f>Table1[[#This Row],[Unit price]]*Table1[[#This Row],[Quantity]]</f>
        <v>50.67</v>
      </c>
      <c r="I4744" s="29">
        <f>Table1[[#This Row],[Total Revenue]]/$H$5056*100</f>
        <v>5.3758715036212826E-3</v>
      </c>
      <c r="J4744" s="3" t="s">
        <v>17</v>
      </c>
      <c r="K4744" s="4">
        <v>6.4</v>
      </c>
      <c r="M4744"/>
    </row>
    <row r="4745" spans="1:13" x14ac:dyDescent="0.25">
      <c r="A4745" s="3" t="s">
        <v>227</v>
      </c>
      <c r="B4745" s="3" t="s">
        <v>245</v>
      </c>
      <c r="C4745" s="3" t="s">
        <v>13</v>
      </c>
      <c r="D4745" s="3" t="s">
        <v>10</v>
      </c>
      <c r="E4745" s="5" t="s">
        <v>16</v>
      </c>
      <c r="F4745" s="17">
        <v>55.78</v>
      </c>
      <c r="G4745" s="3">
        <v>2</v>
      </c>
      <c r="H4745" s="17">
        <f>Table1[[#This Row],[Unit price]]*Table1[[#This Row],[Quantity]]</f>
        <v>111.56</v>
      </c>
      <c r="I4745" s="29">
        <f>Table1[[#This Row],[Total Revenue]]/$H$5056*100</f>
        <v>1.1836041542214137E-2</v>
      </c>
      <c r="J4745" s="3" t="s">
        <v>12</v>
      </c>
      <c r="K4745" s="4">
        <v>4.0999999999999996</v>
      </c>
      <c r="M4745"/>
    </row>
    <row r="4746" spans="1:13" x14ac:dyDescent="0.25">
      <c r="A4746" s="3" t="s">
        <v>227</v>
      </c>
      <c r="B4746" s="3" t="s">
        <v>243</v>
      </c>
      <c r="C4746" s="3" t="s">
        <v>9</v>
      </c>
      <c r="D4746" s="3" t="s">
        <v>19</v>
      </c>
      <c r="E4746" s="5" t="s">
        <v>11</v>
      </c>
      <c r="F4746" s="17">
        <v>7.89</v>
      </c>
      <c r="G4746" s="3">
        <v>5</v>
      </c>
      <c r="H4746" s="17">
        <f>Table1[[#This Row],[Unit price]]*Table1[[#This Row],[Quantity]]</f>
        <v>39.449999999999996</v>
      </c>
      <c r="I4746" s="29">
        <f>Table1[[#This Row],[Total Revenue]]/$H$5056*100</f>
        <v>4.1854772215879129E-3</v>
      </c>
      <c r="J4746" s="3" t="s">
        <v>17</v>
      </c>
      <c r="K4746" s="4">
        <v>7.6</v>
      </c>
      <c r="M4746"/>
    </row>
    <row r="4747" spans="1:13" x14ac:dyDescent="0.25">
      <c r="A4747" s="3" t="s">
        <v>227</v>
      </c>
      <c r="B4747" s="3" t="s">
        <v>245</v>
      </c>
      <c r="C4747" s="3" t="s">
        <v>13</v>
      </c>
      <c r="D4747" s="3" t="s">
        <v>10</v>
      </c>
      <c r="E4747" s="5" t="s">
        <v>18</v>
      </c>
      <c r="F4747" s="17">
        <v>11.28</v>
      </c>
      <c r="G4747" s="3">
        <v>2</v>
      </c>
      <c r="H4747" s="17">
        <f>Table1[[#This Row],[Unit price]]*Table1[[#This Row],[Quantity]]</f>
        <v>22.56</v>
      </c>
      <c r="I4747" s="29">
        <f>Table1[[#This Row],[Total Revenue]]/$H$5056*100</f>
        <v>2.3935200537141526E-3</v>
      </c>
      <c r="J4747" s="3" t="s">
        <v>12</v>
      </c>
      <c r="K4747" s="4">
        <v>7.6</v>
      </c>
      <c r="M4747"/>
    </row>
    <row r="4748" spans="1:13" x14ac:dyDescent="0.25">
      <c r="A4748" s="3" t="s">
        <v>227</v>
      </c>
      <c r="B4748" s="3" t="s">
        <v>244</v>
      </c>
      <c r="C4748" s="3" t="s">
        <v>13</v>
      </c>
      <c r="D4748" s="3" t="s">
        <v>10</v>
      </c>
      <c r="E4748" s="5" t="s">
        <v>18</v>
      </c>
      <c r="F4748" s="17">
        <v>18.84</v>
      </c>
      <c r="G4748" s="3">
        <v>1</v>
      </c>
      <c r="H4748" s="17">
        <f>Table1[[#This Row],[Unit price]]*Table1[[#This Row],[Quantity]]</f>
        <v>18.84</v>
      </c>
      <c r="I4748" s="29">
        <f>Table1[[#This Row],[Total Revenue]]/$H$5056*100</f>
        <v>1.998843874644266E-3</v>
      </c>
      <c r="J4748" s="3" t="s">
        <v>12</v>
      </c>
      <c r="K4748" s="4">
        <v>5.6</v>
      </c>
      <c r="M4748"/>
    </row>
    <row r="4749" spans="1:13" x14ac:dyDescent="0.25">
      <c r="A4749" s="3" t="s">
        <v>227</v>
      </c>
      <c r="B4749" s="3" t="s">
        <v>243</v>
      </c>
      <c r="C4749" s="3" t="s">
        <v>13</v>
      </c>
      <c r="D4749" s="3" t="s">
        <v>10</v>
      </c>
      <c r="E4749" s="5" t="s">
        <v>11</v>
      </c>
      <c r="F4749" s="17">
        <v>6.66</v>
      </c>
      <c r="G4749" s="3">
        <v>10</v>
      </c>
      <c r="H4749" s="17">
        <f>Table1[[#This Row],[Unit price]]*Table1[[#This Row],[Quantity]]</f>
        <v>66.599999999999994</v>
      </c>
      <c r="I4749" s="29">
        <f>Table1[[#This Row],[Total Revenue]]/$H$5056*100</f>
        <v>7.0659767543157165E-3</v>
      </c>
      <c r="J4749" s="3" t="s">
        <v>15</v>
      </c>
      <c r="K4749" s="4">
        <v>4.8</v>
      </c>
      <c r="M4749"/>
    </row>
    <row r="4750" spans="1:13" x14ac:dyDescent="0.25">
      <c r="A4750" s="3" t="s">
        <v>227</v>
      </c>
      <c r="B4750" s="3" t="s">
        <v>244</v>
      </c>
      <c r="C4750" s="3" t="s">
        <v>9</v>
      </c>
      <c r="D4750" s="3" t="s">
        <v>19</v>
      </c>
      <c r="E4750" s="5" t="s">
        <v>11</v>
      </c>
      <c r="F4750" s="17">
        <v>5.72</v>
      </c>
      <c r="G4750" s="3">
        <v>3</v>
      </c>
      <c r="H4750" s="17">
        <f>Table1[[#This Row],[Unit price]]*Table1[[#This Row],[Quantity]]</f>
        <v>17.16</v>
      </c>
      <c r="I4750" s="29">
        <f>Table1[[#This Row],[Total Revenue]]/$H$5056*100</f>
        <v>1.8206030195804461E-3</v>
      </c>
      <c r="J4750" s="3" t="s">
        <v>12</v>
      </c>
      <c r="K4750" s="4">
        <v>7.7</v>
      </c>
      <c r="M4750"/>
    </row>
    <row r="4751" spans="1:13" x14ac:dyDescent="0.25">
      <c r="A4751" s="3" t="s">
        <v>227</v>
      </c>
      <c r="B4751" s="3" t="s">
        <v>245</v>
      </c>
      <c r="C4751" s="3" t="s">
        <v>9</v>
      </c>
      <c r="D4751" s="3" t="s">
        <v>10</v>
      </c>
      <c r="E4751" s="5" t="s">
        <v>16</v>
      </c>
      <c r="F4751" s="17">
        <v>69.16</v>
      </c>
      <c r="G4751" s="3">
        <v>5</v>
      </c>
      <c r="H4751" s="17">
        <f>Table1[[#This Row],[Unit price]]*Table1[[#This Row],[Quantity]]</f>
        <v>345.79999999999995</v>
      </c>
      <c r="I4751" s="29">
        <f>Table1[[#This Row],[Total Revenue]]/$H$5056*100</f>
        <v>3.6687909333969593E-2</v>
      </c>
      <c r="J4751" s="3" t="s">
        <v>12</v>
      </c>
      <c r="K4751" s="4">
        <v>7.2</v>
      </c>
      <c r="M4751"/>
    </row>
    <row r="4752" spans="1:13" x14ac:dyDescent="0.25">
      <c r="A4752" s="3" t="s">
        <v>227</v>
      </c>
      <c r="B4752" s="3" t="s">
        <v>244</v>
      </c>
      <c r="C4752" s="3" t="s">
        <v>9</v>
      </c>
      <c r="D4752" s="3" t="s">
        <v>10</v>
      </c>
      <c r="E4752" s="5" t="s">
        <v>18</v>
      </c>
      <c r="F4752" s="17">
        <v>10.19</v>
      </c>
      <c r="G4752" s="3">
        <v>10</v>
      </c>
      <c r="H4752" s="17">
        <f>Table1[[#This Row],[Unit price]]*Table1[[#This Row],[Quantity]]</f>
        <v>101.89999999999999</v>
      </c>
      <c r="I4752" s="29">
        <f>Table1[[#This Row],[Total Revenue]]/$H$5056*100</f>
        <v>1.081115662559717E-2</v>
      </c>
      <c r="J4752" s="3" t="s">
        <v>12</v>
      </c>
      <c r="K4752" s="4">
        <v>5.8</v>
      </c>
      <c r="M4752"/>
    </row>
    <row r="4753" spans="1:13" x14ac:dyDescent="0.25">
      <c r="A4753" s="3" t="s">
        <v>227</v>
      </c>
      <c r="B4753" s="3" t="s">
        <v>243</v>
      </c>
      <c r="C4753" s="3" t="s">
        <v>9</v>
      </c>
      <c r="D4753" s="3" t="s">
        <v>19</v>
      </c>
      <c r="E4753" s="5" t="s">
        <v>11</v>
      </c>
      <c r="F4753" s="17">
        <v>7.44</v>
      </c>
      <c r="G4753" s="3">
        <v>10</v>
      </c>
      <c r="H4753" s="17">
        <f>Table1[[#This Row],[Unit price]]*Table1[[#This Row],[Quantity]]</f>
        <v>74.400000000000006</v>
      </c>
      <c r="I4753" s="29">
        <f>Table1[[#This Row],[Total Revenue]]/$H$5056*100</f>
        <v>7.8935235813977385E-3</v>
      </c>
      <c r="J4753" s="3" t="s">
        <v>15</v>
      </c>
      <c r="K4753" s="4">
        <v>6.6</v>
      </c>
      <c r="M4753"/>
    </row>
    <row r="4754" spans="1:13" x14ac:dyDescent="0.25">
      <c r="A4754" s="3" t="s">
        <v>227</v>
      </c>
      <c r="B4754" s="3" t="s">
        <v>243</v>
      </c>
      <c r="C4754" s="3" t="s">
        <v>9</v>
      </c>
      <c r="D4754" s="3" t="s">
        <v>19</v>
      </c>
      <c r="E4754" s="5" t="s">
        <v>11</v>
      </c>
      <c r="F4754" s="17">
        <v>2.4900000000000002</v>
      </c>
      <c r="G4754" s="3">
        <v>9</v>
      </c>
      <c r="H4754" s="17">
        <f>Table1[[#This Row],[Unit price]]*Table1[[#This Row],[Quantity]]</f>
        <v>22.410000000000004</v>
      </c>
      <c r="I4754" s="29">
        <f>Table1[[#This Row],[Total Revenue]]/$H$5056*100</f>
        <v>2.3776056916548836E-3</v>
      </c>
      <c r="J4754" s="3" t="s">
        <v>17</v>
      </c>
      <c r="K4754" s="4">
        <v>4.4000000000000004</v>
      </c>
      <c r="M4754"/>
    </row>
    <row r="4755" spans="1:13" x14ac:dyDescent="0.25">
      <c r="A4755" s="3" t="s">
        <v>227</v>
      </c>
      <c r="B4755" s="3" t="s">
        <v>244</v>
      </c>
      <c r="C4755" s="3" t="s">
        <v>13</v>
      </c>
      <c r="D4755" s="3" t="s">
        <v>10</v>
      </c>
      <c r="E4755" s="5" t="s">
        <v>11</v>
      </c>
      <c r="F4755" s="17">
        <v>2.93</v>
      </c>
      <c r="G4755" s="3">
        <v>4</v>
      </c>
      <c r="H4755" s="17">
        <f>Table1[[#This Row],[Unit price]]*Table1[[#This Row],[Quantity]]</f>
        <v>11.72</v>
      </c>
      <c r="I4755" s="29">
        <f>Table1[[#This Row],[Total Revenue]]/$H$5056*100</f>
        <v>1.2434421555642674E-3</v>
      </c>
      <c r="J4755" s="3" t="s">
        <v>17</v>
      </c>
      <c r="K4755" s="4">
        <v>7</v>
      </c>
      <c r="M4755"/>
    </row>
    <row r="4756" spans="1:13" x14ac:dyDescent="0.25">
      <c r="A4756" s="3" t="s">
        <v>227</v>
      </c>
      <c r="B4756" s="3" t="s">
        <v>245</v>
      </c>
      <c r="C4756" s="3" t="s">
        <v>9</v>
      </c>
      <c r="D4756" s="3" t="s">
        <v>10</v>
      </c>
      <c r="E4756" s="5" t="s">
        <v>14</v>
      </c>
      <c r="F4756" s="17">
        <v>83.13</v>
      </c>
      <c r="G4756" s="3">
        <v>9</v>
      </c>
      <c r="H4756" s="17">
        <f>Table1[[#This Row],[Unit price]]*Table1[[#This Row],[Quantity]]</f>
        <v>748.17</v>
      </c>
      <c r="I4756" s="29">
        <f>Table1[[#This Row],[Total Revenue]]/$H$5056*100</f>
        <v>7.9377655079225076E-2</v>
      </c>
      <c r="J4756" s="3" t="s">
        <v>12</v>
      </c>
      <c r="K4756" s="4">
        <v>6.1</v>
      </c>
      <c r="M4756"/>
    </row>
    <row r="4757" spans="1:13" x14ac:dyDescent="0.25">
      <c r="A4757" s="3" t="s">
        <v>227</v>
      </c>
      <c r="B4757" s="3" t="s">
        <v>243</v>
      </c>
      <c r="C4757" s="3" t="s">
        <v>9</v>
      </c>
      <c r="D4757" s="3" t="s">
        <v>10</v>
      </c>
      <c r="E4757" s="5" t="s">
        <v>14</v>
      </c>
      <c r="F4757" s="17">
        <v>81.459999999999994</v>
      </c>
      <c r="G4757" s="3">
        <v>1</v>
      </c>
      <c r="H4757" s="17">
        <f>Table1[[#This Row],[Unit price]]*Table1[[#This Row],[Quantity]]</f>
        <v>81.459999999999994</v>
      </c>
      <c r="I4757" s="29">
        <f>Table1[[#This Row],[Total Revenue]]/$H$5056*100</f>
        <v>8.6425595556540273E-3</v>
      </c>
      <c r="J4757" s="3" t="s">
        <v>17</v>
      </c>
      <c r="K4757" s="4">
        <v>4.5</v>
      </c>
      <c r="M4757"/>
    </row>
    <row r="4758" spans="1:13" x14ac:dyDescent="0.25">
      <c r="A4758" s="3" t="s">
        <v>227</v>
      </c>
      <c r="B4758" s="3" t="s">
        <v>243</v>
      </c>
      <c r="C4758" s="3" t="s">
        <v>9</v>
      </c>
      <c r="D4758" s="3" t="s">
        <v>10</v>
      </c>
      <c r="E4758" s="5" t="s">
        <v>14</v>
      </c>
      <c r="F4758" s="17">
        <v>85.67</v>
      </c>
      <c r="G4758" s="3">
        <v>1</v>
      </c>
      <c r="H4758" s="17">
        <f>Table1[[#This Row],[Unit price]]*Table1[[#This Row],[Quantity]]</f>
        <v>85.67</v>
      </c>
      <c r="I4758" s="29">
        <f>Table1[[#This Row],[Total Revenue]]/$H$5056*100</f>
        <v>9.0892226507841966E-3</v>
      </c>
      <c r="J4758" s="3" t="s">
        <v>15</v>
      </c>
      <c r="K4758" s="4">
        <v>9.6999999999999993</v>
      </c>
      <c r="M4758"/>
    </row>
    <row r="4759" spans="1:13" x14ac:dyDescent="0.25">
      <c r="A4759" s="3" t="s">
        <v>227</v>
      </c>
      <c r="B4759" s="3" t="s">
        <v>243</v>
      </c>
      <c r="C4759" s="3" t="s">
        <v>9</v>
      </c>
      <c r="D4759" s="3" t="s">
        <v>10</v>
      </c>
      <c r="E4759" s="5" t="s">
        <v>11</v>
      </c>
      <c r="F4759" s="17">
        <v>8.15</v>
      </c>
      <c r="G4759" s="3">
        <v>7</v>
      </c>
      <c r="H4759" s="17">
        <f>Table1[[#This Row],[Unit price]]*Table1[[#This Row],[Quantity]]</f>
        <v>57.050000000000004</v>
      </c>
      <c r="I4759" s="29">
        <f>Table1[[#This Row],[Total Revenue]]/$H$5056*100</f>
        <v>6.0527623698755509E-3</v>
      </c>
      <c r="J4759" s="3" t="s">
        <v>12</v>
      </c>
      <c r="K4759" s="4">
        <v>9.8000000000000007</v>
      </c>
      <c r="M4759"/>
    </row>
    <row r="4760" spans="1:13" x14ac:dyDescent="0.25">
      <c r="A4760" s="3" t="s">
        <v>227</v>
      </c>
      <c r="B4760" s="3" t="s">
        <v>243</v>
      </c>
      <c r="C4760" s="3" t="s">
        <v>9</v>
      </c>
      <c r="D4760" s="3" t="s">
        <v>10</v>
      </c>
      <c r="E4760" s="5" t="s">
        <v>11</v>
      </c>
      <c r="F4760" s="17">
        <v>7.46</v>
      </c>
      <c r="G4760" s="3">
        <v>9</v>
      </c>
      <c r="H4760" s="17">
        <f>Table1[[#This Row],[Unit price]]*Table1[[#This Row],[Quantity]]</f>
        <v>67.14</v>
      </c>
      <c r="I4760" s="29">
        <f>Table1[[#This Row],[Total Revenue]]/$H$5056*100</f>
        <v>7.1232684577290876E-3</v>
      </c>
      <c r="J4760" s="3" t="s">
        <v>15</v>
      </c>
      <c r="K4760" s="4">
        <v>7.4</v>
      </c>
      <c r="M4760"/>
    </row>
    <row r="4761" spans="1:13" x14ac:dyDescent="0.25">
      <c r="A4761" s="3" t="s">
        <v>227</v>
      </c>
      <c r="B4761" s="3" t="s">
        <v>244</v>
      </c>
      <c r="C4761" s="3" t="s">
        <v>9</v>
      </c>
      <c r="D4761" s="3" t="s">
        <v>10</v>
      </c>
      <c r="E4761" s="5" t="s">
        <v>11</v>
      </c>
      <c r="F4761" s="17">
        <v>7.82</v>
      </c>
      <c r="G4761" s="3">
        <v>4</v>
      </c>
      <c r="H4761" s="17">
        <f>Table1[[#This Row],[Unit price]]*Table1[[#This Row],[Quantity]]</f>
        <v>31.28</v>
      </c>
      <c r="I4761" s="29">
        <f>Table1[[#This Row],[Total Revenue]]/$H$5056*100</f>
        <v>3.3186749680930274E-3</v>
      </c>
      <c r="J4761" s="3" t="s">
        <v>15</v>
      </c>
      <c r="K4761" s="4">
        <v>8.1</v>
      </c>
      <c r="M4761"/>
    </row>
    <row r="4762" spans="1:13" x14ac:dyDescent="0.25">
      <c r="A4762" s="3" t="s">
        <v>228</v>
      </c>
      <c r="B4762" s="3" t="s">
        <v>243</v>
      </c>
      <c r="C4762" s="3" t="s">
        <v>13</v>
      </c>
      <c r="D4762" s="3" t="s">
        <v>10</v>
      </c>
      <c r="E4762" s="5" t="s">
        <v>16</v>
      </c>
      <c r="F4762" s="17">
        <v>74.7</v>
      </c>
      <c r="G4762" s="3">
        <v>4</v>
      </c>
      <c r="H4762" s="17">
        <f>Table1[[#This Row],[Unit price]]*Table1[[#This Row],[Quantity]]</f>
        <v>298.8</v>
      </c>
      <c r="I4762" s="29">
        <f>Table1[[#This Row],[Total Revenue]]/$H$5056*100</f>
        <v>3.1701409222065109E-2</v>
      </c>
      <c r="J4762" s="3" t="s">
        <v>12</v>
      </c>
      <c r="K4762" s="4">
        <v>5.4</v>
      </c>
      <c r="M4762"/>
    </row>
    <row r="4763" spans="1:13" x14ac:dyDescent="0.25">
      <c r="A4763" s="3" t="s">
        <v>228</v>
      </c>
      <c r="B4763" s="3" t="s">
        <v>245</v>
      </c>
      <c r="C4763" s="3" t="s">
        <v>9</v>
      </c>
      <c r="D4763" s="3" t="s">
        <v>19</v>
      </c>
      <c r="E4763" s="5" t="s">
        <v>18</v>
      </c>
      <c r="F4763" s="17">
        <v>16.57</v>
      </c>
      <c r="G4763" s="3">
        <v>7</v>
      </c>
      <c r="H4763" s="17">
        <f>Table1[[#This Row],[Unit price]]*Table1[[#This Row],[Quantity]]</f>
        <v>115.99000000000001</v>
      </c>
      <c r="I4763" s="29">
        <f>Table1[[#This Row],[Total Revenue]]/$H$5056*100</f>
        <v>1.2306045701697898E-2</v>
      </c>
      <c r="J4763" s="3" t="s">
        <v>17</v>
      </c>
      <c r="K4763" s="4">
        <v>8.1999999999999993</v>
      </c>
      <c r="M4763"/>
    </row>
    <row r="4764" spans="1:13" x14ac:dyDescent="0.25">
      <c r="A4764" s="3" t="s">
        <v>228</v>
      </c>
      <c r="B4764" s="3" t="s">
        <v>244</v>
      </c>
      <c r="C4764" s="3" t="s">
        <v>9</v>
      </c>
      <c r="D4764" s="3" t="s">
        <v>19</v>
      </c>
      <c r="E4764" s="5" t="s">
        <v>16</v>
      </c>
      <c r="F4764" s="17">
        <v>52.02</v>
      </c>
      <c r="G4764" s="3">
        <v>10</v>
      </c>
      <c r="H4764" s="17">
        <f>Table1[[#This Row],[Unit price]]*Table1[[#This Row],[Quantity]]</f>
        <v>520.20000000000005</v>
      </c>
      <c r="I4764" s="29">
        <f>Table1[[#This Row],[Total Revenue]]/$H$5056*100</f>
        <v>5.5191007621547099E-2</v>
      </c>
      <c r="J4764" s="3" t="s">
        <v>15</v>
      </c>
      <c r="K4764" s="4">
        <v>6</v>
      </c>
      <c r="M4764"/>
    </row>
    <row r="4765" spans="1:13" x14ac:dyDescent="0.25">
      <c r="A4765" s="3" t="s">
        <v>228</v>
      </c>
      <c r="B4765" s="3" t="s">
        <v>244</v>
      </c>
      <c r="C4765" s="3" t="s">
        <v>9</v>
      </c>
      <c r="D4765" s="3" t="s">
        <v>19</v>
      </c>
      <c r="E4765" s="5" t="s">
        <v>21</v>
      </c>
      <c r="F4765" s="17">
        <v>32.07</v>
      </c>
      <c r="G4765" s="3">
        <v>4</v>
      </c>
      <c r="H4765" s="17">
        <f>Table1[[#This Row],[Unit price]]*Table1[[#This Row],[Quantity]]</f>
        <v>128.28</v>
      </c>
      <c r="I4765" s="29">
        <f>Table1[[#This Row],[Total Revenue]]/$H$5056*100</f>
        <v>1.360996243308739E-2</v>
      </c>
      <c r="J4765" s="3" t="s">
        <v>17</v>
      </c>
      <c r="K4765" s="4">
        <v>4.5</v>
      </c>
      <c r="M4765"/>
    </row>
    <row r="4766" spans="1:13" x14ac:dyDescent="0.25">
      <c r="A4766" s="3" t="s">
        <v>228</v>
      </c>
      <c r="B4766" s="3" t="s">
        <v>244</v>
      </c>
      <c r="C4766" s="3" t="s">
        <v>13</v>
      </c>
      <c r="D4766" s="3" t="s">
        <v>19</v>
      </c>
      <c r="E4766" s="5" t="s">
        <v>16</v>
      </c>
      <c r="F4766" s="17">
        <v>57.02</v>
      </c>
      <c r="G4766" s="3">
        <v>10</v>
      </c>
      <c r="H4766" s="17">
        <f>Table1[[#This Row],[Unit price]]*Table1[[#This Row],[Quantity]]</f>
        <v>570.20000000000005</v>
      </c>
      <c r="I4766" s="29">
        <f>Table1[[#This Row],[Total Revenue]]/$H$5056*100</f>
        <v>6.0495794974636967E-2</v>
      </c>
      <c r="J4766" s="3" t="s">
        <v>12</v>
      </c>
      <c r="K4766" s="4">
        <v>6.9</v>
      </c>
      <c r="M4766"/>
    </row>
    <row r="4767" spans="1:13" x14ac:dyDescent="0.25">
      <c r="A4767" s="3" t="s">
        <v>228</v>
      </c>
      <c r="B4767" s="3" t="s">
        <v>243</v>
      </c>
      <c r="C4767" s="3" t="s">
        <v>13</v>
      </c>
      <c r="D4767" s="3" t="s">
        <v>19</v>
      </c>
      <c r="E4767" s="5" t="s">
        <v>20</v>
      </c>
      <c r="F4767" s="17">
        <v>67.53</v>
      </c>
      <c r="G4767" s="3">
        <v>9</v>
      </c>
      <c r="H4767" s="17">
        <f>Table1[[#This Row],[Unit price]]*Table1[[#This Row],[Quantity]]</f>
        <v>607.77</v>
      </c>
      <c r="I4767" s="29">
        <f>Table1[[#This Row],[Total Revenue]]/$H$5056*100</f>
        <v>6.44818121917487E-2</v>
      </c>
      <c r="J4767" s="3" t="s">
        <v>15</v>
      </c>
      <c r="K4767" s="4">
        <v>5.8</v>
      </c>
      <c r="M4767"/>
    </row>
    <row r="4768" spans="1:13" x14ac:dyDescent="0.25">
      <c r="A4768" s="3" t="s">
        <v>228</v>
      </c>
      <c r="B4768" s="3" t="s">
        <v>245</v>
      </c>
      <c r="C4768" s="3" t="s">
        <v>13</v>
      </c>
      <c r="D4768" s="3" t="s">
        <v>19</v>
      </c>
      <c r="E4768" s="5" t="s">
        <v>18</v>
      </c>
      <c r="F4768" s="17">
        <v>12.01</v>
      </c>
      <c r="G4768" s="3">
        <v>1</v>
      </c>
      <c r="H4768" s="17">
        <f>Table1[[#This Row],[Unit price]]*Table1[[#This Row],[Quantity]]</f>
        <v>12.01</v>
      </c>
      <c r="I4768" s="29">
        <f>Table1[[#This Row],[Total Revenue]]/$H$5056*100</f>
        <v>1.2742099222121887E-3</v>
      </c>
      <c r="J4768" s="3" t="s">
        <v>12</v>
      </c>
      <c r="K4768" s="4">
        <v>9.4</v>
      </c>
      <c r="M4768"/>
    </row>
    <row r="4769" spans="1:13" x14ac:dyDescent="0.25">
      <c r="A4769" s="3" t="s">
        <v>228</v>
      </c>
      <c r="B4769" s="3" t="s">
        <v>245</v>
      </c>
      <c r="C4769" s="3" t="s">
        <v>13</v>
      </c>
      <c r="D4769" s="3" t="s">
        <v>10</v>
      </c>
      <c r="E4769" s="5" t="s">
        <v>21</v>
      </c>
      <c r="F4769" s="17">
        <v>32.25</v>
      </c>
      <c r="G4769" s="3">
        <v>5</v>
      </c>
      <c r="H4769" s="17">
        <f>Table1[[#This Row],[Unit price]]*Table1[[#This Row],[Quantity]]</f>
        <v>161.25</v>
      </c>
      <c r="I4769" s="29">
        <f>Table1[[#This Row],[Total Revenue]]/$H$5056*100</f>
        <v>1.7107939213714854E-2</v>
      </c>
      <c r="J4769" s="3" t="s">
        <v>12</v>
      </c>
      <c r="K4769" s="4">
        <v>4.3</v>
      </c>
      <c r="M4769"/>
    </row>
    <row r="4770" spans="1:13" x14ac:dyDescent="0.25">
      <c r="A4770" s="3" t="s">
        <v>228</v>
      </c>
      <c r="B4770" s="3" t="s">
        <v>244</v>
      </c>
      <c r="C4770" s="3" t="s">
        <v>13</v>
      </c>
      <c r="D4770" s="3" t="s">
        <v>19</v>
      </c>
      <c r="E4770" s="5" t="s">
        <v>11</v>
      </c>
      <c r="F4770" s="17">
        <v>8.86</v>
      </c>
      <c r="G4770" s="3">
        <v>3</v>
      </c>
      <c r="H4770" s="17">
        <f>Table1[[#This Row],[Unit price]]*Table1[[#This Row],[Quantity]]</f>
        <v>26.58</v>
      </c>
      <c r="I4770" s="29">
        <f>Table1[[#This Row],[Total Revenue]]/$H$5056*100</f>
        <v>2.8200249569025788E-3</v>
      </c>
      <c r="J4770" s="3" t="s">
        <v>12</v>
      </c>
      <c r="K4770" s="4">
        <v>9.1999999999999993</v>
      </c>
      <c r="M4770"/>
    </row>
    <row r="4771" spans="1:13" x14ac:dyDescent="0.25">
      <c r="A4771" s="3" t="s">
        <v>228</v>
      </c>
      <c r="B4771" s="3" t="s">
        <v>243</v>
      </c>
      <c r="C4771" s="3" t="s">
        <v>13</v>
      </c>
      <c r="D4771" s="3" t="s">
        <v>19</v>
      </c>
      <c r="E4771" s="5" t="s">
        <v>11</v>
      </c>
      <c r="F4771" s="17">
        <v>3.94</v>
      </c>
      <c r="G4771" s="3">
        <v>4</v>
      </c>
      <c r="H4771" s="17">
        <f>Table1[[#This Row],[Unit price]]*Table1[[#This Row],[Quantity]]</f>
        <v>15.76</v>
      </c>
      <c r="I4771" s="29">
        <f>Table1[[#This Row],[Total Revenue]]/$H$5056*100</f>
        <v>1.6720689736939296E-3</v>
      </c>
      <c r="J4771" s="3" t="s">
        <v>12</v>
      </c>
      <c r="K4771" s="4">
        <v>7.4</v>
      </c>
      <c r="M4771"/>
    </row>
    <row r="4772" spans="1:13" x14ac:dyDescent="0.25">
      <c r="A4772" s="3" t="s">
        <v>228</v>
      </c>
      <c r="B4772" s="3" t="s">
        <v>243</v>
      </c>
      <c r="C4772" s="3" t="s">
        <v>9</v>
      </c>
      <c r="D4772" s="3" t="s">
        <v>19</v>
      </c>
      <c r="E4772" s="5" t="s">
        <v>16</v>
      </c>
      <c r="F4772" s="17">
        <v>51.55</v>
      </c>
      <c r="G4772" s="3">
        <v>7</v>
      </c>
      <c r="H4772" s="17">
        <f>Table1[[#This Row],[Unit price]]*Table1[[#This Row],[Quantity]]</f>
        <v>360.84999999999997</v>
      </c>
      <c r="I4772" s="29">
        <f>Table1[[#This Row],[Total Revenue]]/$H$5056*100</f>
        <v>3.8284650327249641E-2</v>
      </c>
      <c r="J4772" s="3" t="s">
        <v>17</v>
      </c>
      <c r="K4772" s="4">
        <v>7.1</v>
      </c>
      <c r="M4772"/>
    </row>
    <row r="4773" spans="1:13" x14ac:dyDescent="0.25">
      <c r="A4773" s="3" t="s">
        <v>228</v>
      </c>
      <c r="B4773" s="3" t="s">
        <v>244</v>
      </c>
      <c r="C4773" s="3" t="s">
        <v>9</v>
      </c>
      <c r="D4773" s="3" t="s">
        <v>19</v>
      </c>
      <c r="E4773" s="5" t="s">
        <v>14</v>
      </c>
      <c r="F4773" s="17">
        <v>83.88</v>
      </c>
      <c r="G4773" s="3">
        <v>6</v>
      </c>
      <c r="H4773" s="17">
        <f>Table1[[#This Row],[Unit price]]*Table1[[#This Row],[Quantity]]</f>
        <v>503.28</v>
      </c>
      <c r="I4773" s="29">
        <f>Table1[[#This Row],[Total Revenue]]/$H$5056*100</f>
        <v>5.3395867581261469E-2</v>
      </c>
      <c r="J4773" s="3" t="s">
        <v>12</v>
      </c>
      <c r="K4773" s="4">
        <v>9.5</v>
      </c>
      <c r="M4773"/>
    </row>
    <row r="4774" spans="1:13" x14ac:dyDescent="0.25">
      <c r="A4774" s="3" t="s">
        <v>228</v>
      </c>
      <c r="B4774" s="3" t="s">
        <v>244</v>
      </c>
      <c r="C4774" s="3" t="s">
        <v>13</v>
      </c>
      <c r="D4774" s="3" t="s">
        <v>19</v>
      </c>
      <c r="E4774" s="5" t="s">
        <v>14</v>
      </c>
      <c r="F4774" s="17">
        <v>96.47</v>
      </c>
      <c r="G4774" s="3">
        <v>10</v>
      </c>
      <c r="H4774" s="17">
        <f>Table1[[#This Row],[Unit price]]*Table1[[#This Row],[Quantity]]</f>
        <v>964.7</v>
      </c>
      <c r="I4774" s="29">
        <f>Table1[[#This Row],[Total Revenue]]/$H$5056*100</f>
        <v>0.10235056719051612</v>
      </c>
      <c r="J4774" s="3" t="s">
        <v>17</v>
      </c>
      <c r="K4774" s="4">
        <v>4.4000000000000004</v>
      </c>
      <c r="M4774"/>
    </row>
    <row r="4775" spans="1:13" x14ac:dyDescent="0.25">
      <c r="A4775" s="3" t="s">
        <v>228</v>
      </c>
      <c r="B4775" s="3" t="s">
        <v>245</v>
      </c>
      <c r="C4775" s="3" t="s">
        <v>13</v>
      </c>
      <c r="D4775" s="3" t="s">
        <v>10</v>
      </c>
      <c r="E4775" s="5" t="s">
        <v>16</v>
      </c>
      <c r="F4775" s="17">
        <v>61.42</v>
      </c>
      <c r="G4775" s="3">
        <v>9</v>
      </c>
      <c r="H4775" s="17">
        <f>Table1[[#This Row],[Unit price]]*Table1[[#This Row],[Quantity]]</f>
        <v>552.78</v>
      </c>
      <c r="I4775" s="29">
        <f>Table1[[#This Row],[Total Revenue]]/$H$5056*100</f>
        <v>5.8647607060820443E-2</v>
      </c>
      <c r="J4775" s="3" t="s">
        <v>17</v>
      </c>
      <c r="K4775" s="4">
        <v>5.4</v>
      </c>
      <c r="M4775"/>
    </row>
    <row r="4776" spans="1:13" x14ac:dyDescent="0.25">
      <c r="A4776" s="3" t="s">
        <v>228</v>
      </c>
      <c r="B4776" s="3" t="s">
        <v>245</v>
      </c>
      <c r="C4776" s="3" t="s">
        <v>13</v>
      </c>
      <c r="D4776" s="3" t="s">
        <v>10</v>
      </c>
      <c r="E4776" s="5" t="s">
        <v>18</v>
      </c>
      <c r="F4776" s="17">
        <v>3.77</v>
      </c>
      <c r="G4776" s="3">
        <v>8</v>
      </c>
      <c r="H4776" s="17">
        <f>Table1[[#This Row],[Unit price]]*Table1[[#This Row],[Quantity]]</f>
        <v>30.16</v>
      </c>
      <c r="I4776" s="29">
        <f>Table1[[#This Row],[Total Revenue]]/$H$5056*100</f>
        <v>3.1998477313838142E-3</v>
      </c>
      <c r="J4776" s="3" t="s">
        <v>12</v>
      </c>
      <c r="K4776" s="4">
        <v>9.1999999999999993</v>
      </c>
      <c r="M4776"/>
    </row>
    <row r="4777" spans="1:13" x14ac:dyDescent="0.25">
      <c r="A4777" s="3" t="s">
        <v>228</v>
      </c>
      <c r="B4777" s="3" t="s">
        <v>243</v>
      </c>
      <c r="C4777" s="3" t="s">
        <v>9</v>
      </c>
      <c r="D4777" s="3" t="s">
        <v>19</v>
      </c>
      <c r="E4777" s="5" t="s">
        <v>11</v>
      </c>
      <c r="F4777" s="17">
        <v>7.93</v>
      </c>
      <c r="G4777" s="3">
        <v>1</v>
      </c>
      <c r="H4777" s="17">
        <f>Table1[[#This Row],[Unit price]]*Table1[[#This Row],[Quantity]]</f>
        <v>7.93</v>
      </c>
      <c r="I4777" s="29">
        <f>Table1[[#This Row],[Total Revenue]]/$H$5056*100</f>
        <v>8.4133927420005467E-4</v>
      </c>
      <c r="J4777" s="3" t="s">
        <v>12</v>
      </c>
      <c r="K4777" s="4">
        <v>6.8</v>
      </c>
      <c r="M4777"/>
    </row>
    <row r="4778" spans="1:13" x14ac:dyDescent="0.25">
      <c r="A4778" s="3" t="s">
        <v>228</v>
      </c>
      <c r="B4778" s="3" t="s">
        <v>245</v>
      </c>
      <c r="C4778" s="3" t="s">
        <v>13</v>
      </c>
      <c r="D4778" s="3" t="s">
        <v>10</v>
      </c>
      <c r="E4778" s="5" t="s">
        <v>21</v>
      </c>
      <c r="F4778" s="17">
        <v>24.57</v>
      </c>
      <c r="G4778" s="3">
        <v>6</v>
      </c>
      <c r="H4778" s="17">
        <f>Table1[[#This Row],[Unit price]]*Table1[[#This Row],[Quantity]]</f>
        <v>147.42000000000002</v>
      </c>
      <c r="I4778" s="29">
        <f>Table1[[#This Row],[Total Revenue]]/$H$5056*100</f>
        <v>1.56406350318502E-2</v>
      </c>
      <c r="J4778" s="3" t="s">
        <v>15</v>
      </c>
      <c r="K4778" s="4">
        <v>5.6</v>
      </c>
      <c r="M4778"/>
    </row>
    <row r="4779" spans="1:13" x14ac:dyDescent="0.25">
      <c r="A4779" s="3" t="s">
        <v>229</v>
      </c>
      <c r="B4779" s="3" t="s">
        <v>243</v>
      </c>
      <c r="C4779" s="3" t="s">
        <v>13</v>
      </c>
      <c r="D4779" s="3" t="s">
        <v>10</v>
      </c>
      <c r="E4779" s="5" t="s">
        <v>20</v>
      </c>
      <c r="F4779" s="17">
        <v>65.27</v>
      </c>
      <c r="G4779" s="3">
        <v>8</v>
      </c>
      <c r="H4779" s="17">
        <f>Table1[[#This Row],[Unit price]]*Table1[[#This Row],[Quantity]]</f>
        <v>522.16</v>
      </c>
      <c r="I4779" s="29">
        <f>Table1[[#This Row],[Total Revenue]]/$H$5056*100</f>
        <v>5.5398955285788205E-2</v>
      </c>
      <c r="J4779" s="3" t="s">
        <v>17</v>
      </c>
      <c r="K4779" s="4">
        <v>7.4</v>
      </c>
      <c r="M4779"/>
    </row>
    <row r="4780" spans="1:13" x14ac:dyDescent="0.25">
      <c r="A4780" s="3" t="s">
        <v>229</v>
      </c>
      <c r="B4780" s="3" t="s">
        <v>244</v>
      </c>
      <c r="C4780" s="3" t="s">
        <v>9</v>
      </c>
      <c r="D4780" s="3" t="s">
        <v>10</v>
      </c>
      <c r="E4780" s="5" t="s">
        <v>11</v>
      </c>
      <c r="F4780" s="17">
        <v>3.12</v>
      </c>
      <c r="G4780" s="3">
        <v>9</v>
      </c>
      <c r="H4780" s="17">
        <f>Table1[[#This Row],[Unit price]]*Table1[[#This Row],[Quantity]]</f>
        <v>28.080000000000002</v>
      </c>
      <c r="I4780" s="29">
        <f>Table1[[#This Row],[Total Revenue]]/$H$5056*100</f>
        <v>2.9791685774952755E-3</v>
      </c>
      <c r="J4780" s="3" t="s">
        <v>12</v>
      </c>
      <c r="K4780" s="4">
        <v>4.3</v>
      </c>
      <c r="M4780"/>
    </row>
    <row r="4781" spans="1:13" x14ac:dyDescent="0.25">
      <c r="A4781" s="3" t="s">
        <v>229</v>
      </c>
      <c r="B4781" s="3" t="s">
        <v>245</v>
      </c>
      <c r="C4781" s="3" t="s">
        <v>9</v>
      </c>
      <c r="D4781" s="3" t="s">
        <v>19</v>
      </c>
      <c r="E4781" s="5" t="s">
        <v>16</v>
      </c>
      <c r="F4781" s="17">
        <v>75.17</v>
      </c>
      <c r="G4781" s="3">
        <v>2</v>
      </c>
      <c r="H4781" s="17">
        <f>Table1[[#This Row],[Unit price]]*Table1[[#This Row],[Quantity]]</f>
        <v>150.34</v>
      </c>
      <c r="I4781" s="29">
        <f>Table1[[#This Row],[Total Revenue]]/$H$5056*100</f>
        <v>1.5950434613270642E-2</v>
      </c>
      <c r="J4781" s="3" t="s">
        <v>17</v>
      </c>
      <c r="K4781" s="4">
        <v>3.3</v>
      </c>
      <c r="M4781"/>
    </row>
    <row r="4782" spans="1:13" x14ac:dyDescent="0.25">
      <c r="A4782" s="3" t="s">
        <v>229</v>
      </c>
      <c r="B4782" s="3" t="s">
        <v>244</v>
      </c>
      <c r="C4782" s="3" t="s">
        <v>9</v>
      </c>
      <c r="D4782" s="3" t="s">
        <v>19</v>
      </c>
      <c r="E4782" s="5" t="s">
        <v>14</v>
      </c>
      <c r="F4782" s="17">
        <v>90.47</v>
      </c>
      <c r="G4782" s="3">
        <v>1</v>
      </c>
      <c r="H4782" s="17">
        <f>Table1[[#This Row],[Unit price]]*Table1[[#This Row],[Quantity]]</f>
        <v>90.47</v>
      </c>
      <c r="I4782" s="29">
        <f>Table1[[#This Row],[Total Revenue]]/$H$5056*100</f>
        <v>9.5984822366808244E-3</v>
      </c>
      <c r="J4782" s="3" t="s">
        <v>15</v>
      </c>
      <c r="K4782" s="4">
        <v>6.4</v>
      </c>
      <c r="M4782"/>
    </row>
    <row r="4783" spans="1:13" x14ac:dyDescent="0.25">
      <c r="A4783" s="3" t="s">
        <v>229</v>
      </c>
      <c r="B4783" s="3" t="s">
        <v>245</v>
      </c>
      <c r="C4783" s="3" t="s">
        <v>13</v>
      </c>
      <c r="D4783" s="3" t="s">
        <v>10</v>
      </c>
      <c r="E4783" s="5" t="s">
        <v>11</v>
      </c>
      <c r="F4783" s="17">
        <v>2.13</v>
      </c>
      <c r="G4783" s="3">
        <v>9</v>
      </c>
      <c r="H4783" s="17">
        <f>Table1[[#This Row],[Unit price]]*Table1[[#This Row],[Quantity]]</f>
        <v>19.169999999999998</v>
      </c>
      <c r="I4783" s="29">
        <f>Table1[[#This Row],[Total Revenue]]/$H$5056*100</f>
        <v>2.033855471174659E-3</v>
      </c>
      <c r="J4783" s="3" t="s">
        <v>17</v>
      </c>
      <c r="K4783" s="4">
        <v>5.8</v>
      </c>
      <c r="M4783"/>
    </row>
    <row r="4784" spans="1:13" x14ac:dyDescent="0.25">
      <c r="A4784" s="3" t="s">
        <v>229</v>
      </c>
      <c r="B4784" s="3" t="s">
        <v>245</v>
      </c>
      <c r="C4784" s="3" t="s">
        <v>13</v>
      </c>
      <c r="D4784" s="3" t="s">
        <v>10</v>
      </c>
      <c r="E4784" s="5" t="s">
        <v>14</v>
      </c>
      <c r="F4784" s="17">
        <v>70.5</v>
      </c>
      <c r="G4784" s="3">
        <v>7</v>
      </c>
      <c r="H4784" s="17">
        <f>Table1[[#This Row],[Unit price]]*Table1[[#This Row],[Quantity]]</f>
        <v>493.5</v>
      </c>
      <c r="I4784" s="29">
        <f>Table1[[#This Row],[Total Revenue]]/$H$5056*100</f>
        <v>5.2358251174997095E-2</v>
      </c>
      <c r="J4784" s="3" t="s">
        <v>15</v>
      </c>
      <c r="K4784" s="4">
        <v>3.7</v>
      </c>
      <c r="M4784"/>
    </row>
    <row r="4785" spans="1:13" x14ac:dyDescent="0.25">
      <c r="A4785" s="3" t="s">
        <v>229</v>
      </c>
      <c r="B4785" s="3" t="s">
        <v>244</v>
      </c>
      <c r="C4785" s="3" t="s">
        <v>9</v>
      </c>
      <c r="D4785" s="3" t="s">
        <v>19</v>
      </c>
      <c r="E4785" s="5" t="s">
        <v>14</v>
      </c>
      <c r="F4785" s="17">
        <v>87.94</v>
      </c>
      <c r="G4785" s="3">
        <v>5</v>
      </c>
      <c r="H4785" s="17">
        <f>Table1[[#This Row],[Unit price]]*Table1[[#This Row],[Quantity]]</f>
        <v>439.7</v>
      </c>
      <c r="I4785" s="29">
        <f>Table1[[#This Row],[Total Revenue]]/$H$5056*100</f>
        <v>4.6650299983072387E-2</v>
      </c>
      <c r="J4785" s="3" t="s">
        <v>12</v>
      </c>
      <c r="K4785" s="4">
        <v>4.8</v>
      </c>
      <c r="M4785"/>
    </row>
    <row r="4786" spans="1:13" x14ac:dyDescent="0.25">
      <c r="A4786" s="3" t="s">
        <v>229</v>
      </c>
      <c r="B4786" s="3" t="s">
        <v>243</v>
      </c>
      <c r="C4786" s="3" t="s">
        <v>13</v>
      </c>
      <c r="D4786" s="3" t="s">
        <v>10</v>
      </c>
      <c r="E4786" s="5" t="s">
        <v>11</v>
      </c>
      <c r="F4786" s="17">
        <v>6.52</v>
      </c>
      <c r="G4786" s="3">
        <v>4</v>
      </c>
      <c r="H4786" s="17">
        <f>Table1[[#This Row],[Unit price]]*Table1[[#This Row],[Quantity]]</f>
        <v>26.08</v>
      </c>
      <c r="I4786" s="29">
        <f>Table1[[#This Row],[Total Revenue]]/$H$5056*100</f>
        <v>2.7669770833716801E-3</v>
      </c>
      <c r="J4786" s="3" t="s">
        <v>12</v>
      </c>
      <c r="K4786" s="4">
        <v>7.7</v>
      </c>
      <c r="M4786"/>
    </row>
    <row r="4787" spans="1:13" x14ac:dyDescent="0.25">
      <c r="A4787" s="3" t="s">
        <v>229</v>
      </c>
      <c r="B4787" s="3" t="s">
        <v>245</v>
      </c>
      <c r="C4787" s="3" t="s">
        <v>9</v>
      </c>
      <c r="D4787" s="3" t="s">
        <v>19</v>
      </c>
      <c r="E4787" s="5" t="s">
        <v>20</v>
      </c>
      <c r="F4787" s="17">
        <v>58.11</v>
      </c>
      <c r="G4787" s="3">
        <v>7</v>
      </c>
      <c r="H4787" s="17">
        <f>Table1[[#This Row],[Unit price]]*Table1[[#This Row],[Quantity]]</f>
        <v>406.77</v>
      </c>
      <c r="I4787" s="29">
        <f>Table1[[#This Row],[Total Revenue]]/$H$5056*100</f>
        <v>4.3156567032327391E-2</v>
      </c>
      <c r="J4787" s="3" t="s">
        <v>17</v>
      </c>
      <c r="K4787" s="4">
        <v>6.2</v>
      </c>
      <c r="M4787"/>
    </row>
    <row r="4788" spans="1:13" x14ac:dyDescent="0.25">
      <c r="A4788" s="3" t="s">
        <v>229</v>
      </c>
      <c r="B4788" s="3" t="s">
        <v>245</v>
      </c>
      <c r="C4788" s="3" t="s">
        <v>9</v>
      </c>
      <c r="D4788" s="3" t="s">
        <v>19</v>
      </c>
      <c r="E4788" s="5" t="s">
        <v>21</v>
      </c>
      <c r="F4788" s="17">
        <v>35</v>
      </c>
      <c r="G4788" s="3">
        <v>7</v>
      </c>
      <c r="H4788" s="17">
        <f>Table1[[#This Row],[Unit price]]*Table1[[#This Row],[Quantity]]</f>
        <v>245</v>
      </c>
      <c r="I4788" s="29">
        <f>Table1[[#This Row],[Total Revenue]]/$H$5056*100</f>
        <v>2.5993458030140401E-2</v>
      </c>
      <c r="J4788" s="3" t="s">
        <v>17</v>
      </c>
      <c r="K4788" s="4">
        <v>8.3000000000000007</v>
      </c>
      <c r="M4788"/>
    </row>
    <row r="4789" spans="1:13" x14ac:dyDescent="0.25">
      <c r="A4789" s="3" t="s">
        <v>229</v>
      </c>
      <c r="B4789" s="3" t="s">
        <v>244</v>
      </c>
      <c r="C4789" s="3" t="s">
        <v>9</v>
      </c>
      <c r="D4789" s="3" t="s">
        <v>19</v>
      </c>
      <c r="E4789" s="5" t="s">
        <v>11</v>
      </c>
      <c r="F4789" s="17">
        <v>3.69</v>
      </c>
      <c r="G4789" s="3">
        <v>10</v>
      </c>
      <c r="H4789" s="17">
        <f>Table1[[#This Row],[Unit price]]*Table1[[#This Row],[Quantity]]</f>
        <v>36.9</v>
      </c>
      <c r="I4789" s="29">
        <f>Table1[[#This Row],[Total Revenue]]/$H$5056*100</f>
        <v>3.9149330665803296E-3</v>
      </c>
      <c r="J4789" s="3" t="s">
        <v>12</v>
      </c>
      <c r="K4789" s="4">
        <v>4.8</v>
      </c>
      <c r="M4789"/>
    </row>
    <row r="4790" spans="1:13" x14ac:dyDescent="0.25">
      <c r="A4790" s="3" t="s">
        <v>230</v>
      </c>
      <c r="B4790" s="3" t="s">
        <v>245</v>
      </c>
      <c r="C4790" s="3" t="s">
        <v>9</v>
      </c>
      <c r="D4790" s="3" t="s">
        <v>10</v>
      </c>
      <c r="E4790" s="5" t="s">
        <v>16</v>
      </c>
      <c r="F4790" s="17">
        <v>55.38</v>
      </c>
      <c r="G4790" s="3">
        <v>6</v>
      </c>
      <c r="H4790" s="17">
        <f>Table1[[#This Row],[Unit price]]*Table1[[#This Row],[Quantity]]</f>
        <v>332.28000000000003</v>
      </c>
      <c r="I4790" s="29">
        <f>Table1[[#This Row],[Total Revenue]]/$H$5056*100</f>
        <v>3.5253494833694096E-2</v>
      </c>
      <c r="J4790" s="3" t="s">
        <v>15</v>
      </c>
      <c r="K4790" s="4">
        <v>9.5</v>
      </c>
      <c r="M4790"/>
    </row>
    <row r="4791" spans="1:13" x14ac:dyDescent="0.25">
      <c r="A4791" s="3" t="s">
        <v>230</v>
      </c>
      <c r="B4791" s="3" t="s">
        <v>245</v>
      </c>
      <c r="C4791" s="3" t="s">
        <v>9</v>
      </c>
      <c r="D4791" s="3" t="s">
        <v>10</v>
      </c>
      <c r="E4791" s="5" t="s">
        <v>21</v>
      </c>
      <c r="F4791" s="17">
        <v>28.98</v>
      </c>
      <c r="G4791" s="3">
        <v>10</v>
      </c>
      <c r="H4791" s="17">
        <f>Table1[[#This Row],[Unit price]]*Table1[[#This Row],[Quantity]]</f>
        <v>289.8</v>
      </c>
      <c r="I4791" s="29">
        <f>Table1[[#This Row],[Total Revenue]]/$H$5056*100</f>
        <v>3.0746547498508935E-2</v>
      </c>
      <c r="J4791" s="3" t="s">
        <v>15</v>
      </c>
      <c r="K4791" s="4">
        <v>6.9</v>
      </c>
      <c r="M4791"/>
    </row>
    <row r="4792" spans="1:13" x14ac:dyDescent="0.25">
      <c r="A4792" s="3" t="s">
        <v>230</v>
      </c>
      <c r="B4792" s="3" t="s">
        <v>245</v>
      </c>
      <c r="C4792" s="3" t="s">
        <v>13</v>
      </c>
      <c r="D4792" s="3" t="s">
        <v>10</v>
      </c>
      <c r="E4792" s="5" t="s">
        <v>20</v>
      </c>
      <c r="F4792" s="17">
        <v>65.11</v>
      </c>
      <c r="G4792" s="3">
        <v>3</v>
      </c>
      <c r="H4792" s="17">
        <f>Table1[[#This Row],[Unit price]]*Table1[[#This Row],[Quantity]]</f>
        <v>195.32999999999998</v>
      </c>
      <c r="I4792" s="29">
        <f>Table1[[#This Row],[Total Revenue]]/$H$5056*100</f>
        <v>2.0723682273580915E-2</v>
      </c>
      <c r="J4792" s="3" t="s">
        <v>17</v>
      </c>
      <c r="K4792" s="4">
        <v>7.9</v>
      </c>
      <c r="M4792"/>
    </row>
    <row r="4793" spans="1:13" x14ac:dyDescent="0.25">
      <c r="A4793" s="3" t="s">
        <v>230</v>
      </c>
      <c r="B4793" s="3" t="s">
        <v>243</v>
      </c>
      <c r="C4793" s="3" t="s">
        <v>9</v>
      </c>
      <c r="D4793" s="3" t="s">
        <v>19</v>
      </c>
      <c r="E4793" s="5" t="s">
        <v>11</v>
      </c>
      <c r="F4793" s="17">
        <v>5.5</v>
      </c>
      <c r="G4793" s="3">
        <v>2</v>
      </c>
      <c r="H4793" s="17">
        <f>Table1[[#This Row],[Unit price]]*Table1[[#This Row],[Quantity]]</f>
        <v>11</v>
      </c>
      <c r="I4793" s="29">
        <f>Table1[[#This Row],[Total Revenue]]/$H$5056*100</f>
        <v>1.1670532176797732E-3</v>
      </c>
      <c r="J4793" s="3" t="s">
        <v>12</v>
      </c>
      <c r="K4793" s="4">
        <v>7.1</v>
      </c>
      <c r="M4793"/>
    </row>
    <row r="4794" spans="1:13" x14ac:dyDescent="0.25">
      <c r="A4794" s="3" t="s">
        <v>230</v>
      </c>
      <c r="B4794" s="3" t="s">
        <v>245</v>
      </c>
      <c r="C4794" s="3" t="s">
        <v>13</v>
      </c>
      <c r="D4794" s="3" t="s">
        <v>10</v>
      </c>
      <c r="E4794" s="5" t="s">
        <v>21</v>
      </c>
      <c r="F4794" s="17">
        <v>20.89</v>
      </c>
      <c r="G4794" s="3">
        <v>5</v>
      </c>
      <c r="H4794" s="17">
        <f>Table1[[#This Row],[Unit price]]*Table1[[#This Row],[Quantity]]</f>
        <v>104.45</v>
      </c>
      <c r="I4794" s="29">
        <f>Table1[[#This Row],[Total Revenue]]/$H$5056*100</f>
        <v>1.1081700780604754E-2</v>
      </c>
      <c r="J4794" s="3" t="s">
        <v>12</v>
      </c>
      <c r="K4794" s="4">
        <v>6.3</v>
      </c>
      <c r="M4794"/>
    </row>
    <row r="4795" spans="1:13" x14ac:dyDescent="0.25">
      <c r="A4795" s="3" t="s">
        <v>230</v>
      </c>
      <c r="B4795" s="3" t="s">
        <v>243</v>
      </c>
      <c r="C4795" s="3" t="s">
        <v>9</v>
      </c>
      <c r="D4795" s="3" t="s">
        <v>10</v>
      </c>
      <c r="E4795" s="5" t="s">
        <v>11</v>
      </c>
      <c r="F4795" s="17">
        <v>7.44</v>
      </c>
      <c r="G4795" s="3">
        <v>7</v>
      </c>
      <c r="H4795" s="17">
        <f>Table1[[#This Row],[Unit price]]*Table1[[#This Row],[Quantity]]</f>
        <v>52.080000000000005</v>
      </c>
      <c r="I4795" s="29">
        <f>Table1[[#This Row],[Total Revenue]]/$H$5056*100</f>
        <v>5.5254665069784173E-3</v>
      </c>
      <c r="J4795" s="3" t="s">
        <v>15</v>
      </c>
      <c r="K4795" s="4">
        <v>8.3000000000000007</v>
      </c>
      <c r="M4795"/>
    </row>
    <row r="4796" spans="1:13" x14ac:dyDescent="0.25">
      <c r="A4796" s="3" t="s">
        <v>230</v>
      </c>
      <c r="B4796" s="3" t="s">
        <v>244</v>
      </c>
      <c r="C4796" s="3" t="s">
        <v>9</v>
      </c>
      <c r="D4796" s="3" t="s">
        <v>19</v>
      </c>
      <c r="E4796" s="5" t="s">
        <v>11</v>
      </c>
      <c r="F4796" s="17">
        <v>4.1399999999999997</v>
      </c>
      <c r="G4796" s="3">
        <v>7</v>
      </c>
      <c r="H4796" s="17">
        <f>Table1[[#This Row],[Unit price]]*Table1[[#This Row],[Quantity]]</f>
        <v>28.979999999999997</v>
      </c>
      <c r="I4796" s="29">
        <f>Table1[[#This Row],[Total Revenue]]/$H$5056*100</f>
        <v>3.0746547498508923E-3</v>
      </c>
      <c r="J4796" s="3" t="s">
        <v>17</v>
      </c>
      <c r="K4796" s="4">
        <v>8.3000000000000007</v>
      </c>
      <c r="M4796"/>
    </row>
    <row r="4797" spans="1:13" x14ac:dyDescent="0.25">
      <c r="A4797" s="3" t="s">
        <v>230</v>
      </c>
      <c r="B4797" s="3" t="s">
        <v>243</v>
      </c>
      <c r="C4797" s="3" t="s">
        <v>13</v>
      </c>
      <c r="D4797" s="3" t="s">
        <v>10</v>
      </c>
      <c r="E4797" s="5" t="s">
        <v>18</v>
      </c>
      <c r="F4797" s="17">
        <v>3.92</v>
      </c>
      <c r="G4797" s="3">
        <v>1</v>
      </c>
      <c r="H4797" s="17">
        <f>Table1[[#This Row],[Unit price]]*Table1[[#This Row],[Quantity]]</f>
        <v>3.92</v>
      </c>
      <c r="I4797" s="29">
        <f>Table1[[#This Row],[Total Revenue]]/$H$5056*100</f>
        <v>4.158953284822464E-4</v>
      </c>
      <c r="J4797" s="3" t="s">
        <v>12</v>
      </c>
      <c r="K4797" s="4">
        <v>6</v>
      </c>
      <c r="M4797"/>
    </row>
    <row r="4798" spans="1:13" x14ac:dyDescent="0.25">
      <c r="A4798" s="3" t="s">
        <v>230</v>
      </c>
      <c r="B4798" s="3" t="s">
        <v>244</v>
      </c>
      <c r="C4798" s="3" t="s">
        <v>9</v>
      </c>
      <c r="D4798" s="3" t="s">
        <v>19</v>
      </c>
      <c r="E4798" s="5" t="s">
        <v>20</v>
      </c>
      <c r="F4798" s="17">
        <v>53.75</v>
      </c>
      <c r="G4798" s="3">
        <v>8</v>
      </c>
      <c r="H4798" s="17">
        <f>Table1[[#This Row],[Unit price]]*Table1[[#This Row],[Quantity]]</f>
        <v>430</v>
      </c>
      <c r="I4798" s="29">
        <f>Table1[[#This Row],[Total Revenue]]/$H$5056*100</f>
        <v>4.5621171236572951E-2</v>
      </c>
      <c r="J4798" s="3" t="s">
        <v>17</v>
      </c>
      <c r="K4798" s="4">
        <v>6.8</v>
      </c>
      <c r="M4798"/>
    </row>
    <row r="4799" spans="1:13" x14ac:dyDescent="0.25">
      <c r="A4799" s="3" t="s">
        <v>230</v>
      </c>
      <c r="B4799" s="3" t="s">
        <v>244</v>
      </c>
      <c r="C4799" s="3" t="s">
        <v>13</v>
      </c>
      <c r="D4799" s="3" t="s">
        <v>19</v>
      </c>
      <c r="E4799" s="5" t="s">
        <v>11</v>
      </c>
      <c r="F4799" s="17">
        <v>6.43</v>
      </c>
      <c r="G4799" s="3">
        <v>10</v>
      </c>
      <c r="H4799" s="17">
        <f>Table1[[#This Row],[Unit price]]*Table1[[#This Row],[Quantity]]</f>
        <v>64.3</v>
      </c>
      <c r="I4799" s="29">
        <f>Table1[[#This Row],[Total Revenue]]/$H$5056*100</f>
        <v>6.8219565360735828E-3</v>
      </c>
      <c r="J4799" s="3" t="s">
        <v>17</v>
      </c>
      <c r="K4799" s="4">
        <v>8.3000000000000007</v>
      </c>
      <c r="M4799"/>
    </row>
    <row r="4800" spans="1:13" x14ac:dyDescent="0.25">
      <c r="A4800" s="3" t="s">
        <v>230</v>
      </c>
      <c r="B4800" s="3" t="s">
        <v>244</v>
      </c>
      <c r="C4800" s="3" t="s">
        <v>13</v>
      </c>
      <c r="D4800" s="3" t="s">
        <v>10</v>
      </c>
      <c r="E4800" s="5" t="s">
        <v>16</v>
      </c>
      <c r="F4800" s="17">
        <v>61.63</v>
      </c>
      <c r="G4800" s="3">
        <v>2</v>
      </c>
      <c r="H4800" s="17">
        <f>Table1[[#This Row],[Unit price]]*Table1[[#This Row],[Quantity]]</f>
        <v>123.26</v>
      </c>
      <c r="I4800" s="29">
        <f>Table1[[#This Row],[Total Revenue]]/$H$5056*100</f>
        <v>1.3077361782837168E-2</v>
      </c>
      <c r="J4800" s="3" t="s">
        <v>17</v>
      </c>
      <c r="K4800" s="4">
        <v>9.1</v>
      </c>
      <c r="M4800"/>
    </row>
    <row r="4801" spans="1:13" x14ac:dyDescent="0.25">
      <c r="A4801" s="3" t="s">
        <v>231</v>
      </c>
      <c r="B4801" s="3" t="s">
        <v>244</v>
      </c>
      <c r="C4801" s="3" t="s">
        <v>13</v>
      </c>
      <c r="D4801" s="3" t="s">
        <v>19</v>
      </c>
      <c r="E4801" s="5" t="s">
        <v>16</v>
      </c>
      <c r="F4801" s="17">
        <v>55.09</v>
      </c>
      <c r="G4801" s="3">
        <v>5</v>
      </c>
      <c r="H4801" s="17">
        <f>Table1[[#This Row],[Unit price]]*Table1[[#This Row],[Quantity]]</f>
        <v>275.45000000000005</v>
      </c>
      <c r="I4801" s="29">
        <f>Table1[[#This Row],[Total Revenue]]/$H$5056*100</f>
        <v>2.9224073528172141E-2</v>
      </c>
      <c r="J4801" s="3" t="s">
        <v>12</v>
      </c>
      <c r="K4801" s="4">
        <v>4.8</v>
      </c>
      <c r="M4801"/>
    </row>
    <row r="4802" spans="1:13" x14ac:dyDescent="0.25">
      <c r="A4802" s="3" t="s">
        <v>231</v>
      </c>
      <c r="B4802" s="3" t="s">
        <v>244</v>
      </c>
      <c r="C4802" s="3" t="s">
        <v>13</v>
      </c>
      <c r="D4802" s="3" t="s">
        <v>10</v>
      </c>
      <c r="E4802" s="5" t="s">
        <v>18</v>
      </c>
      <c r="F4802" s="17">
        <v>9.58</v>
      </c>
      <c r="G4802" s="3">
        <v>8</v>
      </c>
      <c r="H4802" s="17">
        <f>Table1[[#This Row],[Unit price]]*Table1[[#This Row],[Quantity]]</f>
        <v>76.64</v>
      </c>
      <c r="I4802" s="29">
        <f>Table1[[#This Row],[Total Revenue]]/$H$5056*100</f>
        <v>8.1311780548161648E-3</v>
      </c>
      <c r="J4802" s="3" t="s">
        <v>15</v>
      </c>
      <c r="K4802" s="4">
        <v>5.5</v>
      </c>
      <c r="M4802"/>
    </row>
    <row r="4803" spans="1:13" x14ac:dyDescent="0.25">
      <c r="A4803" s="3" t="s">
        <v>231</v>
      </c>
      <c r="B4803" s="3" t="s">
        <v>245</v>
      </c>
      <c r="C4803" s="3" t="s">
        <v>9</v>
      </c>
      <c r="D4803" s="3" t="s">
        <v>10</v>
      </c>
      <c r="E4803" s="5" t="s">
        <v>16</v>
      </c>
      <c r="F4803" s="17">
        <v>63.74</v>
      </c>
      <c r="G4803" s="3">
        <v>3</v>
      </c>
      <c r="H4803" s="17">
        <f>Table1[[#This Row],[Unit price]]*Table1[[#This Row],[Quantity]]</f>
        <v>191.22</v>
      </c>
      <c r="I4803" s="29">
        <f>Table1[[#This Row],[Total Revenue]]/$H$5056*100</f>
        <v>2.0287628753156928E-2</v>
      </c>
      <c r="J4803" s="3" t="s">
        <v>12</v>
      </c>
      <c r="K4803" s="4">
        <v>3</v>
      </c>
      <c r="M4803"/>
    </row>
    <row r="4804" spans="1:13" x14ac:dyDescent="0.25">
      <c r="A4804" s="3" t="s">
        <v>231</v>
      </c>
      <c r="B4804" s="3" t="s">
        <v>245</v>
      </c>
      <c r="C4804" s="3" t="s">
        <v>13</v>
      </c>
      <c r="D4804" s="3" t="s">
        <v>10</v>
      </c>
      <c r="E4804" s="5" t="s">
        <v>11</v>
      </c>
      <c r="F4804" s="17">
        <v>5.52</v>
      </c>
      <c r="G4804" s="3">
        <v>7</v>
      </c>
      <c r="H4804" s="17">
        <f>Table1[[#This Row],[Unit price]]*Table1[[#This Row],[Quantity]]</f>
        <v>38.64</v>
      </c>
      <c r="I4804" s="29">
        <f>Table1[[#This Row],[Total Revenue]]/$H$5056*100</f>
        <v>4.0995396664678576E-3</v>
      </c>
      <c r="J4804" s="3" t="s">
        <v>17</v>
      </c>
      <c r="K4804" s="4">
        <v>9.6</v>
      </c>
      <c r="M4804"/>
    </row>
    <row r="4805" spans="1:13" x14ac:dyDescent="0.25">
      <c r="A4805" s="3" t="s">
        <v>231</v>
      </c>
      <c r="B4805" s="3" t="s">
        <v>243</v>
      </c>
      <c r="C4805" s="3" t="s">
        <v>13</v>
      </c>
      <c r="D4805" s="3" t="s">
        <v>19</v>
      </c>
      <c r="E4805" s="5" t="s">
        <v>18</v>
      </c>
      <c r="F4805" s="17">
        <v>7.66</v>
      </c>
      <c r="G4805" s="3">
        <v>7</v>
      </c>
      <c r="H4805" s="17">
        <f>Table1[[#This Row],[Unit price]]*Table1[[#This Row],[Quantity]]</f>
        <v>53.620000000000005</v>
      </c>
      <c r="I4805" s="29">
        <f>Table1[[#This Row],[Total Revenue]]/$H$5056*100</f>
        <v>5.688853957453585E-3</v>
      </c>
      <c r="J4805" s="3" t="s">
        <v>12</v>
      </c>
      <c r="K4805" s="4">
        <v>5</v>
      </c>
      <c r="M4805"/>
    </row>
    <row r="4806" spans="1:13" x14ac:dyDescent="0.25">
      <c r="A4806" s="3" t="s">
        <v>231</v>
      </c>
      <c r="B4806" s="3" t="s">
        <v>243</v>
      </c>
      <c r="C4806" s="3" t="s">
        <v>13</v>
      </c>
      <c r="D4806" s="3" t="s">
        <v>19</v>
      </c>
      <c r="E4806" s="5" t="s">
        <v>21</v>
      </c>
      <c r="F4806" s="17">
        <v>31.28</v>
      </c>
      <c r="G4806" s="3">
        <v>7</v>
      </c>
      <c r="H4806" s="17">
        <f>Table1[[#This Row],[Unit price]]*Table1[[#This Row],[Quantity]]</f>
        <v>218.96</v>
      </c>
      <c r="I4806" s="29">
        <f>Table1[[#This Row],[Total Revenue]]/$H$5056*100</f>
        <v>2.3230724776651192E-2</v>
      </c>
      <c r="J4806" s="3" t="s">
        <v>12</v>
      </c>
      <c r="K4806" s="4">
        <v>3.8</v>
      </c>
      <c r="M4806"/>
    </row>
    <row r="4807" spans="1:13" x14ac:dyDescent="0.25">
      <c r="A4807" s="3" t="s">
        <v>231</v>
      </c>
      <c r="B4807" s="3" t="s">
        <v>245</v>
      </c>
      <c r="C4807" s="3" t="s">
        <v>9</v>
      </c>
      <c r="D4807" s="3" t="s">
        <v>19</v>
      </c>
      <c r="E4807" s="5" t="s">
        <v>21</v>
      </c>
      <c r="F4807" s="17">
        <v>48.59</v>
      </c>
      <c r="G4807" s="3">
        <v>8</v>
      </c>
      <c r="H4807" s="17">
        <f>Table1[[#This Row],[Unit price]]*Table1[[#This Row],[Quantity]]</f>
        <v>388.72</v>
      </c>
      <c r="I4807" s="29">
        <f>Table1[[#This Row],[Total Revenue]]/$H$5056*100</f>
        <v>4.1241538797861944E-2</v>
      </c>
      <c r="J4807" s="3" t="s">
        <v>17</v>
      </c>
      <c r="K4807" s="4">
        <v>4.4000000000000004</v>
      </c>
      <c r="M4807"/>
    </row>
    <row r="4808" spans="1:13" x14ac:dyDescent="0.25">
      <c r="A4808" s="3" t="s">
        <v>231</v>
      </c>
      <c r="B4808" s="3" t="s">
        <v>245</v>
      </c>
      <c r="C4808" s="3" t="s">
        <v>13</v>
      </c>
      <c r="D4808" s="3" t="s">
        <v>19</v>
      </c>
      <c r="E4808" s="5" t="s">
        <v>20</v>
      </c>
      <c r="F4808" s="17">
        <v>63.46</v>
      </c>
      <c r="G4808" s="3">
        <v>3</v>
      </c>
      <c r="H4808" s="17">
        <f>Table1[[#This Row],[Unit price]]*Table1[[#This Row],[Quantity]]</f>
        <v>190.38</v>
      </c>
      <c r="I4808" s="29">
        <f>Table1[[#This Row],[Total Revenue]]/$H$5056*100</f>
        <v>2.0198508325625017E-2</v>
      </c>
      <c r="J4808" s="3" t="s">
        <v>17</v>
      </c>
      <c r="K4808" s="4">
        <v>5.0999999999999996</v>
      </c>
      <c r="M4808"/>
    </row>
    <row r="4809" spans="1:13" x14ac:dyDescent="0.25">
      <c r="A4809" s="3" t="s">
        <v>231</v>
      </c>
      <c r="B4809" s="3" t="s">
        <v>244</v>
      </c>
      <c r="C4809" s="3" t="s">
        <v>13</v>
      </c>
      <c r="D4809" s="3" t="s">
        <v>10</v>
      </c>
      <c r="E4809" s="5" t="s">
        <v>11</v>
      </c>
      <c r="F4809" s="17">
        <v>2.59</v>
      </c>
      <c r="G4809" s="3">
        <v>10</v>
      </c>
      <c r="H4809" s="17">
        <f>Table1[[#This Row],[Unit price]]*Table1[[#This Row],[Quantity]]</f>
        <v>25.9</v>
      </c>
      <c r="I4809" s="29">
        <f>Table1[[#This Row],[Total Revenue]]/$H$5056*100</f>
        <v>2.7478798489005566E-3</v>
      </c>
      <c r="J4809" s="3" t="s">
        <v>12</v>
      </c>
      <c r="K4809" s="4">
        <v>7</v>
      </c>
      <c r="M4809"/>
    </row>
    <row r="4810" spans="1:13" x14ac:dyDescent="0.25">
      <c r="A4810" s="3" t="s">
        <v>231</v>
      </c>
      <c r="B4810" s="3" t="s">
        <v>245</v>
      </c>
      <c r="C4810" s="3" t="s">
        <v>9</v>
      </c>
      <c r="D4810" s="3" t="s">
        <v>10</v>
      </c>
      <c r="E4810" s="5" t="s">
        <v>21</v>
      </c>
      <c r="F4810" s="17">
        <v>43.72</v>
      </c>
      <c r="G4810" s="3">
        <v>6</v>
      </c>
      <c r="H4810" s="17">
        <f>Table1[[#This Row],[Unit price]]*Table1[[#This Row],[Quantity]]</f>
        <v>262.32</v>
      </c>
      <c r="I4810" s="29">
        <f>Table1[[#This Row],[Total Revenue]]/$H$5056*100</f>
        <v>2.7831036369250734E-2</v>
      </c>
      <c r="J4810" s="3" t="s">
        <v>17</v>
      </c>
      <c r="K4810" s="4">
        <v>9.1</v>
      </c>
      <c r="M4810"/>
    </row>
    <row r="4811" spans="1:13" x14ac:dyDescent="0.25">
      <c r="A4811" s="3" t="s">
        <v>231</v>
      </c>
      <c r="B4811" s="3" t="s">
        <v>245</v>
      </c>
      <c r="C4811" s="3" t="s">
        <v>9</v>
      </c>
      <c r="D4811" s="3" t="s">
        <v>19</v>
      </c>
      <c r="E4811" s="5" t="s">
        <v>21</v>
      </c>
      <c r="F4811" s="17">
        <v>43.07</v>
      </c>
      <c r="G4811" s="3">
        <v>6</v>
      </c>
      <c r="H4811" s="17">
        <f>Table1[[#This Row],[Unit price]]*Table1[[#This Row],[Quantity]]</f>
        <v>258.42</v>
      </c>
      <c r="I4811" s="29">
        <f>Table1[[#This Row],[Total Revenue]]/$H$5056*100</f>
        <v>2.7417262955709724E-2</v>
      </c>
      <c r="J4811" s="3" t="s">
        <v>15</v>
      </c>
      <c r="K4811" s="4">
        <v>7.4</v>
      </c>
      <c r="M4811"/>
    </row>
    <row r="4812" spans="1:13" x14ac:dyDescent="0.25">
      <c r="A4812" s="3" t="s">
        <v>231</v>
      </c>
      <c r="B4812" s="3" t="s">
        <v>245</v>
      </c>
      <c r="C4812" s="3" t="s">
        <v>13</v>
      </c>
      <c r="D4812" s="3" t="s">
        <v>10</v>
      </c>
      <c r="E4812" s="5" t="s">
        <v>14</v>
      </c>
      <c r="F4812" s="17">
        <v>97.96</v>
      </c>
      <c r="G4812" s="3">
        <v>7</v>
      </c>
      <c r="H4812" s="17">
        <f>Table1[[#This Row],[Unit price]]*Table1[[#This Row],[Quantity]]</f>
        <v>685.71999999999991</v>
      </c>
      <c r="I4812" s="29">
        <f>Table1[[#This Row],[Total Revenue]]/$H$5056*100</f>
        <v>7.275197567521581E-2</v>
      </c>
      <c r="J4812" s="3" t="s">
        <v>15</v>
      </c>
      <c r="K4812" s="4">
        <v>3.1</v>
      </c>
      <c r="M4812"/>
    </row>
    <row r="4813" spans="1:13" x14ac:dyDescent="0.25">
      <c r="A4813" s="3" t="s">
        <v>231</v>
      </c>
      <c r="B4813" s="3" t="s">
        <v>245</v>
      </c>
      <c r="C4813" s="3" t="s">
        <v>13</v>
      </c>
      <c r="D4813" s="3" t="s">
        <v>19</v>
      </c>
      <c r="E4813" s="5" t="s">
        <v>11</v>
      </c>
      <c r="F4813" s="17">
        <v>4.99</v>
      </c>
      <c r="G4813" s="3">
        <v>8</v>
      </c>
      <c r="H4813" s="17">
        <f>Table1[[#This Row],[Unit price]]*Table1[[#This Row],[Quantity]]</f>
        <v>39.92</v>
      </c>
      <c r="I4813" s="29">
        <f>Table1[[#This Row],[Total Revenue]]/$H$5056*100</f>
        <v>4.2353422227069584E-3</v>
      </c>
      <c r="J4813" s="3" t="s">
        <v>17</v>
      </c>
      <c r="K4813" s="4">
        <v>7</v>
      </c>
      <c r="M4813"/>
    </row>
    <row r="4814" spans="1:13" x14ac:dyDescent="0.25">
      <c r="A4814" s="3" t="s">
        <v>232</v>
      </c>
      <c r="B4814" s="3" t="s">
        <v>243</v>
      </c>
      <c r="C4814" s="3" t="s">
        <v>13</v>
      </c>
      <c r="D4814" s="3" t="s">
        <v>19</v>
      </c>
      <c r="E4814" s="5" t="s">
        <v>21</v>
      </c>
      <c r="F4814" s="17">
        <v>23.14</v>
      </c>
      <c r="G4814" s="3">
        <v>7</v>
      </c>
      <c r="H4814" s="17">
        <f>Table1[[#This Row],[Unit price]]*Table1[[#This Row],[Quantity]]</f>
        <v>161.98000000000002</v>
      </c>
      <c r="I4814" s="29">
        <f>Table1[[#This Row],[Total Revenue]]/$H$5056*100</f>
        <v>1.7185389109069971E-2</v>
      </c>
      <c r="J4814" s="3" t="s">
        <v>15</v>
      </c>
      <c r="K4814" s="4">
        <v>3.8</v>
      </c>
      <c r="M4814"/>
    </row>
    <row r="4815" spans="1:13" x14ac:dyDescent="0.25">
      <c r="A4815" s="3" t="s">
        <v>232</v>
      </c>
      <c r="B4815" s="3" t="s">
        <v>244</v>
      </c>
      <c r="C4815" s="3" t="s">
        <v>13</v>
      </c>
      <c r="D4815" s="3" t="s">
        <v>10</v>
      </c>
      <c r="E4815" s="5" t="s">
        <v>16</v>
      </c>
      <c r="F4815" s="17">
        <v>60.29</v>
      </c>
      <c r="G4815" s="3">
        <v>4</v>
      </c>
      <c r="H4815" s="17">
        <f>Table1[[#This Row],[Unit price]]*Table1[[#This Row],[Quantity]]</f>
        <v>241.16</v>
      </c>
      <c r="I4815" s="29">
        <f>Table1[[#This Row],[Total Revenue]]/$H$5056*100</f>
        <v>2.5586050361423099E-2</v>
      </c>
      <c r="J4815" s="3" t="s">
        <v>17</v>
      </c>
      <c r="K4815" s="4">
        <v>6.3</v>
      </c>
      <c r="M4815"/>
    </row>
    <row r="4816" spans="1:13" x14ac:dyDescent="0.25">
      <c r="A4816" s="3" t="s">
        <v>232</v>
      </c>
      <c r="B4816" s="3" t="s">
        <v>243</v>
      </c>
      <c r="C4816" s="3" t="s">
        <v>13</v>
      </c>
      <c r="D4816" s="3" t="s">
        <v>10</v>
      </c>
      <c r="E4816" s="5" t="s">
        <v>11</v>
      </c>
      <c r="F4816" s="17">
        <v>2.54</v>
      </c>
      <c r="G4816" s="3">
        <v>1</v>
      </c>
      <c r="H4816" s="17">
        <f>Table1[[#This Row],[Unit price]]*Table1[[#This Row],[Quantity]]</f>
        <v>2.54</v>
      </c>
      <c r="I4816" s="29">
        <f>Table1[[#This Row],[Total Revenue]]/$H$5056*100</f>
        <v>2.6948319753696578E-4</v>
      </c>
      <c r="J4816" s="3" t="s">
        <v>17</v>
      </c>
      <c r="K4816" s="4">
        <v>3.8</v>
      </c>
      <c r="M4816"/>
    </row>
    <row r="4817" spans="1:13" x14ac:dyDescent="0.25">
      <c r="A4817" s="3" t="s">
        <v>232</v>
      </c>
      <c r="B4817" s="3" t="s">
        <v>245</v>
      </c>
      <c r="C4817" s="3" t="s">
        <v>9</v>
      </c>
      <c r="D4817" s="3" t="s">
        <v>19</v>
      </c>
      <c r="E4817" s="5" t="s">
        <v>16</v>
      </c>
      <c r="F4817" s="17">
        <v>77.900000000000006</v>
      </c>
      <c r="G4817" s="3">
        <v>4</v>
      </c>
      <c r="H4817" s="17">
        <f>Table1[[#This Row],[Unit price]]*Table1[[#This Row],[Quantity]]</f>
        <v>311.60000000000002</v>
      </c>
      <c r="I4817" s="29">
        <f>Table1[[#This Row],[Total Revenue]]/$H$5056*100</f>
        <v>3.3059434784456117E-2</v>
      </c>
      <c r="J4817" s="3" t="s">
        <v>17</v>
      </c>
      <c r="K4817" s="4">
        <v>4.2</v>
      </c>
      <c r="M4817"/>
    </row>
    <row r="4818" spans="1:13" x14ac:dyDescent="0.25">
      <c r="A4818" s="3" t="s">
        <v>232</v>
      </c>
      <c r="B4818" s="3" t="s">
        <v>245</v>
      </c>
      <c r="C4818" s="3" t="s">
        <v>13</v>
      </c>
      <c r="D4818" s="3" t="s">
        <v>10</v>
      </c>
      <c r="E4818" s="5" t="s">
        <v>18</v>
      </c>
      <c r="F4818" s="17">
        <v>6.17</v>
      </c>
      <c r="G4818" s="3">
        <v>7</v>
      </c>
      <c r="H4818" s="17">
        <f>Table1[[#This Row],[Unit price]]*Table1[[#This Row],[Quantity]]</f>
        <v>43.19</v>
      </c>
      <c r="I4818" s="29">
        <f>Table1[[#This Row],[Total Revenue]]/$H$5056*100</f>
        <v>4.5822753155990359E-3</v>
      </c>
      <c r="J4818" s="3" t="s">
        <v>17</v>
      </c>
      <c r="K4818" s="4">
        <v>4.3</v>
      </c>
      <c r="M4818"/>
    </row>
    <row r="4819" spans="1:13" x14ac:dyDescent="0.25">
      <c r="A4819" s="3" t="s">
        <v>232</v>
      </c>
      <c r="B4819" s="3" t="s">
        <v>243</v>
      </c>
      <c r="C4819" s="3" t="s">
        <v>9</v>
      </c>
      <c r="D4819" s="3" t="s">
        <v>10</v>
      </c>
      <c r="E4819" s="5" t="s">
        <v>21</v>
      </c>
      <c r="F4819" s="17">
        <v>42.12</v>
      </c>
      <c r="G4819" s="3">
        <v>4</v>
      </c>
      <c r="H4819" s="17">
        <f>Table1[[#This Row],[Unit price]]*Table1[[#This Row],[Quantity]]</f>
        <v>168.48</v>
      </c>
      <c r="I4819" s="29">
        <f>Table1[[#This Row],[Total Revenue]]/$H$5056*100</f>
        <v>1.7875011464971651E-2</v>
      </c>
      <c r="J4819" s="3" t="s">
        <v>12</v>
      </c>
      <c r="K4819" s="4">
        <v>7</v>
      </c>
      <c r="M4819"/>
    </row>
    <row r="4820" spans="1:13" x14ac:dyDescent="0.25">
      <c r="A4820" s="3" t="s">
        <v>232</v>
      </c>
      <c r="B4820" s="3" t="s">
        <v>245</v>
      </c>
      <c r="C4820" s="3" t="s">
        <v>9</v>
      </c>
      <c r="D4820" s="3" t="s">
        <v>19</v>
      </c>
      <c r="E4820" s="5" t="s">
        <v>11</v>
      </c>
      <c r="F4820" s="17">
        <v>4.2300000000000004</v>
      </c>
      <c r="G4820" s="3">
        <v>2</v>
      </c>
      <c r="H4820" s="17">
        <f>Table1[[#This Row],[Unit price]]*Table1[[#This Row],[Quantity]]</f>
        <v>8.4600000000000009</v>
      </c>
      <c r="I4820" s="29">
        <f>Table1[[#This Row],[Total Revenue]]/$H$5056*100</f>
        <v>8.9757002014280733E-4</v>
      </c>
      <c r="J4820" s="3" t="s">
        <v>17</v>
      </c>
      <c r="K4820" s="4">
        <v>3.7</v>
      </c>
      <c r="M4820"/>
    </row>
    <row r="4821" spans="1:13" x14ac:dyDescent="0.25">
      <c r="A4821" s="3" t="s">
        <v>232</v>
      </c>
      <c r="B4821" s="3" t="s">
        <v>244</v>
      </c>
      <c r="C4821" s="3" t="s">
        <v>13</v>
      </c>
      <c r="D4821" s="3" t="s">
        <v>10</v>
      </c>
      <c r="E4821" s="5" t="s">
        <v>16</v>
      </c>
      <c r="F4821" s="17">
        <v>55.91</v>
      </c>
      <c r="G4821" s="3">
        <v>2</v>
      </c>
      <c r="H4821" s="17">
        <f>Table1[[#This Row],[Unit price]]*Table1[[#This Row],[Quantity]]</f>
        <v>111.82</v>
      </c>
      <c r="I4821" s="29">
        <f>Table1[[#This Row],[Total Revenue]]/$H$5056*100</f>
        <v>1.1863626436450201E-2</v>
      </c>
      <c r="J4821" s="3" t="s">
        <v>12</v>
      </c>
      <c r="K4821" s="4">
        <v>7.6</v>
      </c>
      <c r="M4821"/>
    </row>
    <row r="4822" spans="1:13" x14ac:dyDescent="0.25">
      <c r="A4822" s="3" t="s">
        <v>232</v>
      </c>
      <c r="B4822" s="3" t="s">
        <v>245</v>
      </c>
      <c r="C4822" s="3" t="s">
        <v>13</v>
      </c>
      <c r="D4822" s="3" t="s">
        <v>10</v>
      </c>
      <c r="E4822" s="5" t="s">
        <v>11</v>
      </c>
      <c r="F4822" s="17">
        <v>6.89</v>
      </c>
      <c r="G4822" s="3">
        <v>10</v>
      </c>
      <c r="H4822" s="17">
        <f>Table1[[#This Row],[Unit price]]*Table1[[#This Row],[Quantity]]</f>
        <v>68.899999999999991</v>
      </c>
      <c r="I4822" s="29">
        <f>Table1[[#This Row],[Total Revenue]]/$H$5056*100</f>
        <v>7.3099969725578511E-3</v>
      </c>
      <c r="J4822" s="3" t="s">
        <v>15</v>
      </c>
      <c r="K4822" s="4">
        <v>5.4</v>
      </c>
      <c r="M4822"/>
    </row>
    <row r="4823" spans="1:13" x14ac:dyDescent="0.25">
      <c r="A4823" s="3" t="s">
        <v>232</v>
      </c>
      <c r="B4823" s="3" t="s">
        <v>245</v>
      </c>
      <c r="C4823" s="3" t="s">
        <v>13</v>
      </c>
      <c r="D4823" s="3" t="s">
        <v>19</v>
      </c>
      <c r="E4823" s="5" t="s">
        <v>16</v>
      </c>
      <c r="F4823" s="17">
        <v>77.56</v>
      </c>
      <c r="G4823" s="3">
        <v>10</v>
      </c>
      <c r="H4823" s="17">
        <f>Table1[[#This Row],[Unit price]]*Table1[[#This Row],[Quantity]]</f>
        <v>775.6</v>
      </c>
      <c r="I4823" s="29">
        <f>Table1[[#This Row],[Total Revenue]]/$H$5056*100</f>
        <v>8.2287861421130176E-2</v>
      </c>
      <c r="J4823" s="3" t="s">
        <v>15</v>
      </c>
      <c r="K4823" s="4">
        <v>7.6</v>
      </c>
      <c r="M4823"/>
    </row>
    <row r="4824" spans="1:13" x14ac:dyDescent="0.25">
      <c r="A4824" s="3" t="s">
        <v>232</v>
      </c>
      <c r="B4824" s="3" t="s">
        <v>244</v>
      </c>
      <c r="C4824" s="3" t="s">
        <v>9</v>
      </c>
      <c r="D4824" s="3" t="s">
        <v>10</v>
      </c>
      <c r="E4824" s="5" t="s">
        <v>11</v>
      </c>
      <c r="F4824" s="17">
        <v>3.46</v>
      </c>
      <c r="G4824" s="3">
        <v>3</v>
      </c>
      <c r="H4824" s="17">
        <f>Table1[[#This Row],[Unit price]]*Table1[[#This Row],[Quantity]]</f>
        <v>10.379999999999999</v>
      </c>
      <c r="I4824" s="29">
        <f>Table1[[#This Row],[Total Revenue]]/$H$5056*100</f>
        <v>1.1012738545014584E-3</v>
      </c>
      <c r="J4824" s="3" t="s">
        <v>17</v>
      </c>
      <c r="K4824" s="4">
        <v>5.6</v>
      </c>
      <c r="M4824"/>
    </row>
    <row r="4825" spans="1:13" x14ac:dyDescent="0.25">
      <c r="A4825" s="3" t="s">
        <v>232</v>
      </c>
      <c r="B4825" s="3" t="s">
        <v>245</v>
      </c>
      <c r="C4825" s="3" t="s">
        <v>13</v>
      </c>
      <c r="D4825" s="3" t="s">
        <v>10</v>
      </c>
      <c r="E4825" s="5" t="s">
        <v>21</v>
      </c>
      <c r="F4825" s="17">
        <v>25.57</v>
      </c>
      <c r="G4825" s="3">
        <v>9</v>
      </c>
      <c r="H4825" s="17">
        <f>Table1[[#This Row],[Unit price]]*Table1[[#This Row],[Quantity]]</f>
        <v>230.13</v>
      </c>
      <c r="I4825" s="29">
        <f>Table1[[#This Row],[Total Revenue]]/$H$5056*100</f>
        <v>2.4415814271331472E-2</v>
      </c>
      <c r="J4825" s="3" t="s">
        <v>17</v>
      </c>
      <c r="K4825" s="4">
        <v>9.3000000000000007</v>
      </c>
      <c r="M4825"/>
    </row>
    <row r="4826" spans="1:13" x14ac:dyDescent="0.25">
      <c r="A4826" s="3" t="s">
        <v>232</v>
      </c>
      <c r="B4826" s="3" t="s">
        <v>244</v>
      </c>
      <c r="C4826" s="3" t="s">
        <v>13</v>
      </c>
      <c r="D4826" s="3" t="s">
        <v>19</v>
      </c>
      <c r="E4826" s="5" t="s">
        <v>16</v>
      </c>
      <c r="F4826" s="17">
        <v>58.67</v>
      </c>
      <c r="G4826" s="3">
        <v>3</v>
      </c>
      <c r="H4826" s="17">
        <f>Table1[[#This Row],[Unit price]]*Table1[[#This Row],[Quantity]]</f>
        <v>176.01</v>
      </c>
      <c r="I4826" s="29">
        <f>Table1[[#This Row],[Total Revenue]]/$H$5056*100</f>
        <v>1.8673912440346985E-2</v>
      </c>
      <c r="J4826" s="3" t="s">
        <v>12</v>
      </c>
      <c r="K4826" s="4">
        <v>8.6999999999999993</v>
      </c>
      <c r="M4826"/>
    </row>
    <row r="4827" spans="1:13" x14ac:dyDescent="0.25">
      <c r="A4827" s="3" t="s">
        <v>232</v>
      </c>
      <c r="B4827" s="3" t="s">
        <v>243</v>
      </c>
      <c r="C4827" s="3" t="s">
        <v>13</v>
      </c>
      <c r="D4827" s="3" t="s">
        <v>19</v>
      </c>
      <c r="E4827" s="5" t="s">
        <v>21</v>
      </c>
      <c r="F4827" s="17">
        <v>24.1</v>
      </c>
      <c r="G4827" s="3">
        <v>7</v>
      </c>
      <c r="H4827" s="17">
        <f>Table1[[#This Row],[Unit price]]*Table1[[#This Row],[Quantity]]</f>
        <v>168.70000000000002</v>
      </c>
      <c r="I4827" s="29">
        <f>Table1[[#This Row],[Total Revenue]]/$H$5056*100</f>
        <v>1.789835252932525E-2</v>
      </c>
      <c r="J4827" s="3" t="s">
        <v>17</v>
      </c>
      <c r="K4827" s="4">
        <v>6.4</v>
      </c>
      <c r="M4827"/>
    </row>
    <row r="4828" spans="1:13" x14ac:dyDescent="0.25">
      <c r="A4828" s="3" t="s">
        <v>232</v>
      </c>
      <c r="B4828" s="3" t="s">
        <v>245</v>
      </c>
      <c r="C4828" s="3" t="s">
        <v>13</v>
      </c>
      <c r="D4828" s="3" t="s">
        <v>10</v>
      </c>
      <c r="E4828" s="5" t="s">
        <v>11</v>
      </c>
      <c r="F4828" s="17">
        <v>7.68</v>
      </c>
      <c r="G4828" s="3">
        <v>8</v>
      </c>
      <c r="H4828" s="17">
        <f>Table1[[#This Row],[Unit price]]*Table1[[#This Row],[Quantity]]</f>
        <v>61.44</v>
      </c>
      <c r="I4828" s="29">
        <f>Table1[[#This Row],[Total Revenue]]/$H$5056*100</f>
        <v>6.5185226994768425E-3</v>
      </c>
      <c r="J4828" s="3" t="s">
        <v>12</v>
      </c>
      <c r="K4828" s="4">
        <v>4.0999999999999996</v>
      </c>
      <c r="M4828"/>
    </row>
    <row r="4829" spans="1:13" x14ac:dyDescent="0.25">
      <c r="A4829" s="3" t="s">
        <v>232</v>
      </c>
      <c r="B4829" s="3" t="s">
        <v>244</v>
      </c>
      <c r="C4829" s="3" t="s">
        <v>9</v>
      </c>
      <c r="D4829" s="3" t="s">
        <v>10</v>
      </c>
      <c r="E4829" s="5" t="s">
        <v>21</v>
      </c>
      <c r="F4829" s="17">
        <v>28.25</v>
      </c>
      <c r="G4829" s="3">
        <v>9</v>
      </c>
      <c r="H4829" s="17">
        <f>Table1[[#This Row],[Unit price]]*Table1[[#This Row],[Quantity]]</f>
        <v>254.25</v>
      </c>
      <c r="I4829" s="29">
        <f>Table1[[#This Row],[Total Revenue]]/$H$5056*100</f>
        <v>2.6974843690462026E-2</v>
      </c>
      <c r="J4829" s="3" t="s">
        <v>12</v>
      </c>
      <c r="K4829" s="4">
        <v>4.0999999999999996</v>
      </c>
      <c r="M4829"/>
    </row>
    <row r="4830" spans="1:13" x14ac:dyDescent="0.25">
      <c r="A4830" s="3" t="s">
        <v>232</v>
      </c>
      <c r="B4830" s="3" t="s">
        <v>245</v>
      </c>
      <c r="C4830" s="3" t="s">
        <v>9</v>
      </c>
      <c r="D4830" s="3" t="s">
        <v>10</v>
      </c>
      <c r="E4830" s="5" t="s">
        <v>11</v>
      </c>
      <c r="F4830" s="17">
        <v>6.58</v>
      </c>
      <c r="G4830" s="3">
        <v>5</v>
      </c>
      <c r="H4830" s="17">
        <f>Table1[[#This Row],[Unit price]]*Table1[[#This Row],[Quantity]]</f>
        <v>32.9</v>
      </c>
      <c r="I4830" s="29">
        <f>Table1[[#This Row],[Total Revenue]]/$H$5056*100</f>
        <v>3.4905500783331393E-3</v>
      </c>
      <c r="J4830" s="3" t="s">
        <v>17</v>
      </c>
      <c r="K4830" s="4">
        <v>8.6</v>
      </c>
      <c r="M4830"/>
    </row>
    <row r="4831" spans="1:13" x14ac:dyDescent="0.25">
      <c r="A4831" s="3" t="s">
        <v>232</v>
      </c>
      <c r="B4831" s="3" t="s">
        <v>244</v>
      </c>
      <c r="C4831" s="3" t="s">
        <v>9</v>
      </c>
      <c r="D4831" s="3" t="s">
        <v>10</v>
      </c>
      <c r="E4831" s="5" t="s">
        <v>11</v>
      </c>
      <c r="F4831" s="17">
        <v>9.92</v>
      </c>
      <c r="G4831" s="3">
        <v>2</v>
      </c>
      <c r="H4831" s="17">
        <f>Table1[[#This Row],[Unit price]]*Table1[[#This Row],[Quantity]]</f>
        <v>19.84</v>
      </c>
      <c r="I4831" s="29">
        <f>Table1[[#This Row],[Total Revenue]]/$H$5056*100</f>
        <v>2.1049396217060635E-3</v>
      </c>
      <c r="J4831" s="3" t="s">
        <v>17</v>
      </c>
      <c r="K4831" s="4">
        <v>8.6</v>
      </c>
      <c r="M4831"/>
    </row>
    <row r="4832" spans="1:13" x14ac:dyDescent="0.25">
      <c r="A4832" s="3" t="s">
        <v>233</v>
      </c>
      <c r="B4832" s="3" t="s">
        <v>243</v>
      </c>
      <c r="C4832" s="3" t="s">
        <v>13</v>
      </c>
      <c r="D4832" s="3" t="s">
        <v>19</v>
      </c>
      <c r="E4832" s="5" t="s">
        <v>20</v>
      </c>
      <c r="F4832" s="17">
        <v>55.26</v>
      </c>
      <c r="G4832" s="3">
        <v>2</v>
      </c>
      <c r="H4832" s="17">
        <f>Table1[[#This Row],[Unit price]]*Table1[[#This Row],[Quantity]]</f>
        <v>110.52</v>
      </c>
      <c r="I4832" s="29">
        <f>Table1[[#This Row],[Total Revenue]]/$H$5056*100</f>
        <v>1.1725701965269866E-2</v>
      </c>
      <c r="J4832" s="3" t="s">
        <v>12</v>
      </c>
      <c r="K4832" s="4">
        <v>8.9</v>
      </c>
      <c r="M4832"/>
    </row>
    <row r="4833" spans="1:13" x14ac:dyDescent="0.25">
      <c r="A4833" s="3" t="s">
        <v>233</v>
      </c>
      <c r="B4833" s="3" t="s">
        <v>244</v>
      </c>
      <c r="C4833" s="3" t="s">
        <v>13</v>
      </c>
      <c r="D4833" s="3" t="s">
        <v>19</v>
      </c>
      <c r="E4833" s="5" t="s">
        <v>18</v>
      </c>
      <c r="F4833" s="17">
        <v>17.5</v>
      </c>
      <c r="G4833" s="3">
        <v>10</v>
      </c>
      <c r="H4833" s="17">
        <f>Table1[[#This Row],[Unit price]]*Table1[[#This Row],[Quantity]]</f>
        <v>175</v>
      </c>
      <c r="I4833" s="29">
        <f>Table1[[#This Row],[Total Revenue]]/$H$5056*100</f>
        <v>1.8566755735814573E-2</v>
      </c>
      <c r="J4833" s="3" t="s">
        <v>17</v>
      </c>
      <c r="K4833" s="4">
        <v>5.9</v>
      </c>
      <c r="M4833"/>
    </row>
    <row r="4834" spans="1:13" x14ac:dyDescent="0.25">
      <c r="A4834" s="3" t="s">
        <v>233</v>
      </c>
      <c r="B4834" s="3" t="s">
        <v>244</v>
      </c>
      <c r="C4834" s="3" t="s">
        <v>9</v>
      </c>
      <c r="D4834" s="3" t="s">
        <v>19</v>
      </c>
      <c r="E4834" s="5" t="s">
        <v>21</v>
      </c>
      <c r="F4834" s="17">
        <v>37.1</v>
      </c>
      <c r="G4834" s="3">
        <v>9</v>
      </c>
      <c r="H4834" s="17">
        <f>Table1[[#This Row],[Unit price]]*Table1[[#This Row],[Quantity]]</f>
        <v>333.90000000000003</v>
      </c>
      <c r="I4834" s="29">
        <f>Table1[[#This Row],[Total Revenue]]/$H$5056*100</f>
        <v>3.5425369943934207E-2</v>
      </c>
      <c r="J4834" s="3" t="s">
        <v>12</v>
      </c>
      <c r="K4834" s="4">
        <v>7.1</v>
      </c>
      <c r="M4834"/>
    </row>
    <row r="4835" spans="1:13" x14ac:dyDescent="0.25">
      <c r="A4835" s="3" t="s">
        <v>233</v>
      </c>
      <c r="B4835" s="3" t="s">
        <v>245</v>
      </c>
      <c r="C4835" s="3" t="s">
        <v>13</v>
      </c>
      <c r="D4835" s="3" t="s">
        <v>10</v>
      </c>
      <c r="E4835" s="5" t="s">
        <v>18</v>
      </c>
      <c r="F4835" s="17">
        <v>12.31</v>
      </c>
      <c r="G4835" s="3">
        <v>9</v>
      </c>
      <c r="H4835" s="17">
        <f>Table1[[#This Row],[Unit price]]*Table1[[#This Row],[Quantity]]</f>
        <v>110.79</v>
      </c>
      <c r="I4835" s="29">
        <f>Table1[[#This Row],[Total Revenue]]/$H$5056*100</f>
        <v>1.1754347816976551E-2</v>
      </c>
      <c r="J4835" s="3" t="s">
        <v>17</v>
      </c>
      <c r="K4835" s="4">
        <v>8.5</v>
      </c>
      <c r="M4835"/>
    </row>
    <row r="4836" spans="1:13" x14ac:dyDescent="0.25">
      <c r="A4836" s="3" t="s">
        <v>233</v>
      </c>
      <c r="B4836" s="3" t="s">
        <v>243</v>
      </c>
      <c r="C4836" s="3" t="s">
        <v>13</v>
      </c>
      <c r="D4836" s="3" t="s">
        <v>19</v>
      </c>
      <c r="E4836" s="5" t="s">
        <v>18</v>
      </c>
      <c r="F4836" s="17">
        <v>17.61</v>
      </c>
      <c r="G4836" s="3">
        <v>3</v>
      </c>
      <c r="H4836" s="17">
        <f>Table1[[#This Row],[Unit price]]*Table1[[#This Row],[Quantity]]</f>
        <v>52.83</v>
      </c>
      <c r="I4836" s="29">
        <f>Table1[[#This Row],[Total Revenue]]/$H$5056*100</f>
        <v>5.6050383172747652E-3</v>
      </c>
      <c r="J4836" s="3" t="s">
        <v>17</v>
      </c>
      <c r="K4836" s="4">
        <v>8.9</v>
      </c>
      <c r="M4836"/>
    </row>
    <row r="4837" spans="1:13" x14ac:dyDescent="0.25">
      <c r="A4837" s="3" t="s">
        <v>233</v>
      </c>
      <c r="B4837" s="3" t="s">
        <v>245</v>
      </c>
      <c r="C4837" s="3" t="s">
        <v>9</v>
      </c>
      <c r="D4837" s="3" t="s">
        <v>10</v>
      </c>
      <c r="E4837" s="5" t="s">
        <v>11</v>
      </c>
      <c r="F4837" s="17">
        <v>8.09</v>
      </c>
      <c r="G4837" s="3">
        <v>7</v>
      </c>
      <c r="H4837" s="17">
        <f>Table1[[#This Row],[Unit price]]*Table1[[#This Row],[Quantity]]</f>
        <v>56.629999999999995</v>
      </c>
      <c r="I4837" s="29">
        <f>Table1[[#This Row],[Total Revenue]]/$H$5056*100</f>
        <v>6.0082021561095956E-3</v>
      </c>
      <c r="J4837" s="3" t="s">
        <v>12</v>
      </c>
      <c r="K4837" s="4">
        <v>4</v>
      </c>
      <c r="M4837"/>
    </row>
    <row r="4838" spans="1:13" x14ac:dyDescent="0.25">
      <c r="A4838" s="3" t="s">
        <v>233</v>
      </c>
      <c r="B4838" s="3" t="s">
        <v>245</v>
      </c>
      <c r="C4838" s="3" t="s">
        <v>13</v>
      </c>
      <c r="D4838" s="3" t="s">
        <v>10</v>
      </c>
      <c r="E4838" s="5" t="s">
        <v>21</v>
      </c>
      <c r="F4838" s="17">
        <v>33.56</v>
      </c>
      <c r="G4838" s="3">
        <v>2</v>
      </c>
      <c r="H4838" s="17">
        <f>Table1[[#This Row],[Unit price]]*Table1[[#This Row],[Quantity]]</f>
        <v>67.12</v>
      </c>
      <c r="I4838" s="29">
        <f>Table1[[#This Row],[Total Revenue]]/$H$5056*100</f>
        <v>7.1211465427878521E-3</v>
      </c>
      <c r="J4838" s="3" t="s">
        <v>12</v>
      </c>
      <c r="K4838" s="4">
        <v>6.5</v>
      </c>
      <c r="M4838"/>
    </row>
    <row r="4839" spans="1:13" x14ac:dyDescent="0.25">
      <c r="A4839" s="3" t="s">
        <v>233</v>
      </c>
      <c r="B4839" s="3" t="s">
        <v>243</v>
      </c>
      <c r="C4839" s="3" t="s">
        <v>13</v>
      </c>
      <c r="D4839" s="3" t="s">
        <v>10</v>
      </c>
      <c r="E4839" s="5" t="s">
        <v>11</v>
      </c>
      <c r="F4839" s="17">
        <v>4.62</v>
      </c>
      <c r="G4839" s="3">
        <v>1</v>
      </c>
      <c r="H4839" s="17">
        <f>Table1[[#This Row],[Unit price]]*Table1[[#This Row],[Quantity]]</f>
        <v>4.62</v>
      </c>
      <c r="I4839" s="29">
        <f>Table1[[#This Row],[Total Revenue]]/$H$5056*100</f>
        <v>4.9016235142550473E-4</v>
      </c>
      <c r="J4839" s="3" t="s">
        <v>17</v>
      </c>
      <c r="K4839" s="4">
        <v>3.6</v>
      </c>
      <c r="M4839"/>
    </row>
    <row r="4840" spans="1:13" x14ac:dyDescent="0.25">
      <c r="A4840" s="3" t="s">
        <v>233</v>
      </c>
      <c r="B4840" s="3" t="s">
        <v>245</v>
      </c>
      <c r="C4840" s="3" t="s">
        <v>9</v>
      </c>
      <c r="D4840" s="3" t="s">
        <v>10</v>
      </c>
      <c r="E4840" s="5" t="s">
        <v>16</v>
      </c>
      <c r="F4840" s="17">
        <v>73.87</v>
      </c>
      <c r="G4840" s="3">
        <v>7</v>
      </c>
      <c r="H4840" s="17">
        <f>Table1[[#This Row],[Unit price]]*Table1[[#This Row],[Quantity]]</f>
        <v>517.09</v>
      </c>
      <c r="I4840" s="29">
        <f>Table1[[#This Row],[Total Revenue]]/$H$5056*100</f>
        <v>5.4861049848184906E-2</v>
      </c>
      <c r="J4840" s="3" t="s">
        <v>15</v>
      </c>
      <c r="K4840" s="4">
        <v>9.6</v>
      </c>
      <c r="M4840"/>
    </row>
    <row r="4841" spans="1:13" x14ac:dyDescent="0.25">
      <c r="A4841" s="3" t="s">
        <v>233</v>
      </c>
      <c r="B4841" s="3" t="s">
        <v>243</v>
      </c>
      <c r="C4841" s="3" t="s">
        <v>13</v>
      </c>
      <c r="D4841" s="3" t="s">
        <v>10</v>
      </c>
      <c r="E4841" s="5" t="s">
        <v>16</v>
      </c>
      <c r="F4841" s="17">
        <v>74.849999999999994</v>
      </c>
      <c r="G4841" s="3">
        <v>6</v>
      </c>
      <c r="H4841" s="17">
        <f>Table1[[#This Row],[Unit price]]*Table1[[#This Row],[Quantity]]</f>
        <v>449.09999999999997</v>
      </c>
      <c r="I4841" s="29">
        <f>Table1[[#This Row],[Total Revenue]]/$H$5056*100</f>
        <v>4.7647600005453282E-2</v>
      </c>
      <c r="J4841" s="3" t="s">
        <v>17</v>
      </c>
      <c r="K4841" s="4">
        <v>6.9</v>
      </c>
      <c r="M4841"/>
    </row>
    <row r="4842" spans="1:13" x14ac:dyDescent="0.25">
      <c r="A4842" s="3" t="s">
        <v>233</v>
      </c>
      <c r="B4842" s="3" t="s">
        <v>243</v>
      </c>
      <c r="C4842" s="3" t="s">
        <v>9</v>
      </c>
      <c r="D4842" s="3" t="s">
        <v>10</v>
      </c>
      <c r="E4842" s="5" t="s">
        <v>21</v>
      </c>
      <c r="F4842" s="17">
        <v>21.38</v>
      </c>
      <c r="G4842" s="3">
        <v>8</v>
      </c>
      <c r="H4842" s="17">
        <f>Table1[[#This Row],[Unit price]]*Table1[[#This Row],[Quantity]]</f>
        <v>171.04</v>
      </c>
      <c r="I4842" s="29">
        <f>Table1[[#This Row],[Total Revenue]]/$H$5056*100</f>
        <v>1.8146616577449853E-2</v>
      </c>
      <c r="J4842" s="3" t="s">
        <v>15</v>
      </c>
      <c r="K4842" s="4">
        <v>3.8</v>
      </c>
      <c r="M4842"/>
    </row>
    <row r="4843" spans="1:13" x14ac:dyDescent="0.25">
      <c r="A4843" s="3" t="s">
        <v>233</v>
      </c>
      <c r="B4843" s="3" t="s">
        <v>243</v>
      </c>
      <c r="C4843" s="3" t="s">
        <v>9</v>
      </c>
      <c r="D4843" s="3" t="s">
        <v>10</v>
      </c>
      <c r="E4843" s="5" t="s">
        <v>16</v>
      </c>
      <c r="F4843" s="17">
        <v>79.760000000000005</v>
      </c>
      <c r="G4843" s="3">
        <v>7</v>
      </c>
      <c r="H4843" s="17">
        <f>Table1[[#This Row],[Unit price]]*Table1[[#This Row],[Quantity]]</f>
        <v>558.32000000000005</v>
      </c>
      <c r="I4843" s="29">
        <f>Table1[[#This Row],[Total Revenue]]/$H$5056*100</f>
        <v>5.9235377499542816E-2</v>
      </c>
      <c r="J4843" s="3" t="s">
        <v>15</v>
      </c>
      <c r="K4843" s="4">
        <v>9.8000000000000007</v>
      </c>
      <c r="M4843"/>
    </row>
    <row r="4844" spans="1:13" x14ac:dyDescent="0.25">
      <c r="A4844" s="3" t="s">
        <v>233</v>
      </c>
      <c r="B4844" s="3" t="s">
        <v>245</v>
      </c>
      <c r="C4844" s="3" t="s">
        <v>9</v>
      </c>
      <c r="D4844" s="3" t="s">
        <v>10</v>
      </c>
      <c r="E4844" s="5" t="s">
        <v>16</v>
      </c>
      <c r="F4844" s="17">
        <v>76.23</v>
      </c>
      <c r="G4844" s="3">
        <v>5</v>
      </c>
      <c r="H4844" s="17">
        <f>Table1[[#This Row],[Unit price]]*Table1[[#This Row],[Quantity]]</f>
        <v>381.15000000000003</v>
      </c>
      <c r="I4844" s="29">
        <f>Table1[[#This Row],[Total Revenue]]/$H$5056*100</f>
        <v>4.0438393992604141E-2</v>
      </c>
      <c r="J4844" s="3" t="s">
        <v>15</v>
      </c>
      <c r="K4844" s="4">
        <v>7.5</v>
      </c>
      <c r="M4844"/>
    </row>
    <row r="4845" spans="1:13" x14ac:dyDescent="0.25">
      <c r="A4845" s="3" t="s">
        <v>233</v>
      </c>
      <c r="B4845" s="3" t="s">
        <v>243</v>
      </c>
      <c r="C4845" s="3" t="s">
        <v>9</v>
      </c>
      <c r="D4845" s="3" t="s">
        <v>19</v>
      </c>
      <c r="E4845" s="5" t="s">
        <v>11</v>
      </c>
      <c r="F4845" s="17">
        <v>5.17</v>
      </c>
      <c r="G4845" s="3">
        <v>5</v>
      </c>
      <c r="H4845" s="17">
        <f>Table1[[#This Row],[Unit price]]*Table1[[#This Row],[Quantity]]</f>
        <v>25.85</v>
      </c>
      <c r="I4845" s="29">
        <f>Table1[[#This Row],[Total Revenue]]/$H$5056*100</f>
        <v>2.7425750615474669E-3</v>
      </c>
      <c r="J4845" s="3" t="s">
        <v>17</v>
      </c>
      <c r="K4845" s="4">
        <v>7.8</v>
      </c>
      <c r="M4845"/>
    </row>
    <row r="4846" spans="1:13" x14ac:dyDescent="0.25">
      <c r="A4846" s="3" t="s">
        <v>233</v>
      </c>
      <c r="B4846" s="3" t="s">
        <v>245</v>
      </c>
      <c r="C4846" s="3" t="s">
        <v>9</v>
      </c>
      <c r="D4846" s="3" t="s">
        <v>19</v>
      </c>
      <c r="E4846" s="5" t="s">
        <v>11</v>
      </c>
      <c r="F4846" s="17">
        <v>2.0099999999999998</v>
      </c>
      <c r="G4846" s="3">
        <v>8</v>
      </c>
      <c r="H4846" s="17">
        <f>Table1[[#This Row],[Unit price]]*Table1[[#This Row],[Quantity]]</f>
        <v>16.079999999999998</v>
      </c>
      <c r="I4846" s="29">
        <f>Table1[[#This Row],[Total Revenue]]/$H$5056*100</f>
        <v>1.7060196127537046E-3</v>
      </c>
      <c r="J4846" s="3" t="s">
        <v>15</v>
      </c>
      <c r="K4846" s="4">
        <v>3.9</v>
      </c>
      <c r="M4846"/>
    </row>
    <row r="4847" spans="1:13" x14ac:dyDescent="0.25">
      <c r="A4847" s="3" t="s">
        <v>233</v>
      </c>
      <c r="B4847" s="3" t="s">
        <v>245</v>
      </c>
      <c r="C4847" s="3" t="s">
        <v>9</v>
      </c>
      <c r="D4847" s="3" t="s">
        <v>10</v>
      </c>
      <c r="E4847" s="5" t="s">
        <v>11</v>
      </c>
      <c r="F4847" s="17">
        <v>2.06</v>
      </c>
      <c r="G4847" s="3">
        <v>6</v>
      </c>
      <c r="H4847" s="17">
        <f>Table1[[#This Row],[Unit price]]*Table1[[#This Row],[Quantity]]</f>
        <v>12.36</v>
      </c>
      <c r="I4847" s="29">
        <f>Table1[[#This Row],[Total Revenue]]/$H$5056*100</f>
        <v>1.3113434336838178E-3</v>
      </c>
      <c r="J4847" s="3" t="s">
        <v>15</v>
      </c>
      <c r="K4847" s="4">
        <v>9.6999999999999993</v>
      </c>
      <c r="M4847"/>
    </row>
    <row r="4848" spans="1:13" x14ac:dyDescent="0.25">
      <c r="A4848" s="3" t="s">
        <v>233</v>
      </c>
      <c r="B4848" s="3" t="s">
        <v>244</v>
      </c>
      <c r="C4848" s="3" t="s">
        <v>9</v>
      </c>
      <c r="D4848" s="3" t="s">
        <v>10</v>
      </c>
      <c r="E4848" s="5" t="s">
        <v>11</v>
      </c>
      <c r="F4848" s="17">
        <v>3.83</v>
      </c>
      <c r="G4848" s="3">
        <v>2</v>
      </c>
      <c r="H4848" s="17">
        <f>Table1[[#This Row],[Unit price]]*Table1[[#This Row],[Quantity]]</f>
        <v>7.66</v>
      </c>
      <c r="I4848" s="29">
        <f>Table1[[#This Row],[Total Revenue]]/$H$5056*100</f>
        <v>8.1269342249336936E-4</v>
      </c>
      <c r="J4848" s="3" t="s">
        <v>17</v>
      </c>
      <c r="K4848" s="4">
        <v>8.5</v>
      </c>
      <c r="M4848"/>
    </row>
    <row r="4849" spans="1:13" x14ac:dyDescent="0.25">
      <c r="A4849" s="3" t="s">
        <v>233</v>
      </c>
      <c r="B4849" s="3" t="s">
        <v>243</v>
      </c>
      <c r="C4849" s="3" t="s">
        <v>9</v>
      </c>
      <c r="D4849" s="3" t="s">
        <v>10</v>
      </c>
      <c r="E4849" s="5" t="s">
        <v>18</v>
      </c>
      <c r="F4849" s="17">
        <v>8.89</v>
      </c>
      <c r="G4849" s="3">
        <v>3</v>
      </c>
      <c r="H4849" s="17">
        <f>Table1[[#This Row],[Unit price]]*Table1[[#This Row],[Quantity]]</f>
        <v>26.67</v>
      </c>
      <c r="I4849" s="29">
        <f>Table1[[#This Row],[Total Revenue]]/$H$5056*100</f>
        <v>2.8295735741381408E-3</v>
      </c>
      <c r="J4849" s="3" t="s">
        <v>17</v>
      </c>
      <c r="K4849" s="4">
        <v>9.8000000000000007</v>
      </c>
      <c r="M4849"/>
    </row>
    <row r="4850" spans="1:13" x14ac:dyDescent="0.25">
      <c r="A4850" s="3" t="s">
        <v>233</v>
      </c>
      <c r="B4850" s="3" t="s">
        <v>245</v>
      </c>
      <c r="C4850" s="3" t="s">
        <v>9</v>
      </c>
      <c r="D4850" s="3" t="s">
        <v>19</v>
      </c>
      <c r="E4850" s="5" t="s">
        <v>18</v>
      </c>
      <c r="F4850" s="17">
        <v>9.92</v>
      </c>
      <c r="G4850" s="3">
        <v>4</v>
      </c>
      <c r="H4850" s="17">
        <f>Table1[[#This Row],[Unit price]]*Table1[[#This Row],[Quantity]]</f>
        <v>39.68</v>
      </c>
      <c r="I4850" s="29">
        <f>Table1[[#This Row],[Total Revenue]]/$H$5056*100</f>
        <v>4.209879243412127E-3</v>
      </c>
      <c r="J4850" s="3" t="s">
        <v>17</v>
      </c>
      <c r="K4850" s="4">
        <v>8.1</v>
      </c>
      <c r="M4850"/>
    </row>
    <row r="4851" spans="1:13" x14ac:dyDescent="0.25">
      <c r="A4851" s="3" t="s">
        <v>233</v>
      </c>
      <c r="B4851" s="3" t="s">
        <v>245</v>
      </c>
      <c r="C4851" s="3" t="s">
        <v>9</v>
      </c>
      <c r="D4851" s="3" t="s">
        <v>10</v>
      </c>
      <c r="E4851" s="5" t="s">
        <v>16</v>
      </c>
      <c r="F4851" s="17">
        <v>52.6</v>
      </c>
      <c r="G4851" s="3">
        <v>2</v>
      </c>
      <c r="H4851" s="17">
        <f>Table1[[#This Row],[Unit price]]*Table1[[#This Row],[Quantity]]</f>
        <v>105.2</v>
      </c>
      <c r="I4851" s="29">
        <f>Table1[[#This Row],[Total Revenue]]/$H$5056*100</f>
        <v>1.1161272590901102E-2</v>
      </c>
      <c r="J4851" s="3" t="s">
        <v>15</v>
      </c>
      <c r="K4851" s="4">
        <v>8.1</v>
      </c>
      <c r="M4851"/>
    </row>
    <row r="4852" spans="1:13" x14ac:dyDescent="0.25">
      <c r="A4852" s="3" t="s">
        <v>234</v>
      </c>
      <c r="B4852" s="3" t="s">
        <v>243</v>
      </c>
      <c r="C4852" s="3" t="s">
        <v>13</v>
      </c>
      <c r="D4852" s="3" t="s">
        <v>10</v>
      </c>
      <c r="E4852" s="5" t="s">
        <v>21</v>
      </c>
      <c r="F4852" s="17">
        <v>29.44</v>
      </c>
      <c r="G4852" s="3">
        <v>3</v>
      </c>
      <c r="H4852" s="17">
        <f>Table1[[#This Row],[Unit price]]*Table1[[#This Row],[Quantity]]</f>
        <v>88.320000000000007</v>
      </c>
      <c r="I4852" s="29">
        <f>Table1[[#This Row],[Total Revenue]]/$H$5056*100</f>
        <v>9.370376380497961E-3</v>
      </c>
      <c r="J4852" s="3" t="s">
        <v>15</v>
      </c>
      <c r="K4852" s="4">
        <v>4.9000000000000004</v>
      </c>
      <c r="M4852"/>
    </row>
    <row r="4853" spans="1:13" x14ac:dyDescent="0.25">
      <c r="A4853" s="3" t="s">
        <v>234</v>
      </c>
      <c r="B4853" s="3" t="s">
        <v>245</v>
      </c>
      <c r="C4853" s="3" t="s">
        <v>9</v>
      </c>
      <c r="D4853" s="3" t="s">
        <v>10</v>
      </c>
      <c r="E4853" s="5" t="s">
        <v>14</v>
      </c>
      <c r="F4853" s="17">
        <v>94.55</v>
      </c>
      <c r="G4853" s="3">
        <v>5</v>
      </c>
      <c r="H4853" s="17">
        <f>Table1[[#This Row],[Unit price]]*Table1[[#This Row],[Quantity]]</f>
        <v>472.75</v>
      </c>
      <c r="I4853" s="29">
        <f>Table1[[#This Row],[Total Revenue]]/$H$5056*100</f>
        <v>5.0156764423464791E-2</v>
      </c>
      <c r="J4853" s="3" t="s">
        <v>15</v>
      </c>
      <c r="K4853" s="4">
        <v>6.5</v>
      </c>
      <c r="M4853"/>
    </row>
    <row r="4854" spans="1:13" x14ac:dyDescent="0.25">
      <c r="A4854" s="3" t="s">
        <v>234</v>
      </c>
      <c r="B4854" s="3" t="s">
        <v>245</v>
      </c>
      <c r="C4854" s="3" t="s">
        <v>13</v>
      </c>
      <c r="D4854" s="3" t="s">
        <v>10</v>
      </c>
      <c r="E4854" s="5" t="s">
        <v>21</v>
      </c>
      <c r="F4854" s="17">
        <v>39.39</v>
      </c>
      <c r="G4854" s="3">
        <v>4</v>
      </c>
      <c r="H4854" s="17">
        <f>Table1[[#This Row],[Unit price]]*Table1[[#This Row],[Quantity]]</f>
        <v>157.56</v>
      </c>
      <c r="I4854" s="29">
        <f>Table1[[#This Row],[Total Revenue]]/$H$5056*100</f>
        <v>1.6716445907056822E-2</v>
      </c>
      <c r="J4854" s="3" t="s">
        <v>12</v>
      </c>
      <c r="K4854" s="4">
        <v>5.6</v>
      </c>
      <c r="M4854"/>
    </row>
    <row r="4855" spans="1:13" x14ac:dyDescent="0.25">
      <c r="A4855" s="3" t="s">
        <v>234</v>
      </c>
      <c r="B4855" s="3" t="s">
        <v>245</v>
      </c>
      <c r="C4855" s="3" t="s">
        <v>9</v>
      </c>
      <c r="D4855" s="3" t="s">
        <v>19</v>
      </c>
      <c r="E4855" s="5" t="s">
        <v>11</v>
      </c>
      <c r="F4855" s="17">
        <v>9.9</v>
      </c>
      <c r="G4855" s="3">
        <v>6</v>
      </c>
      <c r="H4855" s="17">
        <f>Table1[[#This Row],[Unit price]]*Table1[[#This Row],[Quantity]]</f>
        <v>59.400000000000006</v>
      </c>
      <c r="I4855" s="29">
        <f>Table1[[#This Row],[Total Revenue]]/$H$5056*100</f>
        <v>6.3020873754707748E-3</v>
      </c>
      <c r="J4855" s="3" t="s">
        <v>15</v>
      </c>
      <c r="K4855" s="4">
        <v>5.6</v>
      </c>
      <c r="M4855"/>
    </row>
    <row r="4856" spans="1:13" x14ac:dyDescent="0.25">
      <c r="A4856" s="3" t="s">
        <v>234</v>
      </c>
      <c r="B4856" s="3" t="s">
        <v>243</v>
      </c>
      <c r="C4856" s="3" t="s">
        <v>9</v>
      </c>
      <c r="D4856" s="3" t="s">
        <v>10</v>
      </c>
      <c r="E4856" s="5" t="s">
        <v>16</v>
      </c>
      <c r="F4856" s="17">
        <v>72.88</v>
      </c>
      <c r="G4856" s="3">
        <v>2</v>
      </c>
      <c r="H4856" s="17">
        <f>Table1[[#This Row],[Unit price]]*Table1[[#This Row],[Quantity]]</f>
        <v>145.76</v>
      </c>
      <c r="I4856" s="29">
        <f>Table1[[#This Row],[Total Revenue]]/$H$5056*100</f>
        <v>1.5464516091727611E-2</v>
      </c>
      <c r="J4856" s="3" t="s">
        <v>15</v>
      </c>
      <c r="K4856" s="4">
        <v>7</v>
      </c>
      <c r="M4856"/>
    </row>
    <row r="4857" spans="1:13" x14ac:dyDescent="0.25">
      <c r="A4857" s="3" t="s">
        <v>234</v>
      </c>
      <c r="B4857" s="3" t="s">
        <v>244</v>
      </c>
      <c r="C4857" s="3" t="s">
        <v>9</v>
      </c>
      <c r="D4857" s="3" t="s">
        <v>19</v>
      </c>
      <c r="E4857" s="5" t="s">
        <v>14</v>
      </c>
      <c r="F4857" s="17">
        <v>97.46</v>
      </c>
      <c r="G4857" s="3">
        <v>7</v>
      </c>
      <c r="H4857" s="17">
        <f>Table1[[#This Row],[Unit price]]*Table1[[#This Row],[Quantity]]</f>
        <v>682.21999999999991</v>
      </c>
      <c r="I4857" s="29">
        <f>Table1[[#This Row],[Total Revenue]]/$H$5056*100</f>
        <v>7.2380640560499518E-2</v>
      </c>
      <c r="J4857" s="3" t="s">
        <v>17</v>
      </c>
      <c r="K4857" s="4">
        <v>4.9000000000000004</v>
      </c>
      <c r="M4857"/>
    </row>
    <row r="4858" spans="1:13" x14ac:dyDescent="0.25">
      <c r="A4858" s="3" t="s">
        <v>234</v>
      </c>
      <c r="B4858" s="3" t="s">
        <v>243</v>
      </c>
      <c r="C4858" s="3" t="s">
        <v>13</v>
      </c>
      <c r="D4858" s="3" t="s">
        <v>10</v>
      </c>
      <c r="E4858" s="5" t="s">
        <v>20</v>
      </c>
      <c r="F4858" s="17">
        <v>51.65</v>
      </c>
      <c r="G4858" s="3">
        <v>9</v>
      </c>
      <c r="H4858" s="17">
        <f>Table1[[#This Row],[Unit price]]*Table1[[#This Row],[Quantity]]</f>
        <v>464.84999999999997</v>
      </c>
      <c r="I4858" s="29">
        <f>Table1[[#This Row],[Total Revenue]]/$H$5056*100</f>
        <v>4.9318608021676591E-2</v>
      </c>
      <c r="J4858" s="3" t="s">
        <v>17</v>
      </c>
      <c r="K4858" s="4">
        <v>7.2</v>
      </c>
      <c r="M4858"/>
    </row>
    <row r="4859" spans="1:13" x14ac:dyDescent="0.25">
      <c r="A4859" s="3" t="s">
        <v>234</v>
      </c>
      <c r="B4859" s="3" t="s">
        <v>243</v>
      </c>
      <c r="C4859" s="3" t="s">
        <v>9</v>
      </c>
      <c r="D4859" s="3" t="s">
        <v>19</v>
      </c>
      <c r="E4859" s="5" t="s">
        <v>11</v>
      </c>
      <c r="F4859" s="17">
        <v>9.7899999999999991</v>
      </c>
      <c r="G4859" s="3">
        <v>3</v>
      </c>
      <c r="H4859" s="17">
        <f>Table1[[#This Row],[Unit price]]*Table1[[#This Row],[Quantity]]</f>
        <v>29.369999999999997</v>
      </c>
      <c r="I4859" s="29">
        <f>Table1[[#This Row],[Total Revenue]]/$H$5056*100</f>
        <v>3.1160320912049936E-3</v>
      </c>
      <c r="J4859" s="3" t="s">
        <v>17</v>
      </c>
      <c r="K4859" s="4">
        <v>5.2</v>
      </c>
      <c r="M4859"/>
    </row>
    <row r="4860" spans="1:13" x14ac:dyDescent="0.25">
      <c r="A4860" s="3" t="s">
        <v>234</v>
      </c>
      <c r="B4860" s="3" t="s">
        <v>245</v>
      </c>
      <c r="C4860" s="3" t="s">
        <v>13</v>
      </c>
      <c r="D4860" s="3" t="s">
        <v>19</v>
      </c>
      <c r="E4860" s="5" t="s">
        <v>21</v>
      </c>
      <c r="F4860" s="17">
        <v>40.96</v>
      </c>
      <c r="G4860" s="3">
        <v>4</v>
      </c>
      <c r="H4860" s="17">
        <f>Table1[[#This Row],[Unit price]]*Table1[[#This Row],[Quantity]]</f>
        <v>163.84</v>
      </c>
      <c r="I4860" s="29">
        <f>Table1[[#This Row],[Total Revenue]]/$H$5056*100</f>
        <v>1.7382727198604911E-2</v>
      </c>
      <c r="J4860" s="3" t="s">
        <v>15</v>
      </c>
      <c r="K4860" s="4">
        <v>4.7</v>
      </c>
      <c r="M4860"/>
    </row>
    <row r="4861" spans="1:13" x14ac:dyDescent="0.25">
      <c r="A4861" s="3" t="s">
        <v>234</v>
      </c>
      <c r="B4861" s="3" t="s">
        <v>244</v>
      </c>
      <c r="C4861" s="3" t="s">
        <v>9</v>
      </c>
      <c r="D4861" s="3" t="s">
        <v>10</v>
      </c>
      <c r="E4861" s="5" t="s">
        <v>16</v>
      </c>
      <c r="F4861" s="17">
        <v>59.28</v>
      </c>
      <c r="G4861" s="3">
        <v>3</v>
      </c>
      <c r="H4861" s="17">
        <f>Table1[[#This Row],[Unit price]]*Table1[[#This Row],[Quantity]]</f>
        <v>177.84</v>
      </c>
      <c r="I4861" s="29">
        <f>Table1[[#This Row],[Total Revenue]]/$H$5056*100</f>
        <v>1.8868067657470077E-2</v>
      </c>
      <c r="J4861" s="3" t="s">
        <v>15</v>
      </c>
      <c r="K4861" s="4">
        <v>3.1</v>
      </c>
      <c r="M4861"/>
    </row>
    <row r="4862" spans="1:13" x14ac:dyDescent="0.25">
      <c r="A4862" s="3" t="s">
        <v>234</v>
      </c>
      <c r="B4862" s="3" t="s">
        <v>244</v>
      </c>
      <c r="C4862" s="3" t="s">
        <v>13</v>
      </c>
      <c r="D4862" s="3" t="s">
        <v>19</v>
      </c>
      <c r="E4862" s="5" t="s">
        <v>18</v>
      </c>
      <c r="F4862" s="17">
        <v>19.149999999999999</v>
      </c>
      <c r="G4862" s="3">
        <v>9</v>
      </c>
      <c r="H4862" s="17">
        <f>Table1[[#This Row],[Unit price]]*Table1[[#This Row],[Quantity]]</f>
        <v>172.35</v>
      </c>
      <c r="I4862" s="29">
        <f>Table1[[#This Row],[Total Revenue]]/$H$5056*100</f>
        <v>1.8285602006100805E-2</v>
      </c>
      <c r="J4862" s="3" t="s">
        <v>17</v>
      </c>
      <c r="K4862" s="4">
        <v>8.3000000000000007</v>
      </c>
      <c r="M4862"/>
    </row>
    <row r="4863" spans="1:13" x14ac:dyDescent="0.25">
      <c r="A4863" s="3" t="s">
        <v>234</v>
      </c>
      <c r="B4863" s="3" t="s">
        <v>244</v>
      </c>
      <c r="C4863" s="3" t="s">
        <v>9</v>
      </c>
      <c r="D4863" s="3" t="s">
        <v>10</v>
      </c>
      <c r="E4863" s="5" t="s">
        <v>20</v>
      </c>
      <c r="F4863" s="17">
        <v>65</v>
      </c>
      <c r="G4863" s="3">
        <v>5</v>
      </c>
      <c r="H4863" s="17">
        <f>Table1[[#This Row],[Unit price]]*Table1[[#This Row],[Quantity]]</f>
        <v>325</v>
      </c>
      <c r="I4863" s="29">
        <f>Table1[[#This Row],[Total Revenue]]/$H$5056*100</f>
        <v>3.4481117795084205E-2</v>
      </c>
      <c r="J4863" s="3" t="s">
        <v>17</v>
      </c>
      <c r="K4863" s="4">
        <v>9</v>
      </c>
      <c r="M4863"/>
    </row>
    <row r="4864" spans="1:13" x14ac:dyDescent="0.25">
      <c r="A4864" s="3" t="s">
        <v>234</v>
      </c>
      <c r="B4864" s="3" t="s">
        <v>244</v>
      </c>
      <c r="C4864" s="3" t="s">
        <v>13</v>
      </c>
      <c r="D4864" s="3" t="s">
        <v>10</v>
      </c>
      <c r="E4864" s="5" t="s">
        <v>20</v>
      </c>
      <c r="F4864" s="17">
        <v>55.44</v>
      </c>
      <c r="G4864" s="3">
        <v>2</v>
      </c>
      <c r="H4864" s="17">
        <f>Table1[[#This Row],[Unit price]]*Table1[[#This Row],[Quantity]]</f>
        <v>110.88</v>
      </c>
      <c r="I4864" s="29">
        <f>Table1[[#This Row],[Total Revenue]]/$H$5056*100</f>
        <v>1.1763896434212112E-2</v>
      </c>
      <c r="J4864" s="3" t="s">
        <v>12</v>
      </c>
      <c r="K4864" s="4">
        <v>7.8</v>
      </c>
      <c r="M4864"/>
    </row>
    <row r="4865" spans="1:13" x14ac:dyDescent="0.25">
      <c r="A4865" s="3" t="s">
        <v>234</v>
      </c>
      <c r="B4865" s="3" t="s">
        <v>244</v>
      </c>
      <c r="C4865" s="3" t="s">
        <v>13</v>
      </c>
      <c r="D4865" s="3" t="s">
        <v>10</v>
      </c>
      <c r="E4865" s="5" t="s">
        <v>21</v>
      </c>
      <c r="F4865" s="17">
        <v>35.32</v>
      </c>
      <c r="G4865" s="3">
        <v>1</v>
      </c>
      <c r="H4865" s="17">
        <f>Table1[[#This Row],[Unit price]]*Table1[[#This Row],[Quantity]]</f>
        <v>35.32</v>
      </c>
      <c r="I4865" s="29">
        <f>Table1[[#This Row],[Total Revenue]]/$H$5056*100</f>
        <v>3.7473017862226896E-3</v>
      </c>
      <c r="J4865" s="3" t="s">
        <v>12</v>
      </c>
      <c r="K4865" s="4">
        <v>8.8000000000000007</v>
      </c>
      <c r="M4865"/>
    </row>
    <row r="4866" spans="1:13" x14ac:dyDescent="0.25">
      <c r="A4866" s="3" t="s">
        <v>234</v>
      </c>
      <c r="B4866" s="3" t="s">
        <v>244</v>
      </c>
      <c r="C4866" s="3" t="s">
        <v>9</v>
      </c>
      <c r="D4866" s="3" t="s">
        <v>10</v>
      </c>
      <c r="E4866" s="5" t="s">
        <v>18</v>
      </c>
      <c r="F4866" s="17">
        <v>18.100000000000001</v>
      </c>
      <c r="G4866" s="3">
        <v>2</v>
      </c>
      <c r="H4866" s="17">
        <f>Table1[[#This Row],[Unit price]]*Table1[[#This Row],[Quantity]]</f>
        <v>36.200000000000003</v>
      </c>
      <c r="I4866" s="29">
        <f>Table1[[#This Row],[Total Revenue]]/$H$5056*100</f>
        <v>3.8406660436370718E-3</v>
      </c>
      <c r="J4866" s="3" t="s">
        <v>15</v>
      </c>
      <c r="K4866" s="4">
        <v>8</v>
      </c>
      <c r="M4866"/>
    </row>
    <row r="4867" spans="1:13" x14ac:dyDescent="0.25">
      <c r="A4867" s="3" t="s">
        <v>234</v>
      </c>
      <c r="B4867" s="3" t="s">
        <v>244</v>
      </c>
      <c r="C4867" s="3" t="s">
        <v>9</v>
      </c>
      <c r="D4867" s="3" t="s">
        <v>19</v>
      </c>
      <c r="E4867" s="5" t="s">
        <v>14</v>
      </c>
      <c r="F4867" s="17">
        <v>83.66</v>
      </c>
      <c r="G4867" s="3">
        <v>7</v>
      </c>
      <c r="H4867" s="17">
        <f>Table1[[#This Row],[Unit price]]*Table1[[#This Row],[Quantity]]</f>
        <v>585.62</v>
      </c>
      <c r="I4867" s="29">
        <f>Table1[[#This Row],[Total Revenue]]/$H$5056*100</f>
        <v>6.2131791394329887E-2</v>
      </c>
      <c r="J4867" s="3" t="s">
        <v>15</v>
      </c>
      <c r="K4867" s="4">
        <v>4.2</v>
      </c>
      <c r="M4867"/>
    </row>
    <row r="4868" spans="1:13" x14ac:dyDescent="0.25">
      <c r="A4868" s="3" t="s">
        <v>234</v>
      </c>
      <c r="B4868" s="3" t="s">
        <v>244</v>
      </c>
      <c r="C4868" s="3" t="s">
        <v>9</v>
      </c>
      <c r="D4868" s="3" t="s">
        <v>10</v>
      </c>
      <c r="E4868" s="5" t="s">
        <v>16</v>
      </c>
      <c r="F4868" s="17">
        <v>59.65</v>
      </c>
      <c r="G4868" s="3">
        <v>7</v>
      </c>
      <c r="H4868" s="17">
        <f>Table1[[#This Row],[Unit price]]*Table1[[#This Row],[Quantity]]</f>
        <v>417.55</v>
      </c>
      <c r="I4868" s="29">
        <f>Table1[[#This Row],[Total Revenue]]/$H$5056*100</f>
        <v>4.4300279185653574E-2</v>
      </c>
      <c r="J4868" s="3" t="s">
        <v>17</v>
      </c>
      <c r="K4868" s="4">
        <v>5.2</v>
      </c>
      <c r="M4868"/>
    </row>
    <row r="4869" spans="1:13" x14ac:dyDescent="0.25">
      <c r="A4869" s="3" t="s">
        <v>234</v>
      </c>
      <c r="B4869" s="3" t="s">
        <v>245</v>
      </c>
      <c r="C4869" s="3" t="s">
        <v>9</v>
      </c>
      <c r="D4869" s="3" t="s">
        <v>10</v>
      </c>
      <c r="E4869" s="5" t="s">
        <v>16</v>
      </c>
      <c r="F4869" s="17">
        <v>65.06</v>
      </c>
      <c r="G4869" s="3">
        <v>1</v>
      </c>
      <c r="H4869" s="17">
        <f>Table1[[#This Row],[Unit price]]*Table1[[#This Row],[Quantity]]</f>
        <v>65.06</v>
      </c>
      <c r="I4869" s="29">
        <f>Table1[[#This Row],[Total Revenue]]/$H$5056*100</f>
        <v>6.9025893038405497E-3</v>
      </c>
      <c r="J4869" s="3" t="s">
        <v>15</v>
      </c>
      <c r="K4869" s="4">
        <v>4.5</v>
      </c>
      <c r="M4869"/>
    </row>
    <row r="4870" spans="1:13" x14ac:dyDescent="0.25">
      <c r="A4870" s="3" t="s">
        <v>234</v>
      </c>
      <c r="B4870" s="3" t="s">
        <v>244</v>
      </c>
      <c r="C4870" s="3" t="s">
        <v>9</v>
      </c>
      <c r="D4870" s="3" t="s">
        <v>10</v>
      </c>
      <c r="E4870" s="5" t="s">
        <v>21</v>
      </c>
      <c r="F4870" s="17">
        <v>46.31</v>
      </c>
      <c r="G4870" s="3">
        <v>5</v>
      </c>
      <c r="H4870" s="17">
        <f>Table1[[#This Row],[Unit price]]*Table1[[#This Row],[Quantity]]</f>
        <v>231.55</v>
      </c>
      <c r="I4870" s="29">
        <f>Table1[[#This Row],[Total Revenue]]/$H$5056*100</f>
        <v>2.4566470232159226E-2</v>
      </c>
      <c r="J4870" s="3" t="s">
        <v>12</v>
      </c>
      <c r="K4870" s="4">
        <v>5.2</v>
      </c>
      <c r="M4870"/>
    </row>
    <row r="4871" spans="1:13" x14ac:dyDescent="0.25">
      <c r="A4871" s="3" t="s">
        <v>234</v>
      </c>
      <c r="B4871" s="3" t="s">
        <v>244</v>
      </c>
      <c r="C4871" s="3" t="s">
        <v>9</v>
      </c>
      <c r="D4871" s="3" t="s">
        <v>10</v>
      </c>
      <c r="E4871" s="5" t="s">
        <v>21</v>
      </c>
      <c r="F4871" s="17">
        <v>28.75</v>
      </c>
      <c r="G4871" s="3">
        <v>5</v>
      </c>
      <c r="H4871" s="17">
        <f>Table1[[#This Row],[Unit price]]*Table1[[#This Row],[Quantity]]</f>
        <v>143.75</v>
      </c>
      <c r="I4871" s="29">
        <f>Table1[[#This Row],[Total Revenue]]/$H$5056*100</f>
        <v>1.5251263640133399E-2</v>
      </c>
      <c r="J4871" s="3" t="s">
        <v>17</v>
      </c>
      <c r="K4871" s="4">
        <v>7.2</v>
      </c>
      <c r="M4871"/>
    </row>
    <row r="4872" spans="1:13" x14ac:dyDescent="0.25">
      <c r="A4872" s="3" t="s">
        <v>235</v>
      </c>
      <c r="B4872" s="3" t="s">
        <v>245</v>
      </c>
      <c r="C4872" s="3" t="s">
        <v>9</v>
      </c>
      <c r="D4872" s="3" t="s">
        <v>10</v>
      </c>
      <c r="E4872" s="5" t="s">
        <v>11</v>
      </c>
      <c r="F4872" s="17">
        <v>7.86</v>
      </c>
      <c r="G4872" s="3">
        <v>9</v>
      </c>
      <c r="H4872" s="17">
        <f>Table1[[#This Row],[Unit price]]*Table1[[#This Row],[Quantity]]</f>
        <v>70.740000000000009</v>
      </c>
      <c r="I4872" s="29">
        <f>Table1[[#This Row],[Total Revenue]]/$H$5056*100</f>
        <v>7.5052131471515602E-3</v>
      </c>
      <c r="J4872" s="3" t="s">
        <v>15</v>
      </c>
      <c r="K4872" s="4">
        <v>4</v>
      </c>
      <c r="M4872"/>
    </row>
    <row r="4873" spans="1:13" x14ac:dyDescent="0.25">
      <c r="A4873" s="3" t="s">
        <v>235</v>
      </c>
      <c r="B4873" s="3" t="s">
        <v>244</v>
      </c>
      <c r="C4873" s="3" t="s">
        <v>13</v>
      </c>
      <c r="D4873" s="3" t="s">
        <v>19</v>
      </c>
      <c r="E4873" s="5" t="s">
        <v>16</v>
      </c>
      <c r="F4873" s="17">
        <v>69.08</v>
      </c>
      <c r="G4873" s="3">
        <v>1</v>
      </c>
      <c r="H4873" s="17">
        <f>Table1[[#This Row],[Unit price]]*Table1[[#This Row],[Quantity]]</f>
        <v>69.08</v>
      </c>
      <c r="I4873" s="29">
        <f>Table1[[#This Row],[Total Revenue]]/$H$5056*100</f>
        <v>7.3290942070289751E-3</v>
      </c>
      <c r="J4873" s="3" t="s">
        <v>12</v>
      </c>
      <c r="K4873" s="4">
        <v>3</v>
      </c>
      <c r="M4873"/>
    </row>
    <row r="4874" spans="1:13" x14ac:dyDescent="0.25">
      <c r="A4874" s="3" t="s">
        <v>235</v>
      </c>
      <c r="B4874" s="3" t="s">
        <v>245</v>
      </c>
      <c r="C4874" s="3" t="s">
        <v>9</v>
      </c>
      <c r="D4874" s="3" t="s">
        <v>10</v>
      </c>
      <c r="E4874" s="5" t="s">
        <v>21</v>
      </c>
      <c r="F4874" s="17">
        <v>26.16</v>
      </c>
      <c r="G4874" s="3">
        <v>4</v>
      </c>
      <c r="H4874" s="17">
        <f>Table1[[#This Row],[Unit price]]*Table1[[#This Row],[Quantity]]</f>
        <v>104.64</v>
      </c>
      <c r="I4874" s="29">
        <f>Table1[[#This Row],[Total Revenue]]/$H$5056*100</f>
        <v>1.1101858972546497E-2</v>
      </c>
      <c r="J4874" s="3" t="s">
        <v>12</v>
      </c>
      <c r="K4874" s="4">
        <v>6.3</v>
      </c>
      <c r="M4874"/>
    </row>
    <row r="4875" spans="1:13" x14ac:dyDescent="0.25">
      <c r="A4875" s="3" t="s">
        <v>235</v>
      </c>
      <c r="B4875" s="3" t="s">
        <v>244</v>
      </c>
      <c r="C4875" s="3" t="s">
        <v>9</v>
      </c>
      <c r="D4875" s="3" t="s">
        <v>10</v>
      </c>
      <c r="E4875" s="5" t="s">
        <v>14</v>
      </c>
      <c r="F4875" s="17">
        <v>71.27</v>
      </c>
      <c r="G4875" s="3">
        <v>4</v>
      </c>
      <c r="H4875" s="17">
        <f>Table1[[#This Row],[Unit price]]*Table1[[#This Row],[Quantity]]</f>
        <v>285.08</v>
      </c>
      <c r="I4875" s="29">
        <f>Table1[[#This Row],[Total Revenue]]/$H$5056*100</f>
        <v>3.0245775572377245E-2</v>
      </c>
      <c r="J4875" s="3" t="s">
        <v>17</v>
      </c>
      <c r="K4875" s="4">
        <v>5.8</v>
      </c>
      <c r="M4875"/>
    </row>
    <row r="4876" spans="1:13" x14ac:dyDescent="0.25">
      <c r="A4876" s="3" t="s">
        <v>235</v>
      </c>
      <c r="B4876" s="3" t="s">
        <v>243</v>
      </c>
      <c r="C4876" s="3" t="s">
        <v>9</v>
      </c>
      <c r="D4876" s="3" t="s">
        <v>19</v>
      </c>
      <c r="E4876" s="5" t="s">
        <v>16</v>
      </c>
      <c r="F4876" s="17">
        <v>65.16</v>
      </c>
      <c r="G4876" s="3">
        <v>7</v>
      </c>
      <c r="H4876" s="17">
        <f>Table1[[#This Row],[Unit price]]*Table1[[#This Row],[Quantity]]</f>
        <v>456.12</v>
      </c>
      <c r="I4876" s="29">
        <f>Table1[[#This Row],[Total Revenue]]/$H$5056*100</f>
        <v>4.8392392149827101E-2</v>
      </c>
      <c r="J4876" s="3" t="s">
        <v>15</v>
      </c>
      <c r="K4876" s="4">
        <v>7</v>
      </c>
      <c r="M4876"/>
    </row>
    <row r="4877" spans="1:13" x14ac:dyDescent="0.25">
      <c r="A4877" s="3" t="s">
        <v>235</v>
      </c>
      <c r="B4877" s="3" t="s">
        <v>245</v>
      </c>
      <c r="C4877" s="3" t="s">
        <v>9</v>
      </c>
      <c r="D4877" s="3" t="s">
        <v>19</v>
      </c>
      <c r="E4877" s="5" t="s">
        <v>14</v>
      </c>
      <c r="F4877" s="17">
        <v>78.44</v>
      </c>
      <c r="G4877" s="3">
        <v>6</v>
      </c>
      <c r="H4877" s="17">
        <f>Table1[[#This Row],[Unit price]]*Table1[[#This Row],[Quantity]]</f>
        <v>470.64</v>
      </c>
      <c r="I4877" s="29">
        <f>Table1[[#This Row],[Total Revenue]]/$H$5056*100</f>
        <v>4.99329023971644E-2</v>
      </c>
      <c r="J4877" s="3" t="s">
        <v>12</v>
      </c>
      <c r="K4877" s="4">
        <v>7.8</v>
      </c>
      <c r="M4877"/>
    </row>
    <row r="4878" spans="1:13" x14ac:dyDescent="0.25">
      <c r="A4878" s="3" t="s">
        <v>235</v>
      </c>
      <c r="B4878" s="3" t="s">
        <v>243</v>
      </c>
      <c r="C4878" s="3" t="s">
        <v>13</v>
      </c>
      <c r="D4878" s="3" t="s">
        <v>10</v>
      </c>
      <c r="E4878" s="5" t="s">
        <v>20</v>
      </c>
      <c r="F4878" s="17">
        <v>54.67</v>
      </c>
      <c r="G4878" s="3">
        <v>4</v>
      </c>
      <c r="H4878" s="17">
        <f>Table1[[#This Row],[Unit price]]*Table1[[#This Row],[Quantity]]</f>
        <v>218.68</v>
      </c>
      <c r="I4878" s="29">
        <f>Table1[[#This Row],[Total Revenue]]/$H$5056*100</f>
        <v>2.320101796747389E-2</v>
      </c>
      <c r="J4878" s="3" t="s">
        <v>15</v>
      </c>
      <c r="K4878" s="4">
        <v>8.3000000000000007</v>
      </c>
      <c r="M4878"/>
    </row>
    <row r="4879" spans="1:13" x14ac:dyDescent="0.25">
      <c r="A4879" s="3" t="s">
        <v>235</v>
      </c>
      <c r="B4879" s="3" t="s">
        <v>244</v>
      </c>
      <c r="C4879" s="3" t="s">
        <v>9</v>
      </c>
      <c r="D4879" s="3" t="s">
        <v>19</v>
      </c>
      <c r="E4879" s="5" t="s">
        <v>21</v>
      </c>
      <c r="F4879" s="17">
        <v>33.49</v>
      </c>
      <c r="G4879" s="3">
        <v>6</v>
      </c>
      <c r="H4879" s="17">
        <f>Table1[[#This Row],[Unit price]]*Table1[[#This Row],[Quantity]]</f>
        <v>200.94</v>
      </c>
      <c r="I4879" s="29">
        <f>Table1[[#This Row],[Total Revenue]]/$H$5056*100</f>
        <v>2.1318879414597602E-2</v>
      </c>
      <c r="J4879" s="3" t="s">
        <v>12</v>
      </c>
      <c r="K4879" s="4">
        <v>3.8</v>
      </c>
      <c r="M4879"/>
    </row>
    <row r="4880" spans="1:13" x14ac:dyDescent="0.25">
      <c r="A4880" s="3" t="s">
        <v>235</v>
      </c>
      <c r="B4880" s="3" t="s">
        <v>244</v>
      </c>
      <c r="C4880" s="3" t="s">
        <v>13</v>
      </c>
      <c r="D4880" s="3" t="s">
        <v>10</v>
      </c>
      <c r="E4880" s="5" t="s">
        <v>11</v>
      </c>
      <c r="F4880" s="17">
        <v>5.71</v>
      </c>
      <c r="G4880" s="3">
        <v>2</v>
      </c>
      <c r="H4880" s="17">
        <f>Table1[[#This Row],[Unit price]]*Table1[[#This Row],[Quantity]]</f>
        <v>11.42</v>
      </c>
      <c r="I4880" s="29">
        <f>Table1[[#This Row],[Total Revenue]]/$H$5056*100</f>
        <v>1.2116134314457282E-3</v>
      </c>
      <c r="J4880" s="3" t="s">
        <v>15</v>
      </c>
      <c r="K4880" s="4">
        <v>4.0999999999999996</v>
      </c>
      <c r="M4880"/>
    </row>
    <row r="4881" spans="1:13" x14ac:dyDescent="0.25">
      <c r="A4881" s="3" t="s">
        <v>235</v>
      </c>
      <c r="B4881" s="3" t="s">
        <v>245</v>
      </c>
      <c r="C4881" s="3" t="s">
        <v>9</v>
      </c>
      <c r="D4881" s="3" t="s">
        <v>19</v>
      </c>
      <c r="E4881" s="5" t="s">
        <v>21</v>
      </c>
      <c r="F4881" s="17">
        <v>45.08</v>
      </c>
      <c r="G4881" s="3">
        <v>6</v>
      </c>
      <c r="H4881" s="17">
        <f>Table1[[#This Row],[Unit price]]*Table1[[#This Row],[Quantity]]</f>
        <v>270.48</v>
      </c>
      <c r="I4881" s="29">
        <f>Table1[[#This Row],[Total Revenue]]/$H$5056*100</f>
        <v>2.8696777665275005E-2</v>
      </c>
      <c r="J4881" s="3" t="s">
        <v>15</v>
      </c>
      <c r="K4881" s="4">
        <v>3.6</v>
      </c>
      <c r="M4881"/>
    </row>
    <row r="4882" spans="1:13" x14ac:dyDescent="0.25">
      <c r="A4882" s="3" t="s">
        <v>235</v>
      </c>
      <c r="B4882" s="3" t="s">
        <v>243</v>
      </c>
      <c r="C4882" s="3" t="s">
        <v>9</v>
      </c>
      <c r="D4882" s="3" t="s">
        <v>10</v>
      </c>
      <c r="E4882" s="5" t="s">
        <v>11</v>
      </c>
      <c r="F4882" s="17">
        <v>7.42</v>
      </c>
      <c r="G4882" s="3">
        <v>5</v>
      </c>
      <c r="H4882" s="17">
        <f>Table1[[#This Row],[Unit price]]*Table1[[#This Row],[Quantity]]</f>
        <v>37.1</v>
      </c>
      <c r="I4882" s="29">
        <f>Table1[[#This Row],[Total Revenue]]/$H$5056*100</f>
        <v>3.9361522159926891E-3</v>
      </c>
      <c r="J4882" s="3" t="s">
        <v>15</v>
      </c>
      <c r="K4882" s="4">
        <v>3.2</v>
      </c>
      <c r="M4882"/>
    </row>
    <row r="4883" spans="1:13" x14ac:dyDescent="0.25">
      <c r="A4883" s="3" t="s">
        <v>235</v>
      </c>
      <c r="B4883" s="3" t="s">
        <v>243</v>
      </c>
      <c r="C4883" s="3" t="s">
        <v>9</v>
      </c>
      <c r="D4883" s="3" t="s">
        <v>19</v>
      </c>
      <c r="E4883" s="5" t="s">
        <v>11</v>
      </c>
      <c r="F4883" s="17">
        <v>5.7</v>
      </c>
      <c r="G4883" s="3">
        <v>3</v>
      </c>
      <c r="H4883" s="17">
        <f>Table1[[#This Row],[Unit price]]*Table1[[#This Row],[Quantity]]</f>
        <v>17.100000000000001</v>
      </c>
      <c r="I4883" s="29">
        <f>Table1[[#This Row],[Total Revenue]]/$H$5056*100</f>
        <v>1.8142372747567384E-3</v>
      </c>
      <c r="J4883" s="3" t="s">
        <v>15</v>
      </c>
      <c r="K4883" s="4">
        <v>3.1</v>
      </c>
      <c r="M4883"/>
    </row>
    <row r="4884" spans="1:13" x14ac:dyDescent="0.25">
      <c r="A4884" s="3" t="s">
        <v>235</v>
      </c>
      <c r="B4884" s="3" t="s">
        <v>244</v>
      </c>
      <c r="C4884" s="3" t="s">
        <v>9</v>
      </c>
      <c r="D4884" s="3" t="s">
        <v>19</v>
      </c>
      <c r="E4884" s="5" t="s">
        <v>16</v>
      </c>
      <c r="F4884" s="17">
        <v>74.709999999999994</v>
      </c>
      <c r="G4884" s="3">
        <v>6</v>
      </c>
      <c r="H4884" s="17">
        <f>Table1[[#This Row],[Unit price]]*Table1[[#This Row],[Quantity]]</f>
        <v>448.26</v>
      </c>
      <c r="I4884" s="29">
        <f>Table1[[#This Row],[Total Revenue]]/$H$5056*100</f>
        <v>4.7558479577921371E-2</v>
      </c>
      <c r="J4884" s="3" t="s">
        <v>17</v>
      </c>
      <c r="K4884" s="4">
        <v>7.3</v>
      </c>
      <c r="M4884"/>
    </row>
    <row r="4885" spans="1:13" x14ac:dyDescent="0.25">
      <c r="A4885" s="3" t="s">
        <v>235</v>
      </c>
      <c r="B4885" s="3" t="s">
        <v>245</v>
      </c>
      <c r="C4885" s="3" t="s">
        <v>9</v>
      </c>
      <c r="D4885" s="3" t="s">
        <v>10</v>
      </c>
      <c r="E4885" s="5" t="s">
        <v>21</v>
      </c>
      <c r="F4885" s="17">
        <v>20.65</v>
      </c>
      <c r="G4885" s="3">
        <v>2</v>
      </c>
      <c r="H4885" s="17">
        <f>Table1[[#This Row],[Unit price]]*Table1[[#This Row],[Quantity]]</f>
        <v>41.3</v>
      </c>
      <c r="I4885" s="29">
        <f>Table1[[#This Row],[Total Revenue]]/$H$5056*100</f>
        <v>4.3817543536522384E-3</v>
      </c>
      <c r="J4885" s="3" t="s">
        <v>15</v>
      </c>
      <c r="K4885" s="4">
        <v>9.1</v>
      </c>
      <c r="M4885"/>
    </row>
    <row r="4886" spans="1:13" x14ac:dyDescent="0.25">
      <c r="A4886" s="3" t="s">
        <v>235</v>
      </c>
      <c r="B4886" s="3" t="s">
        <v>244</v>
      </c>
      <c r="C4886" s="3" t="s">
        <v>13</v>
      </c>
      <c r="D4886" s="3" t="s">
        <v>19</v>
      </c>
      <c r="E4886" s="5" t="s">
        <v>11</v>
      </c>
      <c r="F4886" s="17">
        <v>2.98</v>
      </c>
      <c r="G4886" s="3">
        <v>8</v>
      </c>
      <c r="H4886" s="17">
        <f>Table1[[#This Row],[Unit price]]*Table1[[#This Row],[Quantity]]</f>
        <v>23.84</v>
      </c>
      <c r="I4886" s="29">
        <f>Table1[[#This Row],[Total Revenue]]/$H$5056*100</f>
        <v>2.5293226099532538E-3</v>
      </c>
      <c r="J4886" s="3" t="s">
        <v>15</v>
      </c>
      <c r="K4886" s="4">
        <v>4.0999999999999996</v>
      </c>
      <c r="M4886"/>
    </row>
    <row r="4887" spans="1:13" x14ac:dyDescent="0.25">
      <c r="A4887" s="3" t="s">
        <v>235</v>
      </c>
      <c r="B4887" s="3" t="s">
        <v>245</v>
      </c>
      <c r="C4887" s="3" t="s">
        <v>13</v>
      </c>
      <c r="D4887" s="3" t="s">
        <v>10</v>
      </c>
      <c r="E4887" s="5" t="s">
        <v>21</v>
      </c>
      <c r="F4887" s="17">
        <v>20.88</v>
      </c>
      <c r="G4887" s="3">
        <v>7</v>
      </c>
      <c r="H4887" s="17">
        <f>Table1[[#This Row],[Unit price]]*Table1[[#This Row],[Quantity]]</f>
        <v>146.16</v>
      </c>
      <c r="I4887" s="29">
        <f>Table1[[#This Row],[Total Revenue]]/$H$5056*100</f>
        <v>1.550695439055233E-2</v>
      </c>
      <c r="J4887" s="3" t="s">
        <v>15</v>
      </c>
      <c r="K4887" s="4">
        <v>5.4</v>
      </c>
      <c r="M4887"/>
    </row>
    <row r="4888" spans="1:13" x14ac:dyDescent="0.25">
      <c r="A4888" s="3" t="s">
        <v>235</v>
      </c>
      <c r="B4888" s="3" t="s">
        <v>243</v>
      </c>
      <c r="C4888" s="3" t="s">
        <v>13</v>
      </c>
      <c r="D4888" s="3" t="s">
        <v>10</v>
      </c>
      <c r="E4888" s="5" t="s">
        <v>16</v>
      </c>
      <c r="F4888" s="17">
        <v>76.5</v>
      </c>
      <c r="G4888" s="3">
        <v>1</v>
      </c>
      <c r="H4888" s="17">
        <f>Table1[[#This Row],[Unit price]]*Table1[[#This Row],[Quantity]]</f>
        <v>76.5</v>
      </c>
      <c r="I4888" s="29">
        <f>Table1[[#This Row],[Total Revenue]]/$H$5056*100</f>
        <v>8.1163246502275136E-3</v>
      </c>
      <c r="J4888" s="3" t="s">
        <v>17</v>
      </c>
      <c r="K4888" s="4">
        <v>7.2</v>
      </c>
      <c r="M4888"/>
    </row>
    <row r="4889" spans="1:13" x14ac:dyDescent="0.25">
      <c r="A4889" s="3" t="s">
        <v>235</v>
      </c>
      <c r="B4889" s="3" t="s">
        <v>243</v>
      </c>
      <c r="C4889" s="3" t="s">
        <v>13</v>
      </c>
      <c r="D4889" s="3" t="s">
        <v>10</v>
      </c>
      <c r="E4889" s="5" t="s">
        <v>11</v>
      </c>
      <c r="F4889" s="17">
        <v>9.06</v>
      </c>
      <c r="G4889" s="3">
        <v>8</v>
      </c>
      <c r="H4889" s="17">
        <f>Table1[[#This Row],[Unit price]]*Table1[[#This Row],[Quantity]]</f>
        <v>72.48</v>
      </c>
      <c r="I4889" s="29">
        <f>Table1[[#This Row],[Total Revenue]]/$H$5056*100</f>
        <v>7.6898197470390874E-3</v>
      </c>
      <c r="J4889" s="3" t="s">
        <v>15</v>
      </c>
      <c r="K4889" s="4">
        <v>3.6</v>
      </c>
      <c r="M4889"/>
    </row>
    <row r="4890" spans="1:13" x14ac:dyDescent="0.25">
      <c r="A4890" s="3" t="s">
        <v>235</v>
      </c>
      <c r="B4890" s="3" t="s">
        <v>243</v>
      </c>
      <c r="C4890" s="3" t="s">
        <v>9</v>
      </c>
      <c r="D4890" s="3" t="s">
        <v>19</v>
      </c>
      <c r="E4890" s="5" t="s">
        <v>11</v>
      </c>
      <c r="F4890" s="17">
        <v>7.05</v>
      </c>
      <c r="G4890" s="3">
        <v>9</v>
      </c>
      <c r="H4890" s="17">
        <f>Table1[[#This Row],[Unit price]]*Table1[[#This Row],[Quantity]]</f>
        <v>63.449999999999996</v>
      </c>
      <c r="I4890" s="29">
        <f>Table1[[#This Row],[Total Revenue]]/$H$5056*100</f>
        <v>6.7317751510710547E-3</v>
      </c>
      <c r="J4890" s="3" t="s">
        <v>15</v>
      </c>
      <c r="K4890" s="4">
        <v>9.6999999999999993</v>
      </c>
      <c r="M4890"/>
    </row>
    <row r="4891" spans="1:13" x14ac:dyDescent="0.25">
      <c r="A4891" s="3" t="s">
        <v>235</v>
      </c>
      <c r="B4891" s="3" t="s">
        <v>243</v>
      </c>
      <c r="C4891" s="3" t="s">
        <v>13</v>
      </c>
      <c r="D4891" s="3" t="s">
        <v>10</v>
      </c>
      <c r="E4891" s="5" t="s">
        <v>20</v>
      </c>
      <c r="F4891" s="17">
        <v>56.88</v>
      </c>
      <c r="G4891" s="3">
        <v>10</v>
      </c>
      <c r="H4891" s="17">
        <f>Table1[[#This Row],[Unit price]]*Table1[[#This Row],[Quantity]]</f>
        <v>568.80000000000007</v>
      </c>
      <c r="I4891" s="29">
        <f>Table1[[#This Row],[Total Revenue]]/$H$5056*100</f>
        <v>6.0347260928750451E-2</v>
      </c>
      <c r="J4891" s="3" t="s">
        <v>17</v>
      </c>
      <c r="K4891" s="4">
        <v>5.2</v>
      </c>
      <c r="M4891"/>
    </row>
    <row r="4892" spans="1:13" x14ac:dyDescent="0.25">
      <c r="A4892" s="3" t="s">
        <v>235</v>
      </c>
      <c r="B4892" s="3" t="s">
        <v>244</v>
      </c>
      <c r="C4892" s="3" t="s">
        <v>9</v>
      </c>
      <c r="D4892" s="3" t="s">
        <v>10</v>
      </c>
      <c r="E4892" s="5" t="s">
        <v>11</v>
      </c>
      <c r="F4892" s="17">
        <v>2.23</v>
      </c>
      <c r="G4892" s="3">
        <v>5</v>
      </c>
      <c r="H4892" s="17">
        <f>Table1[[#This Row],[Unit price]]*Table1[[#This Row],[Quantity]]</f>
        <v>11.15</v>
      </c>
      <c r="I4892" s="29">
        <f>Table1[[#This Row],[Total Revenue]]/$H$5056*100</f>
        <v>1.1829675797390428E-3</v>
      </c>
      <c r="J4892" s="3" t="s">
        <v>15</v>
      </c>
      <c r="K4892" s="4">
        <v>8.5</v>
      </c>
      <c r="M4892"/>
    </row>
    <row r="4893" spans="1:13" x14ac:dyDescent="0.25">
      <c r="A4893" s="3" t="s">
        <v>235</v>
      </c>
      <c r="B4893" s="3" t="s">
        <v>243</v>
      </c>
      <c r="C4893" s="3" t="s">
        <v>9</v>
      </c>
      <c r="D4893" s="3" t="s">
        <v>19</v>
      </c>
      <c r="E4893" s="5" t="s">
        <v>11</v>
      </c>
      <c r="F4893" s="17">
        <v>2.8</v>
      </c>
      <c r="G4893" s="3">
        <v>4</v>
      </c>
      <c r="H4893" s="17">
        <f>Table1[[#This Row],[Unit price]]*Table1[[#This Row],[Quantity]]</f>
        <v>11.2</v>
      </c>
      <c r="I4893" s="29">
        <f>Table1[[#This Row],[Total Revenue]]/$H$5056*100</f>
        <v>1.1882723670921325E-3</v>
      </c>
      <c r="J4893" s="3" t="s">
        <v>12</v>
      </c>
      <c r="K4893" s="4">
        <v>6.6</v>
      </c>
      <c r="M4893"/>
    </row>
    <row r="4894" spans="1:13" x14ac:dyDescent="0.25">
      <c r="A4894" s="3" t="s">
        <v>235</v>
      </c>
      <c r="B4894" s="3" t="s">
        <v>245</v>
      </c>
      <c r="C4894" s="3" t="s">
        <v>9</v>
      </c>
      <c r="D4894" s="3" t="s">
        <v>19</v>
      </c>
      <c r="E4894" s="5" t="s">
        <v>20</v>
      </c>
      <c r="F4894" s="17">
        <v>61.51</v>
      </c>
      <c r="G4894" s="3">
        <v>7</v>
      </c>
      <c r="H4894" s="17">
        <f>Table1[[#This Row],[Unit price]]*Table1[[#This Row],[Quantity]]</f>
        <v>430.57</v>
      </c>
      <c r="I4894" s="29">
        <f>Table1[[#This Row],[Total Revenue]]/$H$5056*100</f>
        <v>4.5681645812398169E-2</v>
      </c>
      <c r="J4894" s="3" t="s">
        <v>12</v>
      </c>
      <c r="K4894" s="4">
        <v>9.4</v>
      </c>
      <c r="M4894"/>
    </row>
    <row r="4895" spans="1:13" x14ac:dyDescent="0.25">
      <c r="A4895" s="3" t="s">
        <v>235</v>
      </c>
      <c r="B4895" s="3" t="s">
        <v>244</v>
      </c>
      <c r="C4895" s="3" t="s">
        <v>9</v>
      </c>
      <c r="D4895" s="3" t="s">
        <v>19</v>
      </c>
      <c r="E4895" s="5" t="s">
        <v>16</v>
      </c>
      <c r="F4895" s="17">
        <v>67.78</v>
      </c>
      <c r="G4895" s="3">
        <v>6</v>
      </c>
      <c r="H4895" s="17">
        <f>Table1[[#This Row],[Unit price]]*Table1[[#This Row],[Quantity]]</f>
        <v>406.68</v>
      </c>
      <c r="I4895" s="29">
        <f>Table1[[#This Row],[Total Revenue]]/$H$5056*100</f>
        <v>4.3147018415091831E-2</v>
      </c>
      <c r="J4895" s="3" t="s">
        <v>17</v>
      </c>
      <c r="K4895" s="4">
        <v>3.2</v>
      </c>
      <c r="M4895"/>
    </row>
    <row r="4896" spans="1:13" x14ac:dyDescent="0.25">
      <c r="A4896" s="3" t="s">
        <v>235</v>
      </c>
      <c r="B4896" s="3" t="s">
        <v>245</v>
      </c>
      <c r="C4896" s="3" t="s">
        <v>9</v>
      </c>
      <c r="D4896" s="3" t="s">
        <v>19</v>
      </c>
      <c r="E4896" s="5" t="s">
        <v>20</v>
      </c>
      <c r="F4896" s="17">
        <v>66.73</v>
      </c>
      <c r="G4896" s="3">
        <v>8</v>
      </c>
      <c r="H4896" s="17">
        <f>Table1[[#This Row],[Unit price]]*Table1[[#This Row],[Quantity]]</f>
        <v>533.84</v>
      </c>
      <c r="I4896" s="29">
        <f>Table1[[#This Row],[Total Revenue]]/$H$5056*100</f>
        <v>5.663815361147001E-2</v>
      </c>
      <c r="J4896" s="3" t="s">
        <v>17</v>
      </c>
      <c r="K4896" s="4">
        <v>5.0999999999999996</v>
      </c>
      <c r="M4896"/>
    </row>
    <row r="4897" spans="1:13" x14ac:dyDescent="0.25">
      <c r="A4897" s="3" t="s">
        <v>235</v>
      </c>
      <c r="B4897" s="3" t="s">
        <v>244</v>
      </c>
      <c r="C4897" s="3" t="s">
        <v>9</v>
      </c>
      <c r="D4897" s="3" t="s">
        <v>19</v>
      </c>
      <c r="E4897" s="5" t="s">
        <v>11</v>
      </c>
      <c r="F4897" s="17">
        <v>6.81</v>
      </c>
      <c r="G4897" s="3">
        <v>1</v>
      </c>
      <c r="H4897" s="17">
        <f>Table1[[#This Row],[Unit price]]*Table1[[#This Row],[Quantity]]</f>
        <v>6.81</v>
      </c>
      <c r="I4897" s="29">
        <f>Table1[[#This Row],[Total Revenue]]/$H$5056*100</f>
        <v>7.2251203749084129E-4</v>
      </c>
      <c r="J4897" s="3" t="s">
        <v>17</v>
      </c>
      <c r="K4897" s="4">
        <v>6.3</v>
      </c>
      <c r="M4897"/>
    </row>
    <row r="4898" spans="1:13" x14ac:dyDescent="0.25">
      <c r="A4898" s="3" t="s">
        <v>235</v>
      </c>
      <c r="B4898" s="3" t="s">
        <v>245</v>
      </c>
      <c r="C4898" s="3" t="s">
        <v>9</v>
      </c>
      <c r="D4898" s="3" t="s">
        <v>19</v>
      </c>
      <c r="E4898" s="5" t="s">
        <v>11</v>
      </c>
      <c r="F4898" s="17">
        <v>4.7300000000000004</v>
      </c>
      <c r="G4898" s="3">
        <v>3</v>
      </c>
      <c r="H4898" s="17">
        <f>Table1[[#This Row],[Unit price]]*Table1[[#This Row],[Quantity]]</f>
        <v>14.190000000000001</v>
      </c>
      <c r="I4898" s="29">
        <f>Table1[[#This Row],[Total Revenue]]/$H$5056*100</f>
        <v>1.5054986508069074E-3</v>
      </c>
      <c r="J4898" s="3" t="s">
        <v>12</v>
      </c>
      <c r="K4898" s="4">
        <v>3.4</v>
      </c>
      <c r="M4898"/>
    </row>
    <row r="4899" spans="1:13" x14ac:dyDescent="0.25">
      <c r="A4899" s="3" t="s">
        <v>236</v>
      </c>
      <c r="B4899" s="3" t="s">
        <v>245</v>
      </c>
      <c r="C4899" s="3" t="s">
        <v>9</v>
      </c>
      <c r="D4899" s="3" t="s">
        <v>19</v>
      </c>
      <c r="E4899" s="5" t="s">
        <v>18</v>
      </c>
      <c r="F4899" s="17">
        <v>17.239999999999998</v>
      </c>
      <c r="G4899" s="3">
        <v>6</v>
      </c>
      <c r="H4899" s="17">
        <f>Table1[[#This Row],[Unit price]]*Table1[[#This Row],[Quantity]]</f>
        <v>103.44</v>
      </c>
      <c r="I4899" s="29">
        <f>Table1[[#This Row],[Total Revenue]]/$H$5056*100</f>
        <v>1.0974544076072339E-2</v>
      </c>
      <c r="J4899" s="3" t="s">
        <v>15</v>
      </c>
      <c r="K4899" s="4">
        <v>5.5</v>
      </c>
      <c r="M4899"/>
    </row>
    <row r="4900" spans="1:13" x14ac:dyDescent="0.25">
      <c r="A4900" s="3" t="s">
        <v>236</v>
      </c>
      <c r="B4900" s="3" t="s">
        <v>243</v>
      </c>
      <c r="C4900" s="3" t="s">
        <v>13</v>
      </c>
      <c r="D4900" s="3" t="s">
        <v>19</v>
      </c>
      <c r="E4900" s="5" t="s">
        <v>16</v>
      </c>
      <c r="F4900" s="17">
        <v>59.05</v>
      </c>
      <c r="G4900" s="3">
        <v>3</v>
      </c>
      <c r="H4900" s="17">
        <f>Table1[[#This Row],[Unit price]]*Table1[[#This Row],[Quantity]]</f>
        <v>177.14999999999998</v>
      </c>
      <c r="I4900" s="29">
        <f>Table1[[#This Row],[Total Revenue]]/$H$5056*100</f>
        <v>1.8794861591997433E-2</v>
      </c>
      <c r="J4900" s="3" t="s">
        <v>15</v>
      </c>
      <c r="K4900" s="4">
        <v>8</v>
      </c>
      <c r="M4900"/>
    </row>
    <row r="4901" spans="1:13" x14ac:dyDescent="0.25">
      <c r="A4901" s="3" t="s">
        <v>236</v>
      </c>
      <c r="B4901" s="3" t="s">
        <v>245</v>
      </c>
      <c r="C4901" s="3" t="s">
        <v>13</v>
      </c>
      <c r="D4901" s="3" t="s">
        <v>10</v>
      </c>
      <c r="E4901" s="5" t="s">
        <v>11</v>
      </c>
      <c r="F4901" s="17">
        <v>3.39</v>
      </c>
      <c r="G4901" s="3">
        <v>9</v>
      </c>
      <c r="H4901" s="17">
        <f>Table1[[#This Row],[Unit price]]*Table1[[#This Row],[Quantity]]</f>
        <v>30.51</v>
      </c>
      <c r="I4901" s="29">
        <f>Table1[[#This Row],[Total Revenue]]/$H$5056*100</f>
        <v>3.236981242855444E-3</v>
      </c>
      <c r="J4901" s="3" t="s">
        <v>17</v>
      </c>
      <c r="K4901" s="4">
        <v>9</v>
      </c>
      <c r="M4901"/>
    </row>
    <row r="4902" spans="1:13" x14ac:dyDescent="0.25">
      <c r="A4902" s="3" t="s">
        <v>236</v>
      </c>
      <c r="B4902" s="3" t="s">
        <v>243</v>
      </c>
      <c r="C4902" s="3" t="s">
        <v>9</v>
      </c>
      <c r="D4902" s="3" t="s">
        <v>19</v>
      </c>
      <c r="E4902" s="5" t="s">
        <v>21</v>
      </c>
      <c r="F4902" s="17">
        <v>31.35</v>
      </c>
      <c r="G4902" s="3">
        <v>5</v>
      </c>
      <c r="H4902" s="17">
        <f>Table1[[#This Row],[Unit price]]*Table1[[#This Row],[Quantity]]</f>
        <v>156.75</v>
      </c>
      <c r="I4902" s="29">
        <f>Table1[[#This Row],[Total Revenue]]/$H$5056*100</f>
        <v>1.6630508351936767E-2</v>
      </c>
      <c r="J4902" s="3" t="s">
        <v>15</v>
      </c>
      <c r="K4902" s="4">
        <v>4.2</v>
      </c>
      <c r="M4902"/>
    </row>
    <row r="4903" spans="1:13" x14ac:dyDescent="0.25">
      <c r="A4903" s="3" t="s">
        <v>236</v>
      </c>
      <c r="B4903" s="3" t="s">
        <v>245</v>
      </c>
      <c r="C4903" s="3" t="s">
        <v>9</v>
      </c>
      <c r="D4903" s="3" t="s">
        <v>10</v>
      </c>
      <c r="E4903" s="5" t="s">
        <v>14</v>
      </c>
      <c r="F4903" s="17">
        <v>75.27</v>
      </c>
      <c r="G4903" s="3">
        <v>6</v>
      </c>
      <c r="H4903" s="17">
        <f>Table1[[#This Row],[Unit price]]*Table1[[#This Row],[Quantity]]</f>
        <v>451.62</v>
      </c>
      <c r="I4903" s="29">
        <f>Table1[[#This Row],[Total Revenue]]/$H$5056*100</f>
        <v>4.7914961288049014E-2</v>
      </c>
      <c r="J4903" s="3" t="s">
        <v>17</v>
      </c>
      <c r="K4903" s="4">
        <v>4.5</v>
      </c>
      <c r="M4903"/>
    </row>
    <row r="4904" spans="1:13" x14ac:dyDescent="0.25">
      <c r="A4904" s="3" t="s">
        <v>236</v>
      </c>
      <c r="B4904" s="3" t="s">
        <v>243</v>
      </c>
      <c r="C4904" s="3" t="s">
        <v>13</v>
      </c>
      <c r="D4904" s="3" t="s">
        <v>19</v>
      </c>
      <c r="E4904" s="5" t="s">
        <v>21</v>
      </c>
      <c r="F4904" s="17">
        <v>42.36</v>
      </c>
      <c r="G4904" s="3">
        <v>4</v>
      </c>
      <c r="H4904" s="17">
        <f>Table1[[#This Row],[Unit price]]*Table1[[#This Row],[Quantity]]</f>
        <v>169.44</v>
      </c>
      <c r="I4904" s="29">
        <f>Table1[[#This Row],[Total Revenue]]/$H$5056*100</f>
        <v>1.7976863382150977E-2</v>
      </c>
      <c r="J4904" s="3" t="s">
        <v>12</v>
      </c>
      <c r="K4904" s="4">
        <v>9.6999999999999993</v>
      </c>
      <c r="M4904"/>
    </row>
    <row r="4905" spans="1:13" x14ac:dyDescent="0.25">
      <c r="A4905" s="3" t="s">
        <v>236</v>
      </c>
      <c r="B4905" s="3" t="s">
        <v>244</v>
      </c>
      <c r="C4905" s="3" t="s">
        <v>13</v>
      </c>
      <c r="D4905" s="3" t="s">
        <v>10</v>
      </c>
      <c r="E4905" s="5" t="s">
        <v>18</v>
      </c>
      <c r="F4905" s="17">
        <v>2.21</v>
      </c>
      <c r="G4905" s="3">
        <v>4</v>
      </c>
      <c r="H4905" s="17">
        <f>Table1[[#This Row],[Unit price]]*Table1[[#This Row],[Quantity]]</f>
        <v>8.84</v>
      </c>
      <c r="I4905" s="29">
        <f>Table1[[#This Row],[Total Revenue]]/$H$5056*100</f>
        <v>9.3788640402629037E-4</v>
      </c>
      <c r="J4905" s="3" t="s">
        <v>15</v>
      </c>
      <c r="K4905" s="4">
        <v>7.7</v>
      </c>
      <c r="M4905"/>
    </row>
    <row r="4906" spans="1:13" x14ac:dyDescent="0.25">
      <c r="A4906" s="3" t="s">
        <v>236</v>
      </c>
      <c r="B4906" s="3" t="s">
        <v>244</v>
      </c>
      <c r="C4906" s="3" t="s">
        <v>9</v>
      </c>
      <c r="D4906" s="3" t="s">
        <v>19</v>
      </c>
      <c r="E4906" s="5" t="s">
        <v>11</v>
      </c>
      <c r="F4906" s="17">
        <v>5.09</v>
      </c>
      <c r="G4906" s="3">
        <v>7</v>
      </c>
      <c r="H4906" s="17">
        <f>Table1[[#This Row],[Unit price]]*Table1[[#This Row],[Quantity]]</f>
        <v>35.629999999999995</v>
      </c>
      <c r="I4906" s="29">
        <f>Table1[[#This Row],[Total Revenue]]/$H$5056*100</f>
        <v>3.7801914678118461E-3</v>
      </c>
      <c r="J4906" s="3" t="s">
        <v>15</v>
      </c>
      <c r="K4906" s="4">
        <v>9</v>
      </c>
      <c r="M4906"/>
    </row>
    <row r="4907" spans="1:13" x14ac:dyDescent="0.25">
      <c r="A4907" s="3" t="s">
        <v>236</v>
      </c>
      <c r="B4907" s="3" t="s">
        <v>243</v>
      </c>
      <c r="C4907" s="3" t="s">
        <v>13</v>
      </c>
      <c r="D4907" s="3" t="s">
        <v>10</v>
      </c>
      <c r="E4907" s="5" t="s">
        <v>11</v>
      </c>
      <c r="F4907" s="17">
        <v>2.81</v>
      </c>
      <c r="G4907" s="3">
        <v>8</v>
      </c>
      <c r="H4907" s="17">
        <f>Table1[[#This Row],[Unit price]]*Table1[[#This Row],[Quantity]]</f>
        <v>22.48</v>
      </c>
      <c r="I4907" s="29">
        <f>Table1[[#This Row],[Total Revenue]]/$H$5056*100</f>
        <v>2.3850323939492088E-3</v>
      </c>
      <c r="J4907" s="3" t="s">
        <v>17</v>
      </c>
      <c r="K4907" s="4">
        <v>7.4</v>
      </c>
      <c r="M4907"/>
    </row>
    <row r="4908" spans="1:13" x14ac:dyDescent="0.25">
      <c r="A4908" s="3" t="s">
        <v>236</v>
      </c>
      <c r="B4908" s="3" t="s">
        <v>244</v>
      </c>
      <c r="C4908" s="3" t="s">
        <v>9</v>
      </c>
      <c r="D4908" s="3" t="s">
        <v>10</v>
      </c>
      <c r="E4908" s="5" t="s">
        <v>21</v>
      </c>
      <c r="F4908" s="17">
        <v>43.98</v>
      </c>
      <c r="G4908" s="3">
        <v>1</v>
      </c>
      <c r="H4908" s="17">
        <f>Table1[[#This Row],[Unit price]]*Table1[[#This Row],[Quantity]]</f>
        <v>43.98</v>
      </c>
      <c r="I4908" s="29">
        <f>Table1[[#This Row],[Total Revenue]]/$H$5056*100</f>
        <v>4.6660909557778556E-3</v>
      </c>
      <c r="J4908" s="3" t="s">
        <v>12</v>
      </c>
      <c r="K4908" s="4">
        <v>3.1</v>
      </c>
      <c r="M4908"/>
    </row>
    <row r="4909" spans="1:13" x14ac:dyDescent="0.25">
      <c r="A4909" s="3" t="s">
        <v>236</v>
      </c>
      <c r="B4909" s="3" t="s">
        <v>244</v>
      </c>
      <c r="C4909" s="3" t="s">
        <v>13</v>
      </c>
      <c r="D4909" s="3" t="s">
        <v>19</v>
      </c>
      <c r="E4909" s="5" t="s">
        <v>11</v>
      </c>
      <c r="F4909" s="17">
        <v>3.36</v>
      </c>
      <c r="G4909" s="3">
        <v>7</v>
      </c>
      <c r="H4909" s="17">
        <f>Table1[[#This Row],[Unit price]]*Table1[[#This Row],[Quantity]]</f>
        <v>23.52</v>
      </c>
      <c r="I4909" s="29">
        <f>Table1[[#This Row],[Total Revenue]]/$H$5056*100</f>
        <v>2.4953719708934782E-3</v>
      </c>
      <c r="J4909" s="3" t="s">
        <v>15</v>
      </c>
      <c r="K4909" s="4">
        <v>8</v>
      </c>
      <c r="M4909"/>
    </row>
    <row r="4910" spans="1:13" x14ac:dyDescent="0.25">
      <c r="A4910" s="3" t="s">
        <v>236</v>
      </c>
      <c r="B4910" s="3" t="s">
        <v>244</v>
      </c>
      <c r="C4910" s="3" t="s">
        <v>13</v>
      </c>
      <c r="D4910" s="3" t="s">
        <v>10</v>
      </c>
      <c r="E4910" s="5" t="s">
        <v>21</v>
      </c>
      <c r="F4910" s="17">
        <v>41.14</v>
      </c>
      <c r="G4910" s="3">
        <v>7</v>
      </c>
      <c r="H4910" s="17">
        <f>Table1[[#This Row],[Unit price]]*Table1[[#This Row],[Quantity]]</f>
        <v>287.98</v>
      </c>
      <c r="I4910" s="29">
        <f>Table1[[#This Row],[Total Revenue]]/$H$5056*100</f>
        <v>3.055345323885646E-2</v>
      </c>
      <c r="J4910" s="3" t="s">
        <v>17</v>
      </c>
      <c r="K4910" s="4">
        <v>4.0999999999999996</v>
      </c>
      <c r="M4910"/>
    </row>
    <row r="4911" spans="1:13" x14ac:dyDescent="0.25">
      <c r="A4911" s="3" t="s">
        <v>236</v>
      </c>
      <c r="B4911" s="3" t="s">
        <v>244</v>
      </c>
      <c r="C4911" s="3" t="s">
        <v>9</v>
      </c>
      <c r="D4911" s="3" t="s">
        <v>19</v>
      </c>
      <c r="E4911" s="5" t="s">
        <v>16</v>
      </c>
      <c r="F4911" s="17">
        <v>59.93</v>
      </c>
      <c r="G4911" s="3">
        <v>4</v>
      </c>
      <c r="H4911" s="17">
        <f>Table1[[#This Row],[Unit price]]*Table1[[#This Row],[Quantity]]</f>
        <v>239.72</v>
      </c>
      <c r="I4911" s="29">
        <f>Table1[[#This Row],[Total Revenue]]/$H$5056*100</f>
        <v>2.5433272485654107E-2</v>
      </c>
      <c r="J4911" s="3" t="s">
        <v>12</v>
      </c>
      <c r="K4911" s="4">
        <v>7.7</v>
      </c>
      <c r="M4911"/>
    </row>
    <row r="4912" spans="1:13" x14ac:dyDescent="0.25">
      <c r="A4912" s="3" t="s">
        <v>236</v>
      </c>
      <c r="B4912" s="3" t="s">
        <v>245</v>
      </c>
      <c r="C4912" s="3" t="s">
        <v>13</v>
      </c>
      <c r="D4912" s="3" t="s">
        <v>10</v>
      </c>
      <c r="E4912" s="5" t="s">
        <v>20</v>
      </c>
      <c r="F4912" s="17">
        <v>55.95</v>
      </c>
      <c r="G4912" s="3">
        <v>2</v>
      </c>
      <c r="H4912" s="17">
        <f>Table1[[#This Row],[Unit price]]*Table1[[#This Row],[Quantity]]</f>
        <v>111.9</v>
      </c>
      <c r="I4912" s="29">
        <f>Table1[[#This Row],[Total Revenue]]/$H$5056*100</f>
        <v>1.1872114096215147E-2</v>
      </c>
      <c r="J4912" s="3" t="s">
        <v>15</v>
      </c>
      <c r="K4912" s="4">
        <v>5.7</v>
      </c>
      <c r="M4912"/>
    </row>
    <row r="4913" spans="1:13" x14ac:dyDescent="0.25">
      <c r="A4913" s="3" t="s">
        <v>236</v>
      </c>
      <c r="B4913" s="3" t="s">
        <v>243</v>
      </c>
      <c r="C4913" s="3" t="s">
        <v>9</v>
      </c>
      <c r="D4913" s="3" t="s">
        <v>19</v>
      </c>
      <c r="E4913" s="5" t="s">
        <v>21</v>
      </c>
      <c r="F4913" s="17">
        <v>30.82</v>
      </c>
      <c r="G4913" s="3">
        <v>7</v>
      </c>
      <c r="H4913" s="17">
        <f>Table1[[#This Row],[Unit price]]*Table1[[#This Row],[Quantity]]</f>
        <v>215.74</v>
      </c>
      <c r="I4913" s="29">
        <f>Table1[[#This Row],[Total Revenue]]/$H$5056*100</f>
        <v>2.2889096471112206E-2</v>
      </c>
      <c r="J4913" s="3" t="s">
        <v>15</v>
      </c>
      <c r="K4913" s="4">
        <v>5</v>
      </c>
      <c r="M4913"/>
    </row>
    <row r="4914" spans="1:13" x14ac:dyDescent="0.25">
      <c r="A4914" s="3" t="s">
        <v>236</v>
      </c>
      <c r="B4914" s="3" t="s">
        <v>245</v>
      </c>
      <c r="C4914" s="3" t="s">
        <v>9</v>
      </c>
      <c r="D4914" s="3" t="s">
        <v>10</v>
      </c>
      <c r="E4914" s="5" t="s">
        <v>21</v>
      </c>
      <c r="F4914" s="17">
        <v>22.91</v>
      </c>
      <c r="G4914" s="3">
        <v>4</v>
      </c>
      <c r="H4914" s="17">
        <f>Table1[[#This Row],[Unit price]]*Table1[[#This Row],[Quantity]]</f>
        <v>91.64</v>
      </c>
      <c r="I4914" s="29">
        <f>Table1[[#This Row],[Total Revenue]]/$H$5056*100</f>
        <v>9.7226142607431277E-3</v>
      </c>
      <c r="J4914" s="3" t="s">
        <v>15</v>
      </c>
      <c r="K4914" s="4">
        <v>7.3</v>
      </c>
      <c r="M4914"/>
    </row>
    <row r="4915" spans="1:13" x14ac:dyDescent="0.25">
      <c r="A4915" s="3" t="s">
        <v>236</v>
      </c>
      <c r="B4915" s="3" t="s">
        <v>243</v>
      </c>
      <c r="C4915" s="3" t="s">
        <v>13</v>
      </c>
      <c r="D4915" s="3" t="s">
        <v>19</v>
      </c>
      <c r="E4915" s="5" t="s">
        <v>16</v>
      </c>
      <c r="F4915" s="17">
        <v>73.55</v>
      </c>
      <c r="G4915" s="3">
        <v>8</v>
      </c>
      <c r="H4915" s="17">
        <f>Table1[[#This Row],[Unit price]]*Table1[[#This Row],[Quantity]]</f>
        <v>588.4</v>
      </c>
      <c r="I4915" s="29">
        <f>Table1[[#This Row],[Total Revenue]]/$H$5056*100</f>
        <v>6.242673757116167E-2</v>
      </c>
      <c r="J4915" s="3" t="s">
        <v>12</v>
      </c>
      <c r="K4915" s="4">
        <v>9.1</v>
      </c>
      <c r="M4915"/>
    </row>
    <row r="4916" spans="1:13" x14ac:dyDescent="0.25">
      <c r="A4916" s="3" t="s">
        <v>236</v>
      </c>
      <c r="B4916" s="3" t="s">
        <v>245</v>
      </c>
      <c r="C4916" s="3" t="s">
        <v>9</v>
      </c>
      <c r="D4916" s="3" t="s">
        <v>10</v>
      </c>
      <c r="E4916" s="5" t="s">
        <v>11</v>
      </c>
      <c r="F4916" s="17">
        <v>4.97</v>
      </c>
      <c r="G4916" s="3">
        <v>7</v>
      </c>
      <c r="H4916" s="17">
        <f>Table1[[#This Row],[Unit price]]*Table1[[#This Row],[Quantity]]</f>
        <v>34.79</v>
      </c>
      <c r="I4916" s="29">
        <f>Table1[[#This Row],[Total Revenue]]/$H$5056*100</f>
        <v>3.6910710402799367E-3</v>
      </c>
      <c r="J4916" s="3" t="s">
        <v>12</v>
      </c>
      <c r="K4916" s="4">
        <v>4.3</v>
      </c>
      <c r="M4916"/>
    </row>
    <row r="4917" spans="1:13" x14ac:dyDescent="0.25">
      <c r="A4917" s="3" t="s">
        <v>236</v>
      </c>
      <c r="B4917" s="3" t="s">
        <v>243</v>
      </c>
      <c r="C4917" s="3" t="s">
        <v>13</v>
      </c>
      <c r="D4917" s="3" t="s">
        <v>10</v>
      </c>
      <c r="E4917" s="5" t="s">
        <v>14</v>
      </c>
      <c r="F4917" s="17">
        <v>76.55</v>
      </c>
      <c r="G4917" s="3">
        <v>5</v>
      </c>
      <c r="H4917" s="17">
        <f>Table1[[#This Row],[Unit price]]*Table1[[#This Row],[Quantity]]</f>
        <v>382.75</v>
      </c>
      <c r="I4917" s="29">
        <f>Table1[[#This Row],[Total Revenue]]/$H$5056*100</f>
        <v>4.060814718790301E-2</v>
      </c>
      <c r="J4917" s="3" t="s">
        <v>17</v>
      </c>
      <c r="K4917" s="4">
        <v>3.4</v>
      </c>
      <c r="M4917"/>
    </row>
    <row r="4918" spans="1:13" x14ac:dyDescent="0.25">
      <c r="A4918" s="3" t="s">
        <v>236</v>
      </c>
      <c r="B4918" s="3" t="s">
        <v>245</v>
      </c>
      <c r="C4918" s="3" t="s">
        <v>9</v>
      </c>
      <c r="D4918" s="3" t="s">
        <v>19</v>
      </c>
      <c r="E4918" s="5" t="s">
        <v>20</v>
      </c>
      <c r="F4918" s="17">
        <v>63.36</v>
      </c>
      <c r="G4918" s="3">
        <v>9</v>
      </c>
      <c r="H4918" s="17">
        <f>Table1[[#This Row],[Unit price]]*Table1[[#This Row],[Quantity]]</f>
        <v>570.24</v>
      </c>
      <c r="I4918" s="29">
        <f>Table1[[#This Row],[Total Revenue]]/$H$5056*100</f>
        <v>6.0500038804519436E-2</v>
      </c>
      <c r="J4918" s="3" t="s">
        <v>12</v>
      </c>
      <c r="K4918" s="4">
        <v>9.6</v>
      </c>
      <c r="M4918"/>
    </row>
    <row r="4919" spans="1:13" x14ac:dyDescent="0.25">
      <c r="A4919" s="3" t="s">
        <v>236</v>
      </c>
      <c r="B4919" s="3" t="s">
        <v>245</v>
      </c>
      <c r="C4919" s="3" t="s">
        <v>13</v>
      </c>
      <c r="D4919" s="3" t="s">
        <v>19</v>
      </c>
      <c r="E4919" s="5" t="s">
        <v>21</v>
      </c>
      <c r="F4919" s="17">
        <v>44.55</v>
      </c>
      <c r="G4919" s="3">
        <v>7</v>
      </c>
      <c r="H4919" s="17">
        <f>Table1[[#This Row],[Unit price]]*Table1[[#This Row],[Quantity]]</f>
        <v>311.84999999999997</v>
      </c>
      <c r="I4919" s="29">
        <f>Table1[[#This Row],[Total Revenue]]/$H$5056*100</f>
        <v>3.308595872122156E-2</v>
      </c>
      <c r="J4919" s="3" t="s">
        <v>17</v>
      </c>
      <c r="K4919" s="4">
        <v>7.7</v>
      </c>
      <c r="M4919"/>
    </row>
    <row r="4920" spans="1:13" x14ac:dyDescent="0.25">
      <c r="A4920" s="3" t="s">
        <v>236</v>
      </c>
      <c r="B4920" s="3" t="s">
        <v>245</v>
      </c>
      <c r="C4920" s="3" t="s">
        <v>13</v>
      </c>
      <c r="D4920" s="3" t="s">
        <v>19</v>
      </c>
      <c r="E4920" s="5" t="s">
        <v>16</v>
      </c>
      <c r="F4920" s="17">
        <v>58.97</v>
      </c>
      <c r="G4920" s="3">
        <v>7</v>
      </c>
      <c r="H4920" s="17">
        <f>Table1[[#This Row],[Unit price]]*Table1[[#This Row],[Quantity]]</f>
        <v>412.78999999999996</v>
      </c>
      <c r="I4920" s="29">
        <f>Table1[[#This Row],[Total Revenue]]/$H$5056*100</f>
        <v>4.3795263429639408E-2</v>
      </c>
      <c r="J4920" s="3" t="s">
        <v>17</v>
      </c>
      <c r="K4920" s="4">
        <v>3.2</v>
      </c>
      <c r="M4920"/>
    </row>
    <row r="4921" spans="1:13" x14ac:dyDescent="0.25">
      <c r="A4921" s="3" t="s">
        <v>236</v>
      </c>
      <c r="B4921" s="3" t="s">
        <v>245</v>
      </c>
      <c r="C4921" s="3" t="s">
        <v>9</v>
      </c>
      <c r="D4921" s="3" t="s">
        <v>19</v>
      </c>
      <c r="E4921" s="5" t="s">
        <v>21</v>
      </c>
      <c r="F4921" s="17">
        <v>48.48</v>
      </c>
      <c r="G4921" s="3">
        <v>8</v>
      </c>
      <c r="H4921" s="17">
        <f>Table1[[#This Row],[Unit price]]*Table1[[#This Row],[Quantity]]</f>
        <v>387.84</v>
      </c>
      <c r="I4921" s="29">
        <f>Table1[[#This Row],[Total Revenue]]/$H$5056*100</f>
        <v>4.1148174540447564E-2</v>
      </c>
      <c r="J4921" s="3" t="s">
        <v>15</v>
      </c>
      <c r="K4921" s="4">
        <v>9.5</v>
      </c>
      <c r="M4921"/>
    </row>
    <row r="4922" spans="1:13" x14ac:dyDescent="0.25">
      <c r="A4922" s="3" t="s">
        <v>236</v>
      </c>
      <c r="B4922" s="3" t="s">
        <v>244</v>
      </c>
      <c r="C4922" s="3" t="s">
        <v>9</v>
      </c>
      <c r="D4922" s="3" t="s">
        <v>19</v>
      </c>
      <c r="E4922" s="5" t="s">
        <v>18</v>
      </c>
      <c r="F4922" s="17">
        <v>2.77</v>
      </c>
      <c r="G4922" s="3">
        <v>2</v>
      </c>
      <c r="H4922" s="17">
        <f>Table1[[#This Row],[Unit price]]*Table1[[#This Row],[Quantity]]</f>
        <v>5.54</v>
      </c>
      <c r="I4922" s="29">
        <f>Table1[[#This Row],[Total Revenue]]/$H$5056*100</f>
        <v>5.8777043872235851E-4</v>
      </c>
      <c r="J4922" s="3" t="s">
        <v>17</v>
      </c>
      <c r="K4922" s="4">
        <v>6</v>
      </c>
      <c r="M4922"/>
    </row>
    <row r="4923" spans="1:13" x14ac:dyDescent="0.25">
      <c r="A4923" s="3" t="s">
        <v>236</v>
      </c>
      <c r="B4923" s="3" t="s">
        <v>245</v>
      </c>
      <c r="C4923" s="3" t="s">
        <v>13</v>
      </c>
      <c r="D4923" s="3" t="s">
        <v>19</v>
      </c>
      <c r="E4923" s="5" t="s">
        <v>16</v>
      </c>
      <c r="F4923" s="17">
        <v>59.59</v>
      </c>
      <c r="G4923" s="3">
        <v>2</v>
      </c>
      <c r="H4923" s="17">
        <f>Table1[[#This Row],[Unit price]]*Table1[[#This Row],[Quantity]]</f>
        <v>119.18</v>
      </c>
      <c r="I4923" s="29">
        <f>Table1[[#This Row],[Total Revenue]]/$H$5056*100</f>
        <v>1.2644491134825034E-2</v>
      </c>
      <c r="J4923" s="3" t="s">
        <v>15</v>
      </c>
      <c r="K4923" s="4">
        <v>5.6</v>
      </c>
      <c r="M4923"/>
    </row>
    <row r="4924" spans="1:13" x14ac:dyDescent="0.25">
      <c r="A4924" s="3" t="s">
        <v>236</v>
      </c>
      <c r="B4924" s="3" t="s">
        <v>243</v>
      </c>
      <c r="C4924" s="3" t="s">
        <v>13</v>
      </c>
      <c r="D4924" s="3" t="s">
        <v>10</v>
      </c>
      <c r="E4924" s="5" t="s">
        <v>11</v>
      </c>
      <c r="F4924" s="17">
        <v>9.34</v>
      </c>
      <c r="G4924" s="3">
        <v>1</v>
      </c>
      <c r="H4924" s="17">
        <f>Table1[[#This Row],[Unit price]]*Table1[[#This Row],[Quantity]]</f>
        <v>9.34</v>
      </c>
      <c r="I4924" s="29">
        <f>Table1[[#This Row],[Total Revenue]]/$H$5056*100</f>
        <v>9.9093427755718921E-4</v>
      </c>
      <c r="J4924" s="3" t="s">
        <v>17</v>
      </c>
      <c r="K4924" s="4">
        <v>7.2</v>
      </c>
      <c r="M4924"/>
    </row>
    <row r="4925" spans="1:13" x14ac:dyDescent="0.25">
      <c r="A4925" s="3" t="s">
        <v>237</v>
      </c>
      <c r="B4925" s="3" t="s">
        <v>243</v>
      </c>
      <c r="C4925" s="3" t="s">
        <v>13</v>
      </c>
      <c r="D4925" s="3" t="s">
        <v>19</v>
      </c>
      <c r="E4925" s="5" t="s">
        <v>21</v>
      </c>
      <c r="F4925" s="17">
        <v>24.49</v>
      </c>
      <c r="G4925" s="3">
        <v>10</v>
      </c>
      <c r="H4925" s="17">
        <f>Table1[[#This Row],[Unit price]]*Table1[[#This Row],[Quantity]]</f>
        <v>244.89999999999998</v>
      </c>
      <c r="I4925" s="29">
        <f>Table1[[#This Row],[Total Revenue]]/$H$5056*100</f>
        <v>2.5982848455434217E-2</v>
      </c>
      <c r="J4925" s="3" t="s">
        <v>17</v>
      </c>
      <c r="K4925" s="4">
        <v>7</v>
      </c>
      <c r="M4925"/>
    </row>
    <row r="4926" spans="1:13" x14ac:dyDescent="0.25">
      <c r="A4926" s="3" t="s">
        <v>237</v>
      </c>
      <c r="B4926" s="3" t="s">
        <v>244</v>
      </c>
      <c r="C4926" s="3" t="s">
        <v>9</v>
      </c>
      <c r="D4926" s="3" t="s">
        <v>19</v>
      </c>
      <c r="E4926" s="5" t="s">
        <v>16</v>
      </c>
      <c r="F4926" s="17">
        <v>73.569999999999993</v>
      </c>
      <c r="G4926" s="3">
        <v>9</v>
      </c>
      <c r="H4926" s="17">
        <f>Table1[[#This Row],[Unit price]]*Table1[[#This Row],[Quantity]]</f>
        <v>662.12999999999988</v>
      </c>
      <c r="I4926" s="29">
        <f>Table1[[#This Row],[Total Revenue]]/$H$5056*100</f>
        <v>7.0249177002027999E-2</v>
      </c>
      <c r="J4926" s="3" t="s">
        <v>12</v>
      </c>
      <c r="K4926" s="4">
        <v>9</v>
      </c>
      <c r="M4926"/>
    </row>
    <row r="4927" spans="1:13" x14ac:dyDescent="0.25">
      <c r="A4927" s="3" t="s">
        <v>237</v>
      </c>
      <c r="B4927" s="3" t="s">
        <v>245</v>
      </c>
      <c r="C4927" s="3" t="s">
        <v>13</v>
      </c>
      <c r="D4927" s="3" t="s">
        <v>10</v>
      </c>
      <c r="E4927" s="5" t="s">
        <v>11</v>
      </c>
      <c r="F4927" s="17">
        <v>2.2999999999999998</v>
      </c>
      <c r="G4927" s="3">
        <v>5</v>
      </c>
      <c r="H4927" s="17">
        <f>Table1[[#This Row],[Unit price]]*Table1[[#This Row],[Quantity]]</f>
        <v>11.5</v>
      </c>
      <c r="I4927" s="29">
        <f>Table1[[#This Row],[Total Revenue]]/$H$5056*100</f>
        <v>1.220101091210672E-3</v>
      </c>
      <c r="J4927" s="3" t="s">
        <v>12</v>
      </c>
      <c r="K4927" s="4">
        <v>4</v>
      </c>
      <c r="M4927"/>
    </row>
    <row r="4928" spans="1:13" x14ac:dyDescent="0.25">
      <c r="A4928" s="3" t="s">
        <v>237</v>
      </c>
      <c r="B4928" s="3" t="s">
        <v>245</v>
      </c>
      <c r="C4928" s="3" t="s">
        <v>9</v>
      </c>
      <c r="D4928" s="3" t="s">
        <v>10</v>
      </c>
      <c r="E4928" s="5" t="s">
        <v>21</v>
      </c>
      <c r="F4928" s="17">
        <v>31.87</v>
      </c>
      <c r="G4928" s="3">
        <v>6</v>
      </c>
      <c r="H4928" s="17">
        <f>Table1[[#This Row],[Unit price]]*Table1[[#This Row],[Quantity]]</f>
        <v>191.22</v>
      </c>
      <c r="I4928" s="29">
        <f>Table1[[#This Row],[Total Revenue]]/$H$5056*100</f>
        <v>2.0287628753156928E-2</v>
      </c>
      <c r="J4928" s="3" t="s">
        <v>17</v>
      </c>
      <c r="K4928" s="4">
        <v>4.5999999999999996</v>
      </c>
      <c r="M4928"/>
    </row>
    <row r="4929" spans="1:13" x14ac:dyDescent="0.25">
      <c r="A4929" s="3" t="s">
        <v>237</v>
      </c>
      <c r="B4929" s="3" t="s">
        <v>243</v>
      </c>
      <c r="C4929" s="3" t="s">
        <v>9</v>
      </c>
      <c r="D4929" s="3" t="s">
        <v>10</v>
      </c>
      <c r="E4929" s="5" t="s">
        <v>20</v>
      </c>
      <c r="F4929" s="17">
        <v>56.76</v>
      </c>
      <c r="G4929" s="3">
        <v>5</v>
      </c>
      <c r="H4929" s="17">
        <f>Table1[[#This Row],[Unit price]]*Table1[[#This Row],[Quantity]]</f>
        <v>283.8</v>
      </c>
      <c r="I4929" s="29">
        <f>Table1[[#This Row],[Total Revenue]]/$H$5056*100</f>
        <v>3.0109973016138148E-2</v>
      </c>
      <c r="J4929" s="3" t="s">
        <v>12</v>
      </c>
      <c r="K4929" s="4">
        <v>4.9000000000000004</v>
      </c>
      <c r="M4929"/>
    </row>
    <row r="4930" spans="1:13" x14ac:dyDescent="0.25">
      <c r="A4930" s="3" t="s">
        <v>237</v>
      </c>
      <c r="B4930" s="3" t="s">
        <v>245</v>
      </c>
      <c r="C4930" s="3" t="s">
        <v>9</v>
      </c>
      <c r="D4930" s="3" t="s">
        <v>19</v>
      </c>
      <c r="E4930" s="5" t="s">
        <v>11</v>
      </c>
      <c r="F4930" s="17">
        <v>3.08</v>
      </c>
      <c r="G4930" s="3">
        <v>8</v>
      </c>
      <c r="H4930" s="17">
        <f>Table1[[#This Row],[Unit price]]*Table1[[#This Row],[Quantity]]</f>
        <v>24.64</v>
      </c>
      <c r="I4930" s="29">
        <f>Table1[[#This Row],[Total Revenue]]/$H$5056*100</f>
        <v>2.6141992076026918E-3</v>
      </c>
      <c r="J4930" s="3" t="s">
        <v>12</v>
      </c>
      <c r="K4930" s="4">
        <v>4.8</v>
      </c>
      <c r="M4930"/>
    </row>
    <row r="4931" spans="1:13" x14ac:dyDescent="0.25">
      <c r="A4931" s="3" t="s">
        <v>237</v>
      </c>
      <c r="B4931" s="3" t="s">
        <v>245</v>
      </c>
      <c r="C4931" s="3" t="s">
        <v>9</v>
      </c>
      <c r="D4931" s="3" t="s">
        <v>19</v>
      </c>
      <c r="E4931" s="5" t="s">
        <v>11</v>
      </c>
      <c r="F4931" s="17">
        <v>5.53</v>
      </c>
      <c r="G4931" s="3">
        <v>7</v>
      </c>
      <c r="H4931" s="17">
        <f>Table1[[#This Row],[Unit price]]*Table1[[#This Row],[Quantity]]</f>
        <v>38.71</v>
      </c>
      <c r="I4931" s="29">
        <f>Table1[[#This Row],[Total Revenue]]/$H$5056*100</f>
        <v>4.1069663687621832E-3</v>
      </c>
      <c r="J4931" s="3" t="s">
        <v>17</v>
      </c>
      <c r="K4931" s="4">
        <v>6.3</v>
      </c>
      <c r="M4931"/>
    </row>
    <row r="4932" spans="1:13" x14ac:dyDescent="0.25">
      <c r="A4932" s="3" t="s">
        <v>237</v>
      </c>
      <c r="B4932" s="3" t="s">
        <v>243</v>
      </c>
      <c r="C4932" s="3" t="s">
        <v>9</v>
      </c>
      <c r="D4932" s="3" t="s">
        <v>19</v>
      </c>
      <c r="E4932" s="5" t="s">
        <v>21</v>
      </c>
      <c r="F4932" s="17">
        <v>21.97</v>
      </c>
      <c r="G4932" s="3">
        <v>9</v>
      </c>
      <c r="H4932" s="17">
        <f>Table1[[#This Row],[Unit price]]*Table1[[#This Row],[Quantity]]</f>
        <v>197.73</v>
      </c>
      <c r="I4932" s="29">
        <f>Table1[[#This Row],[Total Revenue]]/$H$5056*100</f>
        <v>2.0978312066529229E-2</v>
      </c>
      <c r="J4932" s="3" t="s">
        <v>12</v>
      </c>
      <c r="K4932" s="4">
        <v>3.9</v>
      </c>
      <c r="M4932"/>
    </row>
    <row r="4933" spans="1:13" x14ac:dyDescent="0.25">
      <c r="A4933" s="3" t="s">
        <v>237</v>
      </c>
      <c r="B4933" s="3" t="s">
        <v>245</v>
      </c>
      <c r="C4933" s="3" t="s">
        <v>9</v>
      </c>
      <c r="D4933" s="3" t="s">
        <v>19</v>
      </c>
      <c r="E4933" s="5" t="s">
        <v>16</v>
      </c>
      <c r="F4933" s="17">
        <v>55.78</v>
      </c>
      <c r="G4933" s="3">
        <v>4</v>
      </c>
      <c r="H4933" s="17">
        <f>Table1[[#This Row],[Unit price]]*Table1[[#This Row],[Quantity]]</f>
        <v>223.12</v>
      </c>
      <c r="I4933" s="29">
        <f>Table1[[#This Row],[Total Revenue]]/$H$5056*100</f>
        <v>2.3672083084428273E-2</v>
      </c>
      <c r="J4933" s="3" t="s">
        <v>15</v>
      </c>
      <c r="K4933" s="4">
        <v>4.7</v>
      </c>
      <c r="M4933"/>
    </row>
    <row r="4934" spans="1:13" x14ac:dyDescent="0.25">
      <c r="A4934" s="3" t="s">
        <v>237</v>
      </c>
      <c r="B4934" s="3" t="s">
        <v>243</v>
      </c>
      <c r="C4934" s="3" t="s">
        <v>13</v>
      </c>
      <c r="D4934" s="3" t="s">
        <v>19</v>
      </c>
      <c r="E4934" s="5" t="s">
        <v>11</v>
      </c>
      <c r="F4934" s="17">
        <v>4.95</v>
      </c>
      <c r="G4934" s="3">
        <v>8</v>
      </c>
      <c r="H4934" s="17">
        <f>Table1[[#This Row],[Unit price]]*Table1[[#This Row],[Quantity]]</f>
        <v>39.6</v>
      </c>
      <c r="I4934" s="29">
        <f>Table1[[#This Row],[Total Revenue]]/$H$5056*100</f>
        <v>4.2013915836471832E-3</v>
      </c>
      <c r="J4934" s="3" t="s">
        <v>17</v>
      </c>
      <c r="K4934" s="4">
        <v>5.7</v>
      </c>
      <c r="M4934"/>
    </row>
    <row r="4935" spans="1:13" x14ac:dyDescent="0.25">
      <c r="A4935" s="3" t="s">
        <v>237</v>
      </c>
      <c r="B4935" s="3" t="s">
        <v>245</v>
      </c>
      <c r="C4935" s="3" t="s">
        <v>9</v>
      </c>
      <c r="D4935" s="3" t="s">
        <v>19</v>
      </c>
      <c r="E4935" s="5" t="s">
        <v>16</v>
      </c>
      <c r="F4935" s="17">
        <v>61.17</v>
      </c>
      <c r="G4935" s="3">
        <v>10</v>
      </c>
      <c r="H4935" s="17">
        <f>Table1[[#This Row],[Unit price]]*Table1[[#This Row],[Quantity]]</f>
        <v>611.70000000000005</v>
      </c>
      <c r="I4935" s="29">
        <f>Table1[[#This Row],[Total Revenue]]/$H$5056*100</f>
        <v>6.4898768477701568E-2</v>
      </c>
      <c r="J4935" s="3" t="s">
        <v>12</v>
      </c>
      <c r="K4935" s="4">
        <v>4.2</v>
      </c>
      <c r="M4935"/>
    </row>
    <row r="4936" spans="1:13" x14ac:dyDescent="0.25">
      <c r="A4936" s="3" t="s">
        <v>237</v>
      </c>
      <c r="B4936" s="3" t="s">
        <v>245</v>
      </c>
      <c r="C4936" s="3" t="s">
        <v>13</v>
      </c>
      <c r="D4936" s="3" t="s">
        <v>10</v>
      </c>
      <c r="E4936" s="5" t="s">
        <v>16</v>
      </c>
      <c r="F4936" s="17">
        <v>54.91</v>
      </c>
      <c r="G4936" s="3">
        <v>5</v>
      </c>
      <c r="H4936" s="17">
        <f>Table1[[#This Row],[Unit price]]*Table1[[#This Row],[Quantity]]</f>
        <v>274.54999999999995</v>
      </c>
      <c r="I4936" s="29">
        <f>Table1[[#This Row],[Total Revenue]]/$H$5056*100</f>
        <v>2.9128587355816513E-2</v>
      </c>
      <c r="J4936" s="3" t="s">
        <v>17</v>
      </c>
      <c r="K4936" s="4">
        <v>8.6</v>
      </c>
      <c r="M4936"/>
    </row>
    <row r="4937" spans="1:13" x14ac:dyDescent="0.25">
      <c r="A4937" s="3" t="s">
        <v>237</v>
      </c>
      <c r="B4937" s="3" t="s">
        <v>244</v>
      </c>
      <c r="C4937" s="3" t="s">
        <v>9</v>
      </c>
      <c r="D4937" s="3" t="s">
        <v>10</v>
      </c>
      <c r="E4937" s="5" t="s">
        <v>14</v>
      </c>
      <c r="F4937" s="17">
        <v>74.72</v>
      </c>
      <c r="G4937" s="3">
        <v>10</v>
      </c>
      <c r="H4937" s="17">
        <f>Table1[[#This Row],[Unit price]]*Table1[[#This Row],[Quantity]]</f>
        <v>747.2</v>
      </c>
      <c r="I4937" s="29">
        <f>Table1[[#This Row],[Total Revenue]]/$H$5056*100</f>
        <v>7.927474220457513E-2</v>
      </c>
      <c r="J4937" s="3" t="s">
        <v>15</v>
      </c>
      <c r="K4937" s="4">
        <v>8.8000000000000007</v>
      </c>
      <c r="M4937"/>
    </row>
    <row r="4938" spans="1:13" x14ac:dyDescent="0.25">
      <c r="A4938" s="3" t="s">
        <v>237</v>
      </c>
      <c r="B4938" s="3" t="s">
        <v>245</v>
      </c>
      <c r="C4938" s="3" t="s">
        <v>13</v>
      </c>
      <c r="D4938" s="3" t="s">
        <v>19</v>
      </c>
      <c r="E4938" s="5" t="s">
        <v>21</v>
      </c>
      <c r="F4938" s="17">
        <v>39.549999999999997</v>
      </c>
      <c r="G4938" s="3">
        <v>9</v>
      </c>
      <c r="H4938" s="17">
        <f>Table1[[#This Row],[Unit price]]*Table1[[#This Row],[Quantity]]</f>
        <v>355.95</v>
      </c>
      <c r="I4938" s="29">
        <f>Table1[[#This Row],[Total Revenue]]/$H$5056*100</f>
        <v>3.7764781166646832E-2</v>
      </c>
      <c r="J4938" s="3" t="s">
        <v>15</v>
      </c>
      <c r="K4938" s="4">
        <v>8.9</v>
      </c>
      <c r="M4938"/>
    </row>
    <row r="4939" spans="1:13" x14ac:dyDescent="0.25">
      <c r="A4939" s="3" t="s">
        <v>237</v>
      </c>
      <c r="B4939" s="3" t="s">
        <v>245</v>
      </c>
      <c r="C4939" s="3" t="s">
        <v>13</v>
      </c>
      <c r="D4939" s="3" t="s">
        <v>19</v>
      </c>
      <c r="E4939" s="5" t="s">
        <v>16</v>
      </c>
      <c r="F4939" s="17">
        <v>77.349999999999994</v>
      </c>
      <c r="G4939" s="3">
        <v>3</v>
      </c>
      <c r="H4939" s="17">
        <f>Table1[[#This Row],[Unit price]]*Table1[[#This Row],[Quantity]]</f>
        <v>232.04999999999998</v>
      </c>
      <c r="I4939" s="29">
        <f>Table1[[#This Row],[Total Revenue]]/$H$5056*100</f>
        <v>2.461951810569012E-2</v>
      </c>
      <c r="J4939" s="3" t="s">
        <v>17</v>
      </c>
      <c r="K4939" s="4">
        <v>8.4</v>
      </c>
      <c r="M4939"/>
    </row>
    <row r="4940" spans="1:13" x14ac:dyDescent="0.25">
      <c r="A4940" s="3" t="s">
        <v>237</v>
      </c>
      <c r="B4940" s="3" t="s">
        <v>245</v>
      </c>
      <c r="C4940" s="3" t="s">
        <v>13</v>
      </c>
      <c r="D4940" s="3" t="s">
        <v>10</v>
      </c>
      <c r="E4940" s="5" t="s">
        <v>11</v>
      </c>
      <c r="F4940" s="17">
        <v>5.39</v>
      </c>
      <c r="G4940" s="3">
        <v>7</v>
      </c>
      <c r="H4940" s="17">
        <f>Table1[[#This Row],[Unit price]]*Table1[[#This Row],[Quantity]]</f>
        <v>37.729999999999997</v>
      </c>
      <c r="I4940" s="29">
        <f>Table1[[#This Row],[Total Revenue]]/$H$5056*100</f>
        <v>4.0029925366416221E-3</v>
      </c>
      <c r="J4940" s="3" t="s">
        <v>12</v>
      </c>
      <c r="K4940" s="4">
        <v>6.1</v>
      </c>
      <c r="M4940"/>
    </row>
    <row r="4941" spans="1:13" x14ac:dyDescent="0.25">
      <c r="A4941" s="3" t="s">
        <v>237</v>
      </c>
      <c r="B4941" s="3" t="s">
        <v>243</v>
      </c>
      <c r="C4941" s="3" t="s">
        <v>9</v>
      </c>
      <c r="D4941" s="3" t="s">
        <v>10</v>
      </c>
      <c r="E4941" s="5" t="s">
        <v>11</v>
      </c>
      <c r="F4941" s="17">
        <v>2.06</v>
      </c>
      <c r="G4941" s="3">
        <v>6</v>
      </c>
      <c r="H4941" s="17">
        <f>Table1[[#This Row],[Unit price]]*Table1[[#This Row],[Quantity]]</f>
        <v>12.36</v>
      </c>
      <c r="I4941" s="29">
        <f>Table1[[#This Row],[Total Revenue]]/$H$5056*100</f>
        <v>1.3113434336838178E-3</v>
      </c>
      <c r="J4941" s="3" t="s">
        <v>17</v>
      </c>
      <c r="K4941" s="4">
        <v>7.4</v>
      </c>
      <c r="M4941"/>
    </row>
    <row r="4942" spans="1:13" x14ac:dyDescent="0.25">
      <c r="A4942" s="3" t="s">
        <v>237</v>
      </c>
      <c r="B4942" s="3" t="s">
        <v>243</v>
      </c>
      <c r="C4942" s="3" t="s">
        <v>13</v>
      </c>
      <c r="D4942" s="3" t="s">
        <v>19</v>
      </c>
      <c r="E4942" s="5" t="s">
        <v>21</v>
      </c>
      <c r="F4942" s="17">
        <v>21.92</v>
      </c>
      <c r="G4942" s="3">
        <v>5</v>
      </c>
      <c r="H4942" s="17">
        <f>Table1[[#This Row],[Unit price]]*Table1[[#This Row],[Quantity]]</f>
        <v>109.60000000000001</v>
      </c>
      <c r="I4942" s="29">
        <f>Table1[[#This Row],[Total Revenue]]/$H$5056*100</f>
        <v>1.1628093877973013E-2</v>
      </c>
      <c r="J4942" s="3" t="s">
        <v>17</v>
      </c>
      <c r="K4942" s="4">
        <v>5.2</v>
      </c>
      <c r="M4942"/>
    </row>
    <row r="4943" spans="1:13" x14ac:dyDescent="0.25">
      <c r="A4943" s="3" t="s">
        <v>238</v>
      </c>
      <c r="B4943" s="3" t="s">
        <v>245</v>
      </c>
      <c r="C4943" s="3" t="s">
        <v>9</v>
      </c>
      <c r="D4943" s="3" t="s">
        <v>10</v>
      </c>
      <c r="E4943" s="5" t="s">
        <v>11</v>
      </c>
      <c r="F4943" s="17">
        <v>3.2</v>
      </c>
      <c r="G4943" s="3">
        <v>4</v>
      </c>
      <c r="H4943" s="17">
        <f>Table1[[#This Row],[Unit price]]*Table1[[#This Row],[Quantity]]</f>
        <v>12.8</v>
      </c>
      <c r="I4943" s="29">
        <f>Table1[[#This Row],[Total Revenue]]/$H$5056*100</f>
        <v>1.3580255623910087E-3</v>
      </c>
      <c r="J4943" s="3" t="s">
        <v>15</v>
      </c>
      <c r="K4943" s="4">
        <v>8.5</v>
      </c>
      <c r="M4943"/>
    </row>
    <row r="4944" spans="1:13" x14ac:dyDescent="0.25">
      <c r="A4944" s="3" t="s">
        <v>238</v>
      </c>
      <c r="B4944" s="3" t="s">
        <v>245</v>
      </c>
      <c r="C4944" s="3" t="s">
        <v>13</v>
      </c>
      <c r="D4944" s="3" t="s">
        <v>10</v>
      </c>
      <c r="E4944" s="5" t="s">
        <v>16</v>
      </c>
      <c r="F4944" s="17">
        <v>70.42</v>
      </c>
      <c r="G4944" s="3">
        <v>1</v>
      </c>
      <c r="H4944" s="17">
        <f>Table1[[#This Row],[Unit price]]*Table1[[#This Row],[Quantity]]</f>
        <v>70.42</v>
      </c>
      <c r="I4944" s="29">
        <f>Table1[[#This Row],[Total Revenue]]/$H$5056*100</f>
        <v>7.4712625080917841E-3</v>
      </c>
      <c r="J4944" s="3" t="s">
        <v>17</v>
      </c>
      <c r="K4944" s="4">
        <v>6.4</v>
      </c>
      <c r="M4944"/>
    </row>
    <row r="4945" spans="1:13" x14ac:dyDescent="0.25">
      <c r="A4945" s="3" t="s">
        <v>238</v>
      </c>
      <c r="B4945" s="3" t="s">
        <v>243</v>
      </c>
      <c r="C4945" s="3" t="s">
        <v>13</v>
      </c>
      <c r="D4945" s="3" t="s">
        <v>10</v>
      </c>
      <c r="E4945" s="5" t="s">
        <v>11</v>
      </c>
      <c r="F4945" s="17">
        <v>7.89</v>
      </c>
      <c r="G4945" s="3">
        <v>10</v>
      </c>
      <c r="H4945" s="17">
        <f>Table1[[#This Row],[Unit price]]*Table1[[#This Row],[Quantity]]</f>
        <v>78.899999999999991</v>
      </c>
      <c r="I4945" s="29">
        <f>Table1[[#This Row],[Total Revenue]]/$H$5056*100</f>
        <v>8.3709544431758258E-3</v>
      </c>
      <c r="J4945" s="3" t="s">
        <v>17</v>
      </c>
      <c r="K4945" s="4">
        <v>9.8000000000000007</v>
      </c>
      <c r="M4945"/>
    </row>
    <row r="4946" spans="1:13" x14ac:dyDescent="0.25">
      <c r="A4946" s="3" t="s">
        <v>238</v>
      </c>
      <c r="B4946" s="3" t="s">
        <v>243</v>
      </c>
      <c r="C4946" s="3" t="s">
        <v>13</v>
      </c>
      <c r="D4946" s="3" t="s">
        <v>19</v>
      </c>
      <c r="E4946" s="5" t="s">
        <v>16</v>
      </c>
      <c r="F4946" s="17">
        <v>77.2</v>
      </c>
      <c r="G4946" s="3">
        <v>6</v>
      </c>
      <c r="H4946" s="17">
        <f>Table1[[#This Row],[Unit price]]*Table1[[#This Row],[Quantity]]</f>
        <v>463.20000000000005</v>
      </c>
      <c r="I4946" s="29">
        <f>Table1[[#This Row],[Total Revenue]]/$H$5056*100</f>
        <v>4.9143550039024632E-2</v>
      </c>
      <c r="J4946" s="3" t="s">
        <v>17</v>
      </c>
      <c r="K4946" s="4">
        <v>5</v>
      </c>
      <c r="M4946"/>
    </row>
    <row r="4947" spans="1:13" x14ac:dyDescent="0.25">
      <c r="A4947" s="3" t="s">
        <v>238</v>
      </c>
      <c r="B4947" s="3" t="s">
        <v>245</v>
      </c>
      <c r="C4947" s="3" t="s">
        <v>13</v>
      </c>
      <c r="D4947" s="3" t="s">
        <v>19</v>
      </c>
      <c r="E4947" s="5" t="s">
        <v>18</v>
      </c>
      <c r="F4947" s="17">
        <v>3.76</v>
      </c>
      <c r="G4947" s="3">
        <v>3</v>
      </c>
      <c r="H4947" s="17">
        <f>Table1[[#This Row],[Unit price]]*Table1[[#This Row],[Quantity]]</f>
        <v>11.28</v>
      </c>
      <c r="I4947" s="29">
        <f>Table1[[#This Row],[Total Revenue]]/$H$5056*100</f>
        <v>1.1967600268570763E-3</v>
      </c>
      <c r="J4947" s="3" t="s">
        <v>17</v>
      </c>
      <c r="K4947" s="4">
        <v>4.8</v>
      </c>
      <c r="M4947"/>
    </row>
    <row r="4948" spans="1:13" x14ac:dyDescent="0.25">
      <c r="A4948" s="3" t="s">
        <v>238</v>
      </c>
      <c r="B4948" s="3" t="s">
        <v>244</v>
      </c>
      <c r="C4948" s="3" t="s">
        <v>9</v>
      </c>
      <c r="D4948" s="3" t="s">
        <v>10</v>
      </c>
      <c r="E4948" s="5" t="s">
        <v>16</v>
      </c>
      <c r="F4948" s="17">
        <v>56.67</v>
      </c>
      <c r="G4948" s="3">
        <v>4</v>
      </c>
      <c r="H4948" s="17">
        <f>Table1[[#This Row],[Unit price]]*Table1[[#This Row],[Quantity]]</f>
        <v>226.68</v>
      </c>
      <c r="I4948" s="29">
        <f>Table1[[#This Row],[Total Revenue]]/$H$5056*100</f>
        <v>2.404978394396827E-2</v>
      </c>
      <c r="J4948" s="3" t="s">
        <v>17</v>
      </c>
      <c r="K4948" s="4">
        <v>8.9</v>
      </c>
      <c r="M4948"/>
    </row>
    <row r="4949" spans="1:13" x14ac:dyDescent="0.25">
      <c r="A4949" s="3" t="s">
        <v>238</v>
      </c>
      <c r="B4949" s="3" t="s">
        <v>243</v>
      </c>
      <c r="C4949" s="3" t="s">
        <v>13</v>
      </c>
      <c r="D4949" s="3" t="s">
        <v>10</v>
      </c>
      <c r="E4949" s="5" t="s">
        <v>11</v>
      </c>
      <c r="F4949" s="17">
        <v>6.68</v>
      </c>
      <c r="G4949" s="3">
        <v>8</v>
      </c>
      <c r="H4949" s="17">
        <f>Table1[[#This Row],[Unit price]]*Table1[[#This Row],[Quantity]]</f>
        <v>53.44</v>
      </c>
      <c r="I4949" s="29">
        <f>Table1[[#This Row],[Total Revenue]]/$H$5056*100</f>
        <v>5.669756722982461E-3</v>
      </c>
      <c r="J4949" s="3" t="s">
        <v>15</v>
      </c>
      <c r="K4949" s="4">
        <v>6.2</v>
      </c>
      <c r="M4949"/>
    </row>
    <row r="4950" spans="1:13" x14ac:dyDescent="0.25">
      <c r="A4950" s="3" t="s">
        <v>238</v>
      </c>
      <c r="B4950" s="3" t="s">
        <v>245</v>
      </c>
      <c r="C4950" s="3" t="s">
        <v>13</v>
      </c>
      <c r="D4950" s="3" t="s">
        <v>19</v>
      </c>
      <c r="E4950" s="5" t="s">
        <v>16</v>
      </c>
      <c r="F4950" s="17">
        <v>76.680000000000007</v>
      </c>
      <c r="G4950" s="3">
        <v>9</v>
      </c>
      <c r="H4950" s="17">
        <f>Table1[[#This Row],[Unit price]]*Table1[[#This Row],[Quantity]]</f>
        <v>690.12000000000012</v>
      </c>
      <c r="I4950" s="29">
        <f>Table1[[#This Row],[Total Revenue]]/$H$5056*100</f>
        <v>7.3218796962287738E-2</v>
      </c>
      <c r="J4950" s="3" t="s">
        <v>15</v>
      </c>
      <c r="K4950" s="4">
        <v>8.9</v>
      </c>
      <c r="M4950"/>
    </row>
    <row r="4951" spans="1:13" x14ac:dyDescent="0.25">
      <c r="A4951" s="3" t="s">
        <v>238</v>
      </c>
      <c r="B4951" s="3" t="s">
        <v>243</v>
      </c>
      <c r="C4951" s="3" t="s">
        <v>9</v>
      </c>
      <c r="D4951" s="3" t="s">
        <v>10</v>
      </c>
      <c r="E4951" s="5" t="s">
        <v>11</v>
      </c>
      <c r="F4951" s="17">
        <v>8.9700000000000006</v>
      </c>
      <c r="G4951" s="3">
        <v>3</v>
      </c>
      <c r="H4951" s="17">
        <f>Table1[[#This Row],[Unit price]]*Table1[[#This Row],[Quantity]]</f>
        <v>26.910000000000004</v>
      </c>
      <c r="I4951" s="29">
        <f>Table1[[#This Row],[Total Revenue]]/$H$5056*100</f>
        <v>2.8550365534329727E-3</v>
      </c>
      <c r="J4951" s="3" t="s">
        <v>15</v>
      </c>
      <c r="K4951" s="4">
        <v>9.6999999999999993</v>
      </c>
      <c r="M4951"/>
    </row>
    <row r="4952" spans="1:13" x14ac:dyDescent="0.25">
      <c r="A4952" s="3" t="s">
        <v>238</v>
      </c>
      <c r="B4952" s="3" t="s">
        <v>245</v>
      </c>
      <c r="C4952" s="3" t="s">
        <v>9</v>
      </c>
      <c r="D4952" s="3" t="s">
        <v>10</v>
      </c>
      <c r="E4952" s="5" t="s">
        <v>11</v>
      </c>
      <c r="F4952" s="17">
        <v>4.53</v>
      </c>
      <c r="G4952" s="3">
        <v>3</v>
      </c>
      <c r="H4952" s="17">
        <f>Table1[[#This Row],[Unit price]]*Table1[[#This Row],[Quantity]]</f>
        <v>13.59</v>
      </c>
      <c r="I4952" s="29">
        <f>Table1[[#This Row],[Total Revenue]]/$H$5056*100</f>
        <v>1.4418412025698287E-3</v>
      </c>
      <c r="J4952" s="3" t="s">
        <v>15</v>
      </c>
      <c r="K4952" s="4">
        <v>6.3</v>
      </c>
      <c r="M4952"/>
    </row>
    <row r="4953" spans="1:13" x14ac:dyDescent="0.25">
      <c r="A4953" s="3" t="s">
        <v>238</v>
      </c>
      <c r="B4953" s="3" t="s">
        <v>244</v>
      </c>
      <c r="C4953" s="3" t="s">
        <v>9</v>
      </c>
      <c r="D4953" s="3" t="s">
        <v>10</v>
      </c>
      <c r="E4953" s="5" t="s">
        <v>21</v>
      </c>
      <c r="F4953" s="17">
        <v>20.14</v>
      </c>
      <c r="G4953" s="3">
        <v>5</v>
      </c>
      <c r="H4953" s="17">
        <f>Table1[[#This Row],[Unit price]]*Table1[[#This Row],[Quantity]]</f>
        <v>100.7</v>
      </c>
      <c r="I4953" s="29">
        <f>Table1[[#This Row],[Total Revenue]]/$H$5056*100</f>
        <v>1.0683841729123015E-2</v>
      </c>
      <c r="J4953" s="3" t="s">
        <v>15</v>
      </c>
      <c r="K4953" s="4">
        <v>8.1999999999999993</v>
      </c>
      <c r="M4953"/>
    </row>
    <row r="4954" spans="1:13" x14ac:dyDescent="0.25">
      <c r="A4954" s="3" t="s">
        <v>238</v>
      </c>
      <c r="B4954" s="3" t="s">
        <v>244</v>
      </c>
      <c r="C4954" s="3" t="s">
        <v>9</v>
      </c>
      <c r="D4954" s="3" t="s">
        <v>10</v>
      </c>
      <c r="E4954" s="5" t="s">
        <v>18</v>
      </c>
      <c r="F4954" s="17">
        <v>4.33</v>
      </c>
      <c r="G4954" s="3">
        <v>7</v>
      </c>
      <c r="H4954" s="17">
        <f>Table1[[#This Row],[Unit price]]*Table1[[#This Row],[Quantity]]</f>
        <v>30.310000000000002</v>
      </c>
      <c r="I4954" s="29">
        <f>Table1[[#This Row],[Total Revenue]]/$H$5056*100</f>
        <v>3.2157620934430845E-3</v>
      </c>
      <c r="J4954" s="3" t="s">
        <v>17</v>
      </c>
      <c r="K4954" s="4">
        <v>5.9</v>
      </c>
      <c r="M4954"/>
    </row>
    <row r="4955" spans="1:13" x14ac:dyDescent="0.25">
      <c r="A4955" s="3" t="s">
        <v>238</v>
      </c>
      <c r="B4955" s="3" t="s">
        <v>243</v>
      </c>
      <c r="C4955" s="3" t="s">
        <v>9</v>
      </c>
      <c r="D4955" s="3" t="s">
        <v>10</v>
      </c>
      <c r="E4955" s="5" t="s">
        <v>11</v>
      </c>
      <c r="F4955" s="17">
        <v>2.2999999999999998</v>
      </c>
      <c r="G4955" s="3">
        <v>4</v>
      </c>
      <c r="H4955" s="17">
        <f>Table1[[#This Row],[Unit price]]*Table1[[#This Row],[Quantity]]</f>
        <v>9.1999999999999993</v>
      </c>
      <c r="I4955" s="29">
        <f>Table1[[#This Row],[Total Revenue]]/$H$5056*100</f>
        <v>9.7608087296853735E-4</v>
      </c>
      <c r="J4955" s="3" t="s">
        <v>17</v>
      </c>
      <c r="K4955" s="4">
        <v>5.5</v>
      </c>
      <c r="M4955"/>
    </row>
    <row r="4956" spans="1:13" x14ac:dyDescent="0.25">
      <c r="A4956" s="3" t="s">
        <v>238</v>
      </c>
      <c r="B4956" s="3" t="s">
        <v>243</v>
      </c>
      <c r="C4956" s="3" t="s">
        <v>9</v>
      </c>
      <c r="D4956" s="3" t="s">
        <v>19</v>
      </c>
      <c r="E4956" s="5" t="s">
        <v>14</v>
      </c>
      <c r="F4956" s="17">
        <v>89.59</v>
      </c>
      <c r="G4956" s="3">
        <v>4</v>
      </c>
      <c r="H4956" s="17">
        <f>Table1[[#This Row],[Unit price]]*Table1[[#This Row],[Quantity]]</f>
        <v>358.36</v>
      </c>
      <c r="I4956" s="29">
        <f>Table1[[#This Row],[Total Revenue]]/$H$5056*100</f>
        <v>3.8020471917065771E-2</v>
      </c>
      <c r="J4956" s="3" t="s">
        <v>15</v>
      </c>
      <c r="K4956" s="4">
        <v>7.7</v>
      </c>
      <c r="M4956"/>
    </row>
    <row r="4957" spans="1:13" x14ac:dyDescent="0.25">
      <c r="A4957" s="3" t="s">
        <v>238</v>
      </c>
      <c r="B4957" s="3" t="s">
        <v>244</v>
      </c>
      <c r="C4957" s="3" t="s">
        <v>13</v>
      </c>
      <c r="D4957" s="3" t="s">
        <v>19</v>
      </c>
      <c r="E4957" s="5" t="s">
        <v>11</v>
      </c>
      <c r="F4957" s="17">
        <v>6.03</v>
      </c>
      <c r="G4957" s="3">
        <v>5</v>
      </c>
      <c r="H4957" s="17">
        <f>Table1[[#This Row],[Unit price]]*Table1[[#This Row],[Quantity]]</f>
        <v>30.150000000000002</v>
      </c>
      <c r="I4957" s="29">
        <f>Table1[[#This Row],[Total Revenue]]/$H$5056*100</f>
        <v>3.1987867739131965E-3</v>
      </c>
      <c r="J4957" s="3" t="s">
        <v>15</v>
      </c>
      <c r="K4957" s="4">
        <v>3.4</v>
      </c>
      <c r="M4957"/>
    </row>
    <row r="4958" spans="1:13" x14ac:dyDescent="0.25">
      <c r="A4958" s="3" t="s">
        <v>238</v>
      </c>
      <c r="B4958" s="3" t="s">
        <v>243</v>
      </c>
      <c r="C4958" s="3" t="s">
        <v>13</v>
      </c>
      <c r="D4958" s="3" t="s">
        <v>10</v>
      </c>
      <c r="E4958" s="5" t="s">
        <v>14</v>
      </c>
      <c r="F4958" s="17">
        <v>82.55</v>
      </c>
      <c r="G4958" s="3">
        <v>3</v>
      </c>
      <c r="H4958" s="17">
        <f>Table1[[#This Row],[Unit price]]*Table1[[#This Row],[Quantity]]</f>
        <v>247.64999999999998</v>
      </c>
      <c r="I4958" s="29">
        <f>Table1[[#This Row],[Total Revenue]]/$H$5056*100</f>
        <v>2.6274611759854165E-2</v>
      </c>
      <c r="J4958" s="3" t="s">
        <v>12</v>
      </c>
      <c r="K4958" s="4">
        <v>9.8000000000000007</v>
      </c>
      <c r="M4958"/>
    </row>
    <row r="4959" spans="1:13" x14ac:dyDescent="0.25">
      <c r="A4959" s="3" t="s">
        <v>238</v>
      </c>
      <c r="B4959" s="3" t="s">
        <v>244</v>
      </c>
      <c r="C4959" s="3" t="s">
        <v>13</v>
      </c>
      <c r="D4959" s="3" t="s">
        <v>19</v>
      </c>
      <c r="E4959" s="5" t="s">
        <v>11</v>
      </c>
      <c r="F4959" s="17">
        <v>2.15</v>
      </c>
      <c r="G4959" s="3">
        <v>4</v>
      </c>
      <c r="H4959" s="17">
        <f>Table1[[#This Row],[Unit price]]*Table1[[#This Row],[Quantity]]</f>
        <v>8.6</v>
      </c>
      <c r="I4959" s="29">
        <f>Table1[[#This Row],[Total Revenue]]/$H$5056*100</f>
        <v>9.1242342473145887E-4</v>
      </c>
      <c r="J4959" s="3" t="s">
        <v>17</v>
      </c>
      <c r="K4959" s="4">
        <v>9.6999999999999993</v>
      </c>
      <c r="M4959"/>
    </row>
    <row r="4960" spans="1:13" x14ac:dyDescent="0.25">
      <c r="A4960" s="3" t="s">
        <v>238</v>
      </c>
      <c r="B4960" s="3" t="s">
        <v>244</v>
      </c>
      <c r="C4960" s="3" t="s">
        <v>9</v>
      </c>
      <c r="D4960" s="3" t="s">
        <v>19</v>
      </c>
      <c r="E4960" s="5" t="s">
        <v>11</v>
      </c>
      <c r="F4960" s="17">
        <v>4.93</v>
      </c>
      <c r="G4960" s="3">
        <v>1</v>
      </c>
      <c r="H4960" s="17">
        <f>Table1[[#This Row],[Unit price]]*Table1[[#This Row],[Quantity]]</f>
        <v>4.93</v>
      </c>
      <c r="I4960" s="29">
        <f>Table1[[#This Row],[Total Revenue]]/$H$5056*100</f>
        <v>5.2305203301466184E-4</v>
      </c>
      <c r="J4960" s="3" t="s">
        <v>12</v>
      </c>
      <c r="K4960" s="4">
        <v>9</v>
      </c>
      <c r="M4960"/>
    </row>
    <row r="4961" spans="1:13" x14ac:dyDescent="0.25">
      <c r="A4961" s="3" t="s">
        <v>238</v>
      </c>
      <c r="B4961" s="3" t="s">
        <v>245</v>
      </c>
      <c r="C4961" s="3" t="s">
        <v>9</v>
      </c>
      <c r="D4961" s="3" t="s">
        <v>19</v>
      </c>
      <c r="E4961" s="5" t="s">
        <v>11</v>
      </c>
      <c r="F4961" s="17">
        <v>7.3</v>
      </c>
      <c r="G4961" s="3">
        <v>1</v>
      </c>
      <c r="H4961" s="17">
        <f>Table1[[#This Row],[Unit price]]*Table1[[#This Row],[Quantity]]</f>
        <v>7.3</v>
      </c>
      <c r="I4961" s="29">
        <f>Table1[[#This Row],[Total Revenue]]/$H$5056*100</f>
        <v>7.7449895355112216E-4</v>
      </c>
      <c r="J4961" s="3" t="s">
        <v>15</v>
      </c>
      <c r="K4961" s="4">
        <v>7.7</v>
      </c>
      <c r="M4961"/>
    </row>
    <row r="4962" spans="1:13" x14ac:dyDescent="0.25">
      <c r="A4962" s="3" t="s">
        <v>238</v>
      </c>
      <c r="B4962" s="3" t="s">
        <v>243</v>
      </c>
      <c r="C4962" s="3" t="s">
        <v>13</v>
      </c>
      <c r="D4962" s="3" t="s">
        <v>19</v>
      </c>
      <c r="E4962" s="5" t="s">
        <v>11</v>
      </c>
      <c r="F4962" s="17">
        <v>5.8</v>
      </c>
      <c r="G4962" s="3">
        <v>3</v>
      </c>
      <c r="H4962" s="17">
        <f>Table1[[#This Row],[Unit price]]*Table1[[#This Row],[Quantity]]</f>
        <v>17.399999999999999</v>
      </c>
      <c r="I4962" s="29">
        <f>Table1[[#This Row],[Total Revenue]]/$H$5056*100</f>
        <v>1.8460659988752772E-3</v>
      </c>
      <c r="J4962" s="3" t="s">
        <v>15</v>
      </c>
      <c r="K4962" s="4">
        <v>7.7</v>
      </c>
      <c r="M4962"/>
    </row>
    <row r="4963" spans="1:13" x14ac:dyDescent="0.25">
      <c r="A4963" s="3" t="s">
        <v>238</v>
      </c>
      <c r="B4963" s="3" t="s">
        <v>243</v>
      </c>
      <c r="C4963" s="3" t="s">
        <v>9</v>
      </c>
      <c r="D4963" s="3" t="s">
        <v>10</v>
      </c>
      <c r="E4963" s="5" t="s">
        <v>21</v>
      </c>
      <c r="F4963" s="17">
        <v>39.869999999999997</v>
      </c>
      <c r="G4963" s="3">
        <v>5</v>
      </c>
      <c r="H4963" s="17">
        <f>Table1[[#This Row],[Unit price]]*Table1[[#This Row],[Quantity]]</f>
        <v>199.35</v>
      </c>
      <c r="I4963" s="29">
        <f>Table1[[#This Row],[Total Revenue]]/$H$5056*100</f>
        <v>2.1150187176769343E-2</v>
      </c>
      <c r="J4963" s="3" t="s">
        <v>17</v>
      </c>
      <c r="K4963" s="4">
        <v>7.1</v>
      </c>
      <c r="M4963"/>
    </row>
    <row r="4964" spans="1:13" x14ac:dyDescent="0.25">
      <c r="A4964" s="3" t="s">
        <v>238</v>
      </c>
      <c r="B4964" s="3" t="s">
        <v>244</v>
      </c>
      <c r="C4964" s="3" t="s">
        <v>13</v>
      </c>
      <c r="D4964" s="3" t="s">
        <v>19</v>
      </c>
      <c r="E4964" s="5" t="s">
        <v>18</v>
      </c>
      <c r="F4964" s="17">
        <v>4.05</v>
      </c>
      <c r="G4964" s="3">
        <v>2</v>
      </c>
      <c r="H4964" s="17">
        <f>Table1[[#This Row],[Unit price]]*Table1[[#This Row],[Quantity]]</f>
        <v>8.1</v>
      </c>
      <c r="I4964" s="29">
        <f>Table1[[#This Row],[Total Revenue]]/$H$5056*100</f>
        <v>8.5937555120056013E-4</v>
      </c>
      <c r="J4964" s="3" t="s">
        <v>12</v>
      </c>
      <c r="K4964" s="4">
        <v>4.4000000000000004</v>
      </c>
      <c r="M4964"/>
    </row>
    <row r="4965" spans="1:13" x14ac:dyDescent="0.25">
      <c r="A4965" s="3" t="s">
        <v>239</v>
      </c>
      <c r="B4965" s="3" t="s">
        <v>243</v>
      </c>
      <c r="C4965" s="3" t="s">
        <v>13</v>
      </c>
      <c r="D4965" s="3" t="s">
        <v>19</v>
      </c>
      <c r="E4965" s="5" t="s">
        <v>18</v>
      </c>
      <c r="F4965" s="17">
        <v>14.66</v>
      </c>
      <c r="G4965" s="3">
        <v>5</v>
      </c>
      <c r="H4965" s="17">
        <f>Table1[[#This Row],[Unit price]]*Table1[[#This Row],[Quantity]]</f>
        <v>73.3</v>
      </c>
      <c r="I4965" s="29">
        <f>Table1[[#This Row],[Total Revenue]]/$H$5056*100</f>
        <v>7.77681825962976E-3</v>
      </c>
      <c r="J4965" s="3" t="s">
        <v>15</v>
      </c>
      <c r="K4965" s="4">
        <v>3.3</v>
      </c>
      <c r="M4965"/>
    </row>
    <row r="4966" spans="1:13" x14ac:dyDescent="0.25">
      <c r="A4966" s="3" t="s">
        <v>239</v>
      </c>
      <c r="B4966" s="3" t="s">
        <v>244</v>
      </c>
      <c r="C4966" s="3" t="s">
        <v>13</v>
      </c>
      <c r="D4966" s="3" t="s">
        <v>10</v>
      </c>
      <c r="E4966" s="5" t="s">
        <v>11</v>
      </c>
      <c r="F4966" s="17">
        <v>3.88</v>
      </c>
      <c r="G4966" s="3">
        <v>1</v>
      </c>
      <c r="H4966" s="17">
        <f>Table1[[#This Row],[Unit price]]*Table1[[#This Row],[Quantity]]</f>
        <v>3.88</v>
      </c>
      <c r="I4966" s="29">
        <f>Table1[[#This Row],[Total Revenue]]/$H$5056*100</f>
        <v>4.1165149859977444E-4</v>
      </c>
      <c r="J4966" s="3" t="s">
        <v>17</v>
      </c>
      <c r="K4966" s="4">
        <v>3.6</v>
      </c>
      <c r="M4966"/>
    </row>
    <row r="4967" spans="1:13" x14ac:dyDescent="0.25">
      <c r="A4967" s="3" t="s">
        <v>239</v>
      </c>
      <c r="B4967" s="3" t="s">
        <v>245</v>
      </c>
      <c r="C4967" s="3" t="s">
        <v>9</v>
      </c>
      <c r="D4967" s="3" t="s">
        <v>10</v>
      </c>
      <c r="E4967" s="5" t="s">
        <v>18</v>
      </c>
      <c r="F4967" s="17">
        <v>19.09</v>
      </c>
      <c r="G4967" s="3">
        <v>9</v>
      </c>
      <c r="H4967" s="17">
        <f>Table1[[#This Row],[Unit price]]*Table1[[#This Row],[Quantity]]</f>
        <v>171.81</v>
      </c>
      <c r="I4967" s="29">
        <f>Table1[[#This Row],[Total Revenue]]/$H$5056*100</f>
        <v>1.8228310302687439E-2</v>
      </c>
      <c r="J4967" s="3" t="s">
        <v>15</v>
      </c>
      <c r="K4967" s="4">
        <v>7.9</v>
      </c>
      <c r="M4967"/>
    </row>
    <row r="4968" spans="1:13" x14ac:dyDescent="0.25">
      <c r="A4968" s="3" t="s">
        <v>239</v>
      </c>
      <c r="B4968" s="3" t="s">
        <v>243</v>
      </c>
      <c r="C4968" s="3" t="s">
        <v>13</v>
      </c>
      <c r="D4968" s="3" t="s">
        <v>19</v>
      </c>
      <c r="E4968" s="5" t="s">
        <v>18</v>
      </c>
      <c r="F4968" s="17">
        <v>19.8</v>
      </c>
      <c r="G4968" s="3">
        <v>5</v>
      </c>
      <c r="H4968" s="17">
        <f>Table1[[#This Row],[Unit price]]*Table1[[#This Row],[Quantity]]</f>
        <v>99</v>
      </c>
      <c r="I4968" s="29">
        <f>Table1[[#This Row],[Total Revenue]]/$H$5056*100</f>
        <v>1.0503478959117957E-2</v>
      </c>
      <c r="J4968" s="3" t="s">
        <v>12</v>
      </c>
      <c r="K4968" s="4">
        <v>6.2</v>
      </c>
      <c r="M4968"/>
    </row>
    <row r="4969" spans="1:13" x14ac:dyDescent="0.25">
      <c r="A4969" s="3" t="s">
        <v>239</v>
      </c>
      <c r="B4969" s="3" t="s">
        <v>244</v>
      </c>
      <c r="C4969" s="3" t="s">
        <v>13</v>
      </c>
      <c r="D4969" s="3" t="s">
        <v>19</v>
      </c>
      <c r="E4969" s="5" t="s">
        <v>14</v>
      </c>
      <c r="F4969" s="17">
        <v>80.430000000000007</v>
      </c>
      <c r="G4969" s="3">
        <v>6</v>
      </c>
      <c r="H4969" s="17">
        <f>Table1[[#This Row],[Unit price]]*Table1[[#This Row],[Quantity]]</f>
        <v>482.58000000000004</v>
      </c>
      <c r="I4969" s="29">
        <f>Table1[[#This Row],[Total Revenue]]/$H$5056*100</f>
        <v>5.1199685617082262E-2</v>
      </c>
      <c r="J4969" s="3" t="s">
        <v>12</v>
      </c>
      <c r="K4969" s="4">
        <v>8</v>
      </c>
      <c r="M4969"/>
    </row>
    <row r="4970" spans="1:13" x14ac:dyDescent="0.25">
      <c r="A4970" s="3" t="s">
        <v>239</v>
      </c>
      <c r="B4970" s="3" t="s">
        <v>244</v>
      </c>
      <c r="C4970" s="3" t="s">
        <v>9</v>
      </c>
      <c r="D4970" s="3" t="s">
        <v>19</v>
      </c>
      <c r="E4970" s="5" t="s">
        <v>14</v>
      </c>
      <c r="F4970" s="17">
        <v>89.2</v>
      </c>
      <c r="G4970" s="3">
        <v>3</v>
      </c>
      <c r="H4970" s="17">
        <f>Table1[[#This Row],[Unit price]]*Table1[[#This Row],[Quantity]]</f>
        <v>267.60000000000002</v>
      </c>
      <c r="I4970" s="29">
        <f>Table1[[#This Row],[Total Revenue]]/$H$5056*100</f>
        <v>2.8391221913737028E-2</v>
      </c>
      <c r="J4970" s="3" t="s">
        <v>12</v>
      </c>
      <c r="K4970" s="4">
        <v>5.4</v>
      </c>
      <c r="M4970"/>
    </row>
    <row r="4971" spans="1:13" x14ac:dyDescent="0.25">
      <c r="A4971" s="3" t="s">
        <v>239</v>
      </c>
      <c r="B4971" s="3" t="s">
        <v>245</v>
      </c>
      <c r="C4971" s="3" t="s">
        <v>9</v>
      </c>
      <c r="D4971" s="3" t="s">
        <v>10</v>
      </c>
      <c r="E4971" s="5" t="s">
        <v>11</v>
      </c>
      <c r="F4971" s="17">
        <v>4.9800000000000004</v>
      </c>
      <c r="G4971" s="3">
        <v>6</v>
      </c>
      <c r="H4971" s="17">
        <f>Table1[[#This Row],[Unit price]]*Table1[[#This Row],[Quantity]]</f>
        <v>29.880000000000003</v>
      </c>
      <c r="I4971" s="29">
        <f>Table1[[#This Row],[Total Revenue]]/$H$5056*100</f>
        <v>3.1701409222065109E-3</v>
      </c>
      <c r="J4971" s="3" t="s">
        <v>15</v>
      </c>
      <c r="K4971" s="4">
        <v>3.8</v>
      </c>
      <c r="M4971"/>
    </row>
    <row r="4972" spans="1:13" x14ac:dyDescent="0.25">
      <c r="A4972" s="3" t="s">
        <v>239</v>
      </c>
      <c r="B4972" s="3" t="s">
        <v>243</v>
      </c>
      <c r="C4972" s="3" t="s">
        <v>13</v>
      </c>
      <c r="D4972" s="3" t="s">
        <v>10</v>
      </c>
      <c r="E4972" s="5" t="s">
        <v>11</v>
      </c>
      <c r="F4972" s="17">
        <v>7.52</v>
      </c>
      <c r="G4972" s="3">
        <v>8</v>
      </c>
      <c r="H4972" s="17">
        <f>Table1[[#This Row],[Unit price]]*Table1[[#This Row],[Quantity]]</f>
        <v>60.16</v>
      </c>
      <c r="I4972" s="29">
        <f>Table1[[#This Row],[Total Revenue]]/$H$5056*100</f>
        <v>6.3827201432377408E-3</v>
      </c>
      <c r="J4972" s="3" t="s">
        <v>12</v>
      </c>
      <c r="K4972" s="4">
        <v>7.4</v>
      </c>
      <c r="M4972"/>
    </row>
    <row r="4973" spans="1:13" x14ac:dyDescent="0.25">
      <c r="A4973" s="3" t="s">
        <v>239</v>
      </c>
      <c r="B4973" s="3" t="s">
        <v>244</v>
      </c>
      <c r="C4973" s="3" t="s">
        <v>9</v>
      </c>
      <c r="D4973" s="3" t="s">
        <v>19</v>
      </c>
      <c r="E4973" s="5" t="s">
        <v>20</v>
      </c>
      <c r="F4973" s="17">
        <v>69.63</v>
      </c>
      <c r="G4973" s="3">
        <v>3</v>
      </c>
      <c r="H4973" s="17">
        <f>Table1[[#This Row],[Unit price]]*Table1[[#This Row],[Quantity]]</f>
        <v>208.89</v>
      </c>
      <c r="I4973" s="29">
        <f>Table1[[#This Row],[Total Revenue]]/$H$5056*100</f>
        <v>2.2162340603738891E-2</v>
      </c>
      <c r="J4973" s="3" t="s">
        <v>15</v>
      </c>
      <c r="K4973" s="4">
        <v>5.8</v>
      </c>
      <c r="M4973"/>
    </row>
    <row r="4974" spans="1:13" x14ac:dyDescent="0.25">
      <c r="A4974" s="3" t="s">
        <v>239</v>
      </c>
      <c r="B4974" s="3" t="s">
        <v>245</v>
      </c>
      <c r="C4974" s="3" t="s">
        <v>9</v>
      </c>
      <c r="D4974" s="3" t="s">
        <v>10</v>
      </c>
      <c r="E4974" s="5" t="s">
        <v>21</v>
      </c>
      <c r="F4974" s="17">
        <v>38.340000000000003</v>
      </c>
      <c r="G4974" s="3">
        <v>6</v>
      </c>
      <c r="H4974" s="17">
        <f>Table1[[#This Row],[Unit price]]*Table1[[#This Row],[Quantity]]</f>
        <v>230.04000000000002</v>
      </c>
      <c r="I4974" s="29">
        <f>Table1[[#This Row],[Total Revenue]]/$H$5056*100</f>
        <v>2.4406265654095913E-2</v>
      </c>
      <c r="J4974" s="3" t="s">
        <v>17</v>
      </c>
      <c r="K4974" s="4">
        <v>3.2</v>
      </c>
      <c r="M4974"/>
    </row>
    <row r="4975" spans="1:13" x14ac:dyDescent="0.25">
      <c r="A4975" s="3" t="s">
        <v>239</v>
      </c>
      <c r="B4975" s="3" t="s">
        <v>245</v>
      </c>
      <c r="C4975" s="3" t="s">
        <v>13</v>
      </c>
      <c r="D4975" s="3" t="s">
        <v>19</v>
      </c>
      <c r="E4975" s="5" t="s">
        <v>21</v>
      </c>
      <c r="F4975" s="17">
        <v>47.61</v>
      </c>
      <c r="G4975" s="3">
        <v>2</v>
      </c>
      <c r="H4975" s="17">
        <f>Table1[[#This Row],[Unit price]]*Table1[[#This Row],[Quantity]]</f>
        <v>95.22</v>
      </c>
      <c r="I4975" s="29">
        <f>Table1[[#This Row],[Total Revenue]]/$H$5056*100</f>
        <v>1.0102437035224362E-2</v>
      </c>
      <c r="J4975" s="3" t="s">
        <v>12</v>
      </c>
      <c r="K4975" s="4">
        <v>6</v>
      </c>
      <c r="M4975"/>
    </row>
    <row r="4976" spans="1:13" x14ac:dyDescent="0.25">
      <c r="A4976" s="3" t="s">
        <v>239</v>
      </c>
      <c r="B4976" s="3" t="s">
        <v>245</v>
      </c>
      <c r="C4976" s="3" t="s">
        <v>9</v>
      </c>
      <c r="D4976" s="3" t="s">
        <v>10</v>
      </c>
      <c r="E4976" s="5" t="s">
        <v>14</v>
      </c>
      <c r="F4976" s="17">
        <v>90.4</v>
      </c>
      <c r="G4976" s="3">
        <v>9</v>
      </c>
      <c r="H4976" s="17">
        <f>Table1[[#This Row],[Unit price]]*Table1[[#This Row],[Quantity]]</f>
        <v>813.6</v>
      </c>
      <c r="I4976" s="29">
        <f>Table1[[#This Row],[Total Revenue]]/$H$5056*100</f>
        <v>8.6319499809478492E-2</v>
      </c>
      <c r="J4976" s="3" t="s">
        <v>17</v>
      </c>
      <c r="K4976" s="4">
        <v>6.9</v>
      </c>
      <c r="M4976"/>
    </row>
    <row r="4977" spans="1:13" x14ac:dyDescent="0.25">
      <c r="A4977" s="3" t="s">
        <v>239</v>
      </c>
      <c r="B4977" s="3" t="s">
        <v>245</v>
      </c>
      <c r="C4977" s="3" t="s">
        <v>9</v>
      </c>
      <c r="D4977" s="3" t="s">
        <v>10</v>
      </c>
      <c r="E4977" s="5" t="s">
        <v>21</v>
      </c>
      <c r="F4977" s="17">
        <v>32.99</v>
      </c>
      <c r="G4977" s="3">
        <v>4</v>
      </c>
      <c r="H4977" s="17">
        <f>Table1[[#This Row],[Unit price]]*Table1[[#This Row],[Quantity]]</f>
        <v>131.96</v>
      </c>
      <c r="I4977" s="29">
        <f>Table1[[#This Row],[Total Revenue]]/$H$5056*100</f>
        <v>1.4000394782274805E-2</v>
      </c>
      <c r="J4977" s="3" t="s">
        <v>12</v>
      </c>
      <c r="K4977" s="4">
        <v>5.4</v>
      </c>
      <c r="M4977"/>
    </row>
    <row r="4978" spans="1:13" x14ac:dyDescent="0.25">
      <c r="A4978" s="3" t="s">
        <v>239</v>
      </c>
      <c r="B4978" s="3" t="s">
        <v>243</v>
      </c>
      <c r="C4978" s="3" t="s">
        <v>9</v>
      </c>
      <c r="D4978" s="3" t="s">
        <v>19</v>
      </c>
      <c r="E4978" s="5" t="s">
        <v>21</v>
      </c>
      <c r="F4978" s="17">
        <v>20.350000000000001</v>
      </c>
      <c r="G4978" s="3">
        <v>3</v>
      </c>
      <c r="H4978" s="17">
        <f>Table1[[#This Row],[Unit price]]*Table1[[#This Row],[Quantity]]</f>
        <v>61.050000000000004</v>
      </c>
      <c r="I4978" s="29">
        <f>Table1[[#This Row],[Total Revenue]]/$H$5056*100</f>
        <v>6.4771453581227408E-3</v>
      </c>
      <c r="J4978" s="3" t="s">
        <v>17</v>
      </c>
      <c r="K4978" s="4">
        <v>8.8000000000000007</v>
      </c>
      <c r="M4978"/>
    </row>
    <row r="4979" spans="1:13" x14ac:dyDescent="0.25">
      <c r="A4979" s="3" t="s">
        <v>239</v>
      </c>
      <c r="B4979" s="3" t="s">
        <v>244</v>
      </c>
      <c r="C4979" s="3" t="s">
        <v>13</v>
      </c>
      <c r="D4979" s="3" t="s">
        <v>19</v>
      </c>
      <c r="E4979" s="5" t="s">
        <v>16</v>
      </c>
      <c r="F4979" s="17">
        <v>59.62</v>
      </c>
      <c r="G4979" s="3">
        <v>6</v>
      </c>
      <c r="H4979" s="17">
        <f>Table1[[#This Row],[Unit price]]*Table1[[#This Row],[Quantity]]</f>
        <v>357.71999999999997</v>
      </c>
      <c r="I4979" s="29">
        <f>Table1[[#This Row],[Total Revenue]]/$H$5056*100</f>
        <v>3.795257063894622E-2</v>
      </c>
      <c r="J4979" s="3" t="s">
        <v>12</v>
      </c>
      <c r="K4979" s="4">
        <v>3.3</v>
      </c>
      <c r="M4979"/>
    </row>
    <row r="4980" spans="1:13" x14ac:dyDescent="0.25">
      <c r="A4980" s="3" t="s">
        <v>239</v>
      </c>
      <c r="B4980" s="3" t="s">
        <v>245</v>
      </c>
      <c r="C4980" s="3" t="s">
        <v>13</v>
      </c>
      <c r="D4980" s="3" t="s">
        <v>10</v>
      </c>
      <c r="E4980" s="5" t="s">
        <v>11</v>
      </c>
      <c r="F4980" s="17">
        <v>8.5399999999999991</v>
      </c>
      <c r="G4980" s="3">
        <v>2</v>
      </c>
      <c r="H4980" s="17">
        <f>Table1[[#This Row],[Unit price]]*Table1[[#This Row],[Quantity]]</f>
        <v>17.079999999999998</v>
      </c>
      <c r="I4980" s="29">
        <f>Table1[[#This Row],[Total Revenue]]/$H$5056*100</f>
        <v>1.812115359815502E-3</v>
      </c>
      <c r="J4980" s="3" t="s">
        <v>12</v>
      </c>
      <c r="K4980" s="4">
        <v>6</v>
      </c>
      <c r="M4980"/>
    </row>
    <row r="4981" spans="1:13" x14ac:dyDescent="0.25">
      <c r="A4981" s="3" t="s">
        <v>239</v>
      </c>
      <c r="B4981" s="3" t="s">
        <v>244</v>
      </c>
      <c r="C4981" s="3" t="s">
        <v>13</v>
      </c>
      <c r="D4981" s="3" t="s">
        <v>10</v>
      </c>
      <c r="E4981" s="5" t="s">
        <v>21</v>
      </c>
      <c r="F4981" s="17">
        <v>29.48</v>
      </c>
      <c r="G4981" s="3">
        <v>8</v>
      </c>
      <c r="H4981" s="17">
        <f>Table1[[#This Row],[Unit price]]*Table1[[#This Row],[Quantity]]</f>
        <v>235.84</v>
      </c>
      <c r="I4981" s="29">
        <f>Table1[[#This Row],[Total Revenue]]/$H$5056*100</f>
        <v>2.5021620987054335E-2</v>
      </c>
      <c r="J4981" s="3" t="s">
        <v>17</v>
      </c>
      <c r="K4981" s="4">
        <v>7.4</v>
      </c>
      <c r="M4981"/>
    </row>
    <row r="4982" spans="1:13" x14ac:dyDescent="0.25">
      <c r="A4982" s="3" t="s">
        <v>239</v>
      </c>
      <c r="B4982" s="3" t="s">
        <v>243</v>
      </c>
      <c r="C4982" s="3" t="s">
        <v>9</v>
      </c>
      <c r="D4982" s="3" t="s">
        <v>19</v>
      </c>
      <c r="E4982" s="5" t="s">
        <v>18</v>
      </c>
      <c r="F4982" s="17">
        <v>16.87</v>
      </c>
      <c r="G4982" s="3">
        <v>10</v>
      </c>
      <c r="H4982" s="17">
        <f>Table1[[#This Row],[Unit price]]*Table1[[#This Row],[Quantity]]</f>
        <v>168.70000000000002</v>
      </c>
      <c r="I4982" s="29">
        <f>Table1[[#This Row],[Total Revenue]]/$H$5056*100</f>
        <v>1.789835252932525E-2</v>
      </c>
      <c r="J4982" s="3" t="s">
        <v>17</v>
      </c>
      <c r="K4982" s="4">
        <v>7.3</v>
      </c>
      <c r="M4982"/>
    </row>
    <row r="4983" spans="1:13" x14ac:dyDescent="0.25">
      <c r="A4983" s="3" t="s">
        <v>239</v>
      </c>
      <c r="B4983" s="3" t="s">
        <v>245</v>
      </c>
      <c r="C4983" s="3" t="s">
        <v>13</v>
      </c>
      <c r="D4983" s="3" t="s">
        <v>19</v>
      </c>
      <c r="E4983" s="5" t="s">
        <v>16</v>
      </c>
      <c r="F4983" s="17">
        <v>78.510000000000005</v>
      </c>
      <c r="G4983" s="3">
        <v>6</v>
      </c>
      <c r="H4983" s="17">
        <f>Table1[[#This Row],[Unit price]]*Table1[[#This Row],[Quantity]]</f>
        <v>471.06000000000006</v>
      </c>
      <c r="I4983" s="29">
        <f>Table1[[#This Row],[Total Revenue]]/$H$5056*100</f>
        <v>4.9977462610930362E-2</v>
      </c>
      <c r="J4983" s="3" t="s">
        <v>15</v>
      </c>
      <c r="K4983" s="4">
        <v>8.6</v>
      </c>
      <c r="M4983"/>
    </row>
    <row r="4984" spans="1:13" x14ac:dyDescent="0.25">
      <c r="A4984" s="3" t="s">
        <v>239</v>
      </c>
      <c r="B4984" s="3" t="s">
        <v>243</v>
      </c>
      <c r="C4984" s="3" t="s">
        <v>13</v>
      </c>
      <c r="D4984" s="3" t="s">
        <v>10</v>
      </c>
      <c r="E4984" s="5" t="s">
        <v>16</v>
      </c>
      <c r="F4984" s="17">
        <v>71.48</v>
      </c>
      <c r="G4984" s="3">
        <v>2</v>
      </c>
      <c r="H4984" s="17">
        <f>Table1[[#This Row],[Unit price]]*Table1[[#This Row],[Quantity]]</f>
        <v>142.96</v>
      </c>
      <c r="I4984" s="29">
        <f>Table1[[#This Row],[Total Revenue]]/$H$5056*100</f>
        <v>1.5167447999954578E-2</v>
      </c>
      <c r="J4984" s="3" t="s">
        <v>15</v>
      </c>
      <c r="K4984" s="4">
        <v>8.1999999999999993</v>
      </c>
      <c r="M4984"/>
    </row>
    <row r="4985" spans="1:13" x14ac:dyDescent="0.25">
      <c r="A4985" s="3" t="s">
        <v>239</v>
      </c>
      <c r="B4985" s="3" t="s">
        <v>243</v>
      </c>
      <c r="C4985" s="3" t="s">
        <v>13</v>
      </c>
      <c r="D4985" s="3" t="s">
        <v>10</v>
      </c>
      <c r="E4985" s="5" t="s">
        <v>11</v>
      </c>
      <c r="F4985" s="17">
        <v>6.38</v>
      </c>
      <c r="G4985" s="3">
        <v>6</v>
      </c>
      <c r="H4985" s="17">
        <f>Table1[[#This Row],[Unit price]]*Table1[[#This Row],[Quantity]]</f>
        <v>38.28</v>
      </c>
      <c r="I4985" s="29">
        <f>Table1[[#This Row],[Total Revenue]]/$H$5056*100</f>
        <v>4.0613451975256105E-3</v>
      </c>
      <c r="J4985" s="3" t="s">
        <v>17</v>
      </c>
      <c r="K4985" s="4">
        <v>3.7</v>
      </c>
      <c r="M4985"/>
    </row>
    <row r="4986" spans="1:13" x14ac:dyDescent="0.25">
      <c r="A4986" s="3" t="s">
        <v>240</v>
      </c>
      <c r="B4986" s="3" t="s">
        <v>243</v>
      </c>
      <c r="C4986" s="3" t="s">
        <v>13</v>
      </c>
      <c r="D4986" s="3" t="s">
        <v>19</v>
      </c>
      <c r="E4986" s="5" t="s">
        <v>16</v>
      </c>
      <c r="F4986" s="17">
        <v>53.21</v>
      </c>
      <c r="G4986" s="3">
        <v>10</v>
      </c>
      <c r="H4986" s="17">
        <f>Table1[[#This Row],[Unit price]]*Table1[[#This Row],[Quantity]]</f>
        <v>532.1</v>
      </c>
      <c r="I4986" s="29">
        <f>Table1[[#This Row],[Total Revenue]]/$H$5056*100</f>
        <v>5.6453547011582478E-2</v>
      </c>
      <c r="J4986" s="3" t="s">
        <v>15</v>
      </c>
      <c r="K4986" s="4">
        <v>4.3</v>
      </c>
      <c r="M4986"/>
    </row>
    <row r="4987" spans="1:13" x14ac:dyDescent="0.25">
      <c r="A4987" s="3" t="s">
        <v>240</v>
      </c>
      <c r="B4987" s="3" t="s">
        <v>243</v>
      </c>
      <c r="C4987" s="3" t="s">
        <v>13</v>
      </c>
      <c r="D4987" s="3" t="s">
        <v>19</v>
      </c>
      <c r="E4987" s="5" t="s">
        <v>16</v>
      </c>
      <c r="F4987" s="17">
        <v>74.739999999999995</v>
      </c>
      <c r="G4987" s="3">
        <v>4</v>
      </c>
      <c r="H4987" s="17">
        <f>Table1[[#This Row],[Unit price]]*Table1[[#This Row],[Quantity]]</f>
        <v>298.95999999999998</v>
      </c>
      <c r="I4987" s="29">
        <f>Table1[[#This Row],[Total Revenue]]/$H$5056*100</f>
        <v>3.1718384541594993E-2</v>
      </c>
      <c r="J4987" s="3" t="s">
        <v>17</v>
      </c>
      <c r="K4987" s="4">
        <v>5.3</v>
      </c>
      <c r="M4987"/>
    </row>
    <row r="4988" spans="1:13" x14ac:dyDescent="0.25">
      <c r="A4988" s="3" t="s">
        <v>240</v>
      </c>
      <c r="B4988" s="3" t="s">
        <v>244</v>
      </c>
      <c r="C4988" s="3" t="s">
        <v>13</v>
      </c>
      <c r="D4988" s="3" t="s">
        <v>19</v>
      </c>
      <c r="E4988" s="5" t="s">
        <v>20</v>
      </c>
      <c r="F4988" s="17">
        <v>59.15</v>
      </c>
      <c r="G4988" s="3">
        <v>10</v>
      </c>
      <c r="H4988" s="17">
        <f>Table1[[#This Row],[Unit price]]*Table1[[#This Row],[Quantity]]</f>
        <v>591.5</v>
      </c>
      <c r="I4988" s="29">
        <f>Table1[[#This Row],[Total Revenue]]/$H$5056*100</f>
        <v>6.2755634387053255E-2</v>
      </c>
      <c r="J4988" s="3" t="s">
        <v>17</v>
      </c>
      <c r="K4988" s="4">
        <v>3.9</v>
      </c>
      <c r="M4988"/>
    </row>
    <row r="4989" spans="1:13" x14ac:dyDescent="0.25">
      <c r="A4989" s="3" t="s">
        <v>240</v>
      </c>
      <c r="B4989" s="3" t="s">
        <v>245</v>
      </c>
      <c r="C4989" s="3" t="s">
        <v>13</v>
      </c>
      <c r="D4989" s="3" t="s">
        <v>19</v>
      </c>
      <c r="E4989" s="5" t="s">
        <v>11</v>
      </c>
      <c r="F4989" s="17">
        <v>8.7100000000000009</v>
      </c>
      <c r="G4989" s="3">
        <v>8</v>
      </c>
      <c r="H4989" s="17">
        <f>Table1[[#This Row],[Unit price]]*Table1[[#This Row],[Quantity]]</f>
        <v>69.680000000000007</v>
      </c>
      <c r="I4989" s="29">
        <f>Table1[[#This Row],[Total Revenue]]/$H$5056*100</f>
        <v>7.3927516552660544E-3</v>
      </c>
      <c r="J4989" s="3" t="s">
        <v>17</v>
      </c>
      <c r="K4989" s="4">
        <v>8.3000000000000007</v>
      </c>
      <c r="M4989"/>
    </row>
    <row r="4990" spans="1:13" x14ac:dyDescent="0.25">
      <c r="A4990" s="3" t="s">
        <v>240</v>
      </c>
      <c r="B4990" s="3" t="s">
        <v>245</v>
      </c>
      <c r="C4990" s="3" t="s">
        <v>9</v>
      </c>
      <c r="D4990" s="3" t="s">
        <v>19</v>
      </c>
      <c r="E4990" s="5" t="s">
        <v>16</v>
      </c>
      <c r="F4990" s="17">
        <v>53.11</v>
      </c>
      <c r="G4990" s="3">
        <v>10</v>
      </c>
      <c r="H4990" s="17">
        <f>Table1[[#This Row],[Unit price]]*Table1[[#This Row],[Quantity]]</f>
        <v>531.1</v>
      </c>
      <c r="I4990" s="29">
        <f>Table1[[#This Row],[Total Revenue]]/$H$5056*100</f>
        <v>5.6347451264520676E-2</v>
      </c>
      <c r="J4990" s="3" t="s">
        <v>17</v>
      </c>
      <c r="K4990" s="4">
        <v>9</v>
      </c>
      <c r="M4990"/>
    </row>
    <row r="4991" spans="1:13" x14ac:dyDescent="0.25">
      <c r="A4991" s="3" t="s">
        <v>240</v>
      </c>
      <c r="B4991" s="3" t="s">
        <v>243</v>
      </c>
      <c r="C4991" s="3" t="s">
        <v>9</v>
      </c>
      <c r="D4991" s="3" t="s">
        <v>10</v>
      </c>
      <c r="E4991" s="5" t="s">
        <v>21</v>
      </c>
      <c r="F4991" s="17">
        <v>28.21</v>
      </c>
      <c r="G4991" s="3">
        <v>6</v>
      </c>
      <c r="H4991" s="17">
        <f>Table1[[#This Row],[Unit price]]*Table1[[#This Row],[Quantity]]</f>
        <v>169.26</v>
      </c>
      <c r="I4991" s="29">
        <f>Table1[[#This Row],[Total Revenue]]/$H$5056*100</f>
        <v>1.7957766147679854E-2</v>
      </c>
      <c r="J4991" s="3" t="s">
        <v>12</v>
      </c>
      <c r="K4991" s="4">
        <v>6.1</v>
      </c>
      <c r="M4991"/>
    </row>
    <row r="4992" spans="1:13" x14ac:dyDescent="0.25">
      <c r="A4992" s="3" t="s">
        <v>240</v>
      </c>
      <c r="B4992" s="3" t="s">
        <v>243</v>
      </c>
      <c r="C4992" s="3" t="s">
        <v>13</v>
      </c>
      <c r="D4992" s="3" t="s">
        <v>10</v>
      </c>
      <c r="E4992" s="5" t="s">
        <v>18</v>
      </c>
      <c r="F4992" s="17">
        <v>14.81</v>
      </c>
      <c r="G4992" s="3">
        <v>9</v>
      </c>
      <c r="H4992" s="17">
        <f>Table1[[#This Row],[Unit price]]*Table1[[#This Row],[Quantity]]</f>
        <v>133.29</v>
      </c>
      <c r="I4992" s="29">
        <f>Table1[[#This Row],[Total Revenue]]/$H$5056*100</f>
        <v>1.4141502125866994E-2</v>
      </c>
      <c r="J4992" s="3" t="s">
        <v>17</v>
      </c>
      <c r="K4992" s="4">
        <v>4.5</v>
      </c>
      <c r="M4992"/>
    </row>
    <row r="4993" spans="1:13" x14ac:dyDescent="0.25">
      <c r="A4993" s="3" t="s">
        <v>240</v>
      </c>
      <c r="B4993" s="3" t="s">
        <v>245</v>
      </c>
      <c r="C4993" s="3" t="s">
        <v>13</v>
      </c>
      <c r="D4993" s="3" t="s">
        <v>10</v>
      </c>
      <c r="E4993" s="5" t="s">
        <v>11</v>
      </c>
      <c r="F4993" s="17">
        <v>9.3699999999999992</v>
      </c>
      <c r="G4993" s="3">
        <v>3</v>
      </c>
      <c r="H4993" s="17">
        <f>Table1[[#This Row],[Unit price]]*Table1[[#This Row],[Quantity]]</f>
        <v>28.11</v>
      </c>
      <c r="I4993" s="29">
        <f>Table1[[#This Row],[Total Revenue]]/$H$5056*100</f>
        <v>2.9823514499071292E-3</v>
      </c>
      <c r="J4993" s="3" t="s">
        <v>17</v>
      </c>
      <c r="K4993" s="4">
        <v>7.4</v>
      </c>
      <c r="M4993"/>
    </row>
    <row r="4994" spans="1:13" x14ac:dyDescent="0.25">
      <c r="A4994" s="3" t="s">
        <v>240</v>
      </c>
      <c r="B4994" s="3" t="s">
        <v>245</v>
      </c>
      <c r="C4994" s="3" t="s">
        <v>9</v>
      </c>
      <c r="D4994" s="3" t="s">
        <v>10</v>
      </c>
      <c r="E4994" s="5" t="s">
        <v>16</v>
      </c>
      <c r="F4994" s="17">
        <v>72.819999999999993</v>
      </c>
      <c r="G4994" s="3">
        <v>9</v>
      </c>
      <c r="H4994" s="17">
        <f>Table1[[#This Row],[Unit price]]*Table1[[#This Row],[Quantity]]</f>
        <v>655.37999999999988</v>
      </c>
      <c r="I4994" s="29">
        <f>Table1[[#This Row],[Total Revenue]]/$H$5056*100</f>
        <v>6.9533030709360871E-2</v>
      </c>
      <c r="J4994" s="3" t="s">
        <v>12</v>
      </c>
      <c r="K4994" s="4">
        <v>7</v>
      </c>
      <c r="M4994"/>
    </row>
    <row r="4995" spans="1:13" x14ac:dyDescent="0.25">
      <c r="A4995" s="3" t="s">
        <v>240</v>
      </c>
      <c r="B4995" s="3" t="s">
        <v>245</v>
      </c>
      <c r="C4995" s="3" t="s">
        <v>13</v>
      </c>
      <c r="D4995" s="3" t="s">
        <v>10</v>
      </c>
      <c r="E4995" s="5" t="s">
        <v>16</v>
      </c>
      <c r="F4995" s="17">
        <v>76.319999999999993</v>
      </c>
      <c r="G4995" s="3">
        <v>7</v>
      </c>
      <c r="H4995" s="17">
        <f>Table1[[#This Row],[Unit price]]*Table1[[#This Row],[Quantity]]</f>
        <v>534.24</v>
      </c>
      <c r="I4995" s="29">
        <f>Table1[[#This Row],[Total Revenue]]/$H$5056*100</f>
        <v>5.6680591910294724E-2</v>
      </c>
      <c r="J4995" s="3" t="s">
        <v>15</v>
      </c>
      <c r="K4995" s="4">
        <v>6.6</v>
      </c>
      <c r="M4995"/>
    </row>
    <row r="4996" spans="1:13" x14ac:dyDescent="0.25">
      <c r="A4996" s="3" t="s">
        <v>240</v>
      </c>
      <c r="B4996" s="3" t="s">
        <v>244</v>
      </c>
      <c r="C4996" s="3" t="s">
        <v>9</v>
      </c>
      <c r="D4996" s="3" t="s">
        <v>19</v>
      </c>
      <c r="E4996" s="5" t="s">
        <v>14</v>
      </c>
      <c r="F4996" s="17">
        <v>75.790000000000006</v>
      </c>
      <c r="G4996" s="3">
        <v>3</v>
      </c>
      <c r="H4996" s="17">
        <f>Table1[[#This Row],[Unit price]]*Table1[[#This Row],[Quantity]]</f>
        <v>227.37</v>
      </c>
      <c r="I4996" s="29">
        <f>Table1[[#This Row],[Total Revenue]]/$H$5056*100</f>
        <v>2.412299000944091E-2</v>
      </c>
      <c r="J4996" s="3" t="s">
        <v>12</v>
      </c>
      <c r="K4996" s="4">
        <v>7.6</v>
      </c>
      <c r="M4996"/>
    </row>
    <row r="4997" spans="1:13" x14ac:dyDescent="0.25">
      <c r="A4997" s="3" t="s">
        <v>240</v>
      </c>
      <c r="B4997" s="3" t="s">
        <v>244</v>
      </c>
      <c r="C4997" s="3" t="s">
        <v>9</v>
      </c>
      <c r="D4997" s="3" t="s">
        <v>10</v>
      </c>
      <c r="E4997" s="5" t="s">
        <v>18</v>
      </c>
      <c r="F4997" s="17">
        <v>15.56</v>
      </c>
      <c r="G4997" s="3">
        <v>1</v>
      </c>
      <c r="H4997" s="17">
        <f>Table1[[#This Row],[Unit price]]*Table1[[#This Row],[Quantity]]</f>
        <v>15.56</v>
      </c>
      <c r="I4997" s="29">
        <f>Table1[[#This Row],[Total Revenue]]/$H$5056*100</f>
        <v>1.6508498242815701E-3</v>
      </c>
      <c r="J4997" s="3" t="s">
        <v>12</v>
      </c>
      <c r="K4997" s="4">
        <v>8.5</v>
      </c>
      <c r="M4997"/>
    </row>
    <row r="4998" spans="1:13" x14ac:dyDescent="0.25">
      <c r="A4998" s="3" t="s">
        <v>240</v>
      </c>
      <c r="B4998" s="3" t="s">
        <v>245</v>
      </c>
      <c r="C4998" s="3" t="s">
        <v>13</v>
      </c>
      <c r="D4998" s="3" t="s">
        <v>19</v>
      </c>
      <c r="E4998" s="5" t="s">
        <v>18</v>
      </c>
      <c r="F4998" s="17">
        <v>6.28</v>
      </c>
      <c r="G4998" s="3">
        <v>5</v>
      </c>
      <c r="H4998" s="17">
        <f>Table1[[#This Row],[Unit price]]*Table1[[#This Row],[Quantity]]</f>
        <v>31.400000000000002</v>
      </c>
      <c r="I4998" s="29">
        <f>Table1[[#This Row],[Total Revenue]]/$H$5056*100</f>
        <v>3.3314064577404431E-3</v>
      </c>
      <c r="J4998" s="3" t="s">
        <v>17</v>
      </c>
      <c r="K4998" s="4">
        <v>7.5</v>
      </c>
      <c r="M4998"/>
    </row>
    <row r="4999" spans="1:13" x14ac:dyDescent="0.25">
      <c r="A4999" s="3" t="s">
        <v>240</v>
      </c>
      <c r="B4999" s="3" t="s">
        <v>243</v>
      </c>
      <c r="C4999" s="3" t="s">
        <v>13</v>
      </c>
      <c r="D4999" s="3" t="s">
        <v>10</v>
      </c>
      <c r="E4999" s="5" t="s">
        <v>16</v>
      </c>
      <c r="F4999" s="17">
        <v>78.97</v>
      </c>
      <c r="G4999" s="3">
        <v>1</v>
      </c>
      <c r="H4999" s="17">
        <f>Table1[[#This Row],[Unit price]]*Table1[[#This Row],[Quantity]]</f>
        <v>78.97</v>
      </c>
      <c r="I4999" s="29">
        <f>Table1[[#This Row],[Total Revenue]]/$H$5056*100</f>
        <v>8.3783811454701523E-3</v>
      </c>
      <c r="J4999" s="3" t="s">
        <v>15</v>
      </c>
      <c r="K4999" s="4">
        <v>8.1</v>
      </c>
      <c r="M4999"/>
    </row>
    <row r="5000" spans="1:13" x14ac:dyDescent="0.25">
      <c r="A5000" s="3" t="s">
        <v>240</v>
      </c>
      <c r="B5000" s="3" t="s">
        <v>243</v>
      </c>
      <c r="C5000" s="3" t="s">
        <v>13</v>
      </c>
      <c r="D5000" s="3" t="s">
        <v>19</v>
      </c>
      <c r="E5000" s="5" t="s">
        <v>11</v>
      </c>
      <c r="F5000" s="17">
        <v>8.0399999999999991</v>
      </c>
      <c r="G5000" s="3">
        <v>9</v>
      </c>
      <c r="H5000" s="17">
        <f>Table1[[#This Row],[Unit price]]*Table1[[#This Row],[Quantity]]</f>
        <v>72.359999999999985</v>
      </c>
      <c r="I5000" s="29">
        <f>Table1[[#This Row],[Total Revenue]]/$H$5056*100</f>
        <v>7.6770882573916699E-3</v>
      </c>
      <c r="J5000" s="3" t="s">
        <v>17</v>
      </c>
      <c r="K5000" s="4">
        <v>7.1</v>
      </c>
      <c r="M5000"/>
    </row>
    <row r="5001" spans="1:13" x14ac:dyDescent="0.25">
      <c r="A5001" s="3" t="s">
        <v>240</v>
      </c>
      <c r="B5001" s="3" t="s">
        <v>244</v>
      </c>
      <c r="C5001" s="3" t="s">
        <v>13</v>
      </c>
      <c r="D5001" s="3" t="s">
        <v>10</v>
      </c>
      <c r="E5001" s="5" t="s">
        <v>20</v>
      </c>
      <c r="F5001" s="17">
        <v>53.55</v>
      </c>
      <c r="G5001" s="3">
        <v>2</v>
      </c>
      <c r="H5001" s="17">
        <f>Table1[[#This Row],[Unit price]]*Table1[[#This Row],[Quantity]]</f>
        <v>107.1</v>
      </c>
      <c r="I5001" s="29">
        <f>Table1[[#This Row],[Total Revenue]]/$H$5056*100</f>
        <v>1.1362854510318517E-2</v>
      </c>
      <c r="J5001" s="3" t="s">
        <v>15</v>
      </c>
      <c r="K5001" s="4">
        <v>9.5</v>
      </c>
      <c r="M5001"/>
    </row>
    <row r="5002" spans="1:13" x14ac:dyDescent="0.25">
      <c r="A5002" s="3" t="s">
        <v>240</v>
      </c>
      <c r="B5002" s="3" t="s">
        <v>244</v>
      </c>
      <c r="C5002" s="3" t="s">
        <v>9</v>
      </c>
      <c r="D5002" s="3" t="s">
        <v>10</v>
      </c>
      <c r="E5002" s="5" t="s">
        <v>20</v>
      </c>
      <c r="F5002" s="17">
        <v>58.57</v>
      </c>
      <c r="G5002" s="3">
        <v>9</v>
      </c>
      <c r="H5002" s="17">
        <f>Table1[[#This Row],[Unit price]]*Table1[[#This Row],[Quantity]]</f>
        <v>527.13</v>
      </c>
      <c r="I5002" s="29">
        <f>Table1[[#This Row],[Total Revenue]]/$H$5056*100</f>
        <v>5.5926251148685345E-2</v>
      </c>
      <c r="J5002" s="3" t="s">
        <v>12</v>
      </c>
      <c r="K5002" s="4">
        <v>3.9</v>
      </c>
      <c r="M5002"/>
    </row>
    <row r="5003" spans="1:13" x14ac:dyDescent="0.25">
      <c r="A5003" s="3" t="s">
        <v>240</v>
      </c>
      <c r="B5003" s="3" t="s">
        <v>243</v>
      </c>
      <c r="C5003" s="3" t="s">
        <v>13</v>
      </c>
      <c r="D5003" s="3" t="s">
        <v>19</v>
      </c>
      <c r="E5003" s="5" t="s">
        <v>21</v>
      </c>
      <c r="F5003" s="17">
        <v>33.99</v>
      </c>
      <c r="G5003" s="3">
        <v>3</v>
      </c>
      <c r="H5003" s="17">
        <f>Table1[[#This Row],[Unit price]]*Table1[[#This Row],[Quantity]]</f>
        <v>101.97</v>
      </c>
      <c r="I5003" s="29">
        <f>Table1[[#This Row],[Total Revenue]]/$H$5056*100</f>
        <v>1.0818583327891497E-2</v>
      </c>
      <c r="J5003" s="3" t="s">
        <v>15</v>
      </c>
      <c r="K5003" s="4">
        <v>4</v>
      </c>
      <c r="M5003"/>
    </row>
    <row r="5004" spans="1:13" x14ac:dyDescent="0.25">
      <c r="A5004" s="3" t="s">
        <v>240</v>
      </c>
      <c r="B5004" s="3" t="s">
        <v>244</v>
      </c>
      <c r="C5004" s="3" t="s">
        <v>13</v>
      </c>
      <c r="D5004" s="3" t="s">
        <v>10</v>
      </c>
      <c r="E5004" s="5" t="s">
        <v>11</v>
      </c>
      <c r="F5004" s="17">
        <v>8.32</v>
      </c>
      <c r="G5004" s="3">
        <v>9</v>
      </c>
      <c r="H5004" s="17">
        <f>Table1[[#This Row],[Unit price]]*Table1[[#This Row],[Quantity]]</f>
        <v>74.88</v>
      </c>
      <c r="I5004" s="29">
        <f>Table1[[#This Row],[Total Revenue]]/$H$5056*100</f>
        <v>7.9444495399873995E-3</v>
      </c>
      <c r="J5004" s="3" t="s">
        <v>12</v>
      </c>
      <c r="K5004" s="4">
        <v>3.5</v>
      </c>
      <c r="M5004"/>
    </row>
    <row r="5005" spans="1:13" x14ac:dyDescent="0.25">
      <c r="A5005" s="3" t="s">
        <v>240</v>
      </c>
      <c r="B5005" s="3" t="s">
        <v>245</v>
      </c>
      <c r="C5005" s="3" t="s">
        <v>9</v>
      </c>
      <c r="D5005" s="3" t="s">
        <v>19</v>
      </c>
      <c r="E5005" s="5" t="s">
        <v>20</v>
      </c>
      <c r="F5005" s="17">
        <v>60.41</v>
      </c>
      <c r="G5005" s="3">
        <v>9</v>
      </c>
      <c r="H5005" s="17">
        <f>Table1[[#This Row],[Unit price]]*Table1[[#This Row],[Quantity]]</f>
        <v>543.68999999999994</v>
      </c>
      <c r="I5005" s="29">
        <f>Table1[[#This Row],[Total Revenue]]/$H$5056*100</f>
        <v>5.7683196720028709E-2</v>
      </c>
      <c r="J5005" s="3" t="s">
        <v>15</v>
      </c>
      <c r="K5005" s="4">
        <v>5.8</v>
      </c>
      <c r="M5005"/>
    </row>
    <row r="5006" spans="1:13" x14ac:dyDescent="0.25">
      <c r="A5006" s="3" t="s">
        <v>240</v>
      </c>
      <c r="B5006" s="3" t="s">
        <v>244</v>
      </c>
      <c r="C5006" s="3" t="s">
        <v>9</v>
      </c>
      <c r="D5006" s="3" t="s">
        <v>10</v>
      </c>
      <c r="E5006" s="5" t="s">
        <v>21</v>
      </c>
      <c r="F5006" s="17">
        <v>46.5</v>
      </c>
      <c r="G5006" s="3">
        <v>6</v>
      </c>
      <c r="H5006" s="17">
        <f>Table1[[#This Row],[Unit price]]*Table1[[#This Row],[Quantity]]</f>
        <v>279</v>
      </c>
      <c r="I5006" s="29">
        <f>Table1[[#This Row],[Total Revenue]]/$H$5056*100</f>
        <v>2.9600713430241517E-2</v>
      </c>
      <c r="J5006" s="3" t="s">
        <v>12</v>
      </c>
      <c r="K5006" s="4">
        <v>5.5</v>
      </c>
      <c r="M5006"/>
    </row>
    <row r="5007" spans="1:13" x14ac:dyDescent="0.25">
      <c r="A5007" s="3" t="s">
        <v>240</v>
      </c>
      <c r="B5007" s="3" t="s">
        <v>245</v>
      </c>
      <c r="C5007" s="3" t="s">
        <v>9</v>
      </c>
      <c r="D5007" s="3" t="s">
        <v>10</v>
      </c>
      <c r="E5007" s="5" t="s">
        <v>11</v>
      </c>
      <c r="F5007" s="17">
        <v>2.92</v>
      </c>
      <c r="G5007" s="3">
        <v>6</v>
      </c>
      <c r="H5007" s="17">
        <f>Table1[[#This Row],[Unit price]]*Table1[[#This Row],[Quantity]]</f>
        <v>17.52</v>
      </c>
      <c r="I5007" s="29">
        <f>Table1[[#This Row],[Total Revenue]]/$H$5056*100</f>
        <v>1.8587974885226931E-3</v>
      </c>
      <c r="J5007" s="3" t="s">
        <v>12</v>
      </c>
      <c r="K5007" s="4">
        <v>4.5999999999999996</v>
      </c>
      <c r="M5007"/>
    </row>
    <row r="5008" spans="1:13" x14ac:dyDescent="0.25">
      <c r="A5008" s="3" t="s">
        <v>240</v>
      </c>
      <c r="B5008" s="3" t="s">
        <v>245</v>
      </c>
      <c r="C5008" s="3" t="s">
        <v>9</v>
      </c>
      <c r="D5008" s="3" t="s">
        <v>19</v>
      </c>
      <c r="E5008" s="5" t="s">
        <v>21</v>
      </c>
      <c r="F5008" s="17">
        <v>40.479999999999997</v>
      </c>
      <c r="G5008" s="3">
        <v>6</v>
      </c>
      <c r="H5008" s="17">
        <f>Table1[[#This Row],[Unit price]]*Table1[[#This Row],[Quantity]]</f>
        <v>242.88</v>
      </c>
      <c r="I5008" s="29">
        <f>Table1[[#This Row],[Total Revenue]]/$H$5056*100</f>
        <v>2.576853504636939E-2</v>
      </c>
      <c r="J5008" s="3" t="s">
        <v>12</v>
      </c>
      <c r="K5008" s="4">
        <v>9.1999999999999993</v>
      </c>
      <c r="M5008"/>
    </row>
    <row r="5009" spans="1:13" x14ac:dyDescent="0.25">
      <c r="A5009" s="3" t="s">
        <v>240</v>
      </c>
      <c r="B5009" s="3" t="s">
        <v>243</v>
      </c>
      <c r="C5009" s="3" t="s">
        <v>13</v>
      </c>
      <c r="D5009" s="3" t="s">
        <v>10</v>
      </c>
      <c r="E5009" s="5" t="s">
        <v>16</v>
      </c>
      <c r="F5009" s="17">
        <v>50.74</v>
      </c>
      <c r="G5009" s="3">
        <v>9</v>
      </c>
      <c r="H5009" s="17">
        <f>Table1[[#This Row],[Unit price]]*Table1[[#This Row],[Quantity]]</f>
        <v>456.66</v>
      </c>
      <c r="I5009" s="29">
        <f>Table1[[#This Row],[Total Revenue]]/$H$5056*100</f>
        <v>4.8449683853240479E-2</v>
      </c>
      <c r="J5009" s="3" t="s">
        <v>12</v>
      </c>
      <c r="K5009" s="4">
        <v>6.5</v>
      </c>
      <c r="M5009"/>
    </row>
    <row r="5010" spans="1:13" x14ac:dyDescent="0.25">
      <c r="A5010" s="3" t="s">
        <v>241</v>
      </c>
      <c r="B5010" s="3" t="s">
        <v>243</v>
      </c>
      <c r="C5010" s="3" t="s">
        <v>13</v>
      </c>
      <c r="D5010" s="3" t="s">
        <v>19</v>
      </c>
      <c r="E5010" s="5" t="s">
        <v>21</v>
      </c>
      <c r="F5010" s="17">
        <v>46.95</v>
      </c>
      <c r="G5010" s="3">
        <v>4</v>
      </c>
      <c r="H5010" s="17">
        <f>Table1[[#This Row],[Unit price]]*Table1[[#This Row],[Quantity]]</f>
        <v>187.8</v>
      </c>
      <c r="I5010" s="29">
        <f>Table1[[#This Row],[Total Revenue]]/$H$5056*100</f>
        <v>1.9924781298205581E-2</v>
      </c>
      <c r="J5010" s="3" t="s">
        <v>12</v>
      </c>
      <c r="K5010" s="4">
        <v>6.5</v>
      </c>
      <c r="M5010"/>
    </row>
    <row r="5011" spans="1:13" x14ac:dyDescent="0.25">
      <c r="A5011" s="3" t="s">
        <v>241</v>
      </c>
      <c r="B5011" s="3" t="s">
        <v>244</v>
      </c>
      <c r="C5011" s="3" t="s">
        <v>9</v>
      </c>
      <c r="D5011" s="3" t="s">
        <v>19</v>
      </c>
      <c r="E5011" s="5" t="s">
        <v>16</v>
      </c>
      <c r="F5011" s="17">
        <v>56.32</v>
      </c>
      <c r="G5011" s="3">
        <v>4</v>
      </c>
      <c r="H5011" s="17">
        <f>Table1[[#This Row],[Unit price]]*Table1[[#This Row],[Quantity]]</f>
        <v>225.28</v>
      </c>
      <c r="I5011" s="29">
        <f>Table1[[#This Row],[Total Revenue]]/$H$5056*100</f>
        <v>2.3901249898081754E-2</v>
      </c>
      <c r="J5011" s="3" t="s">
        <v>17</v>
      </c>
      <c r="K5011" s="4">
        <v>5.9</v>
      </c>
      <c r="M5011"/>
    </row>
    <row r="5012" spans="1:13" x14ac:dyDescent="0.25">
      <c r="A5012" s="3" t="s">
        <v>241</v>
      </c>
      <c r="B5012" s="3" t="s">
        <v>245</v>
      </c>
      <c r="C5012" s="3" t="s">
        <v>9</v>
      </c>
      <c r="D5012" s="3" t="s">
        <v>10</v>
      </c>
      <c r="E5012" s="5" t="s">
        <v>18</v>
      </c>
      <c r="F5012" s="17">
        <v>15.44</v>
      </c>
      <c r="G5012" s="3">
        <v>3</v>
      </c>
      <c r="H5012" s="17">
        <f>Table1[[#This Row],[Unit price]]*Table1[[#This Row],[Quantity]]</f>
        <v>46.32</v>
      </c>
      <c r="I5012" s="29">
        <f>Table1[[#This Row],[Total Revenue]]/$H$5056*100</f>
        <v>4.914355003902463E-3</v>
      </c>
      <c r="J5012" s="3" t="s">
        <v>15</v>
      </c>
      <c r="K5012" s="4">
        <v>6.1</v>
      </c>
      <c r="M5012"/>
    </row>
    <row r="5013" spans="1:13" x14ac:dyDescent="0.25">
      <c r="A5013" s="3" t="s">
        <v>241</v>
      </c>
      <c r="B5013" s="3" t="s">
        <v>244</v>
      </c>
      <c r="C5013" s="3" t="s">
        <v>9</v>
      </c>
      <c r="D5013" s="3" t="s">
        <v>19</v>
      </c>
      <c r="E5013" s="5" t="s">
        <v>11</v>
      </c>
      <c r="F5013" s="17">
        <v>3.42</v>
      </c>
      <c r="G5013" s="3">
        <v>5</v>
      </c>
      <c r="H5013" s="17">
        <f>Table1[[#This Row],[Unit price]]*Table1[[#This Row],[Quantity]]</f>
        <v>17.100000000000001</v>
      </c>
      <c r="I5013" s="29">
        <f>Table1[[#This Row],[Total Revenue]]/$H$5056*100</f>
        <v>1.8142372747567384E-3</v>
      </c>
      <c r="J5013" s="3" t="s">
        <v>17</v>
      </c>
      <c r="K5013" s="4">
        <v>3.5</v>
      </c>
      <c r="M5013"/>
    </row>
    <row r="5014" spans="1:13" x14ac:dyDescent="0.25">
      <c r="A5014" s="3" t="s">
        <v>241</v>
      </c>
      <c r="B5014" s="3" t="s">
        <v>243</v>
      </c>
      <c r="C5014" s="3" t="s">
        <v>13</v>
      </c>
      <c r="D5014" s="3" t="s">
        <v>10</v>
      </c>
      <c r="E5014" s="5" t="s">
        <v>16</v>
      </c>
      <c r="F5014" s="17">
        <v>63.53</v>
      </c>
      <c r="G5014" s="3">
        <v>7</v>
      </c>
      <c r="H5014" s="17">
        <f>Table1[[#This Row],[Unit price]]*Table1[[#This Row],[Quantity]]</f>
        <v>444.71000000000004</v>
      </c>
      <c r="I5014" s="29">
        <f>Table1[[#This Row],[Total Revenue]]/$H$5056*100</f>
        <v>4.7181839675851996E-2</v>
      </c>
      <c r="J5014" s="3" t="s">
        <v>12</v>
      </c>
      <c r="K5014" s="4">
        <v>5.2</v>
      </c>
      <c r="M5014"/>
    </row>
    <row r="5015" spans="1:13" x14ac:dyDescent="0.25">
      <c r="A5015" s="3" t="s">
        <v>241</v>
      </c>
      <c r="B5015" s="3" t="s">
        <v>244</v>
      </c>
      <c r="C5015" s="3" t="s">
        <v>9</v>
      </c>
      <c r="D5015" s="3" t="s">
        <v>19</v>
      </c>
      <c r="E5015" s="5" t="s">
        <v>11</v>
      </c>
      <c r="F5015" s="17">
        <v>8.0500000000000007</v>
      </c>
      <c r="G5015" s="3">
        <v>10</v>
      </c>
      <c r="H5015" s="17">
        <f>Table1[[#This Row],[Unit price]]*Table1[[#This Row],[Quantity]]</f>
        <v>80.5</v>
      </c>
      <c r="I5015" s="29">
        <f>Table1[[#This Row],[Total Revenue]]/$H$5056*100</f>
        <v>8.5407076384747035E-3</v>
      </c>
      <c r="J5015" s="3" t="s">
        <v>15</v>
      </c>
      <c r="K5015" s="4">
        <v>7.8</v>
      </c>
      <c r="M5015"/>
    </row>
    <row r="5016" spans="1:13" x14ac:dyDescent="0.25">
      <c r="A5016" s="3" t="s">
        <v>241</v>
      </c>
      <c r="B5016" s="3" t="s">
        <v>245</v>
      </c>
      <c r="C5016" s="3" t="s">
        <v>13</v>
      </c>
      <c r="D5016" s="3" t="s">
        <v>19</v>
      </c>
      <c r="E5016" s="5" t="s">
        <v>14</v>
      </c>
      <c r="F5016" s="17">
        <v>92.78</v>
      </c>
      <c r="G5016" s="3">
        <v>5</v>
      </c>
      <c r="H5016" s="17">
        <f>Table1[[#This Row],[Unit price]]*Table1[[#This Row],[Quantity]]</f>
        <v>463.9</v>
      </c>
      <c r="I5016" s="29">
        <f>Table1[[#This Row],[Total Revenue]]/$H$5056*100</f>
        <v>4.9217817061967879E-2</v>
      </c>
      <c r="J5016" s="3" t="s">
        <v>17</v>
      </c>
      <c r="K5016" s="4">
        <v>3.6</v>
      </c>
      <c r="M5016"/>
    </row>
    <row r="5017" spans="1:13" x14ac:dyDescent="0.25">
      <c r="A5017" s="3" t="s">
        <v>241</v>
      </c>
      <c r="B5017" s="3" t="s">
        <v>243</v>
      </c>
      <c r="C5017" s="3" t="s">
        <v>13</v>
      </c>
      <c r="D5017" s="3" t="s">
        <v>10</v>
      </c>
      <c r="E5017" s="5" t="s">
        <v>20</v>
      </c>
      <c r="F5017" s="17">
        <v>66.44</v>
      </c>
      <c r="G5017" s="3">
        <v>1</v>
      </c>
      <c r="H5017" s="17">
        <f>Table1[[#This Row],[Unit price]]*Table1[[#This Row],[Quantity]]</f>
        <v>66.44</v>
      </c>
      <c r="I5017" s="29">
        <f>Table1[[#This Row],[Total Revenue]]/$H$5056*100</f>
        <v>7.0490014347858298E-3</v>
      </c>
      <c r="J5017" s="3" t="s">
        <v>12</v>
      </c>
      <c r="K5017" s="4">
        <v>4.0999999999999996</v>
      </c>
      <c r="M5017"/>
    </row>
    <row r="5018" spans="1:13" x14ac:dyDescent="0.25">
      <c r="A5018" s="3" t="s">
        <v>241</v>
      </c>
      <c r="B5018" s="3" t="s">
        <v>245</v>
      </c>
      <c r="C5018" s="3" t="s">
        <v>13</v>
      </c>
      <c r="D5018" s="3" t="s">
        <v>10</v>
      </c>
      <c r="E5018" s="5" t="s">
        <v>11</v>
      </c>
      <c r="F5018" s="17">
        <v>9.68</v>
      </c>
      <c r="G5018" s="3">
        <v>3</v>
      </c>
      <c r="H5018" s="17">
        <f>Table1[[#This Row],[Unit price]]*Table1[[#This Row],[Quantity]]</f>
        <v>29.04</v>
      </c>
      <c r="I5018" s="29">
        <f>Table1[[#This Row],[Total Revenue]]/$H$5056*100</f>
        <v>3.0810204946746006E-3</v>
      </c>
      <c r="J5018" s="3" t="s">
        <v>12</v>
      </c>
      <c r="K5018" s="4">
        <v>7.6</v>
      </c>
      <c r="M5018"/>
    </row>
    <row r="5019" spans="1:13" x14ac:dyDescent="0.25">
      <c r="A5019" s="3" t="s">
        <v>241</v>
      </c>
      <c r="B5019" s="3" t="s">
        <v>245</v>
      </c>
      <c r="C5019" s="3" t="s">
        <v>9</v>
      </c>
      <c r="D5019" s="3" t="s">
        <v>10</v>
      </c>
      <c r="E5019" s="5" t="s">
        <v>16</v>
      </c>
      <c r="F5019" s="17">
        <v>66.61</v>
      </c>
      <c r="G5019" s="3">
        <v>9</v>
      </c>
      <c r="H5019" s="17">
        <f>Table1[[#This Row],[Unit price]]*Table1[[#This Row],[Quantity]]</f>
        <v>599.49</v>
      </c>
      <c r="I5019" s="29">
        <f>Table1[[#This Row],[Total Revenue]]/$H$5056*100</f>
        <v>6.3603339406077014E-2</v>
      </c>
      <c r="J5019" s="3" t="s">
        <v>15</v>
      </c>
      <c r="K5019" s="4">
        <v>3.8</v>
      </c>
      <c r="M5019"/>
    </row>
    <row r="5020" spans="1:13" x14ac:dyDescent="0.25">
      <c r="A5020" s="3" t="s">
        <v>241</v>
      </c>
      <c r="B5020" s="3" t="s">
        <v>245</v>
      </c>
      <c r="C5020" s="3" t="s">
        <v>9</v>
      </c>
      <c r="D5020" s="3" t="s">
        <v>10</v>
      </c>
      <c r="E5020" s="5" t="s">
        <v>14</v>
      </c>
      <c r="F5020" s="17">
        <v>78.819999999999993</v>
      </c>
      <c r="G5020" s="3">
        <v>6</v>
      </c>
      <c r="H5020" s="17">
        <f>Table1[[#This Row],[Unit price]]*Table1[[#This Row],[Quantity]]</f>
        <v>472.91999999999996</v>
      </c>
      <c r="I5020" s="29">
        <f>Table1[[#This Row],[Total Revenue]]/$H$5056*100</f>
        <v>5.0174800700465295E-2</v>
      </c>
      <c r="J5020" s="3" t="s">
        <v>15</v>
      </c>
      <c r="K5020" s="4">
        <v>5.8</v>
      </c>
      <c r="M5020"/>
    </row>
    <row r="5021" spans="1:13" x14ac:dyDescent="0.25">
      <c r="A5021" s="3" t="s">
        <v>241</v>
      </c>
      <c r="B5021" s="3" t="s">
        <v>245</v>
      </c>
      <c r="C5021" s="3" t="s">
        <v>9</v>
      </c>
      <c r="D5021" s="3" t="s">
        <v>19</v>
      </c>
      <c r="E5021" s="5" t="s">
        <v>21</v>
      </c>
      <c r="F5021" s="17">
        <v>25.52</v>
      </c>
      <c r="G5021" s="3">
        <v>10</v>
      </c>
      <c r="H5021" s="17">
        <f>Table1[[#This Row],[Unit price]]*Table1[[#This Row],[Quantity]]</f>
        <v>255.2</v>
      </c>
      <c r="I5021" s="29">
        <f>Table1[[#This Row],[Total Revenue]]/$H$5056*100</f>
        <v>2.7075634650170734E-2</v>
      </c>
      <c r="J5021" s="3" t="s">
        <v>12</v>
      </c>
      <c r="K5021" s="4">
        <v>4.3</v>
      </c>
      <c r="M5021"/>
    </row>
    <row r="5022" spans="1:13" x14ac:dyDescent="0.25">
      <c r="A5022" s="3" t="s">
        <v>241</v>
      </c>
      <c r="B5022" s="3" t="s">
        <v>245</v>
      </c>
      <c r="C5022" s="3" t="s">
        <v>13</v>
      </c>
      <c r="D5022" s="3" t="s">
        <v>19</v>
      </c>
      <c r="E5022" s="5" t="s">
        <v>18</v>
      </c>
      <c r="F5022" s="17">
        <v>13.6</v>
      </c>
      <c r="G5022" s="3">
        <v>2</v>
      </c>
      <c r="H5022" s="17">
        <f>Table1[[#This Row],[Unit price]]*Table1[[#This Row],[Quantity]]</f>
        <v>27.2</v>
      </c>
      <c r="I5022" s="29">
        <f>Table1[[#This Row],[Total Revenue]]/$H$5056*100</f>
        <v>2.8858043200808933E-3</v>
      </c>
      <c r="J5022" s="3" t="s">
        <v>12</v>
      </c>
      <c r="K5022" s="4">
        <v>7.6</v>
      </c>
      <c r="M5022"/>
    </row>
    <row r="5023" spans="1:13" x14ac:dyDescent="0.25">
      <c r="A5023" s="3" t="s">
        <v>241</v>
      </c>
      <c r="B5023" s="3" t="s">
        <v>244</v>
      </c>
      <c r="C5023" s="3" t="s">
        <v>13</v>
      </c>
      <c r="D5023" s="3" t="s">
        <v>10</v>
      </c>
      <c r="E5023" s="5" t="s">
        <v>11</v>
      </c>
      <c r="F5023" s="17">
        <v>4.8600000000000003</v>
      </c>
      <c r="G5023" s="3">
        <v>4</v>
      </c>
      <c r="H5023" s="17">
        <f>Table1[[#This Row],[Unit price]]*Table1[[#This Row],[Quantity]]</f>
        <v>19.440000000000001</v>
      </c>
      <c r="I5023" s="29">
        <f>Table1[[#This Row],[Total Revenue]]/$H$5056*100</f>
        <v>2.0625013228813449E-3</v>
      </c>
      <c r="J5023" s="3" t="s">
        <v>15</v>
      </c>
      <c r="K5023" s="4">
        <v>4.9000000000000004</v>
      </c>
      <c r="M5023"/>
    </row>
    <row r="5024" spans="1:13" x14ac:dyDescent="0.25">
      <c r="A5024" s="3" t="s">
        <v>241</v>
      </c>
      <c r="B5024" s="3" t="s">
        <v>244</v>
      </c>
      <c r="C5024" s="3" t="s">
        <v>13</v>
      </c>
      <c r="D5024" s="3" t="s">
        <v>10</v>
      </c>
      <c r="E5024" s="5" t="s">
        <v>14</v>
      </c>
      <c r="F5024" s="17">
        <v>83.05</v>
      </c>
      <c r="G5024" s="3">
        <v>10</v>
      </c>
      <c r="H5024" s="17">
        <f>Table1[[#This Row],[Unit price]]*Table1[[#This Row],[Quantity]]</f>
        <v>830.5</v>
      </c>
      <c r="I5024" s="29">
        <f>Table1[[#This Row],[Total Revenue]]/$H$5056*100</f>
        <v>8.8112517934822873E-2</v>
      </c>
      <c r="J5024" s="3" t="s">
        <v>17</v>
      </c>
      <c r="K5024" s="4">
        <v>5.0999999999999996</v>
      </c>
      <c r="M5024"/>
    </row>
    <row r="5025" spans="1:13" x14ac:dyDescent="0.25">
      <c r="A5025" s="3" t="s">
        <v>241</v>
      </c>
      <c r="B5025" s="3" t="s">
        <v>245</v>
      </c>
      <c r="C5025" s="3" t="s">
        <v>13</v>
      </c>
      <c r="D5025" s="3" t="s">
        <v>10</v>
      </c>
      <c r="E5025" s="5" t="s">
        <v>21</v>
      </c>
      <c r="F5025" s="17">
        <v>48.76</v>
      </c>
      <c r="G5025" s="3">
        <v>3</v>
      </c>
      <c r="H5025" s="17">
        <f>Table1[[#This Row],[Unit price]]*Table1[[#This Row],[Quantity]]</f>
        <v>146.28</v>
      </c>
      <c r="I5025" s="29">
        <f>Table1[[#This Row],[Total Revenue]]/$H$5056*100</f>
        <v>1.5519685880199748E-2</v>
      </c>
      <c r="J5025" s="3" t="s">
        <v>15</v>
      </c>
      <c r="K5025" s="4">
        <v>5.0999999999999996</v>
      </c>
      <c r="M5025"/>
    </row>
    <row r="5026" spans="1:13" x14ac:dyDescent="0.25">
      <c r="A5026" s="3" t="s">
        <v>241</v>
      </c>
      <c r="B5026" s="3" t="s">
        <v>245</v>
      </c>
      <c r="C5026" s="3" t="s">
        <v>13</v>
      </c>
      <c r="D5026" s="3" t="s">
        <v>10</v>
      </c>
      <c r="E5026" s="5" t="s">
        <v>20</v>
      </c>
      <c r="F5026" s="17">
        <v>66.8</v>
      </c>
      <c r="G5026" s="3">
        <v>3</v>
      </c>
      <c r="H5026" s="17">
        <f>Table1[[#This Row],[Unit price]]*Table1[[#This Row],[Quantity]]</f>
        <v>200.39999999999998</v>
      </c>
      <c r="I5026" s="29">
        <f>Table1[[#This Row],[Total Revenue]]/$H$5056*100</f>
        <v>2.1261587711184228E-2</v>
      </c>
      <c r="J5026" s="3" t="s">
        <v>17</v>
      </c>
      <c r="K5026" s="4">
        <v>8</v>
      </c>
      <c r="M5026"/>
    </row>
    <row r="5027" spans="1:13" x14ac:dyDescent="0.25">
      <c r="A5027" s="3" t="s">
        <v>241</v>
      </c>
      <c r="B5027" s="3" t="s">
        <v>243</v>
      </c>
      <c r="C5027" s="3" t="s">
        <v>13</v>
      </c>
      <c r="D5027" s="3" t="s">
        <v>10</v>
      </c>
      <c r="E5027" s="5" t="s">
        <v>16</v>
      </c>
      <c r="F5027" s="17">
        <v>73.239999999999995</v>
      </c>
      <c r="G5027" s="3">
        <v>8</v>
      </c>
      <c r="H5027" s="17">
        <f>Table1[[#This Row],[Unit price]]*Table1[[#This Row],[Quantity]]</f>
        <v>585.91999999999996</v>
      </c>
      <c r="I5027" s="29">
        <f>Table1[[#This Row],[Total Revenue]]/$H$5056*100</f>
        <v>6.2163620118448421E-2</v>
      </c>
      <c r="J5027" s="3" t="s">
        <v>17</v>
      </c>
      <c r="K5027" s="4">
        <v>3.7</v>
      </c>
      <c r="M5027"/>
    </row>
    <row r="5028" spans="1:13" x14ac:dyDescent="0.25">
      <c r="A5028" s="3" t="s">
        <v>241</v>
      </c>
      <c r="B5028" s="3" t="s">
        <v>244</v>
      </c>
      <c r="C5028" s="3" t="s">
        <v>9</v>
      </c>
      <c r="D5028" s="3" t="s">
        <v>10</v>
      </c>
      <c r="E5028" s="5" t="s">
        <v>21</v>
      </c>
      <c r="F5028" s="17">
        <v>46.74</v>
      </c>
      <c r="G5028" s="3">
        <v>4</v>
      </c>
      <c r="H5028" s="17">
        <f>Table1[[#This Row],[Unit price]]*Table1[[#This Row],[Quantity]]</f>
        <v>186.96</v>
      </c>
      <c r="I5028" s="29">
        <f>Table1[[#This Row],[Total Revenue]]/$H$5056*100</f>
        <v>1.983566087067367E-2</v>
      </c>
      <c r="J5028" s="3" t="s">
        <v>12</v>
      </c>
      <c r="K5028" s="4">
        <v>8</v>
      </c>
      <c r="M5028"/>
    </row>
    <row r="5029" spans="1:13" x14ac:dyDescent="0.25">
      <c r="A5029" s="3" t="s">
        <v>241</v>
      </c>
      <c r="B5029" s="3" t="s">
        <v>245</v>
      </c>
      <c r="C5029" s="3" t="s">
        <v>9</v>
      </c>
      <c r="D5029" s="3" t="s">
        <v>19</v>
      </c>
      <c r="E5029" s="5" t="s">
        <v>21</v>
      </c>
      <c r="F5029" s="17">
        <v>45.49</v>
      </c>
      <c r="G5029" s="3">
        <v>1</v>
      </c>
      <c r="H5029" s="17">
        <f>Table1[[#This Row],[Unit price]]*Table1[[#This Row],[Quantity]]</f>
        <v>45.49</v>
      </c>
      <c r="I5029" s="29">
        <f>Table1[[#This Row],[Total Revenue]]/$H$5056*100</f>
        <v>4.8262955338411713E-3</v>
      </c>
      <c r="J5029" s="3" t="s">
        <v>17</v>
      </c>
      <c r="K5029" s="4">
        <v>6.9</v>
      </c>
      <c r="M5029"/>
    </row>
    <row r="5030" spans="1:13" x14ac:dyDescent="0.25">
      <c r="A5030" s="3" t="s">
        <v>241</v>
      </c>
      <c r="B5030" s="3" t="s">
        <v>244</v>
      </c>
      <c r="C5030" s="3" t="s">
        <v>13</v>
      </c>
      <c r="D5030" s="3" t="s">
        <v>19</v>
      </c>
      <c r="E5030" s="5" t="s">
        <v>20</v>
      </c>
      <c r="F5030" s="17">
        <v>60.87</v>
      </c>
      <c r="G5030" s="3">
        <v>9</v>
      </c>
      <c r="H5030" s="17">
        <f>Table1[[#This Row],[Unit price]]*Table1[[#This Row],[Quantity]]</f>
        <v>547.82999999999993</v>
      </c>
      <c r="I5030" s="29">
        <f>Table1[[#This Row],[Total Revenue]]/$H$5056*100</f>
        <v>5.8122433112864545E-2</v>
      </c>
      <c r="J5030" s="3" t="s">
        <v>12</v>
      </c>
      <c r="K5030" s="4">
        <v>7.4</v>
      </c>
      <c r="M5030"/>
    </row>
    <row r="5031" spans="1:13" x14ac:dyDescent="0.25">
      <c r="A5031" s="3" t="s">
        <v>241</v>
      </c>
      <c r="B5031" s="3" t="s">
        <v>243</v>
      </c>
      <c r="C5031" s="3" t="s">
        <v>13</v>
      </c>
      <c r="D5031" s="3" t="s">
        <v>19</v>
      </c>
      <c r="E5031" s="5" t="s">
        <v>18</v>
      </c>
      <c r="F5031" s="17">
        <v>4.41</v>
      </c>
      <c r="G5031" s="3">
        <v>9</v>
      </c>
      <c r="H5031" s="17">
        <f>Table1[[#This Row],[Unit price]]*Table1[[#This Row],[Quantity]]</f>
        <v>39.69</v>
      </c>
      <c r="I5031" s="29">
        <f>Table1[[#This Row],[Total Revenue]]/$H$5056*100</f>
        <v>4.2109402008827443E-3</v>
      </c>
      <c r="J5031" s="3" t="s">
        <v>17</v>
      </c>
      <c r="K5031" s="4">
        <v>3.6</v>
      </c>
      <c r="M5031"/>
    </row>
    <row r="5032" spans="1:13" x14ac:dyDescent="0.25">
      <c r="A5032" s="3" t="s">
        <v>241</v>
      </c>
      <c r="B5032" s="3" t="s">
        <v>244</v>
      </c>
      <c r="C5032" s="3" t="s">
        <v>9</v>
      </c>
      <c r="D5032" s="3" t="s">
        <v>19</v>
      </c>
      <c r="E5032" s="5" t="s">
        <v>11</v>
      </c>
      <c r="F5032" s="17">
        <v>8.06</v>
      </c>
      <c r="G5032" s="3">
        <v>3</v>
      </c>
      <c r="H5032" s="17">
        <f>Table1[[#This Row],[Unit price]]*Table1[[#This Row],[Quantity]]</f>
        <v>24.18</v>
      </c>
      <c r="I5032" s="29">
        <f>Table1[[#This Row],[Total Revenue]]/$H$5056*100</f>
        <v>2.5653951639542645E-3</v>
      </c>
      <c r="J5032" s="3" t="s">
        <v>12</v>
      </c>
      <c r="K5032" s="4">
        <v>4.0999999999999996</v>
      </c>
      <c r="M5032"/>
    </row>
    <row r="5033" spans="1:13" x14ac:dyDescent="0.25">
      <c r="A5033" s="3" t="s">
        <v>241</v>
      </c>
      <c r="B5033" s="3" t="s">
        <v>245</v>
      </c>
      <c r="C5033" s="3" t="s">
        <v>13</v>
      </c>
      <c r="D5033" s="3" t="s">
        <v>19</v>
      </c>
      <c r="E5033" s="5" t="s">
        <v>21</v>
      </c>
      <c r="F5033" s="17">
        <v>48.18</v>
      </c>
      <c r="G5033" s="3">
        <v>1</v>
      </c>
      <c r="H5033" s="17">
        <f>Table1[[#This Row],[Unit price]]*Table1[[#This Row],[Quantity]]</f>
        <v>48.18</v>
      </c>
      <c r="I5033" s="29">
        <f>Table1[[#This Row],[Total Revenue]]/$H$5056*100</f>
        <v>5.1116930934374059E-3</v>
      </c>
      <c r="J5033" s="3" t="s">
        <v>15</v>
      </c>
      <c r="K5033" s="4">
        <v>8.1999999999999993</v>
      </c>
      <c r="M5033"/>
    </row>
    <row r="5034" spans="1:13" x14ac:dyDescent="0.25">
      <c r="A5034" s="3" t="s">
        <v>241</v>
      </c>
      <c r="B5034" s="3" t="s">
        <v>243</v>
      </c>
      <c r="C5034" s="3" t="s">
        <v>9</v>
      </c>
      <c r="D5034" s="3" t="s">
        <v>10</v>
      </c>
      <c r="E5034" s="5" t="s">
        <v>11</v>
      </c>
      <c r="F5034" s="17">
        <v>2.34</v>
      </c>
      <c r="G5034" s="3">
        <v>4</v>
      </c>
      <c r="H5034" s="17">
        <f>Table1[[#This Row],[Unit price]]*Table1[[#This Row],[Quantity]]</f>
        <v>9.36</v>
      </c>
      <c r="I5034" s="29">
        <f>Table1[[#This Row],[Total Revenue]]/$H$5056*100</f>
        <v>9.9305619249842494E-4</v>
      </c>
      <c r="J5034" s="3" t="s">
        <v>17</v>
      </c>
      <c r="K5034" s="4">
        <v>9.1999999999999993</v>
      </c>
      <c r="M5034"/>
    </row>
    <row r="5035" spans="1:13" x14ac:dyDescent="0.25">
      <c r="A5035" s="3" t="s">
        <v>241</v>
      </c>
      <c r="B5035" s="3" t="s">
        <v>243</v>
      </c>
      <c r="C5035" s="3" t="s">
        <v>9</v>
      </c>
      <c r="D5035" s="3" t="s">
        <v>10</v>
      </c>
      <c r="E5035" s="5" t="s">
        <v>11</v>
      </c>
      <c r="F5035" s="17">
        <v>2.3199999999999998</v>
      </c>
      <c r="G5035" s="3">
        <v>6</v>
      </c>
      <c r="H5035" s="17">
        <f>Table1[[#This Row],[Unit price]]*Table1[[#This Row],[Quantity]]</f>
        <v>13.919999999999998</v>
      </c>
      <c r="I5035" s="29">
        <f>Table1[[#This Row],[Total Revenue]]/$H$5056*100</f>
        <v>1.4768527991002218E-3</v>
      </c>
      <c r="J5035" s="3" t="s">
        <v>15</v>
      </c>
      <c r="K5035" s="4">
        <v>7.8</v>
      </c>
      <c r="M5035"/>
    </row>
    <row r="5036" spans="1:13" x14ac:dyDescent="0.25">
      <c r="A5036" s="3" t="s">
        <v>241</v>
      </c>
      <c r="B5036" s="3" t="s">
        <v>243</v>
      </c>
      <c r="C5036" s="3" t="s">
        <v>9</v>
      </c>
      <c r="D5036" s="3" t="s">
        <v>10</v>
      </c>
      <c r="E5036" s="5" t="s">
        <v>21</v>
      </c>
      <c r="F5036" s="17">
        <v>31.3</v>
      </c>
      <c r="G5036" s="3">
        <v>7</v>
      </c>
      <c r="H5036" s="17">
        <f>Table1[[#This Row],[Unit price]]*Table1[[#This Row],[Quantity]]</f>
        <v>219.1</v>
      </c>
      <c r="I5036" s="29">
        <f>Table1[[#This Row],[Total Revenue]]/$H$5056*100</f>
        <v>2.3245578181239845E-2</v>
      </c>
      <c r="J5036" s="3" t="s">
        <v>12</v>
      </c>
      <c r="K5036" s="4">
        <v>7</v>
      </c>
      <c r="M5036"/>
    </row>
    <row r="5037" spans="1:13" x14ac:dyDescent="0.25">
      <c r="A5037" s="3" t="s">
        <v>242</v>
      </c>
      <c r="B5037" s="3" t="s">
        <v>244</v>
      </c>
      <c r="C5037" s="3" t="s">
        <v>13</v>
      </c>
      <c r="D5037" s="3" t="s">
        <v>10</v>
      </c>
      <c r="E5037" s="5" t="s">
        <v>16</v>
      </c>
      <c r="F5037" s="17">
        <v>79.180000000000007</v>
      </c>
      <c r="G5037" s="3">
        <v>4</v>
      </c>
      <c r="H5037" s="17">
        <f>Table1[[#This Row],[Unit price]]*Table1[[#This Row],[Quantity]]</f>
        <v>316.72000000000003</v>
      </c>
      <c r="I5037" s="29">
        <f>Table1[[#This Row],[Total Revenue]]/$H$5056*100</f>
        <v>3.360264500941252E-2</v>
      </c>
      <c r="J5037" s="3" t="s">
        <v>17</v>
      </c>
      <c r="K5037" s="4">
        <v>5.8</v>
      </c>
      <c r="M5037"/>
    </row>
    <row r="5038" spans="1:13" x14ac:dyDescent="0.25">
      <c r="A5038" s="3" t="s">
        <v>242</v>
      </c>
      <c r="B5038" s="3" t="s">
        <v>243</v>
      </c>
      <c r="C5038" s="3" t="s">
        <v>13</v>
      </c>
      <c r="D5038" s="3" t="s">
        <v>10</v>
      </c>
      <c r="E5038" s="5" t="s">
        <v>16</v>
      </c>
      <c r="F5038" s="17">
        <v>76.62</v>
      </c>
      <c r="G5038" s="3">
        <v>1</v>
      </c>
      <c r="H5038" s="17">
        <f>Table1[[#This Row],[Unit price]]*Table1[[#This Row],[Quantity]]</f>
        <v>76.62</v>
      </c>
      <c r="I5038" s="29">
        <f>Table1[[#This Row],[Total Revenue]]/$H$5056*100</f>
        <v>8.1290561398749302E-3</v>
      </c>
      <c r="J5038" s="3" t="s">
        <v>17</v>
      </c>
      <c r="K5038" s="4">
        <v>9</v>
      </c>
      <c r="M5038"/>
    </row>
    <row r="5039" spans="1:13" x14ac:dyDescent="0.25">
      <c r="A5039" s="3" t="s">
        <v>242</v>
      </c>
      <c r="B5039" s="3" t="s">
        <v>244</v>
      </c>
      <c r="C5039" s="3" t="s">
        <v>13</v>
      </c>
      <c r="D5039" s="3" t="s">
        <v>19</v>
      </c>
      <c r="E5039" s="5" t="s">
        <v>11</v>
      </c>
      <c r="F5039" s="17">
        <v>3.69</v>
      </c>
      <c r="G5039" s="3">
        <v>3</v>
      </c>
      <c r="H5039" s="17">
        <f>Table1[[#This Row],[Unit price]]*Table1[[#This Row],[Quantity]]</f>
        <v>11.07</v>
      </c>
      <c r="I5039" s="29">
        <f>Table1[[#This Row],[Total Revenue]]/$H$5056*100</f>
        <v>1.174479919974099E-3</v>
      </c>
      <c r="J5039" s="3" t="s">
        <v>15</v>
      </c>
      <c r="K5039" s="4">
        <v>5.5</v>
      </c>
      <c r="M5039"/>
    </row>
    <row r="5040" spans="1:13" x14ac:dyDescent="0.25">
      <c r="A5040" s="3" t="s">
        <v>242</v>
      </c>
      <c r="B5040" s="3" t="s">
        <v>244</v>
      </c>
      <c r="C5040" s="3" t="s">
        <v>13</v>
      </c>
      <c r="D5040" s="3" t="s">
        <v>19</v>
      </c>
      <c r="E5040" s="5" t="s">
        <v>20</v>
      </c>
      <c r="F5040" s="17">
        <v>66.22</v>
      </c>
      <c r="G5040" s="3">
        <v>2</v>
      </c>
      <c r="H5040" s="17">
        <f>Table1[[#This Row],[Unit price]]*Table1[[#This Row],[Quantity]]</f>
        <v>132.44</v>
      </c>
      <c r="I5040" s="29">
        <f>Table1[[#This Row],[Total Revenue]]/$H$5056*100</f>
        <v>1.405132074086447E-2</v>
      </c>
      <c r="J5040" s="3" t="s">
        <v>12</v>
      </c>
      <c r="K5040" s="4">
        <v>7.6</v>
      </c>
      <c r="M5040"/>
    </row>
    <row r="5041" spans="1:13" x14ac:dyDescent="0.25">
      <c r="A5041" s="3" t="s">
        <v>242</v>
      </c>
      <c r="B5041" s="3" t="s">
        <v>245</v>
      </c>
      <c r="C5041" s="3" t="s">
        <v>13</v>
      </c>
      <c r="D5041" s="3" t="s">
        <v>19</v>
      </c>
      <c r="E5041" s="5" t="s">
        <v>11</v>
      </c>
      <c r="F5041" s="17">
        <v>2.1800000000000002</v>
      </c>
      <c r="G5041" s="3">
        <v>1</v>
      </c>
      <c r="H5041" s="17">
        <f>Table1[[#This Row],[Unit price]]*Table1[[#This Row],[Quantity]]</f>
        <v>2.1800000000000002</v>
      </c>
      <c r="I5041" s="29">
        <f>Table1[[#This Row],[Total Revenue]]/$H$5056*100</f>
        <v>2.312887285947187E-4</v>
      </c>
      <c r="J5041" s="3" t="s">
        <v>15</v>
      </c>
      <c r="K5041" s="4">
        <v>6.9</v>
      </c>
      <c r="M5041"/>
    </row>
    <row r="5042" spans="1:13" x14ac:dyDescent="0.25">
      <c r="A5042" s="3" t="s">
        <v>242</v>
      </c>
      <c r="B5042" s="3" t="s">
        <v>245</v>
      </c>
      <c r="C5042" s="3" t="s">
        <v>9</v>
      </c>
      <c r="D5042" s="3" t="s">
        <v>19</v>
      </c>
      <c r="E5042" s="5" t="s">
        <v>18</v>
      </c>
      <c r="F5042" s="17">
        <v>3.01</v>
      </c>
      <c r="G5042" s="3">
        <v>5</v>
      </c>
      <c r="H5042" s="17">
        <f>Table1[[#This Row],[Unit price]]*Table1[[#This Row],[Quantity]]</f>
        <v>15.049999999999999</v>
      </c>
      <c r="I5042" s="29">
        <f>Table1[[#This Row],[Total Revenue]]/$H$5056*100</f>
        <v>1.5967409932800532E-3</v>
      </c>
      <c r="J5042" s="3" t="s">
        <v>15</v>
      </c>
      <c r="K5042" s="4">
        <v>6.5</v>
      </c>
      <c r="M5042"/>
    </row>
    <row r="5043" spans="1:13" x14ac:dyDescent="0.25">
      <c r="A5043" s="3" t="s">
        <v>242</v>
      </c>
      <c r="B5043" s="3" t="s">
        <v>245</v>
      </c>
      <c r="C5043" s="3" t="s">
        <v>13</v>
      </c>
      <c r="D5043" s="3" t="s">
        <v>19</v>
      </c>
      <c r="E5043" s="5" t="s">
        <v>11</v>
      </c>
      <c r="F5043" s="17">
        <v>9.58</v>
      </c>
      <c r="G5043" s="3">
        <v>4</v>
      </c>
      <c r="H5043" s="17">
        <f>Table1[[#This Row],[Unit price]]*Table1[[#This Row],[Quantity]]</f>
        <v>38.32</v>
      </c>
      <c r="I5043" s="29">
        <f>Table1[[#This Row],[Total Revenue]]/$H$5056*100</f>
        <v>4.0655890274080824E-3</v>
      </c>
      <c r="J5043" s="3" t="s">
        <v>12</v>
      </c>
      <c r="K5043" s="4">
        <v>7.1</v>
      </c>
      <c r="M5043"/>
    </row>
    <row r="5044" spans="1:13" x14ac:dyDescent="0.25">
      <c r="A5044" s="3" t="s">
        <v>242</v>
      </c>
      <c r="B5044" s="3" t="s">
        <v>243</v>
      </c>
      <c r="C5044" s="3" t="s">
        <v>9</v>
      </c>
      <c r="D5044" s="3" t="s">
        <v>19</v>
      </c>
      <c r="E5044" s="5" t="s">
        <v>11</v>
      </c>
      <c r="F5044" s="17">
        <v>8.64</v>
      </c>
      <c r="G5044" s="3">
        <v>10</v>
      </c>
      <c r="H5044" s="17">
        <f>Table1[[#This Row],[Unit price]]*Table1[[#This Row],[Quantity]]</f>
        <v>86.4</v>
      </c>
      <c r="I5044" s="29">
        <f>Table1[[#This Row],[Total Revenue]]/$H$5056*100</f>
        <v>9.1666725461393098E-3</v>
      </c>
      <c r="J5044" s="3" t="s">
        <v>15</v>
      </c>
      <c r="K5044" s="4">
        <v>8.4</v>
      </c>
      <c r="M5044"/>
    </row>
    <row r="5045" spans="1:13" x14ac:dyDescent="0.25">
      <c r="A5045" s="3" t="s">
        <v>242</v>
      </c>
      <c r="B5045" s="3" t="s">
        <v>244</v>
      </c>
      <c r="C5045" s="3" t="s">
        <v>9</v>
      </c>
      <c r="D5045" s="3" t="s">
        <v>10</v>
      </c>
      <c r="E5045" s="5" t="s">
        <v>16</v>
      </c>
      <c r="F5045" s="17">
        <v>71.73</v>
      </c>
      <c r="G5045" s="3">
        <v>6</v>
      </c>
      <c r="H5045" s="17">
        <f>Table1[[#This Row],[Unit price]]*Table1[[#This Row],[Quantity]]</f>
        <v>430.38</v>
      </c>
      <c r="I5045" s="29">
        <f>Table1[[#This Row],[Total Revenue]]/$H$5056*100</f>
        <v>4.566148762045643E-2</v>
      </c>
      <c r="J5045" s="3" t="s">
        <v>12</v>
      </c>
      <c r="K5045" s="4">
        <v>7.1</v>
      </c>
      <c r="M5045"/>
    </row>
    <row r="5046" spans="1:13" x14ac:dyDescent="0.25">
      <c r="A5046" s="3" t="s">
        <v>242</v>
      </c>
      <c r="B5046" s="3" t="s">
        <v>243</v>
      </c>
      <c r="C5046" s="3" t="s">
        <v>9</v>
      </c>
      <c r="D5046" s="3" t="s">
        <v>10</v>
      </c>
      <c r="E5046" s="5" t="s">
        <v>14</v>
      </c>
      <c r="F5046" s="17">
        <v>73.14</v>
      </c>
      <c r="G5046" s="3">
        <v>4</v>
      </c>
      <c r="H5046" s="17">
        <f>Table1[[#This Row],[Unit price]]*Table1[[#This Row],[Quantity]]</f>
        <v>292.56</v>
      </c>
      <c r="I5046" s="29">
        <f>Table1[[#This Row],[Total Revenue]]/$H$5056*100</f>
        <v>3.1039371760399496E-2</v>
      </c>
      <c r="J5046" s="3" t="s">
        <v>17</v>
      </c>
      <c r="K5046" s="4">
        <v>8.8000000000000007</v>
      </c>
      <c r="M5046"/>
    </row>
    <row r="5047" spans="1:13" x14ac:dyDescent="0.25">
      <c r="A5047" s="3" t="s">
        <v>242</v>
      </c>
      <c r="B5047" s="3" t="s">
        <v>243</v>
      </c>
      <c r="C5047" s="3" t="s">
        <v>9</v>
      </c>
      <c r="D5047" s="3" t="s">
        <v>19</v>
      </c>
      <c r="E5047" s="5" t="s">
        <v>21</v>
      </c>
      <c r="F5047" s="17">
        <v>25.32</v>
      </c>
      <c r="G5047" s="3">
        <v>10</v>
      </c>
      <c r="H5047" s="17">
        <f>Table1[[#This Row],[Unit price]]*Table1[[#This Row],[Quantity]]</f>
        <v>253.2</v>
      </c>
      <c r="I5047" s="29">
        <f>Table1[[#This Row],[Total Revenue]]/$H$5056*100</f>
        <v>2.6863443156047141E-2</v>
      </c>
      <c r="J5047" s="3" t="s">
        <v>17</v>
      </c>
      <c r="K5047" s="4">
        <v>3.3</v>
      </c>
      <c r="M5047"/>
    </row>
    <row r="5048" spans="1:13" x14ac:dyDescent="0.25">
      <c r="A5048" s="3" t="s">
        <v>242</v>
      </c>
      <c r="B5048" s="3" t="s">
        <v>245</v>
      </c>
      <c r="C5048" s="3" t="s">
        <v>9</v>
      </c>
      <c r="D5048" s="3" t="s">
        <v>19</v>
      </c>
      <c r="E5048" s="5" t="s">
        <v>20</v>
      </c>
      <c r="F5048" s="17">
        <v>59.64</v>
      </c>
      <c r="G5048" s="3">
        <v>3</v>
      </c>
      <c r="H5048" s="17">
        <f>Table1[[#This Row],[Unit price]]*Table1[[#This Row],[Quantity]]</f>
        <v>178.92000000000002</v>
      </c>
      <c r="I5048" s="29">
        <f>Table1[[#This Row],[Total Revenue]]/$H$5056*100</f>
        <v>1.8982651064296821E-2</v>
      </c>
      <c r="J5048" s="3" t="s">
        <v>17</v>
      </c>
      <c r="K5048" s="4">
        <v>6.7</v>
      </c>
      <c r="M5048"/>
    </row>
    <row r="5049" spans="1:13" x14ac:dyDescent="0.25">
      <c r="A5049" s="3" t="s">
        <v>242</v>
      </c>
      <c r="B5049" s="3" t="s">
        <v>245</v>
      </c>
      <c r="C5049" s="3" t="s">
        <v>13</v>
      </c>
      <c r="D5049" s="3" t="s">
        <v>10</v>
      </c>
      <c r="E5049" s="5" t="s">
        <v>14</v>
      </c>
      <c r="F5049" s="17">
        <v>80.72</v>
      </c>
      <c r="G5049" s="3">
        <v>1</v>
      </c>
      <c r="H5049" s="17">
        <f>Table1[[#This Row],[Unit price]]*Table1[[#This Row],[Quantity]]</f>
        <v>80.72</v>
      </c>
      <c r="I5049" s="29">
        <f>Table1[[#This Row],[Total Revenue]]/$H$5056*100</f>
        <v>8.5640487028282985E-3</v>
      </c>
      <c r="J5049" s="3" t="s">
        <v>17</v>
      </c>
      <c r="K5049" s="4">
        <v>6.6</v>
      </c>
      <c r="M5049"/>
    </row>
    <row r="5050" spans="1:13" x14ac:dyDescent="0.25">
      <c r="A5050" s="3" t="s">
        <v>242</v>
      </c>
      <c r="B5050" s="3" t="s">
        <v>243</v>
      </c>
      <c r="C5050" s="3" t="s">
        <v>13</v>
      </c>
      <c r="D5050" s="3" t="s">
        <v>10</v>
      </c>
      <c r="E5050" s="5" t="s">
        <v>11</v>
      </c>
      <c r="F5050" s="17">
        <v>6.71</v>
      </c>
      <c r="G5050" s="3">
        <v>10</v>
      </c>
      <c r="H5050" s="17">
        <f>Table1[[#This Row],[Unit price]]*Table1[[#This Row],[Quantity]]</f>
        <v>67.099999999999994</v>
      </c>
      <c r="I5050" s="29">
        <f>Table1[[#This Row],[Total Revenue]]/$H$5056*100</f>
        <v>7.1190246278466157E-3</v>
      </c>
      <c r="J5050" s="3" t="s">
        <v>15</v>
      </c>
      <c r="K5050" s="4">
        <v>5.9</v>
      </c>
      <c r="M5050"/>
    </row>
    <row r="5051" spans="1:13" x14ac:dyDescent="0.25">
      <c r="A5051" s="3" t="s">
        <v>242</v>
      </c>
      <c r="B5051" s="3" t="s">
        <v>244</v>
      </c>
      <c r="C5051" s="3" t="s">
        <v>13</v>
      </c>
      <c r="D5051" s="3" t="s">
        <v>19</v>
      </c>
      <c r="E5051" s="5" t="s">
        <v>11</v>
      </c>
      <c r="F5051" s="17">
        <v>6.79</v>
      </c>
      <c r="G5051" s="3">
        <v>9</v>
      </c>
      <c r="H5051" s="17">
        <f>Table1[[#This Row],[Unit price]]*Table1[[#This Row],[Quantity]]</f>
        <v>61.11</v>
      </c>
      <c r="I5051" s="29">
        <f>Table1[[#This Row],[Total Revenue]]/$H$5056*100</f>
        <v>6.4835111029464482E-3</v>
      </c>
      <c r="J5051" s="3" t="s">
        <v>12</v>
      </c>
      <c r="K5051" s="4">
        <v>4.8</v>
      </c>
      <c r="M5051"/>
    </row>
    <row r="5052" spans="1:13" x14ac:dyDescent="0.25">
      <c r="A5052" s="3" t="s">
        <v>242</v>
      </c>
      <c r="B5052" s="3" t="s">
        <v>245</v>
      </c>
      <c r="C5052" s="3" t="s">
        <v>9</v>
      </c>
      <c r="D5052" s="3" t="s">
        <v>19</v>
      </c>
      <c r="E5052" s="5" t="s">
        <v>14</v>
      </c>
      <c r="F5052" s="17">
        <v>85.05</v>
      </c>
      <c r="G5052" s="3">
        <v>7</v>
      </c>
      <c r="H5052" s="17">
        <f>Table1[[#This Row],[Unit price]]*Table1[[#This Row],[Quantity]]</f>
        <v>595.35</v>
      </c>
      <c r="I5052" s="29">
        <f>Table1[[#This Row],[Total Revenue]]/$H$5056*100</f>
        <v>6.3164103013241171E-2</v>
      </c>
      <c r="J5052" s="3" t="s">
        <v>17</v>
      </c>
      <c r="K5052" s="4">
        <v>4.4000000000000004</v>
      </c>
      <c r="M5052"/>
    </row>
    <row r="5053" spans="1:13" x14ac:dyDescent="0.25">
      <c r="A5053" s="3" t="s">
        <v>242</v>
      </c>
      <c r="B5053" s="3" t="s">
        <v>243</v>
      </c>
      <c r="C5053" s="3" t="s">
        <v>9</v>
      </c>
      <c r="D5053" s="3" t="s">
        <v>10</v>
      </c>
      <c r="E5053" s="5" t="s">
        <v>16</v>
      </c>
      <c r="F5053" s="17">
        <v>54.64</v>
      </c>
      <c r="G5053" s="3">
        <v>10</v>
      </c>
      <c r="H5053" s="17">
        <f>Table1[[#This Row],[Unit price]]*Table1[[#This Row],[Quantity]]</f>
        <v>546.4</v>
      </c>
      <c r="I5053" s="29">
        <f>Table1[[#This Row],[Total Revenue]]/$H$5056*100</f>
        <v>5.7970716194566181E-2</v>
      </c>
      <c r="J5053" s="3" t="s">
        <v>12</v>
      </c>
      <c r="K5053" s="4">
        <v>4.8</v>
      </c>
      <c r="M5053"/>
    </row>
    <row r="5054" spans="1:13" x14ac:dyDescent="0.25">
      <c r="A5054" s="3" t="s">
        <v>242</v>
      </c>
      <c r="B5054" s="3" t="s">
        <v>245</v>
      </c>
      <c r="C5054" s="3" t="s">
        <v>13</v>
      </c>
      <c r="D5054" s="3" t="s">
        <v>10</v>
      </c>
      <c r="E5054" s="5" t="s">
        <v>21</v>
      </c>
      <c r="F5054" s="17">
        <v>49.75</v>
      </c>
      <c r="G5054" s="3">
        <v>7</v>
      </c>
      <c r="H5054" s="17">
        <f>Table1[[#This Row],[Unit price]]*Table1[[#This Row],[Quantity]]</f>
        <v>348.25</v>
      </c>
      <c r="I5054" s="29">
        <f>Table1[[#This Row],[Total Revenue]]/$H$5056*100</f>
        <v>3.6947843914271E-2</v>
      </c>
      <c r="J5054" s="3" t="s">
        <v>15</v>
      </c>
      <c r="K5054" s="4">
        <v>5.8</v>
      </c>
      <c r="M5054"/>
    </row>
    <row r="5055" spans="1:13" x14ac:dyDescent="0.25">
      <c r="M5055"/>
    </row>
    <row r="5056" spans="1:13" ht="15.75" thickBot="1" x14ac:dyDescent="0.3">
      <c r="E5056" s="12" t="s">
        <v>248</v>
      </c>
      <c r="F5056" s="13"/>
      <c r="G5056" s="13"/>
      <c r="H5056" s="20">
        <f>SUM(H2:H5055)</f>
        <v>942544.85000000079</v>
      </c>
      <c r="I5056" s="30">
        <f>SUM(I2:I5055)/100</f>
        <v>1.0000000000000004</v>
      </c>
      <c r="J5056" s="13"/>
      <c r="K5056" s="15"/>
      <c r="M5056"/>
    </row>
    <row r="5057" spans="5:13" x14ac:dyDescent="0.25">
      <c r="E5057" s="1"/>
      <c r="H5057" s="11"/>
      <c r="I5057" s="11"/>
      <c r="M5057"/>
    </row>
    <row r="5058" spans="5:13" s="1" customFormat="1" ht="15.75" thickBot="1" x14ac:dyDescent="0.3">
      <c r="E5058" s="12" t="s">
        <v>249</v>
      </c>
      <c r="F5058" s="12"/>
      <c r="G5058" s="12"/>
      <c r="H5058" s="14">
        <f>AVERAGE(Table1[Total Revenue])</f>
        <v>186.5317336235901</v>
      </c>
      <c r="I5058" s="28"/>
      <c r="J5058" s="12"/>
      <c r="K5058" s="16">
        <f>AVERAGE(Table1[Rating])</f>
        <v>6.8840292895309627</v>
      </c>
      <c r="M5058" s="18"/>
    </row>
    <row r="5059" spans="5:13" x14ac:dyDescent="0.25">
      <c r="M5059" s="18"/>
    </row>
    <row r="5060" spans="5:13" x14ac:dyDescent="0.25">
      <c r="M5060" s="18"/>
    </row>
    <row r="5061" spans="5:13" x14ac:dyDescent="0.25">
      <c r="J5061" s="1"/>
      <c r="M5061" s="18"/>
    </row>
    <row r="5062" spans="5:13" x14ac:dyDescent="0.25">
      <c r="M5062" s="18"/>
    </row>
    <row r="5063" spans="5:13" x14ac:dyDescent="0.25">
      <c r="M5063" s="18"/>
    </row>
    <row r="5064" spans="5:13" x14ac:dyDescent="0.25">
      <c r="M5064" s="18"/>
    </row>
    <row r="5065" spans="5:13" x14ac:dyDescent="0.25">
      <c r="M5065" s="18"/>
    </row>
    <row r="5066" spans="5:13" x14ac:dyDescent="0.25">
      <c r="M5066" s="18"/>
    </row>
    <row r="5067" spans="5:13" x14ac:dyDescent="0.25">
      <c r="M5067" s="18"/>
    </row>
    <row r="5068" spans="5:13" x14ac:dyDescent="0.25">
      <c r="M5068" s="18"/>
    </row>
    <row r="5069" spans="5:13" x14ac:dyDescent="0.25">
      <c r="M5069" s="18"/>
    </row>
    <row r="5070" spans="5:13" x14ac:dyDescent="0.25">
      <c r="M5070" s="18"/>
    </row>
    <row r="5071" spans="5:13" x14ac:dyDescent="0.25">
      <c r="M5071" s="18"/>
    </row>
    <row r="5072" spans="5:13" x14ac:dyDescent="0.25">
      <c r="M5072" s="18"/>
    </row>
    <row r="5073" spans="13:13" x14ac:dyDescent="0.25">
      <c r="M5073" s="18"/>
    </row>
    <row r="5074" spans="13:13" x14ac:dyDescent="0.25">
      <c r="M5074" s="18"/>
    </row>
    <row r="5075" spans="13:13" x14ac:dyDescent="0.25">
      <c r="M5075" s="18"/>
    </row>
    <row r="5076" spans="13:13" x14ac:dyDescent="0.25">
      <c r="M5076" s="18"/>
    </row>
    <row r="5077" spans="13:13" x14ac:dyDescent="0.25">
      <c r="M5077" s="18"/>
    </row>
    <row r="5078" spans="13:13" x14ac:dyDescent="0.25">
      <c r="M5078" s="18"/>
    </row>
    <row r="5079" spans="13:13" x14ac:dyDescent="0.25">
      <c r="M5079" s="18"/>
    </row>
    <row r="5080" spans="13:13" x14ac:dyDescent="0.25">
      <c r="M5080" s="18"/>
    </row>
    <row r="5081" spans="13:13" x14ac:dyDescent="0.25">
      <c r="M5081" s="18"/>
    </row>
    <row r="5082" spans="13:13" x14ac:dyDescent="0.25">
      <c r="M5082" s="18"/>
    </row>
    <row r="5083" spans="13:13" x14ac:dyDescent="0.25">
      <c r="M5083" s="18"/>
    </row>
    <row r="5084" spans="13:13" x14ac:dyDescent="0.25">
      <c r="M5084" s="18"/>
    </row>
    <row r="5085" spans="13:13" x14ac:dyDescent="0.25">
      <c r="M5085" s="18"/>
    </row>
    <row r="5086" spans="13:13" x14ac:dyDescent="0.25">
      <c r="M5086" s="18"/>
    </row>
    <row r="5087" spans="13:13" x14ac:dyDescent="0.25">
      <c r="M5087" s="18"/>
    </row>
    <row r="5088" spans="13:13" x14ac:dyDescent="0.25">
      <c r="M5088" s="18"/>
    </row>
    <row r="5089" spans="13:13" x14ac:dyDescent="0.25">
      <c r="M5089" s="18"/>
    </row>
    <row r="5090" spans="13:13" x14ac:dyDescent="0.25">
      <c r="M5090" s="18"/>
    </row>
    <row r="5091" spans="13:13" x14ac:dyDescent="0.25">
      <c r="M5091" s="18"/>
    </row>
    <row r="5092" spans="13:13" x14ac:dyDescent="0.25">
      <c r="M5092" s="18"/>
    </row>
    <row r="5093" spans="13:13" x14ac:dyDescent="0.25">
      <c r="M5093" s="18"/>
    </row>
    <row r="5094" spans="13:13" x14ac:dyDescent="0.25">
      <c r="M5094" s="18"/>
    </row>
    <row r="5095" spans="13:13" x14ac:dyDescent="0.25">
      <c r="M5095" s="18"/>
    </row>
    <row r="5096" spans="13:13" x14ac:dyDescent="0.25">
      <c r="M5096" s="18"/>
    </row>
    <row r="5097" spans="13:13" x14ac:dyDescent="0.25">
      <c r="M5097" s="18"/>
    </row>
    <row r="5098" spans="13:13" x14ac:dyDescent="0.25">
      <c r="M5098" s="18"/>
    </row>
    <row r="5099" spans="13:13" x14ac:dyDescent="0.25">
      <c r="M5099" s="18"/>
    </row>
    <row r="5100" spans="13:13" x14ac:dyDescent="0.25">
      <c r="M5100" s="18"/>
    </row>
    <row r="5101" spans="13:13" x14ac:dyDescent="0.25">
      <c r="M5101" s="18"/>
    </row>
    <row r="5102" spans="13:13" x14ac:dyDescent="0.25">
      <c r="M5102" s="18"/>
    </row>
    <row r="5103" spans="13:13" x14ac:dyDescent="0.25">
      <c r="M5103" s="18"/>
    </row>
    <row r="5104" spans="13:13" x14ac:dyDescent="0.25">
      <c r="M5104" s="18"/>
    </row>
    <row r="5105" spans="13:13" x14ac:dyDescent="0.25">
      <c r="M5105" s="18"/>
    </row>
    <row r="5106" spans="13:13" x14ac:dyDescent="0.25">
      <c r="M5106" s="18"/>
    </row>
    <row r="5107" spans="13:13" x14ac:dyDescent="0.25">
      <c r="M5107" s="18"/>
    </row>
    <row r="5108" spans="13:13" x14ac:dyDescent="0.25">
      <c r="M5108" s="18"/>
    </row>
    <row r="5109" spans="13:13" x14ac:dyDescent="0.25">
      <c r="M5109" s="18"/>
    </row>
    <row r="5110" spans="13:13" x14ac:dyDescent="0.25">
      <c r="M5110" s="18"/>
    </row>
    <row r="5111" spans="13:13" x14ac:dyDescent="0.25">
      <c r="M5111" s="18"/>
    </row>
    <row r="5112" spans="13:13" x14ac:dyDescent="0.25">
      <c r="M5112" s="18"/>
    </row>
    <row r="5113" spans="13:13" x14ac:dyDescent="0.25">
      <c r="M5113" s="18"/>
    </row>
    <row r="5114" spans="13:13" x14ac:dyDescent="0.25">
      <c r="M5114" s="18"/>
    </row>
    <row r="5115" spans="13:13" x14ac:dyDescent="0.25">
      <c r="M5115" s="18"/>
    </row>
    <row r="5116" spans="13:13" x14ac:dyDescent="0.25">
      <c r="M5116" s="18"/>
    </row>
    <row r="5117" spans="13:13" x14ac:dyDescent="0.25">
      <c r="M5117" s="18"/>
    </row>
    <row r="5118" spans="13:13" x14ac:dyDescent="0.25">
      <c r="M5118" s="18"/>
    </row>
    <row r="5119" spans="13:13" x14ac:dyDescent="0.25">
      <c r="M5119" s="18"/>
    </row>
    <row r="5120" spans="13:13" x14ac:dyDescent="0.25">
      <c r="M5120" s="18"/>
    </row>
    <row r="5121" spans="13:13" x14ac:dyDescent="0.25">
      <c r="M5121" s="18"/>
    </row>
    <row r="5122" spans="13:13" x14ac:dyDescent="0.25">
      <c r="M5122" s="18"/>
    </row>
    <row r="5123" spans="13:13" x14ac:dyDescent="0.25">
      <c r="M5123" s="18"/>
    </row>
    <row r="5124" spans="13:13" x14ac:dyDescent="0.25">
      <c r="M5124" s="18"/>
    </row>
    <row r="5125" spans="13:13" x14ac:dyDescent="0.25">
      <c r="M5125" s="18"/>
    </row>
    <row r="5126" spans="13:13" x14ac:dyDescent="0.25">
      <c r="M5126" s="18"/>
    </row>
    <row r="5127" spans="13:13" x14ac:dyDescent="0.25">
      <c r="M5127" s="18"/>
    </row>
    <row r="5128" spans="13:13" x14ac:dyDescent="0.25">
      <c r="M5128" s="18"/>
    </row>
    <row r="5129" spans="13:13" x14ac:dyDescent="0.25">
      <c r="M5129" s="18"/>
    </row>
    <row r="5130" spans="13:13" x14ac:dyDescent="0.25">
      <c r="M5130" s="18"/>
    </row>
    <row r="5131" spans="13:13" x14ac:dyDescent="0.25">
      <c r="M5131" s="18"/>
    </row>
    <row r="5132" spans="13:13" x14ac:dyDescent="0.25">
      <c r="M5132" s="18"/>
    </row>
    <row r="5133" spans="13:13" x14ac:dyDescent="0.25">
      <c r="M5133" s="18"/>
    </row>
    <row r="5134" spans="13:13" x14ac:dyDescent="0.25">
      <c r="M5134" s="18"/>
    </row>
    <row r="5135" spans="13:13" x14ac:dyDescent="0.25">
      <c r="M5135" s="18"/>
    </row>
    <row r="5136" spans="13:13" x14ac:dyDescent="0.25">
      <c r="M5136" s="18"/>
    </row>
    <row r="5137" spans="13:13" x14ac:dyDescent="0.25">
      <c r="M5137" s="18"/>
    </row>
    <row r="5138" spans="13:13" x14ac:dyDescent="0.25">
      <c r="M5138" s="18"/>
    </row>
    <row r="5139" spans="13:13" x14ac:dyDescent="0.25">
      <c r="M5139" s="18"/>
    </row>
    <row r="5140" spans="13:13" x14ac:dyDescent="0.25">
      <c r="M5140" s="18"/>
    </row>
    <row r="5141" spans="13:13" x14ac:dyDescent="0.25">
      <c r="M5141" s="18"/>
    </row>
    <row r="5142" spans="13:13" x14ac:dyDescent="0.25">
      <c r="M5142" s="18"/>
    </row>
    <row r="5143" spans="13:13" x14ac:dyDescent="0.25">
      <c r="M5143" s="18"/>
    </row>
    <row r="5144" spans="13:13" x14ac:dyDescent="0.25">
      <c r="M5144" s="18"/>
    </row>
    <row r="5145" spans="13:13" x14ac:dyDescent="0.25">
      <c r="M5145" s="18"/>
    </row>
    <row r="5146" spans="13:13" x14ac:dyDescent="0.25">
      <c r="M5146" s="18"/>
    </row>
    <row r="5147" spans="13:13" x14ac:dyDescent="0.25">
      <c r="M5147" s="18"/>
    </row>
    <row r="5148" spans="13:13" x14ac:dyDescent="0.25">
      <c r="M5148" s="18"/>
    </row>
    <row r="5149" spans="13:13" x14ac:dyDescent="0.25">
      <c r="M5149" s="18"/>
    </row>
    <row r="5150" spans="13:13" x14ac:dyDescent="0.25">
      <c r="M5150" s="18"/>
    </row>
    <row r="5151" spans="13:13" x14ac:dyDescent="0.25">
      <c r="M5151" s="18"/>
    </row>
    <row r="5152" spans="13:13" x14ac:dyDescent="0.25">
      <c r="M5152" s="18"/>
    </row>
    <row r="5153" spans="13:13" x14ac:dyDescent="0.25">
      <c r="M5153" s="18"/>
    </row>
    <row r="5154" spans="13:13" x14ac:dyDescent="0.25">
      <c r="M5154" s="18"/>
    </row>
    <row r="5155" spans="13:13" x14ac:dyDescent="0.25">
      <c r="M5155" s="18"/>
    </row>
    <row r="5156" spans="13:13" x14ac:dyDescent="0.25">
      <c r="M5156" s="18"/>
    </row>
    <row r="5157" spans="13:13" x14ac:dyDescent="0.25">
      <c r="M5157" s="18"/>
    </row>
    <row r="5158" spans="13:13" x14ac:dyDescent="0.25">
      <c r="M5158" s="18"/>
    </row>
    <row r="5159" spans="13:13" x14ac:dyDescent="0.25">
      <c r="M5159" s="18"/>
    </row>
    <row r="5160" spans="13:13" x14ac:dyDescent="0.25">
      <c r="M5160" s="18"/>
    </row>
    <row r="5161" spans="13:13" x14ac:dyDescent="0.25">
      <c r="M5161" s="18"/>
    </row>
    <row r="5162" spans="13:13" x14ac:dyDescent="0.25">
      <c r="M5162" s="18"/>
    </row>
    <row r="5163" spans="13:13" x14ac:dyDescent="0.25">
      <c r="M5163" s="18"/>
    </row>
    <row r="5164" spans="13:13" x14ac:dyDescent="0.25">
      <c r="M5164" s="18"/>
    </row>
    <row r="5165" spans="13:13" x14ac:dyDescent="0.25">
      <c r="M5165" s="18"/>
    </row>
    <row r="5166" spans="13:13" x14ac:dyDescent="0.25">
      <c r="M5166" s="18"/>
    </row>
    <row r="5167" spans="13:13" x14ac:dyDescent="0.25">
      <c r="M5167" s="18"/>
    </row>
    <row r="5168" spans="13:13" x14ac:dyDescent="0.25">
      <c r="M5168" s="18"/>
    </row>
    <row r="5169" spans="13:13" x14ac:dyDescent="0.25">
      <c r="M5169" s="18"/>
    </row>
    <row r="5170" spans="13:13" x14ac:dyDescent="0.25">
      <c r="M5170" s="18"/>
    </row>
    <row r="5171" spans="13:13" x14ac:dyDescent="0.25">
      <c r="M5171" s="18"/>
    </row>
    <row r="5172" spans="13:13" x14ac:dyDescent="0.25">
      <c r="M5172" s="18"/>
    </row>
    <row r="5173" spans="13:13" x14ac:dyDescent="0.25">
      <c r="M5173" s="18"/>
    </row>
    <row r="5174" spans="13:13" x14ac:dyDescent="0.25">
      <c r="M5174" s="18"/>
    </row>
    <row r="5175" spans="13:13" x14ac:dyDescent="0.25">
      <c r="M5175" s="18"/>
    </row>
    <row r="5176" spans="13:13" x14ac:dyDescent="0.25">
      <c r="M5176" s="18"/>
    </row>
    <row r="5177" spans="13:13" x14ac:dyDescent="0.25">
      <c r="M5177" s="18"/>
    </row>
    <row r="5178" spans="13:13" x14ac:dyDescent="0.25">
      <c r="M5178" s="18"/>
    </row>
    <row r="5179" spans="13:13" x14ac:dyDescent="0.25">
      <c r="M5179" s="18"/>
    </row>
    <row r="5180" spans="13:13" x14ac:dyDescent="0.25">
      <c r="M5180" s="18"/>
    </row>
    <row r="5181" spans="13:13" x14ac:dyDescent="0.25">
      <c r="M5181" s="18"/>
    </row>
    <row r="5182" spans="13:13" x14ac:dyDescent="0.25">
      <c r="M5182" s="18"/>
    </row>
    <row r="5183" spans="13:13" x14ac:dyDescent="0.25">
      <c r="M5183" s="18"/>
    </row>
    <row r="5184" spans="13:13" x14ac:dyDescent="0.25">
      <c r="M5184" s="18"/>
    </row>
    <row r="5185" spans="13:13" x14ac:dyDescent="0.25">
      <c r="M5185" s="18"/>
    </row>
    <row r="5186" spans="13:13" x14ac:dyDescent="0.25">
      <c r="M5186" s="18"/>
    </row>
    <row r="5187" spans="13:13" x14ac:dyDescent="0.25">
      <c r="M5187" s="18"/>
    </row>
    <row r="5188" spans="13:13" x14ac:dyDescent="0.25">
      <c r="M5188" s="18"/>
    </row>
    <row r="5189" spans="13:13" x14ac:dyDescent="0.25">
      <c r="M5189" s="18"/>
    </row>
    <row r="5190" spans="13:13" x14ac:dyDescent="0.25">
      <c r="M5190" s="18"/>
    </row>
    <row r="5191" spans="13:13" x14ac:dyDescent="0.25">
      <c r="M5191" s="18"/>
    </row>
    <row r="5192" spans="13:13" x14ac:dyDescent="0.25">
      <c r="M5192" s="18"/>
    </row>
    <row r="5193" spans="13:13" x14ac:dyDescent="0.25">
      <c r="M5193" s="18"/>
    </row>
    <row r="5194" spans="13:13" x14ac:dyDescent="0.25">
      <c r="M5194" s="18"/>
    </row>
    <row r="5195" spans="13:13" x14ac:dyDescent="0.25">
      <c r="M5195" s="18"/>
    </row>
    <row r="5196" spans="13:13" x14ac:dyDescent="0.25">
      <c r="M5196" s="18"/>
    </row>
    <row r="5197" spans="13:13" x14ac:dyDescent="0.25">
      <c r="M5197" s="18"/>
    </row>
    <row r="5198" spans="13:13" x14ac:dyDescent="0.25">
      <c r="M5198" s="18"/>
    </row>
    <row r="5199" spans="13:13" x14ac:dyDescent="0.25">
      <c r="M5199" s="18"/>
    </row>
    <row r="5200" spans="13:13" x14ac:dyDescent="0.25">
      <c r="M5200" s="18"/>
    </row>
    <row r="5201" spans="13:13" x14ac:dyDescent="0.25">
      <c r="M5201" s="18"/>
    </row>
    <row r="5202" spans="13:13" x14ac:dyDescent="0.25">
      <c r="M5202" s="18"/>
    </row>
    <row r="5203" spans="13:13" x14ac:dyDescent="0.25">
      <c r="M5203" s="18"/>
    </row>
    <row r="5204" spans="13:13" x14ac:dyDescent="0.25">
      <c r="M5204" s="18"/>
    </row>
    <row r="5205" spans="13:13" x14ac:dyDescent="0.25">
      <c r="M5205" s="18"/>
    </row>
    <row r="5206" spans="13:13" x14ac:dyDescent="0.25">
      <c r="M5206" s="18"/>
    </row>
    <row r="5207" spans="13:13" x14ac:dyDescent="0.25">
      <c r="M5207" s="18"/>
    </row>
    <row r="5208" spans="13:13" x14ac:dyDescent="0.25">
      <c r="M5208" s="18"/>
    </row>
    <row r="5209" spans="13:13" x14ac:dyDescent="0.25">
      <c r="M5209" s="18"/>
    </row>
    <row r="5210" spans="13:13" x14ac:dyDescent="0.25">
      <c r="M5210" s="18"/>
    </row>
    <row r="5211" spans="13:13" x14ac:dyDescent="0.25">
      <c r="M5211" s="18"/>
    </row>
    <row r="5212" spans="13:13" x14ac:dyDescent="0.25">
      <c r="M5212" s="18"/>
    </row>
    <row r="5213" spans="13:13" x14ac:dyDescent="0.25">
      <c r="M5213" s="18"/>
    </row>
    <row r="5214" spans="13:13" x14ac:dyDescent="0.25">
      <c r="M5214" s="18"/>
    </row>
    <row r="5215" spans="13:13" x14ac:dyDescent="0.25">
      <c r="M5215" s="18"/>
    </row>
    <row r="5216" spans="13:13" x14ac:dyDescent="0.25">
      <c r="M5216" s="18"/>
    </row>
    <row r="5217" spans="13:13" x14ac:dyDescent="0.25">
      <c r="M5217" s="18"/>
    </row>
    <row r="5218" spans="13:13" x14ac:dyDescent="0.25">
      <c r="M5218" s="18"/>
    </row>
    <row r="5219" spans="13:13" x14ac:dyDescent="0.25">
      <c r="M5219" s="18"/>
    </row>
    <row r="5220" spans="13:13" x14ac:dyDescent="0.25">
      <c r="M5220" s="18"/>
    </row>
    <row r="5221" spans="13:13" x14ac:dyDescent="0.25">
      <c r="M5221" s="18"/>
    </row>
    <row r="5222" spans="13:13" x14ac:dyDescent="0.25">
      <c r="M5222" s="18"/>
    </row>
    <row r="5223" spans="13:13" x14ac:dyDescent="0.25">
      <c r="M5223" s="18"/>
    </row>
    <row r="5224" spans="13:13" x14ac:dyDescent="0.25">
      <c r="M5224" s="18"/>
    </row>
    <row r="5225" spans="13:13" x14ac:dyDescent="0.25">
      <c r="M5225" s="18"/>
    </row>
    <row r="5226" spans="13:13" x14ac:dyDescent="0.25">
      <c r="M5226" s="18"/>
    </row>
    <row r="5227" spans="13:13" x14ac:dyDescent="0.25">
      <c r="M5227" s="18"/>
    </row>
    <row r="5228" spans="13:13" x14ac:dyDescent="0.25">
      <c r="M5228" s="18"/>
    </row>
    <row r="5229" spans="13:13" x14ac:dyDescent="0.25">
      <c r="M5229" s="18"/>
    </row>
    <row r="5230" spans="13:13" x14ac:dyDescent="0.25">
      <c r="M5230" s="18"/>
    </row>
    <row r="5231" spans="13:13" x14ac:dyDescent="0.25">
      <c r="M5231" s="18"/>
    </row>
    <row r="5232" spans="13:13" x14ac:dyDescent="0.25">
      <c r="M5232" s="18"/>
    </row>
    <row r="5233" spans="13:13" x14ac:dyDescent="0.25">
      <c r="M5233" s="18"/>
    </row>
    <row r="5234" spans="13:13" x14ac:dyDescent="0.25">
      <c r="M5234" s="18"/>
    </row>
    <row r="5235" spans="13:13" x14ac:dyDescent="0.25">
      <c r="M5235" s="18"/>
    </row>
    <row r="5236" spans="13:13" x14ac:dyDescent="0.25">
      <c r="M5236" s="18"/>
    </row>
    <row r="5237" spans="13:13" x14ac:dyDescent="0.25">
      <c r="M5237" s="18"/>
    </row>
    <row r="5238" spans="13:13" x14ac:dyDescent="0.25">
      <c r="M5238" s="18"/>
    </row>
    <row r="5239" spans="13:13" x14ac:dyDescent="0.25">
      <c r="M5239" s="18"/>
    </row>
    <row r="5240" spans="13:13" x14ac:dyDescent="0.25">
      <c r="M5240" s="18"/>
    </row>
    <row r="5241" spans="13:13" x14ac:dyDescent="0.25">
      <c r="M5241" s="18"/>
    </row>
    <row r="5242" spans="13:13" x14ac:dyDescent="0.25">
      <c r="M5242" s="18"/>
    </row>
    <row r="5243" spans="13:13" x14ac:dyDescent="0.25">
      <c r="M5243" s="18"/>
    </row>
    <row r="5244" spans="13:13" x14ac:dyDescent="0.25">
      <c r="M5244" s="18"/>
    </row>
    <row r="5245" spans="13:13" x14ac:dyDescent="0.25">
      <c r="M5245" s="18"/>
    </row>
    <row r="5246" spans="13:13" x14ac:dyDescent="0.25">
      <c r="M5246" s="18"/>
    </row>
    <row r="5247" spans="13:13" x14ac:dyDescent="0.25">
      <c r="M5247" s="18"/>
    </row>
    <row r="5248" spans="13:13" x14ac:dyDescent="0.25">
      <c r="M5248" s="18"/>
    </row>
    <row r="5249" spans="13:13" x14ac:dyDescent="0.25">
      <c r="M5249" s="18"/>
    </row>
    <row r="5250" spans="13:13" x14ac:dyDescent="0.25">
      <c r="M5250" s="18"/>
    </row>
    <row r="5251" spans="13:13" x14ac:dyDescent="0.25">
      <c r="M5251" s="18"/>
    </row>
    <row r="5252" spans="13:13" x14ac:dyDescent="0.25">
      <c r="M5252" s="18"/>
    </row>
    <row r="5253" spans="13:13" x14ac:dyDescent="0.25">
      <c r="M5253" s="18"/>
    </row>
    <row r="5254" spans="13:13" x14ac:dyDescent="0.25">
      <c r="M5254" s="18"/>
    </row>
    <row r="5255" spans="13:13" x14ac:dyDescent="0.25">
      <c r="M5255" s="18"/>
    </row>
    <row r="5256" spans="13:13" x14ac:dyDescent="0.25">
      <c r="M5256" s="18"/>
    </row>
    <row r="5257" spans="13:13" x14ac:dyDescent="0.25">
      <c r="M5257" s="18"/>
    </row>
    <row r="5258" spans="13:13" x14ac:dyDescent="0.25">
      <c r="M5258" s="18"/>
    </row>
    <row r="5259" spans="13:13" x14ac:dyDescent="0.25">
      <c r="M5259" s="18"/>
    </row>
    <row r="5260" spans="13:13" x14ac:dyDescent="0.25">
      <c r="M5260" s="18"/>
    </row>
    <row r="5261" spans="13:13" x14ac:dyDescent="0.25">
      <c r="M5261" s="18"/>
    </row>
    <row r="5262" spans="13:13" x14ac:dyDescent="0.25">
      <c r="M5262" s="18"/>
    </row>
    <row r="5263" spans="13:13" x14ac:dyDescent="0.25">
      <c r="M5263" s="18"/>
    </row>
    <row r="5264" spans="13:13" x14ac:dyDescent="0.25">
      <c r="M5264" s="18"/>
    </row>
    <row r="5265" spans="13:13" x14ac:dyDescent="0.25">
      <c r="M5265" s="18"/>
    </row>
    <row r="5266" spans="13:13" x14ac:dyDescent="0.25">
      <c r="M5266" s="18"/>
    </row>
    <row r="5267" spans="13:13" x14ac:dyDescent="0.25">
      <c r="M5267" s="18"/>
    </row>
    <row r="5268" spans="13:13" x14ac:dyDescent="0.25">
      <c r="M5268" s="18"/>
    </row>
    <row r="5269" spans="13:13" x14ac:dyDescent="0.25">
      <c r="M5269" s="18"/>
    </row>
    <row r="5270" spans="13:13" x14ac:dyDescent="0.25">
      <c r="M5270" s="18"/>
    </row>
    <row r="5271" spans="13:13" x14ac:dyDescent="0.25">
      <c r="M5271" s="18"/>
    </row>
    <row r="5272" spans="13:13" x14ac:dyDescent="0.25">
      <c r="M5272" s="18"/>
    </row>
    <row r="5273" spans="13:13" x14ac:dyDescent="0.25">
      <c r="M5273" s="18"/>
    </row>
    <row r="5274" spans="13:13" x14ac:dyDescent="0.25">
      <c r="M5274" s="18"/>
    </row>
    <row r="5275" spans="13:13" x14ac:dyDescent="0.25">
      <c r="M5275" s="18"/>
    </row>
    <row r="5276" spans="13:13" x14ac:dyDescent="0.25">
      <c r="M5276" s="18"/>
    </row>
    <row r="5277" spans="13:13" x14ac:dyDescent="0.25">
      <c r="M5277" s="18"/>
    </row>
    <row r="5278" spans="13:13" x14ac:dyDescent="0.25">
      <c r="M5278" s="18"/>
    </row>
    <row r="5279" spans="13:13" x14ac:dyDescent="0.25">
      <c r="M5279" s="18"/>
    </row>
    <row r="5280" spans="13:13" x14ac:dyDescent="0.25">
      <c r="M5280" s="18"/>
    </row>
    <row r="5281" spans="13:13" x14ac:dyDescent="0.25">
      <c r="M5281" s="18"/>
    </row>
    <row r="5282" spans="13:13" x14ac:dyDescent="0.25">
      <c r="M5282" s="18"/>
    </row>
    <row r="5283" spans="13:13" x14ac:dyDescent="0.25">
      <c r="M5283" s="18"/>
    </row>
    <row r="5284" spans="13:13" x14ac:dyDescent="0.25">
      <c r="M5284" s="18"/>
    </row>
    <row r="5285" spans="13:13" x14ac:dyDescent="0.25">
      <c r="M5285" s="18"/>
    </row>
    <row r="5286" spans="13:13" x14ac:dyDescent="0.25">
      <c r="M5286" s="18"/>
    </row>
    <row r="5287" spans="13:13" x14ac:dyDescent="0.25">
      <c r="M5287" s="18"/>
    </row>
    <row r="5288" spans="13:13" x14ac:dyDescent="0.25">
      <c r="M5288" s="18"/>
    </row>
    <row r="5289" spans="13:13" x14ac:dyDescent="0.25">
      <c r="M5289" s="18"/>
    </row>
    <row r="5290" spans="13:13" x14ac:dyDescent="0.25">
      <c r="M5290" s="18"/>
    </row>
    <row r="5291" spans="13:13" x14ac:dyDescent="0.25">
      <c r="M5291" s="18"/>
    </row>
    <row r="5292" spans="13:13" x14ac:dyDescent="0.25">
      <c r="M5292" s="18"/>
    </row>
    <row r="5293" spans="13:13" x14ac:dyDescent="0.25">
      <c r="M5293" s="18"/>
    </row>
    <row r="5294" spans="13:13" x14ac:dyDescent="0.25">
      <c r="M5294" s="18"/>
    </row>
    <row r="5295" spans="13:13" x14ac:dyDescent="0.25">
      <c r="M5295" s="18"/>
    </row>
    <row r="5296" spans="13:13" x14ac:dyDescent="0.25">
      <c r="M5296" s="18"/>
    </row>
    <row r="5297" spans="13:13" x14ac:dyDescent="0.25">
      <c r="M5297" s="18"/>
    </row>
    <row r="5298" spans="13:13" x14ac:dyDescent="0.25">
      <c r="M5298" s="18"/>
    </row>
    <row r="5299" spans="13:13" x14ac:dyDescent="0.25">
      <c r="M5299" s="18"/>
    </row>
    <row r="5300" spans="13:13" x14ac:dyDescent="0.25">
      <c r="M5300" s="18"/>
    </row>
    <row r="5301" spans="13:13" x14ac:dyDescent="0.25">
      <c r="M5301" s="18"/>
    </row>
    <row r="5302" spans="13:13" x14ac:dyDescent="0.25">
      <c r="M5302" s="18"/>
    </row>
    <row r="5303" spans="13:13" x14ac:dyDescent="0.25">
      <c r="M5303" s="18"/>
    </row>
    <row r="5304" spans="13:13" x14ac:dyDescent="0.25">
      <c r="M5304" s="18"/>
    </row>
    <row r="5305" spans="13:13" x14ac:dyDescent="0.25">
      <c r="M5305" s="18"/>
    </row>
    <row r="5306" spans="13:13" x14ac:dyDescent="0.25">
      <c r="M5306" s="18"/>
    </row>
    <row r="5307" spans="13:13" x14ac:dyDescent="0.25">
      <c r="M5307" s="18"/>
    </row>
    <row r="5308" spans="13:13" x14ac:dyDescent="0.25">
      <c r="M5308" s="18"/>
    </row>
    <row r="5309" spans="13:13" x14ac:dyDescent="0.25">
      <c r="M5309" s="18"/>
    </row>
    <row r="5310" spans="13:13" x14ac:dyDescent="0.25">
      <c r="M5310" s="18"/>
    </row>
    <row r="5311" spans="13:13" x14ac:dyDescent="0.25">
      <c r="M5311" s="18"/>
    </row>
    <row r="5312" spans="13:13" x14ac:dyDescent="0.25">
      <c r="M5312" s="18"/>
    </row>
    <row r="5313" spans="13:13" x14ac:dyDescent="0.25">
      <c r="M5313" s="18"/>
    </row>
    <row r="5314" spans="13:13" x14ac:dyDescent="0.25">
      <c r="M5314" s="18"/>
    </row>
    <row r="5315" spans="13:13" x14ac:dyDescent="0.25">
      <c r="M5315" s="18"/>
    </row>
    <row r="5316" spans="13:13" x14ac:dyDescent="0.25">
      <c r="M5316" s="18"/>
    </row>
    <row r="5317" spans="13:13" x14ac:dyDescent="0.25">
      <c r="M5317" s="18"/>
    </row>
    <row r="5318" spans="13:13" x14ac:dyDescent="0.25">
      <c r="M5318" s="18"/>
    </row>
    <row r="5319" spans="13:13" x14ac:dyDescent="0.25">
      <c r="M5319" s="18"/>
    </row>
    <row r="5320" spans="13:13" x14ac:dyDescent="0.25">
      <c r="M5320" s="18"/>
    </row>
    <row r="5321" spans="13:13" x14ac:dyDescent="0.25">
      <c r="M5321" s="18"/>
    </row>
    <row r="5322" spans="13:13" x14ac:dyDescent="0.25">
      <c r="M5322" s="18"/>
    </row>
    <row r="5323" spans="13:13" x14ac:dyDescent="0.25">
      <c r="M5323" s="18"/>
    </row>
    <row r="5324" spans="13:13" x14ac:dyDescent="0.25">
      <c r="M5324" s="18"/>
    </row>
    <row r="5325" spans="13:13" x14ac:dyDescent="0.25">
      <c r="M5325" s="18"/>
    </row>
    <row r="5326" spans="13:13" x14ac:dyDescent="0.25">
      <c r="M5326" s="18"/>
    </row>
    <row r="5327" spans="13:13" x14ac:dyDescent="0.25">
      <c r="M5327" s="18"/>
    </row>
    <row r="5328" spans="13:13" x14ac:dyDescent="0.25">
      <c r="M5328" s="18"/>
    </row>
    <row r="5329" spans="13:13" x14ac:dyDescent="0.25">
      <c r="M5329" s="18"/>
    </row>
    <row r="5330" spans="13:13" x14ac:dyDescent="0.25">
      <c r="M5330" s="18"/>
    </row>
    <row r="5331" spans="13:13" x14ac:dyDescent="0.25">
      <c r="M5331" s="18"/>
    </row>
    <row r="5332" spans="13:13" x14ac:dyDescent="0.25">
      <c r="M5332" s="18"/>
    </row>
    <row r="5333" spans="13:13" x14ac:dyDescent="0.25">
      <c r="M5333" s="18"/>
    </row>
    <row r="5334" spans="13:13" x14ac:dyDescent="0.25">
      <c r="M5334" s="18"/>
    </row>
    <row r="5335" spans="13:13" x14ac:dyDescent="0.25">
      <c r="M5335" s="18"/>
    </row>
    <row r="5336" spans="13:13" x14ac:dyDescent="0.25">
      <c r="M5336" s="18"/>
    </row>
    <row r="5337" spans="13:13" x14ac:dyDescent="0.25">
      <c r="M5337" s="18"/>
    </row>
    <row r="5338" spans="13:13" x14ac:dyDescent="0.25">
      <c r="M5338" s="18"/>
    </row>
    <row r="5339" spans="13:13" x14ac:dyDescent="0.25">
      <c r="M5339" s="18"/>
    </row>
    <row r="5340" spans="13:13" x14ac:dyDescent="0.25">
      <c r="M5340" s="18"/>
    </row>
    <row r="5341" spans="13:13" x14ac:dyDescent="0.25">
      <c r="M5341" s="18"/>
    </row>
    <row r="5342" spans="13:13" x14ac:dyDescent="0.25">
      <c r="M5342" s="18"/>
    </row>
    <row r="5343" spans="13:13" x14ac:dyDescent="0.25">
      <c r="M5343" s="18"/>
    </row>
    <row r="5344" spans="13:13" x14ac:dyDescent="0.25">
      <c r="M5344" s="18"/>
    </row>
    <row r="5345" spans="13:13" x14ac:dyDescent="0.25">
      <c r="M5345" s="18"/>
    </row>
    <row r="5346" spans="13:13" x14ac:dyDescent="0.25">
      <c r="M5346" s="18"/>
    </row>
    <row r="5347" spans="13:13" x14ac:dyDescent="0.25">
      <c r="M5347" s="18"/>
    </row>
    <row r="5348" spans="13:13" x14ac:dyDescent="0.25">
      <c r="M5348" s="18"/>
    </row>
    <row r="5349" spans="13:13" x14ac:dyDescent="0.25">
      <c r="M5349" s="18"/>
    </row>
    <row r="5350" spans="13:13" x14ac:dyDescent="0.25">
      <c r="M5350" s="18"/>
    </row>
    <row r="5351" spans="13:13" x14ac:dyDescent="0.25">
      <c r="M5351" s="18"/>
    </row>
    <row r="5352" spans="13:13" x14ac:dyDescent="0.25">
      <c r="M5352" s="18"/>
    </row>
    <row r="5353" spans="13:13" x14ac:dyDescent="0.25">
      <c r="M5353" s="18"/>
    </row>
    <row r="5354" spans="13:13" x14ac:dyDescent="0.25">
      <c r="M5354" s="18"/>
    </row>
    <row r="5355" spans="13:13" x14ac:dyDescent="0.25">
      <c r="M5355" s="18"/>
    </row>
    <row r="5356" spans="13:13" x14ac:dyDescent="0.25">
      <c r="M5356" s="18"/>
    </row>
    <row r="5357" spans="13:13" x14ac:dyDescent="0.25">
      <c r="M5357" s="18"/>
    </row>
    <row r="5358" spans="13:13" x14ac:dyDescent="0.25">
      <c r="M5358" s="18"/>
    </row>
    <row r="5359" spans="13:13" x14ac:dyDescent="0.25">
      <c r="M5359" s="18"/>
    </row>
    <row r="5360" spans="13:13" x14ac:dyDescent="0.25">
      <c r="M5360" s="18"/>
    </row>
    <row r="5361" spans="13:13" x14ac:dyDescent="0.25">
      <c r="M5361" s="18"/>
    </row>
    <row r="5362" spans="13:13" x14ac:dyDescent="0.25">
      <c r="M5362" s="18"/>
    </row>
    <row r="5363" spans="13:13" x14ac:dyDescent="0.25">
      <c r="M5363" s="18"/>
    </row>
    <row r="5364" spans="13:13" x14ac:dyDescent="0.25">
      <c r="M5364" s="18"/>
    </row>
    <row r="5365" spans="13:13" x14ac:dyDescent="0.25">
      <c r="M5365" s="18"/>
    </row>
    <row r="5366" spans="13:13" x14ac:dyDescent="0.25">
      <c r="M5366" s="18"/>
    </row>
    <row r="5367" spans="13:13" x14ac:dyDescent="0.25">
      <c r="M5367" s="18"/>
    </row>
    <row r="5368" spans="13:13" x14ac:dyDescent="0.25">
      <c r="M5368" s="18"/>
    </row>
    <row r="5369" spans="13:13" x14ac:dyDescent="0.25">
      <c r="M5369" s="18"/>
    </row>
    <row r="5370" spans="13:13" x14ac:dyDescent="0.25">
      <c r="M5370" s="18"/>
    </row>
    <row r="5371" spans="13:13" x14ac:dyDescent="0.25">
      <c r="M5371" s="18"/>
    </row>
    <row r="5372" spans="13:13" x14ac:dyDescent="0.25">
      <c r="M5372" s="18"/>
    </row>
    <row r="5373" spans="13:13" x14ac:dyDescent="0.25">
      <c r="M5373" s="18"/>
    </row>
    <row r="5374" spans="13:13" x14ac:dyDescent="0.25">
      <c r="M5374" s="18"/>
    </row>
    <row r="5375" spans="13:13" x14ac:dyDescent="0.25">
      <c r="M5375" s="18"/>
    </row>
    <row r="5376" spans="13:13" x14ac:dyDescent="0.25">
      <c r="M5376" s="18"/>
    </row>
    <row r="5377" spans="13:13" x14ac:dyDescent="0.25">
      <c r="M5377" s="18"/>
    </row>
    <row r="5378" spans="13:13" x14ac:dyDescent="0.25">
      <c r="M5378" s="18"/>
    </row>
    <row r="5379" spans="13:13" x14ac:dyDescent="0.25">
      <c r="M5379" s="18"/>
    </row>
    <row r="5380" spans="13:13" x14ac:dyDescent="0.25">
      <c r="M5380" s="18"/>
    </row>
    <row r="5381" spans="13:13" x14ac:dyDescent="0.25">
      <c r="M5381" s="18"/>
    </row>
    <row r="5382" spans="13:13" x14ac:dyDescent="0.25">
      <c r="M5382" s="18"/>
    </row>
    <row r="5383" spans="13:13" x14ac:dyDescent="0.25">
      <c r="M5383" s="18"/>
    </row>
    <row r="5384" spans="13:13" x14ac:dyDescent="0.25">
      <c r="M5384" s="18"/>
    </row>
    <row r="5385" spans="13:13" x14ac:dyDescent="0.25">
      <c r="M5385" s="18"/>
    </row>
    <row r="5386" spans="13:13" x14ac:dyDescent="0.25">
      <c r="M5386" s="18"/>
    </row>
    <row r="5387" spans="13:13" x14ac:dyDescent="0.25">
      <c r="M5387" s="18"/>
    </row>
    <row r="5388" spans="13:13" x14ac:dyDescent="0.25">
      <c r="M5388" s="18"/>
    </row>
    <row r="5389" spans="13:13" x14ac:dyDescent="0.25">
      <c r="M5389" s="18"/>
    </row>
    <row r="5390" spans="13:13" x14ac:dyDescent="0.25">
      <c r="M5390" s="18"/>
    </row>
    <row r="5391" spans="13:13" x14ac:dyDescent="0.25">
      <c r="M5391" s="18"/>
    </row>
    <row r="5392" spans="13:13" x14ac:dyDescent="0.25">
      <c r="M5392" s="18"/>
    </row>
    <row r="5393" spans="13:13" x14ac:dyDescent="0.25">
      <c r="M5393" s="18"/>
    </row>
    <row r="5394" spans="13:13" x14ac:dyDescent="0.25">
      <c r="M5394" s="18"/>
    </row>
    <row r="5395" spans="13:13" x14ac:dyDescent="0.25">
      <c r="M5395" s="18"/>
    </row>
    <row r="5396" spans="13:13" x14ac:dyDescent="0.25">
      <c r="M5396" s="18"/>
    </row>
    <row r="5397" spans="13:13" x14ac:dyDescent="0.25">
      <c r="M5397" s="18"/>
    </row>
    <row r="5398" spans="13:13" x14ac:dyDescent="0.25">
      <c r="M5398" s="18"/>
    </row>
    <row r="5399" spans="13:13" x14ac:dyDescent="0.25">
      <c r="M5399" s="18"/>
    </row>
    <row r="5400" spans="13:13" x14ac:dyDescent="0.25">
      <c r="M5400" s="18"/>
    </row>
    <row r="5401" spans="13:13" x14ac:dyDescent="0.25">
      <c r="M5401" s="18"/>
    </row>
    <row r="5402" spans="13:13" x14ac:dyDescent="0.25">
      <c r="M5402" s="18"/>
    </row>
    <row r="5403" spans="13:13" x14ac:dyDescent="0.25">
      <c r="M5403" s="18"/>
    </row>
    <row r="5404" spans="13:13" x14ac:dyDescent="0.25">
      <c r="M5404" s="18"/>
    </row>
    <row r="5405" spans="13:13" x14ac:dyDescent="0.25">
      <c r="M5405" s="18"/>
    </row>
    <row r="5406" spans="13:13" x14ac:dyDescent="0.25">
      <c r="M5406" s="18"/>
    </row>
    <row r="5407" spans="13:13" x14ac:dyDescent="0.25">
      <c r="M5407" s="18"/>
    </row>
    <row r="5408" spans="13:13" x14ac:dyDescent="0.25">
      <c r="M5408" s="18"/>
    </row>
    <row r="5409" spans="13:13" x14ac:dyDescent="0.25">
      <c r="M5409" s="18"/>
    </row>
    <row r="5410" spans="13:13" x14ac:dyDescent="0.25">
      <c r="M5410" s="18"/>
    </row>
    <row r="5411" spans="13:13" x14ac:dyDescent="0.25">
      <c r="M5411" s="18"/>
    </row>
    <row r="5412" spans="13:13" x14ac:dyDescent="0.25">
      <c r="M5412" s="18"/>
    </row>
    <row r="5413" spans="13:13" x14ac:dyDescent="0.25">
      <c r="M5413" s="18"/>
    </row>
    <row r="5414" spans="13:13" x14ac:dyDescent="0.25">
      <c r="M5414" s="18"/>
    </row>
    <row r="5415" spans="13:13" x14ac:dyDescent="0.25">
      <c r="M5415" s="18"/>
    </row>
    <row r="5416" spans="13:13" x14ac:dyDescent="0.25">
      <c r="M5416" s="18"/>
    </row>
    <row r="5417" spans="13:13" x14ac:dyDescent="0.25">
      <c r="M5417" s="18"/>
    </row>
    <row r="5418" spans="13:13" x14ac:dyDescent="0.25">
      <c r="M5418" s="18"/>
    </row>
    <row r="5419" spans="13:13" x14ac:dyDescent="0.25">
      <c r="M5419" s="18"/>
    </row>
    <row r="5420" spans="13:13" x14ac:dyDescent="0.25">
      <c r="M5420" s="18"/>
    </row>
    <row r="5421" spans="13:13" x14ac:dyDescent="0.25">
      <c r="M5421" s="18"/>
    </row>
    <row r="5422" spans="13:13" x14ac:dyDescent="0.25">
      <c r="M5422" s="18"/>
    </row>
    <row r="5423" spans="13:13" x14ac:dyDescent="0.25">
      <c r="M5423" s="18"/>
    </row>
    <row r="5424" spans="13:13" x14ac:dyDescent="0.25">
      <c r="M5424" s="18"/>
    </row>
    <row r="5425" spans="13:13" x14ac:dyDescent="0.25">
      <c r="M5425" s="18"/>
    </row>
    <row r="5426" spans="13:13" x14ac:dyDescent="0.25">
      <c r="M5426" s="18"/>
    </row>
    <row r="5427" spans="13:13" x14ac:dyDescent="0.25">
      <c r="M5427" s="18"/>
    </row>
    <row r="5428" spans="13:13" x14ac:dyDescent="0.25">
      <c r="M5428" s="18"/>
    </row>
    <row r="5429" spans="13:13" x14ac:dyDescent="0.25">
      <c r="M5429" s="18"/>
    </row>
    <row r="5430" spans="13:13" x14ac:dyDescent="0.25">
      <c r="M5430" s="18"/>
    </row>
    <row r="5431" spans="13:13" x14ac:dyDescent="0.25">
      <c r="M5431" s="18"/>
    </row>
    <row r="5432" spans="13:13" x14ac:dyDescent="0.25">
      <c r="M5432" s="18"/>
    </row>
    <row r="5433" spans="13:13" x14ac:dyDescent="0.25">
      <c r="M5433" s="18"/>
    </row>
    <row r="5434" spans="13:13" x14ac:dyDescent="0.25">
      <c r="M5434" s="18"/>
    </row>
    <row r="5435" spans="13:13" x14ac:dyDescent="0.25">
      <c r="M5435" s="18"/>
    </row>
    <row r="5436" spans="13:13" x14ac:dyDescent="0.25">
      <c r="M5436" s="18"/>
    </row>
    <row r="5437" spans="13:13" x14ac:dyDescent="0.25">
      <c r="M5437" s="18"/>
    </row>
    <row r="5438" spans="13:13" x14ac:dyDescent="0.25">
      <c r="M5438" s="18"/>
    </row>
    <row r="5439" spans="13:13" x14ac:dyDescent="0.25">
      <c r="M5439" s="18"/>
    </row>
    <row r="5440" spans="13:13" x14ac:dyDescent="0.25">
      <c r="M5440" s="18"/>
    </row>
    <row r="5441" spans="13:13" x14ac:dyDescent="0.25">
      <c r="M5441" s="18"/>
    </row>
    <row r="5442" spans="13:13" x14ac:dyDescent="0.25">
      <c r="M5442" s="18"/>
    </row>
    <row r="5443" spans="13:13" x14ac:dyDescent="0.25">
      <c r="M5443" s="18"/>
    </row>
    <row r="5444" spans="13:13" x14ac:dyDescent="0.25">
      <c r="M5444" s="18"/>
    </row>
    <row r="5445" spans="13:13" x14ac:dyDescent="0.25">
      <c r="M5445" s="18"/>
    </row>
    <row r="5446" spans="13:13" x14ac:dyDescent="0.25">
      <c r="M5446" s="18"/>
    </row>
    <row r="5447" spans="13:13" x14ac:dyDescent="0.25">
      <c r="M5447" s="18"/>
    </row>
    <row r="5448" spans="13:13" x14ac:dyDescent="0.25">
      <c r="M5448" s="18"/>
    </row>
    <row r="5449" spans="13:13" x14ac:dyDescent="0.25">
      <c r="M5449" s="18"/>
    </row>
    <row r="5450" spans="13:13" x14ac:dyDescent="0.25">
      <c r="M5450" s="18"/>
    </row>
    <row r="5451" spans="13:13" x14ac:dyDescent="0.25">
      <c r="M5451" s="18"/>
    </row>
    <row r="5452" spans="13:13" x14ac:dyDescent="0.25">
      <c r="M5452" s="18"/>
    </row>
    <row r="5453" spans="13:13" x14ac:dyDescent="0.25">
      <c r="M5453" s="18"/>
    </row>
    <row r="5454" spans="13:13" x14ac:dyDescent="0.25">
      <c r="M5454" s="18"/>
    </row>
    <row r="5455" spans="13:13" x14ac:dyDescent="0.25">
      <c r="M5455" s="18"/>
    </row>
    <row r="5456" spans="13:13" x14ac:dyDescent="0.25">
      <c r="M5456" s="18"/>
    </row>
    <row r="5457" spans="13:13" x14ac:dyDescent="0.25">
      <c r="M5457" s="18"/>
    </row>
    <row r="5458" spans="13:13" x14ac:dyDescent="0.25">
      <c r="M5458" s="18"/>
    </row>
    <row r="5459" spans="13:13" x14ac:dyDescent="0.25">
      <c r="M5459" s="18"/>
    </row>
    <row r="5460" spans="13:13" x14ac:dyDescent="0.25">
      <c r="M5460" s="18"/>
    </row>
    <row r="5461" spans="13:13" x14ac:dyDescent="0.25">
      <c r="M5461" s="18"/>
    </row>
    <row r="5462" spans="13:13" x14ac:dyDescent="0.25">
      <c r="M5462" s="18"/>
    </row>
    <row r="5463" spans="13:13" x14ac:dyDescent="0.25">
      <c r="M5463" s="18"/>
    </row>
    <row r="5464" spans="13:13" x14ac:dyDescent="0.25">
      <c r="M5464" s="18"/>
    </row>
    <row r="5465" spans="13:13" x14ac:dyDescent="0.25">
      <c r="M5465" s="18"/>
    </row>
    <row r="5466" spans="13:13" x14ac:dyDescent="0.25">
      <c r="M5466" s="18"/>
    </row>
    <row r="5467" spans="13:13" x14ac:dyDescent="0.25">
      <c r="M5467" s="18"/>
    </row>
    <row r="5468" spans="13:13" x14ac:dyDescent="0.25">
      <c r="M5468" s="18"/>
    </row>
    <row r="5469" spans="13:13" x14ac:dyDescent="0.25">
      <c r="M5469" s="18"/>
    </row>
    <row r="5470" spans="13:13" x14ac:dyDescent="0.25">
      <c r="M5470" s="18"/>
    </row>
    <row r="5471" spans="13:13" x14ac:dyDescent="0.25">
      <c r="M5471" s="18"/>
    </row>
    <row r="5472" spans="13:13" x14ac:dyDescent="0.25">
      <c r="M5472" s="18"/>
    </row>
    <row r="5473" spans="13:13" x14ac:dyDescent="0.25">
      <c r="M5473" s="18"/>
    </row>
    <row r="5474" spans="13:13" x14ac:dyDescent="0.25">
      <c r="M5474" s="18"/>
    </row>
    <row r="5475" spans="13:13" x14ac:dyDescent="0.25">
      <c r="M5475" s="18"/>
    </row>
    <row r="5476" spans="13:13" x14ac:dyDescent="0.25">
      <c r="M5476" s="18"/>
    </row>
    <row r="5477" spans="13:13" x14ac:dyDescent="0.25">
      <c r="M5477" s="18"/>
    </row>
    <row r="5478" spans="13:13" x14ac:dyDescent="0.25">
      <c r="M5478" s="18"/>
    </row>
    <row r="5479" spans="13:13" x14ac:dyDescent="0.25">
      <c r="M5479" s="18"/>
    </row>
    <row r="5480" spans="13:13" x14ac:dyDescent="0.25">
      <c r="M5480" s="18"/>
    </row>
    <row r="5481" spans="13:13" x14ac:dyDescent="0.25">
      <c r="M5481" s="18"/>
    </row>
    <row r="5482" spans="13:13" x14ac:dyDescent="0.25">
      <c r="M5482" s="18"/>
    </row>
    <row r="5483" spans="13:13" x14ac:dyDescent="0.25">
      <c r="M5483" s="18"/>
    </row>
    <row r="5484" spans="13:13" x14ac:dyDescent="0.25">
      <c r="M5484" s="18"/>
    </row>
    <row r="5485" spans="13:13" x14ac:dyDescent="0.25">
      <c r="M5485" s="18"/>
    </row>
    <row r="5486" spans="13:13" x14ac:dyDescent="0.25">
      <c r="M5486" s="18"/>
    </row>
    <row r="5487" spans="13:13" x14ac:dyDescent="0.25">
      <c r="M5487" s="18"/>
    </row>
    <row r="5488" spans="13:13" x14ac:dyDescent="0.25">
      <c r="M5488" s="18"/>
    </row>
    <row r="5489" spans="13:13" x14ac:dyDescent="0.25">
      <c r="M5489" s="18"/>
    </row>
    <row r="5490" spans="13:13" x14ac:dyDescent="0.25">
      <c r="M5490" s="18"/>
    </row>
    <row r="5491" spans="13:13" x14ac:dyDescent="0.25">
      <c r="M5491" s="18"/>
    </row>
    <row r="5492" spans="13:13" x14ac:dyDescent="0.25">
      <c r="M5492" s="18"/>
    </row>
    <row r="5493" spans="13:13" x14ac:dyDescent="0.25">
      <c r="M5493" s="18"/>
    </row>
    <row r="5494" spans="13:13" x14ac:dyDescent="0.25">
      <c r="M5494" s="18"/>
    </row>
    <row r="5495" spans="13:13" x14ac:dyDescent="0.25">
      <c r="M5495" s="18"/>
    </row>
    <row r="5496" spans="13:13" x14ac:dyDescent="0.25">
      <c r="M5496" s="18"/>
    </row>
    <row r="5497" spans="13:13" x14ac:dyDescent="0.25">
      <c r="M5497" s="18"/>
    </row>
    <row r="5498" spans="13:13" x14ac:dyDescent="0.25">
      <c r="M5498" s="18"/>
    </row>
    <row r="5499" spans="13:13" x14ac:dyDescent="0.25">
      <c r="M5499" s="18"/>
    </row>
    <row r="5500" spans="13:13" x14ac:dyDescent="0.25">
      <c r="M5500" s="18"/>
    </row>
    <row r="5501" spans="13:13" x14ac:dyDescent="0.25">
      <c r="M5501" s="18"/>
    </row>
    <row r="5502" spans="13:13" x14ac:dyDescent="0.25">
      <c r="M5502" s="18"/>
    </row>
    <row r="5503" spans="13:13" x14ac:dyDescent="0.25">
      <c r="M5503" s="18"/>
    </row>
    <row r="5504" spans="13:13" x14ac:dyDescent="0.25">
      <c r="M5504" s="18"/>
    </row>
    <row r="5505" spans="13:13" x14ac:dyDescent="0.25">
      <c r="M5505" s="18"/>
    </row>
    <row r="5506" spans="13:13" x14ac:dyDescent="0.25">
      <c r="M5506" s="18"/>
    </row>
    <row r="5507" spans="13:13" x14ac:dyDescent="0.25">
      <c r="M5507" s="18"/>
    </row>
    <row r="5508" spans="13:13" x14ac:dyDescent="0.25">
      <c r="M5508" s="18"/>
    </row>
    <row r="5509" spans="13:13" x14ac:dyDescent="0.25">
      <c r="M5509" s="18"/>
    </row>
    <row r="5510" spans="13:13" x14ac:dyDescent="0.25">
      <c r="M5510" s="18"/>
    </row>
    <row r="5511" spans="13:13" x14ac:dyDescent="0.25">
      <c r="M5511" s="18"/>
    </row>
    <row r="5512" spans="13:13" x14ac:dyDescent="0.25">
      <c r="M5512" s="18"/>
    </row>
    <row r="5513" spans="13:13" x14ac:dyDescent="0.25">
      <c r="M5513" s="18"/>
    </row>
    <row r="5514" spans="13:13" x14ac:dyDescent="0.25">
      <c r="M5514" s="18"/>
    </row>
    <row r="5515" spans="13:13" x14ac:dyDescent="0.25">
      <c r="M5515" s="18"/>
    </row>
    <row r="5516" spans="13:13" x14ac:dyDescent="0.25">
      <c r="M5516" s="18"/>
    </row>
    <row r="5517" spans="13:13" x14ac:dyDescent="0.25">
      <c r="M5517" s="18"/>
    </row>
    <row r="5518" spans="13:13" x14ac:dyDescent="0.25">
      <c r="M5518" s="18"/>
    </row>
    <row r="5519" spans="13:13" x14ac:dyDescent="0.25">
      <c r="M5519" s="18"/>
    </row>
    <row r="5520" spans="13:13" x14ac:dyDescent="0.25">
      <c r="M5520" s="18"/>
    </row>
    <row r="5521" spans="13:13" x14ac:dyDescent="0.25">
      <c r="M5521" s="18"/>
    </row>
    <row r="5522" spans="13:13" x14ac:dyDescent="0.25">
      <c r="M5522" s="18"/>
    </row>
    <row r="5523" spans="13:13" x14ac:dyDescent="0.25">
      <c r="M5523" s="18"/>
    </row>
    <row r="5524" spans="13:13" x14ac:dyDescent="0.25">
      <c r="M5524" s="18"/>
    </row>
    <row r="5525" spans="13:13" x14ac:dyDescent="0.25">
      <c r="M5525" s="18"/>
    </row>
    <row r="5526" spans="13:13" x14ac:dyDescent="0.25">
      <c r="M5526" s="18"/>
    </row>
    <row r="5527" spans="13:13" x14ac:dyDescent="0.25">
      <c r="M5527" s="18"/>
    </row>
    <row r="5528" spans="13:13" x14ac:dyDescent="0.25">
      <c r="M5528" s="18"/>
    </row>
    <row r="5529" spans="13:13" x14ac:dyDescent="0.25">
      <c r="M5529" s="18"/>
    </row>
    <row r="5530" spans="13:13" x14ac:dyDescent="0.25">
      <c r="M5530" s="18"/>
    </row>
    <row r="5531" spans="13:13" x14ac:dyDescent="0.25">
      <c r="M5531" s="18"/>
    </row>
    <row r="5532" spans="13:13" x14ac:dyDescent="0.25">
      <c r="M5532" s="18"/>
    </row>
    <row r="5533" spans="13:13" x14ac:dyDescent="0.25">
      <c r="M5533" s="18"/>
    </row>
    <row r="5534" spans="13:13" x14ac:dyDescent="0.25">
      <c r="M5534" s="18"/>
    </row>
    <row r="5535" spans="13:13" x14ac:dyDescent="0.25">
      <c r="M5535" s="18"/>
    </row>
    <row r="5536" spans="13:13" x14ac:dyDescent="0.25">
      <c r="M5536" s="18"/>
    </row>
    <row r="5537" spans="13:13" x14ac:dyDescent="0.25">
      <c r="M5537" s="18"/>
    </row>
    <row r="5538" spans="13:13" x14ac:dyDescent="0.25">
      <c r="M5538" s="18"/>
    </row>
    <row r="5539" spans="13:13" x14ac:dyDescent="0.25">
      <c r="M5539" s="18"/>
    </row>
    <row r="5540" spans="13:13" x14ac:dyDescent="0.25">
      <c r="M5540" s="18"/>
    </row>
    <row r="5541" spans="13:13" x14ac:dyDescent="0.25">
      <c r="M5541" s="18"/>
    </row>
    <row r="5542" spans="13:13" x14ac:dyDescent="0.25">
      <c r="M5542" s="18"/>
    </row>
    <row r="5543" spans="13:13" x14ac:dyDescent="0.25">
      <c r="M5543" s="18"/>
    </row>
    <row r="5544" spans="13:13" x14ac:dyDescent="0.25">
      <c r="M5544" s="18"/>
    </row>
    <row r="5545" spans="13:13" x14ac:dyDescent="0.25">
      <c r="M5545" s="18"/>
    </row>
    <row r="5546" spans="13:13" x14ac:dyDescent="0.25">
      <c r="M5546" s="18"/>
    </row>
    <row r="5547" spans="13:13" x14ac:dyDescent="0.25">
      <c r="M5547" s="18"/>
    </row>
    <row r="5548" spans="13:13" x14ac:dyDescent="0.25">
      <c r="M5548" s="18"/>
    </row>
    <row r="5549" spans="13:13" x14ac:dyDescent="0.25">
      <c r="M5549" s="18"/>
    </row>
    <row r="5550" spans="13:13" x14ac:dyDescent="0.25">
      <c r="M5550" s="18"/>
    </row>
    <row r="5551" spans="13:13" x14ac:dyDescent="0.25">
      <c r="M5551" s="18"/>
    </row>
    <row r="5552" spans="13:13" x14ac:dyDescent="0.25">
      <c r="M5552" s="18"/>
    </row>
    <row r="5553" spans="13:13" x14ac:dyDescent="0.25">
      <c r="M5553" s="18"/>
    </row>
    <row r="5554" spans="13:13" x14ac:dyDescent="0.25">
      <c r="M5554" s="18"/>
    </row>
    <row r="5555" spans="13:13" x14ac:dyDescent="0.25">
      <c r="M5555" s="18"/>
    </row>
    <row r="5556" spans="13:13" x14ac:dyDescent="0.25">
      <c r="M5556" s="18"/>
    </row>
    <row r="5557" spans="13:13" x14ac:dyDescent="0.25">
      <c r="M5557" s="18"/>
    </row>
    <row r="5558" spans="13:13" x14ac:dyDescent="0.25">
      <c r="M5558" s="18"/>
    </row>
    <row r="5559" spans="13:13" x14ac:dyDescent="0.25">
      <c r="M5559" s="18"/>
    </row>
    <row r="5560" spans="13:13" x14ac:dyDescent="0.25">
      <c r="M5560" s="18"/>
    </row>
    <row r="5561" spans="13:13" x14ac:dyDescent="0.25">
      <c r="M5561" s="18"/>
    </row>
    <row r="5562" spans="13:13" x14ac:dyDescent="0.25">
      <c r="M5562" s="18"/>
    </row>
    <row r="5563" spans="13:13" x14ac:dyDescent="0.25">
      <c r="M5563" s="18"/>
    </row>
    <row r="5564" spans="13:13" x14ac:dyDescent="0.25">
      <c r="M5564" s="18"/>
    </row>
    <row r="5565" spans="13:13" x14ac:dyDescent="0.25">
      <c r="M5565" s="18"/>
    </row>
    <row r="5566" spans="13:13" x14ac:dyDescent="0.25">
      <c r="M5566" s="18"/>
    </row>
    <row r="5567" spans="13:13" x14ac:dyDescent="0.25">
      <c r="M5567" s="18"/>
    </row>
    <row r="5568" spans="13:13" x14ac:dyDescent="0.25">
      <c r="M5568" s="18"/>
    </row>
    <row r="5569" spans="13:13" x14ac:dyDescent="0.25">
      <c r="M5569" s="18"/>
    </row>
    <row r="5570" spans="13:13" x14ac:dyDescent="0.25">
      <c r="M5570" s="18"/>
    </row>
    <row r="5571" spans="13:13" x14ac:dyDescent="0.25">
      <c r="M5571" s="18"/>
    </row>
    <row r="5572" spans="13:13" x14ac:dyDescent="0.25">
      <c r="M5572" s="18"/>
    </row>
    <row r="5573" spans="13:13" x14ac:dyDescent="0.25">
      <c r="M5573" s="18"/>
    </row>
    <row r="5574" spans="13:13" x14ac:dyDescent="0.25">
      <c r="M5574" s="18"/>
    </row>
    <row r="5575" spans="13:13" x14ac:dyDescent="0.25">
      <c r="M5575" s="18"/>
    </row>
    <row r="5576" spans="13:13" x14ac:dyDescent="0.25">
      <c r="M5576" s="18"/>
    </row>
    <row r="5577" spans="13:13" x14ac:dyDescent="0.25">
      <c r="M5577" s="18"/>
    </row>
    <row r="5578" spans="13:13" x14ac:dyDescent="0.25">
      <c r="M5578" s="18"/>
    </row>
    <row r="5579" spans="13:13" x14ac:dyDescent="0.25">
      <c r="M5579" s="18"/>
    </row>
    <row r="5580" spans="13:13" x14ac:dyDescent="0.25">
      <c r="M5580" s="18"/>
    </row>
    <row r="5581" spans="13:13" x14ac:dyDescent="0.25">
      <c r="M5581" s="18"/>
    </row>
    <row r="5582" spans="13:13" x14ac:dyDescent="0.25">
      <c r="M5582" s="18"/>
    </row>
    <row r="5583" spans="13:13" x14ac:dyDescent="0.25">
      <c r="M5583" s="18"/>
    </row>
    <row r="5584" spans="13:13" x14ac:dyDescent="0.25">
      <c r="M5584" s="18"/>
    </row>
    <row r="5585" spans="13:13" x14ac:dyDescent="0.25">
      <c r="M5585" s="18"/>
    </row>
    <row r="5586" spans="13:13" x14ac:dyDescent="0.25">
      <c r="M5586" s="18"/>
    </row>
    <row r="5587" spans="13:13" x14ac:dyDescent="0.25">
      <c r="M5587" s="18"/>
    </row>
    <row r="5588" spans="13:13" x14ac:dyDescent="0.25">
      <c r="M5588" s="18"/>
    </row>
    <row r="5589" spans="13:13" x14ac:dyDescent="0.25">
      <c r="M5589" s="18"/>
    </row>
    <row r="5590" spans="13:13" x14ac:dyDescent="0.25">
      <c r="M5590" s="18"/>
    </row>
    <row r="5591" spans="13:13" x14ac:dyDescent="0.25">
      <c r="M5591" s="18"/>
    </row>
    <row r="5592" spans="13:13" x14ac:dyDescent="0.25">
      <c r="M5592" s="18"/>
    </row>
    <row r="5593" spans="13:13" x14ac:dyDescent="0.25">
      <c r="M5593" s="18"/>
    </row>
    <row r="5594" spans="13:13" x14ac:dyDescent="0.25">
      <c r="M5594" s="18"/>
    </row>
    <row r="5595" spans="13:13" x14ac:dyDescent="0.25">
      <c r="M5595" s="18"/>
    </row>
    <row r="5596" spans="13:13" x14ac:dyDescent="0.25">
      <c r="M5596" s="18"/>
    </row>
    <row r="5597" spans="13:13" x14ac:dyDescent="0.25">
      <c r="M5597" s="18"/>
    </row>
    <row r="5598" spans="13:13" x14ac:dyDescent="0.25">
      <c r="M5598" s="18"/>
    </row>
    <row r="5599" spans="13:13" x14ac:dyDescent="0.25">
      <c r="M5599" s="18"/>
    </row>
    <row r="5600" spans="13:13" x14ac:dyDescent="0.25">
      <c r="M5600" s="18"/>
    </row>
    <row r="5601" spans="13:13" x14ac:dyDescent="0.25">
      <c r="M5601" s="18"/>
    </row>
    <row r="5602" spans="13:13" x14ac:dyDescent="0.25">
      <c r="M5602" s="18"/>
    </row>
    <row r="5603" spans="13:13" x14ac:dyDescent="0.25">
      <c r="M5603" s="18"/>
    </row>
    <row r="5604" spans="13:13" x14ac:dyDescent="0.25">
      <c r="M5604" s="18"/>
    </row>
    <row r="5605" spans="13:13" x14ac:dyDescent="0.25">
      <c r="M5605" s="18"/>
    </row>
    <row r="5606" spans="13:13" x14ac:dyDescent="0.25">
      <c r="M5606" s="18"/>
    </row>
    <row r="5607" spans="13:13" x14ac:dyDescent="0.25">
      <c r="M5607" s="18"/>
    </row>
    <row r="5608" spans="13:13" x14ac:dyDescent="0.25">
      <c r="M5608" s="18"/>
    </row>
    <row r="5609" spans="13:13" x14ac:dyDescent="0.25">
      <c r="M5609" s="18"/>
    </row>
    <row r="5610" spans="13:13" x14ac:dyDescent="0.25">
      <c r="M5610" s="18"/>
    </row>
    <row r="5611" spans="13:13" x14ac:dyDescent="0.25">
      <c r="M5611" s="18"/>
    </row>
    <row r="5612" spans="13:13" x14ac:dyDescent="0.25">
      <c r="M5612" s="18"/>
    </row>
    <row r="5613" spans="13:13" x14ac:dyDescent="0.25">
      <c r="M5613" s="18"/>
    </row>
    <row r="5614" spans="13:13" x14ac:dyDescent="0.25">
      <c r="M5614" s="18"/>
    </row>
    <row r="5615" spans="13:13" x14ac:dyDescent="0.25">
      <c r="M5615" s="18"/>
    </row>
    <row r="5616" spans="13:13" x14ac:dyDescent="0.25">
      <c r="M5616" s="18"/>
    </row>
    <row r="5617" spans="13:13" x14ac:dyDescent="0.25">
      <c r="M5617" s="18"/>
    </row>
    <row r="5618" spans="13:13" x14ac:dyDescent="0.25">
      <c r="M5618" s="18"/>
    </row>
    <row r="5619" spans="13:13" x14ac:dyDescent="0.25">
      <c r="M5619" s="18"/>
    </row>
    <row r="5620" spans="13:13" x14ac:dyDescent="0.25">
      <c r="M5620" s="18"/>
    </row>
    <row r="5621" spans="13:13" x14ac:dyDescent="0.25">
      <c r="M5621" s="18"/>
    </row>
    <row r="5622" spans="13:13" x14ac:dyDescent="0.25">
      <c r="M5622" s="18"/>
    </row>
    <row r="5623" spans="13:13" x14ac:dyDescent="0.25">
      <c r="M5623" s="18"/>
    </row>
    <row r="5624" spans="13:13" x14ac:dyDescent="0.25">
      <c r="M5624" s="18"/>
    </row>
    <row r="5625" spans="13:13" x14ac:dyDescent="0.25">
      <c r="M5625" s="18"/>
    </row>
    <row r="5626" spans="13:13" x14ac:dyDescent="0.25">
      <c r="M5626" s="18"/>
    </row>
    <row r="5627" spans="13:13" x14ac:dyDescent="0.25">
      <c r="M5627" s="18"/>
    </row>
    <row r="5628" spans="13:13" x14ac:dyDescent="0.25">
      <c r="M5628" s="18"/>
    </row>
    <row r="5629" spans="13:13" x14ac:dyDescent="0.25">
      <c r="M5629" s="18"/>
    </row>
    <row r="5630" spans="13:13" x14ac:dyDescent="0.25">
      <c r="M5630" s="18"/>
    </row>
    <row r="5631" spans="13:13" x14ac:dyDescent="0.25">
      <c r="M5631" s="18"/>
    </row>
    <row r="5632" spans="13:13" x14ac:dyDescent="0.25">
      <c r="M5632" s="18"/>
    </row>
    <row r="5633" spans="13:13" x14ac:dyDescent="0.25">
      <c r="M5633" s="18"/>
    </row>
    <row r="5634" spans="13:13" x14ac:dyDescent="0.25">
      <c r="M5634" s="18"/>
    </row>
    <row r="5635" spans="13:13" x14ac:dyDescent="0.25">
      <c r="M5635" s="18"/>
    </row>
    <row r="5636" spans="13:13" x14ac:dyDescent="0.25">
      <c r="M5636" s="18"/>
    </row>
    <row r="5637" spans="13:13" x14ac:dyDescent="0.25">
      <c r="M5637" s="18"/>
    </row>
    <row r="5638" spans="13:13" x14ac:dyDescent="0.25">
      <c r="M5638" s="18"/>
    </row>
    <row r="5639" spans="13:13" x14ac:dyDescent="0.25">
      <c r="M5639" s="18"/>
    </row>
    <row r="5640" spans="13:13" x14ac:dyDescent="0.25">
      <c r="M5640" s="18"/>
    </row>
    <row r="5641" spans="13:13" x14ac:dyDescent="0.25">
      <c r="M5641" s="18"/>
    </row>
    <row r="5642" spans="13:13" x14ac:dyDescent="0.25">
      <c r="M5642" s="18"/>
    </row>
    <row r="5643" spans="13:13" x14ac:dyDescent="0.25">
      <c r="M5643" s="18"/>
    </row>
    <row r="5644" spans="13:13" x14ac:dyDescent="0.25">
      <c r="M5644" s="18"/>
    </row>
    <row r="5645" spans="13:13" x14ac:dyDescent="0.25">
      <c r="M5645" s="18"/>
    </row>
    <row r="5646" spans="13:13" x14ac:dyDescent="0.25">
      <c r="M5646" s="18"/>
    </row>
    <row r="5647" spans="13:13" x14ac:dyDescent="0.25">
      <c r="M5647" s="18"/>
    </row>
    <row r="5648" spans="13:13" x14ac:dyDescent="0.25">
      <c r="M5648" s="18"/>
    </row>
    <row r="5649" spans="13:13" x14ac:dyDescent="0.25">
      <c r="M5649" s="18"/>
    </row>
    <row r="5650" spans="13:13" x14ac:dyDescent="0.25">
      <c r="M5650" s="18"/>
    </row>
    <row r="5651" spans="13:13" x14ac:dyDescent="0.25">
      <c r="M5651" s="18"/>
    </row>
    <row r="5652" spans="13:13" x14ac:dyDescent="0.25">
      <c r="M5652" s="18"/>
    </row>
    <row r="5653" spans="13:13" x14ac:dyDescent="0.25">
      <c r="M5653" s="18"/>
    </row>
    <row r="5654" spans="13:13" x14ac:dyDescent="0.25">
      <c r="M5654" s="18"/>
    </row>
    <row r="5655" spans="13:13" x14ac:dyDescent="0.25">
      <c r="M5655" s="18"/>
    </row>
    <row r="5656" spans="13:13" x14ac:dyDescent="0.25">
      <c r="M5656" s="18"/>
    </row>
    <row r="5657" spans="13:13" x14ac:dyDescent="0.25">
      <c r="M5657" s="18"/>
    </row>
    <row r="5658" spans="13:13" x14ac:dyDescent="0.25">
      <c r="M5658" s="18"/>
    </row>
    <row r="5659" spans="13:13" x14ac:dyDescent="0.25">
      <c r="M5659" s="18"/>
    </row>
    <row r="5660" spans="13:13" x14ac:dyDescent="0.25">
      <c r="M5660" s="18"/>
    </row>
    <row r="5661" spans="13:13" x14ac:dyDescent="0.25">
      <c r="M5661" s="18"/>
    </row>
    <row r="5662" spans="13:13" x14ac:dyDescent="0.25">
      <c r="M5662" s="18"/>
    </row>
    <row r="5663" spans="13:13" x14ac:dyDescent="0.25">
      <c r="M5663" s="18"/>
    </row>
    <row r="5664" spans="13:13" x14ac:dyDescent="0.25">
      <c r="M5664" s="18"/>
    </row>
    <row r="5665" spans="13:13" x14ac:dyDescent="0.25">
      <c r="M5665" s="18"/>
    </row>
    <row r="5666" spans="13:13" x14ac:dyDescent="0.25">
      <c r="M5666" s="18"/>
    </row>
    <row r="5667" spans="13:13" x14ac:dyDescent="0.25">
      <c r="M5667" s="18"/>
    </row>
    <row r="5668" spans="13:13" x14ac:dyDescent="0.25">
      <c r="M5668" s="18"/>
    </row>
    <row r="5669" spans="13:13" x14ac:dyDescent="0.25">
      <c r="M5669" s="18"/>
    </row>
    <row r="5670" spans="13:13" x14ac:dyDescent="0.25">
      <c r="M5670" s="18"/>
    </row>
    <row r="5671" spans="13:13" x14ac:dyDescent="0.25">
      <c r="M5671" s="18"/>
    </row>
    <row r="5672" spans="13:13" x14ac:dyDescent="0.25">
      <c r="M5672" s="18"/>
    </row>
    <row r="5673" spans="13:13" x14ac:dyDescent="0.25">
      <c r="M5673" s="18"/>
    </row>
    <row r="5674" spans="13:13" x14ac:dyDescent="0.25">
      <c r="M5674" s="18"/>
    </row>
    <row r="5675" spans="13:13" x14ac:dyDescent="0.25">
      <c r="M5675" s="18"/>
    </row>
    <row r="5676" spans="13:13" x14ac:dyDescent="0.25">
      <c r="M5676" s="18"/>
    </row>
    <row r="5677" spans="13:13" x14ac:dyDescent="0.25">
      <c r="M5677" s="18"/>
    </row>
    <row r="5678" spans="13:13" x14ac:dyDescent="0.25">
      <c r="M5678" s="18"/>
    </row>
    <row r="5679" spans="13:13" x14ac:dyDescent="0.25">
      <c r="M5679" s="18"/>
    </row>
    <row r="5680" spans="13:13" x14ac:dyDescent="0.25">
      <c r="M5680" s="18"/>
    </row>
    <row r="5681" spans="13:13" x14ac:dyDescent="0.25">
      <c r="M5681" s="18"/>
    </row>
    <row r="5682" spans="13:13" x14ac:dyDescent="0.25">
      <c r="M5682" s="18"/>
    </row>
    <row r="5683" spans="13:13" x14ac:dyDescent="0.25">
      <c r="M5683" s="18"/>
    </row>
    <row r="5684" spans="13:13" x14ac:dyDescent="0.25">
      <c r="M5684" s="18"/>
    </row>
    <row r="5685" spans="13:13" x14ac:dyDescent="0.25">
      <c r="M5685" s="18"/>
    </row>
    <row r="5686" spans="13:13" x14ac:dyDescent="0.25">
      <c r="M5686" s="18"/>
    </row>
    <row r="5687" spans="13:13" x14ac:dyDescent="0.25">
      <c r="M5687" s="18"/>
    </row>
    <row r="5688" spans="13:13" x14ac:dyDescent="0.25">
      <c r="M5688" s="18"/>
    </row>
    <row r="5689" spans="13:13" x14ac:dyDescent="0.25">
      <c r="M5689" s="18"/>
    </row>
    <row r="5690" spans="13:13" x14ac:dyDescent="0.25">
      <c r="M5690" s="18"/>
    </row>
    <row r="5691" spans="13:13" x14ac:dyDescent="0.25">
      <c r="M5691" s="18"/>
    </row>
    <row r="5692" spans="13:13" x14ac:dyDescent="0.25">
      <c r="M5692" s="18"/>
    </row>
    <row r="5693" spans="13:13" x14ac:dyDescent="0.25">
      <c r="M5693" s="18"/>
    </row>
    <row r="5694" spans="13:13" x14ac:dyDescent="0.25">
      <c r="M5694" s="18"/>
    </row>
    <row r="5695" spans="13:13" x14ac:dyDescent="0.25">
      <c r="M5695" s="18"/>
    </row>
    <row r="5696" spans="13:13" x14ac:dyDescent="0.25">
      <c r="M5696" s="18"/>
    </row>
    <row r="5697" spans="13:13" x14ac:dyDescent="0.25">
      <c r="M5697" s="18"/>
    </row>
    <row r="5698" spans="13:13" x14ac:dyDescent="0.25">
      <c r="M5698" s="18"/>
    </row>
    <row r="5699" spans="13:13" x14ac:dyDescent="0.25">
      <c r="M5699" s="18"/>
    </row>
    <row r="5700" spans="13:13" x14ac:dyDescent="0.25">
      <c r="M5700" s="18"/>
    </row>
    <row r="5701" spans="13:13" x14ac:dyDescent="0.25">
      <c r="M5701" s="18"/>
    </row>
    <row r="5702" spans="13:13" x14ac:dyDescent="0.25">
      <c r="M5702" s="18"/>
    </row>
    <row r="5703" spans="13:13" x14ac:dyDescent="0.25">
      <c r="M5703" s="18"/>
    </row>
    <row r="5704" spans="13:13" x14ac:dyDescent="0.25">
      <c r="M5704" s="18"/>
    </row>
    <row r="5705" spans="13:13" x14ac:dyDescent="0.25">
      <c r="M5705" s="18"/>
    </row>
    <row r="5706" spans="13:13" x14ac:dyDescent="0.25">
      <c r="M5706" s="18"/>
    </row>
    <row r="5707" spans="13:13" x14ac:dyDescent="0.25">
      <c r="M5707" s="18"/>
    </row>
    <row r="5708" spans="13:13" x14ac:dyDescent="0.25">
      <c r="M5708" s="18"/>
    </row>
    <row r="5709" spans="13:13" x14ac:dyDescent="0.25">
      <c r="M5709" s="18"/>
    </row>
    <row r="5710" spans="13:13" x14ac:dyDescent="0.25">
      <c r="M5710" s="18"/>
    </row>
    <row r="5711" spans="13:13" x14ac:dyDescent="0.25">
      <c r="M5711" s="18"/>
    </row>
    <row r="5712" spans="13:13" x14ac:dyDescent="0.25">
      <c r="M5712" s="18"/>
    </row>
    <row r="5713" spans="13:13" x14ac:dyDescent="0.25">
      <c r="M5713" s="18"/>
    </row>
    <row r="5714" spans="13:13" x14ac:dyDescent="0.25">
      <c r="M5714" s="18"/>
    </row>
    <row r="5715" spans="13:13" x14ac:dyDescent="0.25">
      <c r="M5715" s="18"/>
    </row>
    <row r="5716" spans="13:13" x14ac:dyDescent="0.25">
      <c r="M5716" s="18"/>
    </row>
    <row r="5717" spans="13:13" x14ac:dyDescent="0.25">
      <c r="M5717" s="18"/>
    </row>
    <row r="5718" spans="13:13" x14ac:dyDescent="0.25">
      <c r="M5718" s="18"/>
    </row>
    <row r="5719" spans="13:13" x14ac:dyDescent="0.25">
      <c r="M5719" s="18"/>
    </row>
    <row r="5720" spans="13:13" x14ac:dyDescent="0.25">
      <c r="M5720" s="18"/>
    </row>
    <row r="5721" spans="13:13" x14ac:dyDescent="0.25">
      <c r="M5721" s="18"/>
    </row>
    <row r="5722" spans="13:13" x14ac:dyDescent="0.25">
      <c r="M5722" s="18"/>
    </row>
    <row r="5723" spans="13:13" x14ac:dyDescent="0.25">
      <c r="M5723" s="18"/>
    </row>
    <row r="5724" spans="13:13" x14ac:dyDescent="0.25">
      <c r="M5724" s="18"/>
    </row>
    <row r="5725" spans="13:13" x14ac:dyDescent="0.25">
      <c r="M5725" s="18"/>
    </row>
    <row r="5726" spans="13:13" x14ac:dyDescent="0.25">
      <c r="M5726" s="18"/>
    </row>
    <row r="5727" spans="13:13" x14ac:dyDescent="0.25">
      <c r="M5727" s="18"/>
    </row>
    <row r="5728" spans="13:13" x14ac:dyDescent="0.25">
      <c r="M5728" s="18"/>
    </row>
    <row r="5729" spans="13:13" x14ac:dyDescent="0.25">
      <c r="M5729" s="18"/>
    </row>
    <row r="5730" spans="13:13" x14ac:dyDescent="0.25">
      <c r="M5730" s="18"/>
    </row>
    <row r="5731" spans="13:13" x14ac:dyDescent="0.25">
      <c r="M5731" s="18"/>
    </row>
    <row r="5732" spans="13:13" x14ac:dyDescent="0.25">
      <c r="M5732" s="18"/>
    </row>
    <row r="5733" spans="13:13" x14ac:dyDescent="0.25">
      <c r="M5733" s="18"/>
    </row>
    <row r="5734" spans="13:13" x14ac:dyDescent="0.25">
      <c r="M5734" s="18"/>
    </row>
    <row r="5735" spans="13:13" x14ac:dyDescent="0.25">
      <c r="M5735" s="18"/>
    </row>
    <row r="5736" spans="13:13" x14ac:dyDescent="0.25">
      <c r="M5736" s="18"/>
    </row>
    <row r="5737" spans="13:13" x14ac:dyDescent="0.25">
      <c r="M5737" s="18"/>
    </row>
    <row r="5738" spans="13:13" x14ac:dyDescent="0.25">
      <c r="M5738" s="18"/>
    </row>
    <row r="5739" spans="13:13" x14ac:dyDescent="0.25">
      <c r="M5739" s="18"/>
    </row>
    <row r="5740" spans="13:13" x14ac:dyDescent="0.25">
      <c r="M5740" s="18"/>
    </row>
    <row r="5741" spans="13:13" x14ac:dyDescent="0.25">
      <c r="M5741" s="18"/>
    </row>
    <row r="5742" spans="13:13" x14ac:dyDescent="0.25">
      <c r="M5742" s="18"/>
    </row>
    <row r="5743" spans="13:13" x14ac:dyDescent="0.25">
      <c r="M5743" s="18"/>
    </row>
    <row r="5744" spans="13:13" x14ac:dyDescent="0.25">
      <c r="M5744" s="18"/>
    </row>
    <row r="5745" spans="13:13" x14ac:dyDescent="0.25">
      <c r="M5745" s="18"/>
    </row>
    <row r="5746" spans="13:13" x14ac:dyDescent="0.25">
      <c r="M5746" s="18"/>
    </row>
    <row r="5747" spans="13:13" x14ac:dyDescent="0.25">
      <c r="M5747" s="18"/>
    </row>
    <row r="5748" spans="13:13" x14ac:dyDescent="0.25">
      <c r="M5748" s="18"/>
    </row>
    <row r="5749" spans="13:13" x14ac:dyDescent="0.25">
      <c r="M5749" s="18"/>
    </row>
    <row r="5750" spans="13:13" x14ac:dyDescent="0.25">
      <c r="M5750" s="18"/>
    </row>
    <row r="5751" spans="13:13" x14ac:dyDescent="0.25">
      <c r="M5751" s="18"/>
    </row>
    <row r="5752" spans="13:13" x14ac:dyDescent="0.25">
      <c r="M5752" s="18"/>
    </row>
    <row r="5753" spans="13:13" x14ac:dyDescent="0.25">
      <c r="M5753" s="18"/>
    </row>
    <row r="5754" spans="13:13" x14ac:dyDescent="0.25">
      <c r="M5754" s="18"/>
    </row>
    <row r="5755" spans="13:13" x14ac:dyDescent="0.25">
      <c r="M5755" s="18"/>
    </row>
    <row r="5756" spans="13:13" x14ac:dyDescent="0.25">
      <c r="M5756" s="18"/>
    </row>
    <row r="5757" spans="13:13" x14ac:dyDescent="0.25">
      <c r="M5757" s="18"/>
    </row>
    <row r="5758" spans="13:13" x14ac:dyDescent="0.25">
      <c r="M5758" s="18"/>
    </row>
    <row r="5759" spans="13:13" x14ac:dyDescent="0.25">
      <c r="M5759" s="18"/>
    </row>
    <row r="5760" spans="13:13" x14ac:dyDescent="0.25">
      <c r="M5760" s="18"/>
    </row>
    <row r="5761" spans="13:13" x14ac:dyDescent="0.25">
      <c r="M5761" s="18"/>
    </row>
    <row r="5762" spans="13:13" x14ac:dyDescent="0.25">
      <c r="M5762" s="18"/>
    </row>
    <row r="5763" spans="13:13" x14ac:dyDescent="0.25">
      <c r="M5763" s="18"/>
    </row>
    <row r="5764" spans="13:13" x14ac:dyDescent="0.25">
      <c r="M5764" s="18"/>
    </row>
    <row r="5765" spans="13:13" x14ac:dyDescent="0.25">
      <c r="M5765" s="18"/>
    </row>
    <row r="5766" spans="13:13" x14ac:dyDescent="0.25">
      <c r="M5766" s="18"/>
    </row>
    <row r="5767" spans="13:13" x14ac:dyDescent="0.25">
      <c r="M5767" s="18"/>
    </row>
    <row r="5768" spans="13:13" x14ac:dyDescent="0.25">
      <c r="M5768" s="18"/>
    </row>
    <row r="5769" spans="13:13" x14ac:dyDescent="0.25">
      <c r="M5769" s="18"/>
    </row>
    <row r="5770" spans="13:13" x14ac:dyDescent="0.25">
      <c r="M5770" s="18"/>
    </row>
    <row r="5771" spans="13:13" x14ac:dyDescent="0.25">
      <c r="M5771" s="18"/>
    </row>
    <row r="5772" spans="13:13" x14ac:dyDescent="0.25">
      <c r="M5772" s="18"/>
    </row>
    <row r="5773" spans="13:13" x14ac:dyDescent="0.25">
      <c r="M5773" s="18"/>
    </row>
    <row r="5774" spans="13:13" x14ac:dyDescent="0.25">
      <c r="M5774" s="18"/>
    </row>
    <row r="5775" spans="13:13" x14ac:dyDescent="0.25">
      <c r="M5775" s="18"/>
    </row>
    <row r="5776" spans="13:13" x14ac:dyDescent="0.25">
      <c r="M5776" s="18"/>
    </row>
    <row r="5777" spans="13:13" x14ac:dyDescent="0.25">
      <c r="M5777" s="18"/>
    </row>
    <row r="5778" spans="13:13" x14ac:dyDescent="0.25">
      <c r="M5778" s="18"/>
    </row>
    <row r="5779" spans="13:13" x14ac:dyDescent="0.25">
      <c r="M5779" s="18"/>
    </row>
    <row r="5780" spans="13:13" x14ac:dyDescent="0.25">
      <c r="M5780" s="18"/>
    </row>
    <row r="5781" spans="13:13" x14ac:dyDescent="0.25">
      <c r="M5781" s="18"/>
    </row>
    <row r="5782" spans="13:13" x14ac:dyDescent="0.25">
      <c r="M5782" s="18"/>
    </row>
    <row r="5783" spans="13:13" x14ac:dyDescent="0.25">
      <c r="M5783" s="18"/>
    </row>
    <row r="5784" spans="13:13" x14ac:dyDescent="0.25">
      <c r="M5784" s="18"/>
    </row>
    <row r="5785" spans="13:13" x14ac:dyDescent="0.25">
      <c r="M5785" s="18"/>
    </row>
    <row r="5786" spans="13:13" x14ac:dyDescent="0.25">
      <c r="M5786" s="18"/>
    </row>
    <row r="5787" spans="13:13" x14ac:dyDescent="0.25">
      <c r="M5787" s="18"/>
    </row>
    <row r="5788" spans="13:13" x14ac:dyDescent="0.25">
      <c r="M5788" s="18"/>
    </row>
    <row r="5789" spans="13:13" x14ac:dyDescent="0.25">
      <c r="M5789" s="18"/>
    </row>
    <row r="5790" spans="13:13" x14ac:dyDescent="0.25">
      <c r="M5790" s="18"/>
    </row>
    <row r="5791" spans="13:13" x14ac:dyDescent="0.25">
      <c r="M5791" s="18"/>
    </row>
    <row r="5792" spans="13:13" x14ac:dyDescent="0.25">
      <c r="M5792" s="18"/>
    </row>
    <row r="5793" spans="13:13" x14ac:dyDescent="0.25">
      <c r="M5793" s="18"/>
    </row>
    <row r="5794" spans="13:13" x14ac:dyDescent="0.25">
      <c r="M5794" s="18"/>
    </row>
    <row r="5795" spans="13:13" x14ac:dyDescent="0.25">
      <c r="M5795" s="18"/>
    </row>
    <row r="5796" spans="13:13" x14ac:dyDescent="0.25">
      <c r="M5796" s="18"/>
    </row>
    <row r="5797" spans="13:13" x14ac:dyDescent="0.25">
      <c r="M5797" s="18"/>
    </row>
    <row r="5798" spans="13:13" x14ac:dyDescent="0.25">
      <c r="M5798" s="18"/>
    </row>
    <row r="5799" spans="13:13" x14ac:dyDescent="0.25">
      <c r="M5799" s="18"/>
    </row>
    <row r="5800" spans="13:13" x14ac:dyDescent="0.25">
      <c r="M5800" s="18"/>
    </row>
    <row r="5801" spans="13:13" x14ac:dyDescent="0.25">
      <c r="M5801" s="18"/>
    </row>
    <row r="5802" spans="13:13" x14ac:dyDescent="0.25">
      <c r="M5802" s="18"/>
    </row>
    <row r="5803" spans="13:13" x14ac:dyDescent="0.25">
      <c r="M5803" s="18"/>
    </row>
    <row r="5804" spans="13:13" x14ac:dyDescent="0.25">
      <c r="M5804" s="18"/>
    </row>
    <row r="5805" spans="13:13" x14ac:dyDescent="0.25">
      <c r="M5805" s="18"/>
    </row>
    <row r="5806" spans="13:13" x14ac:dyDescent="0.25">
      <c r="M5806" s="18"/>
    </row>
    <row r="5807" spans="13:13" x14ac:dyDescent="0.25">
      <c r="M5807" s="18"/>
    </row>
    <row r="5808" spans="13:13" x14ac:dyDescent="0.25">
      <c r="M5808" s="18"/>
    </row>
    <row r="5809" spans="13:13" x14ac:dyDescent="0.25">
      <c r="M5809" s="18"/>
    </row>
    <row r="5810" spans="13:13" x14ac:dyDescent="0.25">
      <c r="M5810" s="18"/>
    </row>
    <row r="5811" spans="13:13" x14ac:dyDescent="0.25">
      <c r="M5811" s="18"/>
    </row>
    <row r="5812" spans="13:13" x14ac:dyDescent="0.25">
      <c r="M5812" s="18"/>
    </row>
    <row r="5813" spans="13:13" x14ac:dyDescent="0.25">
      <c r="M5813" s="18"/>
    </row>
    <row r="5814" spans="13:13" x14ac:dyDescent="0.25">
      <c r="M5814" s="18"/>
    </row>
    <row r="5815" spans="13:13" x14ac:dyDescent="0.25">
      <c r="M5815" s="18"/>
    </row>
    <row r="5816" spans="13:13" x14ac:dyDescent="0.25">
      <c r="M5816" s="18"/>
    </row>
    <row r="5817" spans="13:13" x14ac:dyDescent="0.25">
      <c r="M5817" s="18"/>
    </row>
    <row r="5818" spans="13:13" x14ac:dyDescent="0.25">
      <c r="M5818" s="18"/>
    </row>
    <row r="5819" spans="13:13" x14ac:dyDescent="0.25">
      <c r="M5819" s="18"/>
    </row>
    <row r="5820" spans="13:13" x14ac:dyDescent="0.25">
      <c r="M5820" s="18"/>
    </row>
    <row r="5821" spans="13:13" x14ac:dyDescent="0.25">
      <c r="M5821" s="18"/>
    </row>
    <row r="5822" spans="13:13" x14ac:dyDescent="0.25">
      <c r="M5822" s="18"/>
    </row>
    <row r="5823" spans="13:13" x14ac:dyDescent="0.25">
      <c r="M5823" s="18"/>
    </row>
    <row r="5824" spans="13:13" x14ac:dyDescent="0.25">
      <c r="M5824" s="18"/>
    </row>
    <row r="5825" spans="13:13" x14ac:dyDescent="0.25">
      <c r="M5825" s="18"/>
    </row>
    <row r="5826" spans="13:13" x14ac:dyDescent="0.25">
      <c r="M5826" s="18"/>
    </row>
    <row r="5827" spans="13:13" x14ac:dyDescent="0.25">
      <c r="M5827" s="18"/>
    </row>
    <row r="5828" spans="13:13" x14ac:dyDescent="0.25">
      <c r="M5828" s="18"/>
    </row>
    <row r="5829" spans="13:13" x14ac:dyDescent="0.25">
      <c r="M5829" s="18"/>
    </row>
    <row r="5830" spans="13:13" x14ac:dyDescent="0.25">
      <c r="M5830" s="18"/>
    </row>
    <row r="5831" spans="13:13" x14ac:dyDescent="0.25">
      <c r="M5831" s="18"/>
    </row>
    <row r="5832" spans="13:13" x14ac:dyDescent="0.25">
      <c r="M5832" s="18"/>
    </row>
    <row r="5833" spans="13:13" x14ac:dyDescent="0.25">
      <c r="M5833" s="18"/>
    </row>
    <row r="5834" spans="13:13" x14ac:dyDescent="0.25">
      <c r="M5834" s="18"/>
    </row>
    <row r="5835" spans="13:13" x14ac:dyDescent="0.25">
      <c r="M5835" s="18"/>
    </row>
    <row r="5836" spans="13:13" x14ac:dyDescent="0.25">
      <c r="M5836" s="18"/>
    </row>
    <row r="5837" spans="13:13" x14ac:dyDescent="0.25">
      <c r="M5837" s="18"/>
    </row>
    <row r="5838" spans="13:13" x14ac:dyDescent="0.25">
      <c r="M5838" s="18"/>
    </row>
    <row r="5839" spans="13:13" x14ac:dyDescent="0.25">
      <c r="M5839" s="18"/>
    </row>
    <row r="5840" spans="13:13" x14ac:dyDescent="0.25">
      <c r="M5840" s="18"/>
    </row>
    <row r="5841" spans="13:13" x14ac:dyDescent="0.25">
      <c r="M5841" s="18"/>
    </row>
    <row r="5842" spans="13:13" x14ac:dyDescent="0.25">
      <c r="M5842" s="18"/>
    </row>
    <row r="5843" spans="13:13" x14ac:dyDescent="0.25">
      <c r="M5843" s="18"/>
    </row>
    <row r="5844" spans="13:13" x14ac:dyDescent="0.25">
      <c r="M5844" s="18"/>
    </row>
    <row r="5845" spans="13:13" x14ac:dyDescent="0.25">
      <c r="M5845" s="18"/>
    </row>
    <row r="5846" spans="13:13" x14ac:dyDescent="0.25">
      <c r="M5846" s="18"/>
    </row>
    <row r="5847" spans="13:13" x14ac:dyDescent="0.25">
      <c r="M5847" s="18"/>
    </row>
    <row r="5848" spans="13:13" x14ac:dyDescent="0.25">
      <c r="M5848" s="18"/>
    </row>
    <row r="5849" spans="13:13" x14ac:dyDescent="0.25">
      <c r="M5849" s="18"/>
    </row>
    <row r="5850" spans="13:13" x14ac:dyDescent="0.25">
      <c r="M5850" s="18"/>
    </row>
    <row r="5851" spans="13:13" x14ac:dyDescent="0.25">
      <c r="M5851" s="18"/>
    </row>
    <row r="5852" spans="13:13" x14ac:dyDescent="0.25">
      <c r="M5852" s="18"/>
    </row>
    <row r="5853" spans="13:13" x14ac:dyDescent="0.25">
      <c r="M5853" s="18"/>
    </row>
    <row r="5854" spans="13:13" x14ac:dyDescent="0.25">
      <c r="M5854" s="18"/>
    </row>
    <row r="5855" spans="13:13" x14ac:dyDescent="0.25">
      <c r="M5855" s="18"/>
    </row>
    <row r="5856" spans="13:13" x14ac:dyDescent="0.25">
      <c r="M5856" s="18"/>
    </row>
    <row r="5857" spans="13:13" x14ac:dyDescent="0.25">
      <c r="M5857" s="18"/>
    </row>
    <row r="5858" spans="13:13" x14ac:dyDescent="0.25">
      <c r="M5858" s="18"/>
    </row>
    <row r="5859" spans="13:13" x14ac:dyDescent="0.25">
      <c r="M5859" s="18"/>
    </row>
    <row r="5860" spans="13:13" x14ac:dyDescent="0.25">
      <c r="M5860" s="18"/>
    </row>
    <row r="5861" spans="13:13" x14ac:dyDescent="0.25">
      <c r="M5861" s="18"/>
    </row>
    <row r="5862" spans="13:13" x14ac:dyDescent="0.25">
      <c r="M5862" s="18"/>
    </row>
    <row r="5863" spans="13:13" x14ac:dyDescent="0.25">
      <c r="M5863" s="18"/>
    </row>
    <row r="5864" spans="13:13" x14ac:dyDescent="0.25">
      <c r="M5864" s="18"/>
    </row>
    <row r="5865" spans="13:13" x14ac:dyDescent="0.25">
      <c r="M5865" s="18"/>
    </row>
    <row r="5866" spans="13:13" x14ac:dyDescent="0.25">
      <c r="M5866" s="18"/>
    </row>
    <row r="5867" spans="13:13" x14ac:dyDescent="0.25">
      <c r="M5867" s="18"/>
    </row>
    <row r="5868" spans="13:13" x14ac:dyDescent="0.25">
      <c r="M5868" s="18"/>
    </row>
    <row r="5869" spans="13:13" x14ac:dyDescent="0.25">
      <c r="M5869" s="18"/>
    </row>
    <row r="5870" spans="13:13" x14ac:dyDescent="0.25">
      <c r="M5870" s="18"/>
    </row>
    <row r="5871" spans="13:13" x14ac:dyDescent="0.25">
      <c r="M5871" s="18"/>
    </row>
    <row r="5872" spans="13:13" x14ac:dyDescent="0.25">
      <c r="M5872" s="18"/>
    </row>
    <row r="5873" spans="13:13" x14ac:dyDescent="0.25">
      <c r="M5873" s="18"/>
    </row>
    <row r="5874" spans="13:13" x14ac:dyDescent="0.25">
      <c r="M5874" s="18"/>
    </row>
    <row r="5875" spans="13:13" x14ac:dyDescent="0.25">
      <c r="M5875" s="18"/>
    </row>
    <row r="5876" spans="13:13" x14ac:dyDescent="0.25">
      <c r="M5876" s="18"/>
    </row>
    <row r="5877" spans="13:13" x14ac:dyDescent="0.25">
      <c r="M5877" s="18"/>
    </row>
    <row r="5878" spans="13:13" x14ac:dyDescent="0.25">
      <c r="M5878" s="18"/>
    </row>
    <row r="5879" spans="13:13" x14ac:dyDescent="0.25">
      <c r="M5879" s="18"/>
    </row>
    <row r="5880" spans="13:13" x14ac:dyDescent="0.25">
      <c r="M5880" s="18"/>
    </row>
    <row r="5881" spans="13:13" x14ac:dyDescent="0.25">
      <c r="M5881" s="18"/>
    </row>
    <row r="5882" spans="13:13" x14ac:dyDescent="0.25">
      <c r="M5882" s="18"/>
    </row>
    <row r="5883" spans="13:13" x14ac:dyDescent="0.25">
      <c r="M5883" s="18"/>
    </row>
    <row r="5884" spans="13:13" x14ac:dyDescent="0.25">
      <c r="M5884" s="18"/>
    </row>
    <row r="5885" spans="13:13" x14ac:dyDescent="0.25">
      <c r="M5885" s="18"/>
    </row>
    <row r="5886" spans="13:13" x14ac:dyDescent="0.25">
      <c r="M5886" s="18"/>
    </row>
    <row r="5887" spans="13:13" x14ac:dyDescent="0.25">
      <c r="M5887" s="18"/>
    </row>
    <row r="5888" spans="13:13" x14ac:dyDescent="0.25">
      <c r="M5888" s="18"/>
    </row>
    <row r="5889" spans="13:13" x14ac:dyDescent="0.25">
      <c r="M5889" s="18"/>
    </row>
    <row r="5890" spans="13:13" x14ac:dyDescent="0.25">
      <c r="M5890" s="18"/>
    </row>
    <row r="5891" spans="13:13" x14ac:dyDescent="0.25">
      <c r="M5891" s="18"/>
    </row>
    <row r="5892" spans="13:13" x14ac:dyDescent="0.25">
      <c r="M5892" s="18"/>
    </row>
    <row r="5893" spans="13:13" x14ac:dyDescent="0.25">
      <c r="M5893" s="18"/>
    </row>
    <row r="5894" spans="13:13" x14ac:dyDescent="0.25">
      <c r="M5894" s="18"/>
    </row>
    <row r="5895" spans="13:13" x14ac:dyDescent="0.25">
      <c r="M5895" s="18"/>
    </row>
    <row r="5896" spans="13:13" x14ac:dyDescent="0.25">
      <c r="M5896" s="18"/>
    </row>
    <row r="5897" spans="13:13" x14ac:dyDescent="0.25">
      <c r="M5897" s="18"/>
    </row>
    <row r="5898" spans="13:13" x14ac:dyDescent="0.25">
      <c r="M5898" s="18"/>
    </row>
    <row r="5899" spans="13:13" x14ac:dyDescent="0.25">
      <c r="M5899" s="18"/>
    </row>
    <row r="5900" spans="13:13" x14ac:dyDescent="0.25">
      <c r="M5900" s="18"/>
    </row>
    <row r="5901" spans="13:13" x14ac:dyDescent="0.25">
      <c r="M5901" s="18"/>
    </row>
    <row r="5902" spans="13:13" x14ac:dyDescent="0.25">
      <c r="M5902" s="18"/>
    </row>
    <row r="5903" spans="13:13" x14ac:dyDescent="0.25">
      <c r="M5903" s="18"/>
    </row>
    <row r="5904" spans="13:13" x14ac:dyDescent="0.25">
      <c r="M5904" s="18"/>
    </row>
    <row r="5905" spans="13:13" x14ac:dyDescent="0.25">
      <c r="M5905" s="18"/>
    </row>
    <row r="5906" spans="13:13" x14ac:dyDescent="0.25">
      <c r="M5906" s="18"/>
    </row>
    <row r="5907" spans="13:13" x14ac:dyDescent="0.25">
      <c r="M5907" s="18"/>
    </row>
    <row r="5908" spans="13:13" x14ac:dyDescent="0.25">
      <c r="M5908" s="18"/>
    </row>
    <row r="5909" spans="13:13" x14ac:dyDescent="0.25">
      <c r="M5909" s="18"/>
    </row>
    <row r="5910" spans="13:13" x14ac:dyDescent="0.25">
      <c r="M5910" s="18"/>
    </row>
    <row r="5911" spans="13:13" x14ac:dyDescent="0.25">
      <c r="M5911" s="18"/>
    </row>
    <row r="5912" spans="13:13" x14ac:dyDescent="0.25">
      <c r="M5912" s="18"/>
    </row>
    <row r="5913" spans="13:13" x14ac:dyDescent="0.25">
      <c r="M5913" s="18"/>
    </row>
    <row r="5914" spans="13:13" x14ac:dyDescent="0.25">
      <c r="M5914" s="18"/>
    </row>
    <row r="5915" spans="13:13" x14ac:dyDescent="0.25">
      <c r="M5915" s="18"/>
    </row>
    <row r="5916" spans="13:13" x14ac:dyDescent="0.25">
      <c r="M5916" s="18"/>
    </row>
    <row r="5917" spans="13:13" x14ac:dyDescent="0.25">
      <c r="M5917" s="18"/>
    </row>
    <row r="5918" spans="13:13" x14ac:dyDescent="0.25">
      <c r="M5918" s="18"/>
    </row>
    <row r="5919" spans="13:13" x14ac:dyDescent="0.25">
      <c r="M5919" s="18"/>
    </row>
    <row r="5920" spans="13:13" x14ac:dyDescent="0.25">
      <c r="M5920" s="18"/>
    </row>
    <row r="5921" spans="13:13" x14ac:dyDescent="0.25">
      <c r="M5921" s="18"/>
    </row>
    <row r="5922" spans="13:13" x14ac:dyDescent="0.25">
      <c r="M5922" s="18"/>
    </row>
    <row r="5923" spans="13:13" x14ac:dyDescent="0.25">
      <c r="M5923" s="18"/>
    </row>
    <row r="5924" spans="13:13" x14ac:dyDescent="0.25">
      <c r="M5924" s="18"/>
    </row>
    <row r="5925" spans="13:13" x14ac:dyDescent="0.25">
      <c r="M5925" s="18"/>
    </row>
    <row r="5926" spans="13:13" x14ac:dyDescent="0.25">
      <c r="M5926" s="18"/>
    </row>
    <row r="5927" spans="13:13" x14ac:dyDescent="0.25">
      <c r="M5927" s="18"/>
    </row>
    <row r="5928" spans="13:13" x14ac:dyDescent="0.25">
      <c r="M5928" s="18"/>
    </row>
    <row r="5929" spans="13:13" x14ac:dyDescent="0.25">
      <c r="M5929" s="18"/>
    </row>
    <row r="5930" spans="13:13" x14ac:dyDescent="0.25">
      <c r="M5930" s="18"/>
    </row>
    <row r="5931" spans="13:13" x14ac:dyDescent="0.25">
      <c r="M5931" s="18"/>
    </row>
    <row r="5932" spans="13:13" x14ac:dyDescent="0.25">
      <c r="M5932" s="18"/>
    </row>
    <row r="5933" spans="13:13" x14ac:dyDescent="0.25">
      <c r="M5933" s="18"/>
    </row>
    <row r="5934" spans="13:13" x14ac:dyDescent="0.25">
      <c r="M5934" s="18"/>
    </row>
    <row r="5935" spans="13:13" x14ac:dyDescent="0.25">
      <c r="M5935" s="18"/>
    </row>
    <row r="5936" spans="13:13" x14ac:dyDescent="0.25">
      <c r="M5936" s="18"/>
    </row>
    <row r="5937" spans="13:13" x14ac:dyDescent="0.25">
      <c r="M5937" s="18"/>
    </row>
    <row r="5938" spans="13:13" x14ac:dyDescent="0.25">
      <c r="M5938" s="18"/>
    </row>
    <row r="5939" spans="13:13" x14ac:dyDescent="0.25">
      <c r="M5939" s="18"/>
    </row>
    <row r="5940" spans="13:13" x14ac:dyDescent="0.25">
      <c r="M5940" s="18"/>
    </row>
    <row r="5941" spans="13:13" x14ac:dyDescent="0.25">
      <c r="M5941" s="18"/>
    </row>
    <row r="5942" spans="13:13" x14ac:dyDescent="0.25">
      <c r="M5942" s="18"/>
    </row>
    <row r="5943" spans="13:13" x14ac:dyDescent="0.25">
      <c r="M5943" s="18"/>
    </row>
    <row r="5944" spans="13:13" x14ac:dyDescent="0.25">
      <c r="M5944" s="18"/>
    </row>
    <row r="5945" spans="13:13" x14ac:dyDescent="0.25">
      <c r="M5945" s="18"/>
    </row>
    <row r="5946" spans="13:13" x14ac:dyDescent="0.25">
      <c r="M5946" s="18"/>
    </row>
    <row r="5947" spans="13:13" x14ac:dyDescent="0.25">
      <c r="M5947" s="18"/>
    </row>
    <row r="5948" spans="13:13" x14ac:dyDescent="0.25">
      <c r="M5948" s="18"/>
    </row>
    <row r="5949" spans="13:13" x14ac:dyDescent="0.25">
      <c r="M5949" s="18"/>
    </row>
    <row r="5950" spans="13:13" x14ac:dyDescent="0.25">
      <c r="M5950" s="18"/>
    </row>
    <row r="5951" spans="13:13" x14ac:dyDescent="0.25">
      <c r="M5951" s="18"/>
    </row>
    <row r="5952" spans="13:13" x14ac:dyDescent="0.25">
      <c r="M5952" s="18"/>
    </row>
    <row r="5953" spans="13:13" x14ac:dyDescent="0.25">
      <c r="M5953" s="18"/>
    </row>
    <row r="5954" spans="13:13" x14ac:dyDescent="0.25">
      <c r="M5954" s="18"/>
    </row>
    <row r="5955" spans="13:13" x14ac:dyDescent="0.25">
      <c r="M5955" s="18"/>
    </row>
    <row r="5956" spans="13:13" x14ac:dyDescent="0.25">
      <c r="M5956" s="18"/>
    </row>
    <row r="5957" spans="13:13" x14ac:dyDescent="0.25">
      <c r="M5957" s="18"/>
    </row>
    <row r="5958" spans="13:13" x14ac:dyDescent="0.25">
      <c r="M5958" s="18"/>
    </row>
    <row r="5959" spans="13:13" x14ac:dyDescent="0.25">
      <c r="M5959" s="18"/>
    </row>
    <row r="5960" spans="13:13" x14ac:dyDescent="0.25">
      <c r="M5960" s="18"/>
    </row>
    <row r="5961" spans="13:13" x14ac:dyDescent="0.25">
      <c r="M5961" s="18"/>
    </row>
    <row r="5962" spans="13:13" x14ac:dyDescent="0.25">
      <c r="M5962" s="18"/>
    </row>
    <row r="5963" spans="13:13" x14ac:dyDescent="0.25">
      <c r="M5963" s="18"/>
    </row>
    <row r="5964" spans="13:13" x14ac:dyDescent="0.25">
      <c r="M5964" s="18"/>
    </row>
    <row r="5965" spans="13:13" x14ac:dyDescent="0.25">
      <c r="M5965" s="18"/>
    </row>
    <row r="5966" spans="13:13" x14ac:dyDescent="0.25">
      <c r="M5966" s="18"/>
    </row>
    <row r="5967" spans="13:13" x14ac:dyDescent="0.25">
      <c r="M5967" s="18"/>
    </row>
    <row r="5968" spans="13:13" x14ac:dyDescent="0.25">
      <c r="M5968" s="18"/>
    </row>
    <row r="5969" spans="13:13" x14ac:dyDescent="0.25">
      <c r="M5969" s="18"/>
    </row>
    <row r="5970" spans="13:13" x14ac:dyDescent="0.25">
      <c r="M5970" s="18"/>
    </row>
    <row r="5971" spans="13:13" x14ac:dyDescent="0.25">
      <c r="M5971" s="18"/>
    </row>
    <row r="5972" spans="13:13" x14ac:dyDescent="0.25">
      <c r="M5972" s="18"/>
    </row>
    <row r="5973" spans="13:13" x14ac:dyDescent="0.25">
      <c r="M5973" s="18"/>
    </row>
    <row r="5974" spans="13:13" x14ac:dyDescent="0.25">
      <c r="M5974" s="18"/>
    </row>
    <row r="5975" spans="13:13" x14ac:dyDescent="0.25">
      <c r="M5975" s="18"/>
    </row>
    <row r="5976" spans="13:13" x14ac:dyDescent="0.25">
      <c r="M5976" s="18"/>
    </row>
    <row r="5977" spans="13:13" x14ac:dyDescent="0.25">
      <c r="M5977" s="18"/>
    </row>
    <row r="5978" spans="13:13" x14ac:dyDescent="0.25">
      <c r="M5978" s="18"/>
    </row>
    <row r="5979" spans="13:13" x14ac:dyDescent="0.25">
      <c r="M5979" s="18"/>
    </row>
    <row r="5980" spans="13:13" x14ac:dyDescent="0.25">
      <c r="M5980" s="18"/>
    </row>
    <row r="5981" spans="13:13" x14ac:dyDescent="0.25">
      <c r="M5981" s="18"/>
    </row>
    <row r="5982" spans="13:13" x14ac:dyDescent="0.25">
      <c r="M5982" s="18"/>
    </row>
    <row r="5983" spans="13:13" x14ac:dyDescent="0.25">
      <c r="M5983" s="18"/>
    </row>
    <row r="5984" spans="13:13" x14ac:dyDescent="0.25">
      <c r="M5984" s="18"/>
    </row>
    <row r="5985" spans="13:13" x14ac:dyDescent="0.25">
      <c r="M5985" s="18"/>
    </row>
    <row r="5986" spans="13:13" x14ac:dyDescent="0.25">
      <c r="M5986" s="18"/>
    </row>
    <row r="5987" spans="13:13" x14ac:dyDescent="0.25">
      <c r="M5987" s="18"/>
    </row>
    <row r="5988" spans="13:13" x14ac:dyDescent="0.25">
      <c r="M5988" s="18"/>
    </row>
    <row r="5989" spans="13:13" x14ac:dyDescent="0.25">
      <c r="M5989" s="18"/>
    </row>
    <row r="5990" spans="13:13" x14ac:dyDescent="0.25">
      <c r="M5990" s="18"/>
    </row>
    <row r="5991" spans="13:13" x14ac:dyDescent="0.25">
      <c r="M5991" s="18"/>
    </row>
    <row r="5992" spans="13:13" x14ac:dyDescent="0.25">
      <c r="M5992" s="18"/>
    </row>
    <row r="5993" spans="13:13" x14ac:dyDescent="0.25">
      <c r="M5993" s="18"/>
    </row>
    <row r="5994" spans="13:13" x14ac:dyDescent="0.25">
      <c r="M5994" s="18"/>
    </row>
    <row r="5995" spans="13:13" x14ac:dyDescent="0.25">
      <c r="M5995" s="18"/>
    </row>
    <row r="5996" spans="13:13" x14ac:dyDescent="0.25">
      <c r="M5996" s="18"/>
    </row>
    <row r="5997" spans="13:13" x14ac:dyDescent="0.25">
      <c r="M5997" s="18"/>
    </row>
    <row r="5998" spans="13:13" x14ac:dyDescent="0.25">
      <c r="M5998" s="18"/>
    </row>
    <row r="5999" spans="13:13" x14ac:dyDescent="0.25">
      <c r="M5999" s="18"/>
    </row>
    <row r="6000" spans="13:13" x14ac:dyDescent="0.25">
      <c r="M6000" s="18"/>
    </row>
    <row r="6001" spans="13:13" x14ac:dyDescent="0.25">
      <c r="M6001" s="18"/>
    </row>
    <row r="6002" spans="13:13" x14ac:dyDescent="0.25">
      <c r="M6002" s="18"/>
    </row>
    <row r="6003" spans="13:13" x14ac:dyDescent="0.25">
      <c r="M6003" s="18"/>
    </row>
    <row r="6004" spans="13:13" x14ac:dyDescent="0.25">
      <c r="M6004" s="18"/>
    </row>
    <row r="6005" spans="13:13" x14ac:dyDescent="0.25">
      <c r="M6005" s="18"/>
    </row>
    <row r="6006" spans="13:13" x14ac:dyDescent="0.25">
      <c r="M6006" s="18"/>
    </row>
    <row r="6007" spans="13:13" x14ac:dyDescent="0.25">
      <c r="M6007" s="18"/>
    </row>
    <row r="6008" spans="13:13" x14ac:dyDescent="0.25">
      <c r="M6008" s="18"/>
    </row>
    <row r="6009" spans="13:13" x14ac:dyDescent="0.25">
      <c r="M6009" s="18"/>
    </row>
    <row r="6010" spans="13:13" x14ac:dyDescent="0.25">
      <c r="M6010" s="18"/>
    </row>
    <row r="6011" spans="13:13" x14ac:dyDescent="0.25">
      <c r="M6011" s="18"/>
    </row>
    <row r="6012" spans="13:13" x14ac:dyDescent="0.25">
      <c r="M6012" s="18"/>
    </row>
    <row r="6013" spans="13:13" x14ac:dyDescent="0.25">
      <c r="M6013" s="18"/>
    </row>
    <row r="6014" spans="13:13" x14ac:dyDescent="0.25">
      <c r="M6014" s="18"/>
    </row>
    <row r="6015" spans="13:13" x14ac:dyDescent="0.25">
      <c r="M6015" s="18"/>
    </row>
    <row r="6016" spans="13:13" x14ac:dyDescent="0.25">
      <c r="M6016" s="18"/>
    </row>
    <row r="6017" spans="13:13" x14ac:dyDescent="0.25">
      <c r="M6017" s="18"/>
    </row>
    <row r="6018" spans="13:13" x14ac:dyDescent="0.25">
      <c r="M6018" s="18"/>
    </row>
    <row r="6019" spans="13:13" x14ac:dyDescent="0.25">
      <c r="M6019" s="18"/>
    </row>
    <row r="6020" spans="13:13" x14ac:dyDescent="0.25">
      <c r="M6020" s="18"/>
    </row>
    <row r="6021" spans="13:13" x14ac:dyDescent="0.25">
      <c r="M6021" s="18"/>
    </row>
    <row r="6022" spans="13:13" x14ac:dyDescent="0.25">
      <c r="M6022" s="18"/>
    </row>
    <row r="6023" spans="13:13" x14ac:dyDescent="0.25">
      <c r="M6023" s="18"/>
    </row>
    <row r="6024" spans="13:13" x14ac:dyDescent="0.25">
      <c r="M6024" s="18"/>
    </row>
    <row r="6025" spans="13:13" x14ac:dyDescent="0.25">
      <c r="M6025" s="18"/>
    </row>
    <row r="6026" spans="13:13" x14ac:dyDescent="0.25">
      <c r="M6026" s="18"/>
    </row>
    <row r="6027" spans="13:13" x14ac:dyDescent="0.25">
      <c r="M6027" s="18"/>
    </row>
    <row r="6028" spans="13:13" x14ac:dyDescent="0.25">
      <c r="M6028" s="18"/>
    </row>
    <row r="6029" spans="13:13" x14ac:dyDescent="0.25">
      <c r="M6029" s="18"/>
    </row>
    <row r="6030" spans="13:13" x14ac:dyDescent="0.25">
      <c r="M6030" s="18"/>
    </row>
    <row r="6031" spans="13:13" x14ac:dyDescent="0.25">
      <c r="M6031" s="18"/>
    </row>
    <row r="6032" spans="13:13" x14ac:dyDescent="0.25">
      <c r="M6032" s="18"/>
    </row>
    <row r="6033" spans="13:13" x14ac:dyDescent="0.25">
      <c r="M6033" s="18"/>
    </row>
    <row r="6034" spans="13:13" x14ac:dyDescent="0.25">
      <c r="M6034" s="18"/>
    </row>
    <row r="6035" spans="13:13" x14ac:dyDescent="0.25">
      <c r="M6035" s="18"/>
    </row>
    <row r="6036" spans="13:13" x14ac:dyDescent="0.25">
      <c r="M6036" s="18"/>
    </row>
    <row r="6037" spans="13:13" x14ac:dyDescent="0.25">
      <c r="M6037" s="18"/>
    </row>
    <row r="6038" spans="13:13" x14ac:dyDescent="0.25">
      <c r="M6038" s="18"/>
    </row>
    <row r="6039" spans="13:13" x14ac:dyDescent="0.25">
      <c r="M6039" s="18"/>
    </row>
    <row r="6040" spans="13:13" x14ac:dyDescent="0.25">
      <c r="M6040" s="18"/>
    </row>
    <row r="6041" spans="13:13" x14ac:dyDescent="0.25">
      <c r="M6041" s="18"/>
    </row>
    <row r="6042" spans="13:13" x14ac:dyDescent="0.25">
      <c r="M6042" s="18"/>
    </row>
    <row r="6043" spans="13:13" x14ac:dyDescent="0.25">
      <c r="M6043" s="18"/>
    </row>
    <row r="6044" spans="13:13" x14ac:dyDescent="0.25">
      <c r="M6044" s="18"/>
    </row>
    <row r="6045" spans="13:13" x14ac:dyDescent="0.25">
      <c r="M6045" s="18"/>
    </row>
    <row r="6046" spans="13:13" x14ac:dyDescent="0.25">
      <c r="M6046" s="18"/>
    </row>
    <row r="6047" spans="13:13" x14ac:dyDescent="0.25">
      <c r="M6047" s="18"/>
    </row>
    <row r="6048" spans="13:13" x14ac:dyDescent="0.25">
      <c r="M6048" s="18"/>
    </row>
    <row r="6049" spans="13:13" x14ac:dyDescent="0.25">
      <c r="M6049" s="18"/>
    </row>
    <row r="6050" spans="13:13" x14ac:dyDescent="0.25">
      <c r="M6050" s="18"/>
    </row>
    <row r="6051" spans="13:13" x14ac:dyDescent="0.25">
      <c r="M6051" s="18"/>
    </row>
    <row r="6052" spans="13:13" x14ac:dyDescent="0.25">
      <c r="M6052" s="18"/>
    </row>
    <row r="6053" spans="13:13" x14ac:dyDescent="0.25">
      <c r="M6053" s="18"/>
    </row>
    <row r="6054" spans="13:13" x14ac:dyDescent="0.25">
      <c r="M6054" s="18"/>
    </row>
    <row r="6055" spans="13:13" x14ac:dyDescent="0.25">
      <c r="M6055" s="18"/>
    </row>
    <row r="6056" spans="13:13" x14ac:dyDescent="0.25">
      <c r="M6056" s="18"/>
    </row>
    <row r="6057" spans="13:13" x14ac:dyDescent="0.25">
      <c r="M6057" s="18"/>
    </row>
    <row r="6058" spans="13:13" x14ac:dyDescent="0.25">
      <c r="M6058" s="18"/>
    </row>
    <row r="6059" spans="13:13" x14ac:dyDescent="0.25">
      <c r="M6059" s="18"/>
    </row>
    <row r="6060" spans="13:13" x14ac:dyDescent="0.25">
      <c r="M6060" s="18"/>
    </row>
    <row r="6061" spans="13:13" x14ac:dyDescent="0.25">
      <c r="M6061" s="18"/>
    </row>
    <row r="6062" spans="13:13" x14ac:dyDescent="0.25">
      <c r="M6062" s="18"/>
    </row>
    <row r="6063" spans="13:13" x14ac:dyDescent="0.25">
      <c r="M6063" s="18"/>
    </row>
    <row r="6064" spans="13:13" x14ac:dyDescent="0.25">
      <c r="M6064" s="18"/>
    </row>
    <row r="6065" spans="13:13" x14ac:dyDescent="0.25">
      <c r="M6065" s="18"/>
    </row>
    <row r="6066" spans="13:13" x14ac:dyDescent="0.25">
      <c r="M6066" s="18"/>
    </row>
    <row r="6067" spans="13:13" x14ac:dyDescent="0.25">
      <c r="M6067" s="18"/>
    </row>
    <row r="6068" spans="13:13" x14ac:dyDescent="0.25">
      <c r="M6068" s="18"/>
    </row>
    <row r="6069" spans="13:13" x14ac:dyDescent="0.25">
      <c r="M6069" s="18"/>
    </row>
    <row r="6070" spans="13:13" x14ac:dyDescent="0.25">
      <c r="M6070" s="18"/>
    </row>
    <row r="6071" spans="13:13" x14ac:dyDescent="0.25">
      <c r="M6071" s="18"/>
    </row>
    <row r="6072" spans="13:13" x14ac:dyDescent="0.25">
      <c r="M6072" s="18"/>
    </row>
    <row r="6073" spans="13:13" x14ac:dyDescent="0.25">
      <c r="M6073" s="18"/>
    </row>
    <row r="6074" spans="13:13" x14ac:dyDescent="0.25">
      <c r="M6074" s="18"/>
    </row>
    <row r="6075" spans="13:13" x14ac:dyDescent="0.25">
      <c r="M6075" s="18"/>
    </row>
    <row r="6076" spans="13:13" x14ac:dyDescent="0.25">
      <c r="M6076" s="18"/>
    </row>
    <row r="6077" spans="13:13" x14ac:dyDescent="0.25">
      <c r="M6077" s="18"/>
    </row>
    <row r="6078" spans="13:13" x14ac:dyDescent="0.25">
      <c r="M6078" s="18"/>
    </row>
    <row r="6079" spans="13:13" x14ac:dyDescent="0.25">
      <c r="M6079" s="18"/>
    </row>
    <row r="6080" spans="13:13" x14ac:dyDescent="0.25">
      <c r="M6080" s="18"/>
    </row>
    <row r="6081" spans="13:13" x14ac:dyDescent="0.25">
      <c r="M6081" s="18"/>
    </row>
    <row r="6082" spans="13:13" x14ac:dyDescent="0.25">
      <c r="M6082" s="18"/>
    </row>
    <row r="6083" spans="13:13" x14ac:dyDescent="0.25">
      <c r="M6083" s="18"/>
    </row>
    <row r="6084" spans="13:13" x14ac:dyDescent="0.25">
      <c r="M6084" s="18"/>
    </row>
    <row r="6085" spans="13:13" x14ac:dyDescent="0.25">
      <c r="M6085" s="18"/>
    </row>
    <row r="6086" spans="13:13" x14ac:dyDescent="0.25">
      <c r="M6086" s="18"/>
    </row>
    <row r="6087" spans="13:13" x14ac:dyDescent="0.25">
      <c r="M6087" s="18"/>
    </row>
    <row r="6088" spans="13:13" x14ac:dyDescent="0.25">
      <c r="M6088" s="18"/>
    </row>
    <row r="6089" spans="13:13" x14ac:dyDescent="0.25">
      <c r="M6089" s="18"/>
    </row>
    <row r="6090" spans="13:13" x14ac:dyDescent="0.25">
      <c r="M6090" s="18"/>
    </row>
    <row r="6091" spans="13:13" x14ac:dyDescent="0.25">
      <c r="M6091" s="18"/>
    </row>
    <row r="6092" spans="13:13" x14ac:dyDescent="0.25">
      <c r="M6092" s="18"/>
    </row>
    <row r="6093" spans="13:13" x14ac:dyDescent="0.25">
      <c r="M6093" s="18"/>
    </row>
    <row r="6094" spans="13:13" x14ac:dyDescent="0.25">
      <c r="M6094" s="18"/>
    </row>
    <row r="6095" spans="13:13" x14ac:dyDescent="0.25">
      <c r="M6095" s="18"/>
    </row>
    <row r="6096" spans="13:13" x14ac:dyDescent="0.25">
      <c r="M6096" s="18"/>
    </row>
    <row r="6097" spans="13:13" x14ac:dyDescent="0.25">
      <c r="M6097" s="18"/>
    </row>
    <row r="6098" spans="13:13" x14ac:dyDescent="0.25">
      <c r="M6098" s="18"/>
    </row>
    <row r="6099" spans="13:13" x14ac:dyDescent="0.25">
      <c r="M6099" s="18"/>
    </row>
    <row r="6100" spans="13:13" x14ac:dyDescent="0.25">
      <c r="M6100" s="18"/>
    </row>
    <row r="6101" spans="13:13" x14ac:dyDescent="0.25">
      <c r="M6101" s="18"/>
    </row>
    <row r="6102" spans="13:13" x14ac:dyDescent="0.25">
      <c r="M6102" s="18"/>
    </row>
    <row r="6103" spans="13:13" x14ac:dyDescent="0.25">
      <c r="M6103" s="18"/>
    </row>
    <row r="6104" spans="13:13" x14ac:dyDescent="0.25">
      <c r="M6104" s="18"/>
    </row>
    <row r="6105" spans="13:13" x14ac:dyDescent="0.25">
      <c r="M6105" s="18"/>
    </row>
    <row r="6106" spans="13:13" x14ac:dyDescent="0.25">
      <c r="M6106" s="18"/>
    </row>
    <row r="6107" spans="13:13" x14ac:dyDescent="0.25">
      <c r="M6107" s="18"/>
    </row>
    <row r="6108" spans="13:13" x14ac:dyDescent="0.25">
      <c r="M6108" s="18"/>
    </row>
    <row r="6109" spans="13:13" x14ac:dyDescent="0.25">
      <c r="M6109" s="18"/>
    </row>
    <row r="6110" spans="13:13" x14ac:dyDescent="0.25">
      <c r="M6110" s="18"/>
    </row>
    <row r="6111" spans="13:13" x14ac:dyDescent="0.25">
      <c r="M6111" s="18"/>
    </row>
    <row r="6112" spans="13:13" x14ac:dyDescent="0.25">
      <c r="M6112" s="18"/>
    </row>
    <row r="6113" spans="13:13" x14ac:dyDescent="0.25">
      <c r="M6113" s="18"/>
    </row>
    <row r="6114" spans="13:13" x14ac:dyDescent="0.25">
      <c r="M6114" s="18"/>
    </row>
    <row r="6115" spans="13:13" x14ac:dyDescent="0.25">
      <c r="M6115" s="18"/>
    </row>
    <row r="6116" spans="13:13" x14ac:dyDescent="0.25">
      <c r="M6116" s="18"/>
    </row>
    <row r="6117" spans="13:13" x14ac:dyDescent="0.25">
      <c r="M6117" s="18"/>
    </row>
    <row r="6118" spans="13:13" x14ac:dyDescent="0.25">
      <c r="M6118" s="18"/>
    </row>
    <row r="6119" spans="13:13" x14ac:dyDescent="0.25">
      <c r="M6119" s="18"/>
    </row>
    <row r="6120" spans="13:13" x14ac:dyDescent="0.25">
      <c r="M6120" s="18"/>
    </row>
    <row r="6121" spans="13:13" x14ac:dyDescent="0.25">
      <c r="M6121" s="18"/>
    </row>
    <row r="6122" spans="13:13" x14ac:dyDescent="0.25">
      <c r="M6122" s="18"/>
    </row>
    <row r="6123" spans="13:13" x14ac:dyDescent="0.25">
      <c r="M6123" s="18"/>
    </row>
    <row r="6124" spans="13:13" x14ac:dyDescent="0.25">
      <c r="M6124" s="18"/>
    </row>
    <row r="6125" spans="13:13" x14ac:dyDescent="0.25">
      <c r="M6125" s="18"/>
    </row>
    <row r="6126" spans="13:13" x14ac:dyDescent="0.25">
      <c r="M6126" s="18"/>
    </row>
    <row r="6127" spans="13:13" x14ac:dyDescent="0.25">
      <c r="M6127" s="18"/>
    </row>
    <row r="6128" spans="13:13" x14ac:dyDescent="0.25">
      <c r="M6128" s="18"/>
    </row>
    <row r="6129" spans="13:13" x14ac:dyDescent="0.25">
      <c r="M6129" s="18"/>
    </row>
    <row r="6130" spans="13:13" x14ac:dyDescent="0.25">
      <c r="M6130" s="18"/>
    </row>
    <row r="6131" spans="13:13" x14ac:dyDescent="0.25">
      <c r="M6131" s="18"/>
    </row>
    <row r="6132" spans="13:13" x14ac:dyDescent="0.25">
      <c r="M6132" s="18"/>
    </row>
    <row r="6133" spans="13:13" x14ac:dyDescent="0.25">
      <c r="M6133" s="18"/>
    </row>
    <row r="6134" spans="13:13" x14ac:dyDescent="0.25">
      <c r="M6134" s="18"/>
    </row>
    <row r="6135" spans="13:13" x14ac:dyDescent="0.25">
      <c r="M6135" s="18"/>
    </row>
    <row r="6136" spans="13:13" x14ac:dyDescent="0.25">
      <c r="M6136" s="18"/>
    </row>
    <row r="6137" spans="13:13" x14ac:dyDescent="0.25">
      <c r="M6137" s="18"/>
    </row>
    <row r="6138" spans="13:13" x14ac:dyDescent="0.25">
      <c r="M6138" s="18"/>
    </row>
    <row r="6139" spans="13:13" x14ac:dyDescent="0.25">
      <c r="M6139" s="18"/>
    </row>
    <row r="6140" spans="13:13" x14ac:dyDescent="0.25">
      <c r="M6140" s="18"/>
    </row>
    <row r="6141" spans="13:13" x14ac:dyDescent="0.25">
      <c r="M6141" s="18"/>
    </row>
    <row r="6142" spans="13:13" x14ac:dyDescent="0.25">
      <c r="M6142" s="18"/>
    </row>
    <row r="6143" spans="13:13" x14ac:dyDescent="0.25">
      <c r="M6143" s="18"/>
    </row>
    <row r="6144" spans="13:13" x14ac:dyDescent="0.25">
      <c r="M6144" s="18"/>
    </row>
    <row r="6145" spans="13:13" x14ac:dyDescent="0.25">
      <c r="M6145" s="18"/>
    </row>
    <row r="6146" spans="13:13" x14ac:dyDescent="0.25">
      <c r="M6146" s="18"/>
    </row>
    <row r="6147" spans="13:13" x14ac:dyDescent="0.25">
      <c r="M6147" s="18"/>
    </row>
    <row r="6148" spans="13:13" x14ac:dyDescent="0.25">
      <c r="M6148" s="18"/>
    </row>
    <row r="6149" spans="13:13" x14ac:dyDescent="0.25">
      <c r="M6149" s="18"/>
    </row>
    <row r="6150" spans="13:13" x14ac:dyDescent="0.25">
      <c r="M6150" s="18"/>
    </row>
    <row r="6151" spans="13:13" x14ac:dyDescent="0.25">
      <c r="M6151" s="18"/>
    </row>
    <row r="6152" spans="13:13" x14ac:dyDescent="0.25">
      <c r="M6152" s="18"/>
    </row>
    <row r="6153" spans="13:13" x14ac:dyDescent="0.25">
      <c r="M6153" s="18"/>
    </row>
    <row r="6154" spans="13:13" x14ac:dyDescent="0.25">
      <c r="M6154" s="18"/>
    </row>
    <row r="6155" spans="13:13" x14ac:dyDescent="0.25">
      <c r="M6155" s="18"/>
    </row>
    <row r="6156" spans="13:13" x14ac:dyDescent="0.25">
      <c r="M6156" s="18"/>
    </row>
    <row r="6157" spans="13:13" x14ac:dyDescent="0.25">
      <c r="M6157" s="18"/>
    </row>
    <row r="6158" spans="13:13" x14ac:dyDescent="0.25">
      <c r="M6158" s="18"/>
    </row>
    <row r="6159" spans="13:13" x14ac:dyDescent="0.25">
      <c r="M6159" s="18"/>
    </row>
    <row r="6160" spans="13:13" x14ac:dyDescent="0.25">
      <c r="M6160" s="18"/>
    </row>
    <row r="6161" spans="13:13" x14ac:dyDescent="0.25">
      <c r="M6161" s="18"/>
    </row>
    <row r="6162" spans="13:13" x14ac:dyDescent="0.25">
      <c r="M6162" s="18"/>
    </row>
    <row r="6163" spans="13:13" x14ac:dyDescent="0.25">
      <c r="M6163" s="18"/>
    </row>
    <row r="6164" spans="13:13" x14ac:dyDescent="0.25">
      <c r="M6164" s="18"/>
    </row>
    <row r="6165" spans="13:13" x14ac:dyDescent="0.25">
      <c r="M6165" s="18"/>
    </row>
    <row r="6166" spans="13:13" x14ac:dyDescent="0.25">
      <c r="M6166" s="18"/>
    </row>
    <row r="6167" spans="13:13" x14ac:dyDescent="0.25">
      <c r="M6167" s="18"/>
    </row>
    <row r="6168" spans="13:13" x14ac:dyDescent="0.25">
      <c r="M6168" s="18"/>
    </row>
    <row r="6169" spans="13:13" x14ac:dyDescent="0.25">
      <c r="M6169" s="18"/>
    </row>
    <row r="6170" spans="13:13" x14ac:dyDescent="0.25">
      <c r="M6170" s="18"/>
    </row>
    <row r="6171" spans="13:13" x14ac:dyDescent="0.25">
      <c r="M6171" s="18"/>
    </row>
    <row r="6172" spans="13:13" x14ac:dyDescent="0.25">
      <c r="M6172" s="18"/>
    </row>
    <row r="6173" spans="13:13" x14ac:dyDescent="0.25">
      <c r="M6173" s="18"/>
    </row>
    <row r="6174" spans="13:13" x14ac:dyDescent="0.25">
      <c r="M6174" s="18"/>
    </row>
    <row r="6175" spans="13:13" x14ac:dyDescent="0.25">
      <c r="M6175" s="18"/>
    </row>
    <row r="6176" spans="13:13" x14ac:dyDescent="0.25">
      <c r="M6176" s="18"/>
    </row>
    <row r="6177" spans="13:13" x14ac:dyDescent="0.25">
      <c r="M6177" s="18"/>
    </row>
    <row r="6178" spans="13:13" x14ac:dyDescent="0.25">
      <c r="M6178" s="18"/>
    </row>
    <row r="6179" spans="13:13" x14ac:dyDescent="0.25">
      <c r="M6179" s="18"/>
    </row>
    <row r="6180" spans="13:13" x14ac:dyDescent="0.25">
      <c r="M6180" s="18"/>
    </row>
    <row r="6181" spans="13:13" x14ac:dyDescent="0.25">
      <c r="M6181" s="18"/>
    </row>
    <row r="6182" spans="13:13" x14ac:dyDescent="0.25">
      <c r="M6182" s="18"/>
    </row>
    <row r="6183" spans="13:13" x14ac:dyDescent="0.25">
      <c r="M6183" s="18"/>
    </row>
    <row r="6184" spans="13:13" x14ac:dyDescent="0.25">
      <c r="M6184" s="18"/>
    </row>
    <row r="6185" spans="13:13" x14ac:dyDescent="0.25">
      <c r="M6185" s="18"/>
    </row>
    <row r="6186" spans="13:13" x14ac:dyDescent="0.25">
      <c r="M6186" s="18"/>
    </row>
    <row r="6187" spans="13:13" x14ac:dyDescent="0.25">
      <c r="M6187" s="18"/>
    </row>
    <row r="6188" spans="13:13" x14ac:dyDescent="0.25">
      <c r="M6188" s="18"/>
    </row>
    <row r="6189" spans="13:13" x14ac:dyDescent="0.25">
      <c r="M6189" s="18"/>
    </row>
    <row r="6190" spans="13:13" x14ac:dyDescent="0.25">
      <c r="M6190" s="18"/>
    </row>
    <row r="6191" spans="13:13" x14ac:dyDescent="0.25">
      <c r="M6191" s="18"/>
    </row>
    <row r="6192" spans="13:13" x14ac:dyDescent="0.25">
      <c r="M6192" s="18"/>
    </row>
    <row r="6193" spans="13:13" x14ac:dyDescent="0.25">
      <c r="M6193" s="18"/>
    </row>
    <row r="6194" spans="13:13" x14ac:dyDescent="0.25">
      <c r="M6194" s="18"/>
    </row>
    <row r="6195" spans="13:13" x14ac:dyDescent="0.25">
      <c r="M6195" s="18"/>
    </row>
    <row r="6196" spans="13:13" x14ac:dyDescent="0.25">
      <c r="M6196" s="18"/>
    </row>
    <row r="6197" spans="13:13" x14ac:dyDescent="0.25">
      <c r="M6197" s="18"/>
    </row>
    <row r="6198" spans="13:13" x14ac:dyDescent="0.25">
      <c r="M6198" s="18"/>
    </row>
    <row r="6199" spans="13:13" x14ac:dyDescent="0.25">
      <c r="M6199" s="18"/>
    </row>
    <row r="6200" spans="13:13" x14ac:dyDescent="0.25">
      <c r="M6200" s="18"/>
    </row>
    <row r="6201" spans="13:13" x14ac:dyDescent="0.25">
      <c r="M6201" s="18"/>
    </row>
    <row r="6202" spans="13:13" x14ac:dyDescent="0.25">
      <c r="M6202" s="18"/>
    </row>
    <row r="6203" spans="13:13" x14ac:dyDescent="0.25">
      <c r="M6203" s="18"/>
    </row>
    <row r="6204" spans="13:13" x14ac:dyDescent="0.25">
      <c r="M6204" s="18"/>
    </row>
    <row r="6205" spans="13:13" x14ac:dyDescent="0.25">
      <c r="M6205" s="18"/>
    </row>
    <row r="6206" spans="13:13" x14ac:dyDescent="0.25">
      <c r="M6206" s="18"/>
    </row>
    <row r="6207" spans="13:13" x14ac:dyDescent="0.25">
      <c r="M6207" s="18"/>
    </row>
    <row r="6208" spans="13:13" x14ac:dyDescent="0.25">
      <c r="M6208" s="18"/>
    </row>
    <row r="6209" spans="13:13" x14ac:dyDescent="0.25">
      <c r="M6209" s="18"/>
    </row>
    <row r="6210" spans="13:13" x14ac:dyDescent="0.25">
      <c r="M6210" s="18"/>
    </row>
    <row r="6211" spans="13:13" x14ac:dyDescent="0.25">
      <c r="M6211" s="18"/>
    </row>
    <row r="6212" spans="13:13" x14ac:dyDescent="0.25">
      <c r="M6212" s="18"/>
    </row>
    <row r="6213" spans="13:13" x14ac:dyDescent="0.25">
      <c r="M6213" s="18"/>
    </row>
    <row r="6214" spans="13:13" x14ac:dyDescent="0.25">
      <c r="M6214" s="18"/>
    </row>
    <row r="6215" spans="13:13" x14ac:dyDescent="0.25">
      <c r="M6215" s="18"/>
    </row>
    <row r="6216" spans="13:13" x14ac:dyDescent="0.25">
      <c r="M6216" s="18"/>
    </row>
    <row r="6217" spans="13:13" x14ac:dyDescent="0.25">
      <c r="M6217" s="18"/>
    </row>
    <row r="6218" spans="13:13" x14ac:dyDescent="0.25">
      <c r="M6218" s="18"/>
    </row>
    <row r="6219" spans="13:13" x14ac:dyDescent="0.25">
      <c r="M6219" s="18"/>
    </row>
    <row r="6220" spans="13:13" x14ac:dyDescent="0.25">
      <c r="M6220" s="18"/>
    </row>
    <row r="6221" spans="13:13" x14ac:dyDescent="0.25">
      <c r="M6221" s="18"/>
    </row>
    <row r="6222" spans="13:13" x14ac:dyDescent="0.25">
      <c r="M6222" s="18"/>
    </row>
    <row r="6223" spans="13:13" x14ac:dyDescent="0.25">
      <c r="M6223" s="18"/>
    </row>
    <row r="6224" spans="13:13" x14ac:dyDescent="0.25">
      <c r="M6224" s="18"/>
    </row>
    <row r="6225" spans="13:13" x14ac:dyDescent="0.25">
      <c r="M6225" s="18"/>
    </row>
    <row r="6226" spans="13:13" x14ac:dyDescent="0.25">
      <c r="M6226" s="18"/>
    </row>
    <row r="6227" spans="13:13" x14ac:dyDescent="0.25">
      <c r="M6227" s="18"/>
    </row>
    <row r="6228" spans="13:13" x14ac:dyDescent="0.25">
      <c r="M6228" s="18"/>
    </row>
    <row r="6229" spans="13:13" x14ac:dyDescent="0.25">
      <c r="M6229" s="18"/>
    </row>
    <row r="6230" spans="13:13" x14ac:dyDescent="0.25">
      <c r="M6230" s="18"/>
    </row>
    <row r="6231" spans="13:13" x14ac:dyDescent="0.25">
      <c r="M6231" s="18"/>
    </row>
    <row r="6232" spans="13:13" x14ac:dyDescent="0.25">
      <c r="M6232" s="18"/>
    </row>
    <row r="6233" spans="13:13" x14ac:dyDescent="0.25">
      <c r="M6233" s="18"/>
    </row>
    <row r="6234" spans="13:13" x14ac:dyDescent="0.25">
      <c r="M6234" s="18"/>
    </row>
    <row r="6235" spans="13:13" x14ac:dyDescent="0.25">
      <c r="M6235" s="18"/>
    </row>
    <row r="6236" spans="13:13" x14ac:dyDescent="0.25">
      <c r="M6236" s="18"/>
    </row>
    <row r="6237" spans="13:13" x14ac:dyDescent="0.25">
      <c r="M6237" s="18"/>
    </row>
    <row r="6238" spans="13:13" x14ac:dyDescent="0.25">
      <c r="M6238" s="18"/>
    </row>
    <row r="6239" spans="13:13" x14ac:dyDescent="0.25">
      <c r="M6239" s="18"/>
    </row>
    <row r="6240" spans="13:13" x14ac:dyDescent="0.25">
      <c r="M6240" s="18"/>
    </row>
    <row r="6241" spans="13:13" x14ac:dyDescent="0.25">
      <c r="M6241" s="18"/>
    </row>
    <row r="6242" spans="13:13" x14ac:dyDescent="0.25">
      <c r="M6242" s="18"/>
    </row>
    <row r="6243" spans="13:13" x14ac:dyDescent="0.25">
      <c r="M6243" s="18"/>
    </row>
    <row r="6244" spans="13:13" x14ac:dyDescent="0.25">
      <c r="M6244" s="18"/>
    </row>
    <row r="6245" spans="13:13" x14ac:dyDescent="0.25">
      <c r="M6245" s="18"/>
    </row>
    <row r="6246" spans="13:13" x14ac:dyDescent="0.25">
      <c r="M6246" s="18"/>
    </row>
    <row r="6247" spans="13:13" x14ac:dyDescent="0.25">
      <c r="M6247" s="18"/>
    </row>
    <row r="6248" spans="13:13" x14ac:dyDescent="0.25">
      <c r="M6248" s="18"/>
    </row>
    <row r="6249" spans="13:13" x14ac:dyDescent="0.25">
      <c r="M6249" s="18"/>
    </row>
    <row r="6250" spans="13:13" x14ac:dyDescent="0.25">
      <c r="M6250" s="18"/>
    </row>
    <row r="6251" spans="13:13" x14ac:dyDescent="0.25">
      <c r="M6251" s="18"/>
    </row>
    <row r="6252" spans="13:13" x14ac:dyDescent="0.25">
      <c r="M6252" s="18"/>
    </row>
    <row r="6253" spans="13:13" x14ac:dyDescent="0.25">
      <c r="M6253" s="18"/>
    </row>
    <row r="6254" spans="13:13" x14ac:dyDescent="0.25">
      <c r="M6254" s="18"/>
    </row>
    <row r="6255" spans="13:13" x14ac:dyDescent="0.25">
      <c r="M6255" s="18"/>
    </row>
    <row r="6256" spans="13:13" x14ac:dyDescent="0.25">
      <c r="M6256" s="18"/>
    </row>
    <row r="6257" spans="13:13" x14ac:dyDescent="0.25">
      <c r="M6257" s="18"/>
    </row>
    <row r="6258" spans="13:13" x14ac:dyDescent="0.25">
      <c r="M6258" s="18"/>
    </row>
    <row r="6259" spans="13:13" x14ac:dyDescent="0.25">
      <c r="M6259" s="18"/>
    </row>
    <row r="6260" spans="13:13" x14ac:dyDescent="0.25">
      <c r="M6260" s="18"/>
    </row>
    <row r="6261" spans="13:13" x14ac:dyDescent="0.25">
      <c r="M6261" s="18"/>
    </row>
    <row r="6262" spans="13:13" x14ac:dyDescent="0.25">
      <c r="M6262" s="18"/>
    </row>
    <row r="6263" spans="13:13" x14ac:dyDescent="0.25">
      <c r="M6263" s="18"/>
    </row>
    <row r="6264" spans="13:13" x14ac:dyDescent="0.25">
      <c r="M6264" s="18"/>
    </row>
    <row r="6265" spans="13:13" x14ac:dyDescent="0.25">
      <c r="M6265" s="18"/>
    </row>
    <row r="6266" spans="13:13" x14ac:dyDescent="0.25">
      <c r="M6266" s="18"/>
    </row>
    <row r="6267" spans="13:13" x14ac:dyDescent="0.25">
      <c r="M6267" s="18"/>
    </row>
    <row r="6268" spans="13:13" x14ac:dyDescent="0.25">
      <c r="M6268" s="18"/>
    </row>
    <row r="6269" spans="13:13" x14ac:dyDescent="0.25">
      <c r="M6269" s="18"/>
    </row>
    <row r="6270" spans="13:13" x14ac:dyDescent="0.25">
      <c r="M6270" s="18"/>
    </row>
    <row r="6271" spans="13:13" x14ac:dyDescent="0.25">
      <c r="M6271" s="18"/>
    </row>
    <row r="6272" spans="13:13" x14ac:dyDescent="0.25">
      <c r="M6272" s="18"/>
    </row>
    <row r="6273" spans="13:13" x14ac:dyDescent="0.25">
      <c r="M6273" s="18"/>
    </row>
    <row r="6274" spans="13:13" x14ac:dyDescent="0.25">
      <c r="M6274" s="18"/>
    </row>
    <row r="6275" spans="13:13" x14ac:dyDescent="0.25">
      <c r="M6275" s="18"/>
    </row>
    <row r="6276" spans="13:13" x14ac:dyDescent="0.25">
      <c r="M6276" s="18"/>
    </row>
    <row r="6277" spans="13:13" x14ac:dyDescent="0.25">
      <c r="M6277" s="18"/>
    </row>
    <row r="6278" spans="13:13" x14ac:dyDescent="0.25">
      <c r="M6278" s="18"/>
    </row>
    <row r="6279" spans="13:13" x14ac:dyDescent="0.25">
      <c r="M6279" s="18"/>
    </row>
    <row r="6280" spans="13:13" x14ac:dyDescent="0.25">
      <c r="M6280" s="18"/>
    </row>
    <row r="6281" spans="13:13" x14ac:dyDescent="0.25">
      <c r="M6281" s="18"/>
    </row>
    <row r="6282" spans="13:13" x14ac:dyDescent="0.25">
      <c r="M6282" s="18"/>
    </row>
    <row r="6283" spans="13:13" x14ac:dyDescent="0.25">
      <c r="M6283" s="18"/>
    </row>
    <row r="6284" spans="13:13" x14ac:dyDescent="0.25">
      <c r="M6284" s="18"/>
    </row>
    <row r="6285" spans="13:13" x14ac:dyDescent="0.25">
      <c r="M6285" s="18"/>
    </row>
    <row r="6286" spans="13:13" x14ac:dyDescent="0.25">
      <c r="M6286" s="18"/>
    </row>
    <row r="6287" spans="13:13" x14ac:dyDescent="0.25">
      <c r="M6287" s="18"/>
    </row>
    <row r="6288" spans="13:13" x14ac:dyDescent="0.25">
      <c r="M6288" s="18"/>
    </row>
    <row r="6289" spans="13:13" x14ac:dyDescent="0.25">
      <c r="M6289" s="18"/>
    </row>
    <row r="6290" spans="13:13" x14ac:dyDescent="0.25">
      <c r="M6290" s="18"/>
    </row>
    <row r="6291" spans="13:13" x14ac:dyDescent="0.25">
      <c r="M6291" s="18"/>
    </row>
    <row r="6292" spans="13:13" x14ac:dyDescent="0.25">
      <c r="M6292" s="18"/>
    </row>
    <row r="6293" spans="13:13" x14ac:dyDescent="0.25">
      <c r="M6293" s="18"/>
    </row>
    <row r="6294" spans="13:13" x14ac:dyDescent="0.25">
      <c r="M6294" s="18"/>
    </row>
    <row r="6295" spans="13:13" x14ac:dyDescent="0.25">
      <c r="M6295" s="18"/>
    </row>
    <row r="6296" spans="13:13" x14ac:dyDescent="0.25">
      <c r="M6296" s="18"/>
    </row>
    <row r="6297" spans="13:13" x14ac:dyDescent="0.25">
      <c r="M6297" s="18"/>
    </row>
    <row r="6298" spans="13:13" x14ac:dyDescent="0.25">
      <c r="M6298" s="18"/>
    </row>
    <row r="6299" spans="13:13" x14ac:dyDescent="0.25">
      <c r="M6299" s="18"/>
    </row>
    <row r="6300" spans="13:13" x14ac:dyDescent="0.25">
      <c r="M6300" s="18"/>
    </row>
    <row r="6301" spans="13:13" x14ac:dyDescent="0.25">
      <c r="M6301" s="18"/>
    </row>
    <row r="6302" spans="13:13" x14ac:dyDescent="0.25">
      <c r="M6302" s="18"/>
    </row>
    <row r="6303" spans="13:13" x14ac:dyDescent="0.25">
      <c r="M6303" s="18"/>
    </row>
    <row r="6304" spans="13:13" x14ac:dyDescent="0.25">
      <c r="M6304" s="18"/>
    </row>
    <row r="6305" spans="13:13" x14ac:dyDescent="0.25">
      <c r="M6305" s="18"/>
    </row>
    <row r="6306" spans="13:13" x14ac:dyDescent="0.25">
      <c r="M6306" s="18"/>
    </row>
    <row r="6307" spans="13:13" x14ac:dyDescent="0.25">
      <c r="M6307" s="18"/>
    </row>
    <row r="6308" spans="13:13" x14ac:dyDescent="0.25">
      <c r="M6308" s="18"/>
    </row>
    <row r="6309" spans="13:13" x14ac:dyDescent="0.25">
      <c r="M6309" s="18"/>
    </row>
    <row r="6310" spans="13:13" x14ac:dyDescent="0.25">
      <c r="M6310" s="18"/>
    </row>
    <row r="6311" spans="13:13" x14ac:dyDescent="0.25">
      <c r="M6311" s="18"/>
    </row>
    <row r="6312" spans="13:13" x14ac:dyDescent="0.25">
      <c r="M6312" s="18"/>
    </row>
    <row r="6313" spans="13:13" x14ac:dyDescent="0.25">
      <c r="M6313" s="18"/>
    </row>
    <row r="6314" spans="13:13" x14ac:dyDescent="0.25">
      <c r="M6314" s="18"/>
    </row>
    <row r="6315" spans="13:13" x14ac:dyDescent="0.25">
      <c r="M6315" s="18"/>
    </row>
    <row r="6316" spans="13:13" x14ac:dyDescent="0.25">
      <c r="M6316" s="18"/>
    </row>
    <row r="6317" spans="13:13" x14ac:dyDescent="0.25">
      <c r="M6317" s="18"/>
    </row>
    <row r="6318" spans="13:13" x14ac:dyDescent="0.25">
      <c r="M6318" s="18"/>
    </row>
    <row r="6319" spans="13:13" x14ac:dyDescent="0.25">
      <c r="M6319" s="18"/>
    </row>
    <row r="6320" spans="13:13" x14ac:dyDescent="0.25">
      <c r="M6320" s="18"/>
    </row>
    <row r="6321" spans="13:13" x14ac:dyDescent="0.25">
      <c r="M6321" s="18"/>
    </row>
    <row r="6322" spans="13:13" x14ac:dyDescent="0.25">
      <c r="M6322" s="18"/>
    </row>
    <row r="6323" spans="13:13" x14ac:dyDescent="0.25">
      <c r="M6323" s="18"/>
    </row>
    <row r="6324" spans="13:13" x14ac:dyDescent="0.25">
      <c r="M6324" s="18"/>
    </row>
    <row r="6325" spans="13:13" x14ac:dyDescent="0.25">
      <c r="M6325" s="18"/>
    </row>
    <row r="6326" spans="13:13" x14ac:dyDescent="0.25">
      <c r="M6326" s="18"/>
    </row>
    <row r="6327" spans="13:13" x14ac:dyDescent="0.25">
      <c r="M6327" s="18"/>
    </row>
    <row r="6328" spans="13:13" x14ac:dyDescent="0.25">
      <c r="M6328" s="18"/>
    </row>
    <row r="6329" spans="13:13" x14ac:dyDescent="0.25">
      <c r="M6329" s="18"/>
    </row>
    <row r="6330" spans="13:13" x14ac:dyDescent="0.25">
      <c r="M6330" s="18"/>
    </row>
    <row r="6331" spans="13:13" x14ac:dyDescent="0.25">
      <c r="M6331" s="18"/>
    </row>
    <row r="6332" spans="13:13" x14ac:dyDescent="0.25">
      <c r="M6332" s="18"/>
    </row>
    <row r="6333" spans="13:13" x14ac:dyDescent="0.25">
      <c r="M6333" s="18"/>
    </row>
    <row r="6334" spans="13:13" x14ac:dyDescent="0.25">
      <c r="M6334" s="18"/>
    </row>
    <row r="6335" spans="13:13" x14ac:dyDescent="0.25">
      <c r="M6335" s="18"/>
    </row>
    <row r="6336" spans="13:13" x14ac:dyDescent="0.25">
      <c r="M6336" s="18"/>
    </row>
    <row r="6337" spans="13:13" x14ac:dyDescent="0.25">
      <c r="M6337" s="18"/>
    </row>
    <row r="6338" spans="13:13" x14ac:dyDescent="0.25">
      <c r="M6338" s="18"/>
    </row>
    <row r="6339" spans="13:13" x14ac:dyDescent="0.25">
      <c r="M6339" s="18"/>
    </row>
    <row r="6340" spans="13:13" x14ac:dyDescent="0.25">
      <c r="M6340" s="18"/>
    </row>
    <row r="6341" spans="13:13" x14ac:dyDescent="0.25">
      <c r="M6341" s="18"/>
    </row>
    <row r="6342" spans="13:13" x14ac:dyDescent="0.25">
      <c r="M6342" s="18"/>
    </row>
    <row r="6343" spans="13:13" x14ac:dyDescent="0.25">
      <c r="M6343" s="18"/>
    </row>
    <row r="6344" spans="13:13" x14ac:dyDescent="0.25">
      <c r="M6344" s="18"/>
    </row>
    <row r="6345" spans="13:13" x14ac:dyDescent="0.25">
      <c r="M6345" s="18"/>
    </row>
    <row r="6346" spans="13:13" x14ac:dyDescent="0.25">
      <c r="M6346" s="18"/>
    </row>
    <row r="6347" spans="13:13" x14ac:dyDescent="0.25">
      <c r="M6347" s="18"/>
    </row>
    <row r="6348" spans="13:13" x14ac:dyDescent="0.25">
      <c r="M6348" s="18"/>
    </row>
    <row r="6349" spans="13:13" x14ac:dyDescent="0.25">
      <c r="M6349" s="18"/>
    </row>
    <row r="6350" spans="13:13" x14ac:dyDescent="0.25">
      <c r="M6350" s="18"/>
    </row>
    <row r="6351" spans="13:13" x14ac:dyDescent="0.25">
      <c r="M6351" s="18"/>
    </row>
    <row r="6352" spans="13:13" x14ac:dyDescent="0.25">
      <c r="M6352" s="18"/>
    </row>
    <row r="6353" spans="13:13" x14ac:dyDescent="0.25">
      <c r="M6353" s="18"/>
    </row>
    <row r="6354" spans="13:13" x14ac:dyDescent="0.25">
      <c r="M6354" s="18"/>
    </row>
    <row r="6355" spans="13:13" x14ac:dyDescent="0.25">
      <c r="M6355" s="18"/>
    </row>
    <row r="6356" spans="13:13" x14ac:dyDescent="0.25">
      <c r="M6356" s="18"/>
    </row>
    <row r="6357" spans="13:13" x14ac:dyDescent="0.25">
      <c r="M6357" s="18"/>
    </row>
    <row r="6358" spans="13:13" x14ac:dyDescent="0.25">
      <c r="M6358" s="18"/>
    </row>
    <row r="6359" spans="13:13" x14ac:dyDescent="0.25">
      <c r="M6359" s="18"/>
    </row>
    <row r="6360" spans="13:13" x14ac:dyDescent="0.25">
      <c r="M6360" s="18"/>
    </row>
    <row r="6361" spans="13:13" x14ac:dyDescent="0.25">
      <c r="M6361" s="18"/>
    </row>
    <row r="6362" spans="13:13" x14ac:dyDescent="0.25">
      <c r="M6362" s="18"/>
    </row>
    <row r="6363" spans="13:13" x14ac:dyDescent="0.25">
      <c r="M6363" s="18"/>
    </row>
    <row r="6364" spans="13:13" x14ac:dyDescent="0.25">
      <c r="M6364" s="18"/>
    </row>
    <row r="6365" spans="13:13" x14ac:dyDescent="0.25">
      <c r="M6365" s="18"/>
    </row>
    <row r="6366" spans="13:13" x14ac:dyDescent="0.25">
      <c r="M6366" s="18"/>
    </row>
    <row r="6367" spans="13:13" x14ac:dyDescent="0.25">
      <c r="M6367" s="18"/>
    </row>
    <row r="6368" spans="13:13" x14ac:dyDescent="0.25">
      <c r="M6368" s="18"/>
    </row>
    <row r="6369" spans="13:13" x14ac:dyDescent="0.25">
      <c r="M6369" s="18"/>
    </row>
    <row r="6370" spans="13:13" x14ac:dyDescent="0.25">
      <c r="M6370" s="18"/>
    </row>
    <row r="6371" spans="13:13" x14ac:dyDescent="0.25">
      <c r="M6371" s="18"/>
    </row>
    <row r="6372" spans="13:13" x14ac:dyDescent="0.25">
      <c r="M6372" s="18"/>
    </row>
    <row r="6373" spans="13:13" x14ac:dyDescent="0.25">
      <c r="M6373" s="18"/>
    </row>
    <row r="6374" spans="13:13" x14ac:dyDescent="0.25">
      <c r="M6374" s="18"/>
    </row>
    <row r="6375" spans="13:13" x14ac:dyDescent="0.25">
      <c r="M6375" s="18"/>
    </row>
    <row r="6376" spans="13:13" x14ac:dyDescent="0.25">
      <c r="M6376" s="18"/>
    </row>
    <row r="6377" spans="13:13" x14ac:dyDescent="0.25">
      <c r="M6377" s="18"/>
    </row>
    <row r="6378" spans="13:13" x14ac:dyDescent="0.25">
      <c r="M6378" s="18"/>
    </row>
    <row r="6379" spans="13:13" x14ac:dyDescent="0.25">
      <c r="M6379" s="18"/>
    </row>
    <row r="6380" spans="13:13" x14ac:dyDescent="0.25">
      <c r="M6380" s="18"/>
    </row>
    <row r="6381" spans="13:13" x14ac:dyDescent="0.25">
      <c r="M6381" s="18"/>
    </row>
    <row r="6382" spans="13:13" x14ac:dyDescent="0.25">
      <c r="M6382" s="18"/>
    </row>
    <row r="6383" spans="13:13" x14ac:dyDescent="0.25">
      <c r="M6383" s="18"/>
    </row>
    <row r="6384" spans="13:13" x14ac:dyDescent="0.25">
      <c r="M6384" s="18"/>
    </row>
    <row r="6385" spans="13:13" x14ac:dyDescent="0.25">
      <c r="M6385" s="18"/>
    </row>
    <row r="6386" spans="13:13" x14ac:dyDescent="0.25">
      <c r="M6386" s="18"/>
    </row>
    <row r="6387" spans="13:13" x14ac:dyDescent="0.25">
      <c r="M6387" s="18"/>
    </row>
    <row r="6388" spans="13:13" x14ac:dyDescent="0.25">
      <c r="M6388" s="18"/>
    </row>
    <row r="6389" spans="13:13" x14ac:dyDescent="0.25">
      <c r="M6389" s="18"/>
    </row>
    <row r="6390" spans="13:13" x14ac:dyDescent="0.25">
      <c r="M6390" s="18"/>
    </row>
    <row r="6391" spans="13:13" x14ac:dyDescent="0.25">
      <c r="M6391" s="18"/>
    </row>
    <row r="6392" spans="13:13" x14ac:dyDescent="0.25">
      <c r="M6392" s="18"/>
    </row>
    <row r="6393" spans="13:13" x14ac:dyDescent="0.25">
      <c r="M6393" s="18"/>
    </row>
    <row r="6394" spans="13:13" x14ac:dyDescent="0.25">
      <c r="M6394" s="18"/>
    </row>
    <row r="6395" spans="13:13" x14ac:dyDescent="0.25">
      <c r="M6395" s="18"/>
    </row>
    <row r="6396" spans="13:13" x14ac:dyDescent="0.25">
      <c r="M6396" s="18"/>
    </row>
    <row r="6397" spans="13:13" x14ac:dyDescent="0.25">
      <c r="M6397" s="18"/>
    </row>
    <row r="6398" spans="13:13" x14ac:dyDescent="0.25">
      <c r="M6398" s="18"/>
    </row>
    <row r="6399" spans="13:13" x14ac:dyDescent="0.25">
      <c r="M6399" s="18"/>
    </row>
    <row r="6400" spans="13:13" x14ac:dyDescent="0.25">
      <c r="M6400" s="18"/>
    </row>
    <row r="6401" spans="13:13" x14ac:dyDescent="0.25">
      <c r="M6401" s="18"/>
    </row>
    <row r="6402" spans="13:13" x14ac:dyDescent="0.25">
      <c r="M6402" s="18"/>
    </row>
    <row r="6403" spans="13:13" x14ac:dyDescent="0.25">
      <c r="M6403" s="18"/>
    </row>
    <row r="6404" spans="13:13" x14ac:dyDescent="0.25">
      <c r="M6404" s="18"/>
    </row>
    <row r="6405" spans="13:13" x14ac:dyDescent="0.25">
      <c r="M6405" s="18"/>
    </row>
    <row r="6406" spans="13:13" x14ac:dyDescent="0.25">
      <c r="M6406" s="18"/>
    </row>
    <row r="6407" spans="13:13" x14ac:dyDescent="0.25">
      <c r="M6407" s="18"/>
    </row>
    <row r="6408" spans="13:13" x14ac:dyDescent="0.25">
      <c r="M6408" s="18"/>
    </row>
    <row r="6409" spans="13:13" x14ac:dyDescent="0.25">
      <c r="M6409" s="18"/>
    </row>
    <row r="6410" spans="13:13" x14ac:dyDescent="0.25">
      <c r="M6410" s="18"/>
    </row>
    <row r="6411" spans="13:13" x14ac:dyDescent="0.25">
      <c r="M6411" s="18"/>
    </row>
    <row r="6412" spans="13:13" x14ac:dyDescent="0.25">
      <c r="M6412" s="18"/>
    </row>
    <row r="6413" spans="13:13" x14ac:dyDescent="0.25">
      <c r="M6413" s="18"/>
    </row>
    <row r="6414" spans="13:13" x14ac:dyDescent="0.25">
      <c r="M6414" s="18"/>
    </row>
    <row r="6415" spans="13:13" x14ac:dyDescent="0.25">
      <c r="M6415" s="18"/>
    </row>
    <row r="6416" spans="13:13" x14ac:dyDescent="0.25">
      <c r="M6416" s="18"/>
    </row>
    <row r="6417" spans="13:13" x14ac:dyDescent="0.25">
      <c r="M6417" s="18"/>
    </row>
    <row r="6418" spans="13:13" x14ac:dyDescent="0.25">
      <c r="M6418" s="18"/>
    </row>
    <row r="6419" spans="13:13" x14ac:dyDescent="0.25">
      <c r="M6419" s="18"/>
    </row>
    <row r="6420" spans="13:13" x14ac:dyDescent="0.25">
      <c r="M6420" s="18"/>
    </row>
    <row r="6421" spans="13:13" x14ac:dyDescent="0.25">
      <c r="M6421" s="18"/>
    </row>
    <row r="6422" spans="13:13" x14ac:dyDescent="0.25">
      <c r="M6422" s="18"/>
    </row>
    <row r="6423" spans="13:13" x14ac:dyDescent="0.25">
      <c r="M6423" s="18"/>
    </row>
    <row r="6424" spans="13:13" x14ac:dyDescent="0.25">
      <c r="M6424" s="18"/>
    </row>
    <row r="6425" spans="13:13" x14ac:dyDescent="0.25">
      <c r="M6425" s="18"/>
    </row>
    <row r="6426" spans="13:13" x14ac:dyDescent="0.25">
      <c r="M6426" s="18"/>
    </row>
    <row r="6427" spans="13:13" x14ac:dyDescent="0.25">
      <c r="M6427" s="18"/>
    </row>
    <row r="6428" spans="13:13" x14ac:dyDescent="0.25">
      <c r="M6428" s="18"/>
    </row>
    <row r="6429" spans="13:13" x14ac:dyDescent="0.25">
      <c r="M6429" s="18"/>
    </row>
    <row r="6430" spans="13:13" x14ac:dyDescent="0.25">
      <c r="M6430" s="18"/>
    </row>
    <row r="6431" spans="13:13" x14ac:dyDescent="0.25">
      <c r="M6431" s="18"/>
    </row>
    <row r="6432" spans="13:13" x14ac:dyDescent="0.25">
      <c r="M6432" s="18"/>
    </row>
    <row r="6433" spans="13:13" x14ac:dyDescent="0.25">
      <c r="M6433" s="18"/>
    </row>
    <row r="6434" spans="13:13" x14ac:dyDescent="0.25">
      <c r="M6434" s="18"/>
    </row>
    <row r="6435" spans="13:13" x14ac:dyDescent="0.25">
      <c r="M6435" s="18"/>
    </row>
    <row r="6436" spans="13:13" x14ac:dyDescent="0.25">
      <c r="M6436" s="18"/>
    </row>
    <row r="6437" spans="13:13" x14ac:dyDescent="0.25">
      <c r="M6437" s="18"/>
    </row>
    <row r="6438" spans="13:13" x14ac:dyDescent="0.25">
      <c r="M6438" s="18"/>
    </row>
    <row r="6439" spans="13:13" x14ac:dyDescent="0.25">
      <c r="M6439" s="18"/>
    </row>
    <row r="6440" spans="13:13" x14ac:dyDescent="0.25">
      <c r="M6440" s="18"/>
    </row>
    <row r="6441" spans="13:13" x14ac:dyDescent="0.25">
      <c r="M6441" s="18"/>
    </row>
    <row r="6442" spans="13:13" x14ac:dyDescent="0.25">
      <c r="M6442" s="18"/>
    </row>
    <row r="6443" spans="13:13" x14ac:dyDescent="0.25">
      <c r="M6443" s="18"/>
    </row>
    <row r="6444" spans="13:13" x14ac:dyDescent="0.25">
      <c r="M6444" s="18"/>
    </row>
    <row r="6445" spans="13:13" x14ac:dyDescent="0.25">
      <c r="M6445" s="18"/>
    </row>
    <row r="6446" spans="13:13" x14ac:dyDescent="0.25">
      <c r="M6446" s="18"/>
    </row>
    <row r="6447" spans="13:13" x14ac:dyDescent="0.25">
      <c r="M6447" s="18"/>
    </row>
    <row r="6448" spans="13:13" x14ac:dyDescent="0.25">
      <c r="M6448" s="18"/>
    </row>
    <row r="6449" spans="13:13" x14ac:dyDescent="0.25">
      <c r="M6449" s="18"/>
    </row>
    <row r="6450" spans="13:13" x14ac:dyDescent="0.25">
      <c r="M6450" s="18"/>
    </row>
    <row r="6451" spans="13:13" x14ac:dyDescent="0.25">
      <c r="M6451" s="18"/>
    </row>
    <row r="6452" spans="13:13" x14ac:dyDescent="0.25">
      <c r="M6452" s="18"/>
    </row>
    <row r="6453" spans="13:13" x14ac:dyDescent="0.25">
      <c r="M6453" s="18"/>
    </row>
    <row r="6454" spans="13:13" x14ac:dyDescent="0.25">
      <c r="M6454" s="18"/>
    </row>
    <row r="6455" spans="13:13" x14ac:dyDescent="0.25">
      <c r="M6455" s="18"/>
    </row>
    <row r="6456" spans="13:13" x14ac:dyDescent="0.25">
      <c r="M6456" s="18"/>
    </row>
    <row r="6457" spans="13:13" x14ac:dyDescent="0.25">
      <c r="M6457" s="18"/>
    </row>
    <row r="6458" spans="13:13" x14ac:dyDescent="0.25">
      <c r="M6458" s="18"/>
    </row>
    <row r="6459" spans="13:13" x14ac:dyDescent="0.25">
      <c r="M6459" s="18"/>
    </row>
    <row r="6460" spans="13:13" x14ac:dyDescent="0.25">
      <c r="M6460" s="18"/>
    </row>
    <row r="6461" spans="13:13" x14ac:dyDescent="0.25">
      <c r="M6461" s="18"/>
    </row>
    <row r="6462" spans="13:13" x14ac:dyDescent="0.25">
      <c r="M6462" s="18"/>
    </row>
    <row r="6463" spans="13:13" x14ac:dyDescent="0.25">
      <c r="M6463" s="18"/>
    </row>
    <row r="6464" spans="13:13" x14ac:dyDescent="0.25">
      <c r="M6464" s="18"/>
    </row>
    <row r="6465" spans="13:13" x14ac:dyDescent="0.25">
      <c r="M6465" s="18"/>
    </row>
    <row r="6466" spans="13:13" x14ac:dyDescent="0.25">
      <c r="M6466" s="18"/>
    </row>
    <row r="6467" spans="13:13" x14ac:dyDescent="0.25">
      <c r="M6467" s="18"/>
    </row>
    <row r="6468" spans="13:13" x14ac:dyDescent="0.25">
      <c r="M6468" s="18"/>
    </row>
    <row r="6469" spans="13:13" x14ac:dyDescent="0.25">
      <c r="M6469" s="18"/>
    </row>
    <row r="6470" spans="13:13" x14ac:dyDescent="0.25">
      <c r="M6470" s="18"/>
    </row>
    <row r="6471" spans="13:13" x14ac:dyDescent="0.25">
      <c r="M6471" s="18"/>
    </row>
    <row r="6472" spans="13:13" x14ac:dyDescent="0.25">
      <c r="M6472" s="18"/>
    </row>
    <row r="6473" spans="13:13" x14ac:dyDescent="0.25">
      <c r="M6473" s="18"/>
    </row>
    <row r="6474" spans="13:13" x14ac:dyDescent="0.25">
      <c r="M6474" s="18"/>
    </row>
    <row r="6475" spans="13:13" x14ac:dyDescent="0.25">
      <c r="M6475" s="18"/>
    </row>
    <row r="6476" spans="13:13" x14ac:dyDescent="0.25">
      <c r="M6476" s="18"/>
    </row>
    <row r="6477" spans="13:13" x14ac:dyDescent="0.25">
      <c r="M6477" s="18"/>
    </row>
    <row r="6478" spans="13:13" x14ac:dyDescent="0.25">
      <c r="M6478" s="18"/>
    </row>
    <row r="6479" spans="13:13" x14ac:dyDescent="0.25">
      <c r="M6479" s="18"/>
    </row>
    <row r="6480" spans="13:13" x14ac:dyDescent="0.25">
      <c r="M6480" s="18"/>
    </row>
    <row r="6481" spans="13:13" x14ac:dyDescent="0.25">
      <c r="M6481" s="18"/>
    </row>
    <row r="6482" spans="13:13" x14ac:dyDescent="0.25">
      <c r="M6482" s="18"/>
    </row>
    <row r="6483" spans="13:13" x14ac:dyDescent="0.25">
      <c r="M6483" s="18"/>
    </row>
    <row r="6484" spans="13:13" x14ac:dyDescent="0.25">
      <c r="M6484" s="18"/>
    </row>
    <row r="6485" spans="13:13" x14ac:dyDescent="0.25">
      <c r="M6485" s="18"/>
    </row>
    <row r="6486" spans="13:13" x14ac:dyDescent="0.25">
      <c r="M6486" s="18"/>
    </row>
    <row r="6487" spans="13:13" x14ac:dyDescent="0.25">
      <c r="M6487" s="18"/>
    </row>
    <row r="6488" spans="13:13" x14ac:dyDescent="0.25">
      <c r="M6488" s="18"/>
    </row>
    <row r="6489" spans="13:13" x14ac:dyDescent="0.25">
      <c r="M6489" s="18"/>
    </row>
    <row r="6490" spans="13:13" x14ac:dyDescent="0.25">
      <c r="M6490" s="18"/>
    </row>
    <row r="6491" spans="13:13" x14ac:dyDescent="0.25">
      <c r="M6491" s="18"/>
    </row>
    <row r="6492" spans="13:13" x14ac:dyDescent="0.25">
      <c r="M6492" s="18"/>
    </row>
    <row r="6493" spans="13:13" x14ac:dyDescent="0.25">
      <c r="M6493" s="18"/>
    </row>
    <row r="6494" spans="13:13" x14ac:dyDescent="0.25">
      <c r="M6494" s="18"/>
    </row>
    <row r="6495" spans="13:13" x14ac:dyDescent="0.25">
      <c r="M6495" s="18"/>
    </row>
    <row r="6496" spans="13:13" x14ac:dyDescent="0.25">
      <c r="M6496" s="18"/>
    </row>
    <row r="6497" spans="13:13" x14ac:dyDescent="0.25">
      <c r="M6497" s="18"/>
    </row>
    <row r="6498" spans="13:13" x14ac:dyDescent="0.25">
      <c r="M6498" s="18"/>
    </row>
    <row r="6499" spans="13:13" x14ac:dyDescent="0.25">
      <c r="M6499" s="18"/>
    </row>
    <row r="6500" spans="13:13" x14ac:dyDescent="0.25">
      <c r="M6500" s="18"/>
    </row>
    <row r="6501" spans="13:13" x14ac:dyDescent="0.25">
      <c r="M6501" s="18"/>
    </row>
    <row r="6502" spans="13:13" x14ac:dyDescent="0.25">
      <c r="M6502" s="18"/>
    </row>
    <row r="6503" spans="13:13" x14ac:dyDescent="0.25">
      <c r="M6503" s="18"/>
    </row>
    <row r="6504" spans="13:13" x14ac:dyDescent="0.25">
      <c r="M6504" s="18"/>
    </row>
    <row r="6505" spans="13:13" x14ac:dyDescent="0.25">
      <c r="M6505" s="18"/>
    </row>
    <row r="6506" spans="13:13" x14ac:dyDescent="0.25">
      <c r="M6506" s="18"/>
    </row>
    <row r="6507" spans="13:13" x14ac:dyDescent="0.25">
      <c r="M6507" s="18"/>
    </row>
    <row r="6508" spans="13:13" x14ac:dyDescent="0.25">
      <c r="M6508" s="18"/>
    </row>
    <row r="6509" spans="13:13" x14ac:dyDescent="0.25">
      <c r="M6509" s="18"/>
    </row>
    <row r="6510" spans="13:13" x14ac:dyDescent="0.25">
      <c r="M6510" s="18"/>
    </row>
    <row r="6511" spans="13:13" x14ac:dyDescent="0.25">
      <c r="M6511" s="18"/>
    </row>
    <row r="6512" spans="13:13" x14ac:dyDescent="0.25">
      <c r="M6512" s="18"/>
    </row>
    <row r="6513" spans="13:13" x14ac:dyDescent="0.25">
      <c r="M6513" s="18"/>
    </row>
    <row r="6514" spans="13:13" x14ac:dyDescent="0.25">
      <c r="M6514" s="18"/>
    </row>
    <row r="6515" spans="13:13" x14ac:dyDescent="0.25">
      <c r="M6515" s="18"/>
    </row>
    <row r="6516" spans="13:13" x14ac:dyDescent="0.25">
      <c r="M6516" s="18"/>
    </row>
    <row r="6517" spans="13:13" x14ac:dyDescent="0.25">
      <c r="M6517" s="18"/>
    </row>
    <row r="6518" spans="13:13" x14ac:dyDescent="0.25">
      <c r="M6518" s="18"/>
    </row>
    <row r="6519" spans="13:13" x14ac:dyDescent="0.25">
      <c r="M6519" s="18"/>
    </row>
    <row r="6520" spans="13:13" x14ac:dyDescent="0.25">
      <c r="M6520" s="18"/>
    </row>
    <row r="6521" spans="13:13" x14ac:dyDescent="0.25">
      <c r="M6521" s="18"/>
    </row>
    <row r="6522" spans="13:13" x14ac:dyDescent="0.25">
      <c r="M6522" s="18"/>
    </row>
    <row r="6523" spans="13:13" x14ac:dyDescent="0.25">
      <c r="M6523" s="18"/>
    </row>
    <row r="6524" spans="13:13" x14ac:dyDescent="0.25">
      <c r="M6524" s="18"/>
    </row>
    <row r="6525" spans="13:13" x14ac:dyDescent="0.25">
      <c r="M6525" s="18"/>
    </row>
    <row r="6526" spans="13:13" x14ac:dyDescent="0.25">
      <c r="M6526" s="18"/>
    </row>
    <row r="6527" spans="13:13" x14ac:dyDescent="0.25">
      <c r="M6527" s="18"/>
    </row>
    <row r="6528" spans="13:13" x14ac:dyDescent="0.25">
      <c r="M6528" s="18"/>
    </row>
    <row r="6529" spans="13:13" x14ac:dyDescent="0.25">
      <c r="M6529" s="18"/>
    </row>
    <row r="6530" spans="13:13" x14ac:dyDescent="0.25">
      <c r="M6530" s="18"/>
    </row>
    <row r="6531" spans="13:13" x14ac:dyDescent="0.25">
      <c r="M6531" s="18"/>
    </row>
    <row r="6532" spans="13:13" x14ac:dyDescent="0.25">
      <c r="M6532" s="18"/>
    </row>
    <row r="6533" spans="13:13" x14ac:dyDescent="0.25">
      <c r="M6533" s="18"/>
    </row>
    <row r="6534" spans="13:13" x14ac:dyDescent="0.25">
      <c r="M6534" s="18"/>
    </row>
    <row r="6535" spans="13:13" x14ac:dyDescent="0.25">
      <c r="M6535" s="18"/>
    </row>
    <row r="6536" spans="13:13" x14ac:dyDescent="0.25">
      <c r="M6536" s="18"/>
    </row>
    <row r="6537" spans="13:13" x14ac:dyDescent="0.25">
      <c r="M6537" s="18"/>
    </row>
    <row r="6538" spans="13:13" x14ac:dyDescent="0.25">
      <c r="M6538" s="18"/>
    </row>
    <row r="6539" spans="13:13" x14ac:dyDescent="0.25">
      <c r="M6539" s="18"/>
    </row>
    <row r="6540" spans="13:13" x14ac:dyDescent="0.25">
      <c r="M6540" s="18"/>
    </row>
    <row r="6541" spans="13:13" x14ac:dyDescent="0.25">
      <c r="M6541" s="18"/>
    </row>
    <row r="6542" spans="13:13" x14ac:dyDescent="0.25">
      <c r="M6542" s="18"/>
    </row>
    <row r="6543" spans="13:13" x14ac:dyDescent="0.25">
      <c r="M6543" s="18"/>
    </row>
    <row r="6544" spans="13:13" x14ac:dyDescent="0.25">
      <c r="M6544" s="18"/>
    </row>
    <row r="6545" spans="13:13" x14ac:dyDescent="0.25">
      <c r="M6545" s="18"/>
    </row>
    <row r="6546" spans="13:13" x14ac:dyDescent="0.25">
      <c r="M6546" s="18"/>
    </row>
    <row r="6547" spans="13:13" x14ac:dyDescent="0.25">
      <c r="M6547" s="18"/>
    </row>
    <row r="6548" spans="13:13" x14ac:dyDescent="0.25">
      <c r="M6548" s="18"/>
    </row>
    <row r="6549" spans="13:13" x14ac:dyDescent="0.25">
      <c r="M6549" s="18"/>
    </row>
    <row r="6550" spans="13:13" x14ac:dyDescent="0.25">
      <c r="M6550" s="18"/>
    </row>
    <row r="6551" spans="13:13" x14ac:dyDescent="0.25">
      <c r="M6551" s="18"/>
    </row>
    <row r="6552" spans="13:13" x14ac:dyDescent="0.25">
      <c r="M6552" s="18"/>
    </row>
    <row r="6553" spans="13:13" x14ac:dyDescent="0.25">
      <c r="M6553" s="18"/>
    </row>
    <row r="6554" spans="13:13" x14ac:dyDescent="0.25">
      <c r="M6554" s="18"/>
    </row>
    <row r="6555" spans="13:13" x14ac:dyDescent="0.25">
      <c r="M6555" s="18"/>
    </row>
    <row r="6556" spans="13:13" x14ac:dyDescent="0.25">
      <c r="M6556" s="18"/>
    </row>
    <row r="6557" spans="13:13" x14ac:dyDescent="0.25">
      <c r="M6557" s="18"/>
    </row>
    <row r="6558" spans="13:13" x14ac:dyDescent="0.25">
      <c r="M6558" s="18"/>
    </row>
    <row r="6559" spans="13:13" x14ac:dyDescent="0.25">
      <c r="M6559" s="18"/>
    </row>
    <row r="6560" spans="13:13" x14ac:dyDescent="0.25">
      <c r="M6560" s="18"/>
    </row>
    <row r="6561" spans="13:13" x14ac:dyDescent="0.25">
      <c r="M6561" s="18"/>
    </row>
    <row r="6562" spans="13:13" x14ac:dyDescent="0.25">
      <c r="M6562" s="18"/>
    </row>
    <row r="6563" spans="13:13" x14ac:dyDescent="0.25">
      <c r="M6563" s="18"/>
    </row>
    <row r="6564" spans="13:13" x14ac:dyDescent="0.25">
      <c r="M6564" s="18"/>
    </row>
    <row r="6565" spans="13:13" x14ac:dyDescent="0.25">
      <c r="M6565" s="18"/>
    </row>
    <row r="6566" spans="13:13" x14ac:dyDescent="0.25">
      <c r="M6566" s="18"/>
    </row>
    <row r="6567" spans="13:13" x14ac:dyDescent="0.25">
      <c r="M6567" s="18"/>
    </row>
    <row r="6568" spans="13:13" x14ac:dyDescent="0.25">
      <c r="M6568" s="18"/>
    </row>
    <row r="6569" spans="13:13" x14ac:dyDescent="0.25">
      <c r="M6569" s="18"/>
    </row>
    <row r="6570" spans="13:13" x14ac:dyDescent="0.25">
      <c r="M6570" s="18"/>
    </row>
    <row r="6571" spans="13:13" x14ac:dyDescent="0.25">
      <c r="M6571" s="18"/>
    </row>
    <row r="6572" spans="13:13" x14ac:dyDescent="0.25">
      <c r="M6572" s="18"/>
    </row>
    <row r="6573" spans="13:13" x14ac:dyDescent="0.25">
      <c r="M6573" s="18"/>
    </row>
    <row r="6574" spans="13:13" x14ac:dyDescent="0.25">
      <c r="M6574" s="18"/>
    </row>
    <row r="6575" spans="13:13" x14ac:dyDescent="0.25">
      <c r="M6575" s="18"/>
    </row>
    <row r="6576" spans="13:13" x14ac:dyDescent="0.25">
      <c r="M6576" s="18"/>
    </row>
    <row r="6577" spans="13:13" x14ac:dyDescent="0.25">
      <c r="M6577" s="18"/>
    </row>
    <row r="6578" spans="13:13" x14ac:dyDescent="0.25">
      <c r="M6578" s="18"/>
    </row>
    <row r="6579" spans="13:13" x14ac:dyDescent="0.25">
      <c r="M6579" s="18"/>
    </row>
    <row r="6580" spans="13:13" x14ac:dyDescent="0.25">
      <c r="M6580" s="18"/>
    </row>
    <row r="6581" spans="13:13" x14ac:dyDescent="0.25">
      <c r="M6581" s="18"/>
    </row>
    <row r="6582" spans="13:13" x14ac:dyDescent="0.25">
      <c r="M6582" s="18"/>
    </row>
    <row r="6583" spans="13:13" x14ac:dyDescent="0.25">
      <c r="M6583" s="18"/>
    </row>
    <row r="6584" spans="13:13" x14ac:dyDescent="0.25">
      <c r="M6584" s="18"/>
    </row>
    <row r="6585" spans="13:13" x14ac:dyDescent="0.25">
      <c r="M6585" s="18"/>
    </row>
    <row r="6586" spans="13:13" x14ac:dyDescent="0.25">
      <c r="M6586" s="18"/>
    </row>
    <row r="6587" spans="13:13" x14ac:dyDescent="0.25">
      <c r="M6587" s="18"/>
    </row>
    <row r="6588" spans="13:13" x14ac:dyDescent="0.25">
      <c r="M6588" s="18"/>
    </row>
    <row r="6589" spans="13:13" x14ac:dyDescent="0.25">
      <c r="M6589" s="18"/>
    </row>
    <row r="6590" spans="13:13" x14ac:dyDescent="0.25">
      <c r="M6590" s="18"/>
    </row>
    <row r="6591" spans="13:13" x14ac:dyDescent="0.25">
      <c r="M6591" s="18"/>
    </row>
    <row r="6592" spans="13:13" x14ac:dyDescent="0.25">
      <c r="M6592" s="18"/>
    </row>
    <row r="6593" spans="13:13" x14ac:dyDescent="0.25">
      <c r="M6593" s="18"/>
    </row>
    <row r="6594" spans="13:13" x14ac:dyDescent="0.25">
      <c r="M6594" s="18"/>
    </row>
    <row r="6595" spans="13:13" x14ac:dyDescent="0.25">
      <c r="M6595" s="18"/>
    </row>
    <row r="6596" spans="13:13" x14ac:dyDescent="0.25">
      <c r="M6596" s="18"/>
    </row>
    <row r="6597" spans="13:13" x14ac:dyDescent="0.25">
      <c r="M6597" s="18"/>
    </row>
    <row r="6598" spans="13:13" x14ac:dyDescent="0.25">
      <c r="M6598" s="18"/>
    </row>
    <row r="6599" spans="13:13" x14ac:dyDescent="0.25">
      <c r="M6599" s="18"/>
    </row>
    <row r="6600" spans="13:13" x14ac:dyDescent="0.25">
      <c r="M6600" s="18"/>
    </row>
    <row r="6601" spans="13:13" x14ac:dyDescent="0.25">
      <c r="M6601" s="18"/>
    </row>
    <row r="6602" spans="13:13" x14ac:dyDescent="0.25">
      <c r="M6602" s="18"/>
    </row>
    <row r="6603" spans="13:13" x14ac:dyDescent="0.25">
      <c r="M6603" s="18"/>
    </row>
    <row r="6604" spans="13:13" x14ac:dyDescent="0.25">
      <c r="M6604" s="18"/>
    </row>
    <row r="6605" spans="13:13" x14ac:dyDescent="0.25">
      <c r="M6605" s="18"/>
    </row>
    <row r="6606" spans="13:13" x14ac:dyDescent="0.25">
      <c r="M6606" s="18"/>
    </row>
    <row r="6607" spans="13:13" x14ac:dyDescent="0.25">
      <c r="M6607" s="18"/>
    </row>
    <row r="6608" spans="13:13" x14ac:dyDescent="0.25">
      <c r="M6608" s="18"/>
    </row>
    <row r="6609" spans="13:13" x14ac:dyDescent="0.25">
      <c r="M6609" s="18"/>
    </row>
    <row r="6610" spans="13:13" x14ac:dyDescent="0.25">
      <c r="M6610" s="18"/>
    </row>
    <row r="6611" spans="13:13" x14ac:dyDescent="0.25">
      <c r="M6611" s="18"/>
    </row>
    <row r="6612" spans="13:13" x14ac:dyDescent="0.25">
      <c r="M6612" s="18"/>
    </row>
    <row r="6613" spans="13:13" x14ac:dyDescent="0.25">
      <c r="M6613" s="18"/>
    </row>
    <row r="6614" spans="13:13" x14ac:dyDescent="0.25">
      <c r="M6614" s="18"/>
    </row>
    <row r="6615" spans="13:13" x14ac:dyDescent="0.25">
      <c r="M6615" s="18"/>
    </row>
    <row r="6616" spans="13:13" x14ac:dyDescent="0.25">
      <c r="M6616" s="18"/>
    </row>
    <row r="6617" spans="13:13" x14ac:dyDescent="0.25">
      <c r="M6617" s="18"/>
    </row>
    <row r="6618" spans="13:13" x14ac:dyDescent="0.25">
      <c r="M6618" s="18"/>
    </row>
    <row r="6619" spans="13:13" x14ac:dyDescent="0.25">
      <c r="M6619" s="18"/>
    </row>
    <row r="6620" spans="13:13" x14ac:dyDescent="0.25">
      <c r="M6620" s="18"/>
    </row>
    <row r="6621" spans="13:13" x14ac:dyDescent="0.25">
      <c r="M6621" s="18"/>
    </row>
    <row r="6622" spans="13:13" x14ac:dyDescent="0.25">
      <c r="M6622" s="18"/>
    </row>
    <row r="6623" spans="13:13" x14ac:dyDescent="0.25">
      <c r="M6623" s="18"/>
    </row>
    <row r="6624" spans="13:13" x14ac:dyDescent="0.25">
      <c r="M6624" s="18"/>
    </row>
    <row r="6625" spans="13:13" x14ac:dyDescent="0.25">
      <c r="M6625" s="18"/>
    </row>
    <row r="6626" spans="13:13" x14ac:dyDescent="0.25">
      <c r="M6626" s="18"/>
    </row>
    <row r="6627" spans="13:13" x14ac:dyDescent="0.25">
      <c r="M6627" s="18"/>
    </row>
    <row r="6628" spans="13:13" x14ac:dyDescent="0.25">
      <c r="M6628" s="18"/>
    </row>
    <row r="6629" spans="13:13" x14ac:dyDescent="0.25">
      <c r="M6629" s="18"/>
    </row>
    <row r="6630" spans="13:13" x14ac:dyDescent="0.25">
      <c r="M6630" s="18"/>
    </row>
    <row r="6631" spans="13:13" x14ac:dyDescent="0.25">
      <c r="M6631" s="18"/>
    </row>
    <row r="6632" spans="13:13" x14ac:dyDescent="0.25">
      <c r="M6632" s="18"/>
    </row>
    <row r="6633" spans="13:13" x14ac:dyDescent="0.25">
      <c r="M6633" s="18"/>
    </row>
    <row r="6634" spans="13:13" x14ac:dyDescent="0.25">
      <c r="M6634" s="18"/>
    </row>
    <row r="6635" spans="13:13" x14ac:dyDescent="0.25">
      <c r="M6635" s="18"/>
    </row>
    <row r="6636" spans="13:13" x14ac:dyDescent="0.25">
      <c r="M6636" s="18"/>
    </row>
    <row r="6637" spans="13:13" x14ac:dyDescent="0.25">
      <c r="M6637" s="18"/>
    </row>
    <row r="6638" spans="13:13" x14ac:dyDescent="0.25">
      <c r="M6638" s="18"/>
    </row>
    <row r="6639" spans="13:13" x14ac:dyDescent="0.25">
      <c r="M6639" s="18"/>
    </row>
    <row r="6640" spans="13:13" x14ac:dyDescent="0.25">
      <c r="M6640" s="18"/>
    </row>
    <row r="6641" spans="13:13" x14ac:dyDescent="0.25">
      <c r="M6641" s="18"/>
    </row>
    <row r="6642" spans="13:13" x14ac:dyDescent="0.25">
      <c r="M6642" s="18"/>
    </row>
    <row r="6643" spans="13:13" x14ac:dyDescent="0.25">
      <c r="M6643" s="18"/>
    </row>
    <row r="6644" spans="13:13" x14ac:dyDescent="0.25">
      <c r="M6644" s="18"/>
    </row>
    <row r="6645" spans="13:13" x14ac:dyDescent="0.25">
      <c r="M6645" s="18"/>
    </row>
    <row r="6646" spans="13:13" x14ac:dyDescent="0.25">
      <c r="M6646" s="18"/>
    </row>
    <row r="6647" spans="13:13" x14ac:dyDescent="0.25">
      <c r="M6647" s="18"/>
    </row>
    <row r="6648" spans="13:13" x14ac:dyDescent="0.25">
      <c r="M6648" s="18"/>
    </row>
    <row r="6649" spans="13:13" x14ac:dyDescent="0.25">
      <c r="M6649" s="18"/>
    </row>
    <row r="6650" spans="13:13" x14ac:dyDescent="0.25">
      <c r="M6650" s="18"/>
    </row>
    <row r="6651" spans="13:13" x14ac:dyDescent="0.25">
      <c r="M6651" s="18"/>
    </row>
    <row r="6652" spans="13:13" x14ac:dyDescent="0.25">
      <c r="M6652" s="18"/>
    </row>
    <row r="6653" spans="13:13" x14ac:dyDescent="0.25">
      <c r="M6653" s="18"/>
    </row>
    <row r="6654" spans="13:13" x14ac:dyDescent="0.25">
      <c r="M6654" s="18"/>
    </row>
    <row r="6655" spans="13:13" x14ac:dyDescent="0.25">
      <c r="M6655" s="18"/>
    </row>
    <row r="6656" spans="13:13" x14ac:dyDescent="0.25">
      <c r="M6656" s="18"/>
    </row>
    <row r="6657" spans="13:13" x14ac:dyDescent="0.25">
      <c r="M6657" s="18"/>
    </row>
    <row r="6658" spans="13:13" x14ac:dyDescent="0.25">
      <c r="M6658" s="18"/>
    </row>
    <row r="6659" spans="13:13" x14ac:dyDescent="0.25">
      <c r="M6659" s="18"/>
    </row>
    <row r="6660" spans="13:13" x14ac:dyDescent="0.25">
      <c r="M6660" s="18"/>
    </row>
    <row r="6661" spans="13:13" x14ac:dyDescent="0.25">
      <c r="M6661" s="18"/>
    </row>
    <row r="6662" spans="13:13" x14ac:dyDescent="0.25">
      <c r="M6662" s="18"/>
    </row>
    <row r="6663" spans="13:13" x14ac:dyDescent="0.25">
      <c r="M6663" s="18"/>
    </row>
    <row r="6664" spans="13:13" x14ac:dyDescent="0.25">
      <c r="M6664" s="18"/>
    </row>
    <row r="6665" spans="13:13" x14ac:dyDescent="0.25">
      <c r="M6665" s="18"/>
    </row>
    <row r="6666" spans="13:13" x14ac:dyDescent="0.25">
      <c r="M6666" s="18"/>
    </row>
    <row r="6667" spans="13:13" x14ac:dyDescent="0.25">
      <c r="M6667" s="18"/>
    </row>
    <row r="6668" spans="13:13" x14ac:dyDescent="0.25">
      <c r="M6668" s="18"/>
    </row>
    <row r="6669" spans="13:13" x14ac:dyDescent="0.25">
      <c r="M6669" s="18"/>
    </row>
    <row r="6670" spans="13:13" x14ac:dyDescent="0.25">
      <c r="M6670" s="18"/>
    </row>
    <row r="6671" spans="13:13" x14ac:dyDescent="0.25">
      <c r="M6671" s="18"/>
    </row>
    <row r="6672" spans="13:13" x14ac:dyDescent="0.25">
      <c r="M6672" s="18"/>
    </row>
    <row r="6673" spans="13:13" x14ac:dyDescent="0.25">
      <c r="M6673" s="18"/>
    </row>
    <row r="6674" spans="13:13" x14ac:dyDescent="0.25">
      <c r="M6674" s="18"/>
    </row>
    <row r="6675" spans="13:13" x14ac:dyDescent="0.25">
      <c r="M6675" s="18"/>
    </row>
    <row r="6676" spans="13:13" x14ac:dyDescent="0.25">
      <c r="M6676" s="18"/>
    </row>
    <row r="6677" spans="13:13" x14ac:dyDescent="0.25">
      <c r="M6677" s="18"/>
    </row>
    <row r="6678" spans="13:13" x14ac:dyDescent="0.25">
      <c r="M6678" s="18"/>
    </row>
    <row r="6679" spans="13:13" x14ac:dyDescent="0.25">
      <c r="M6679" s="18"/>
    </row>
    <row r="6680" spans="13:13" x14ac:dyDescent="0.25">
      <c r="M6680" s="18"/>
    </row>
    <row r="6681" spans="13:13" x14ac:dyDescent="0.25">
      <c r="M6681" s="18"/>
    </row>
    <row r="6682" spans="13:13" x14ac:dyDescent="0.25">
      <c r="M6682" s="18"/>
    </row>
    <row r="6683" spans="13:13" x14ac:dyDescent="0.25">
      <c r="M6683" s="18"/>
    </row>
    <row r="6684" spans="13:13" x14ac:dyDescent="0.25">
      <c r="M6684" s="18"/>
    </row>
    <row r="6685" spans="13:13" x14ac:dyDescent="0.25">
      <c r="M6685" s="18"/>
    </row>
    <row r="6686" spans="13:13" x14ac:dyDescent="0.25">
      <c r="M6686" s="18"/>
    </row>
    <row r="6687" spans="13:13" x14ac:dyDescent="0.25">
      <c r="M6687" s="18"/>
    </row>
    <row r="6688" spans="13:13" x14ac:dyDescent="0.25">
      <c r="M6688" s="18"/>
    </row>
    <row r="6689" spans="13:13" x14ac:dyDescent="0.25">
      <c r="M6689" s="18"/>
    </row>
    <row r="6690" spans="13:13" x14ac:dyDescent="0.25">
      <c r="M6690" s="18"/>
    </row>
    <row r="6691" spans="13:13" x14ac:dyDescent="0.25">
      <c r="M6691" s="18"/>
    </row>
    <row r="6692" spans="13:13" x14ac:dyDescent="0.25">
      <c r="M6692" s="18"/>
    </row>
    <row r="6693" spans="13:13" x14ac:dyDescent="0.25">
      <c r="M6693" s="18"/>
    </row>
    <row r="6694" spans="13:13" x14ac:dyDescent="0.25">
      <c r="M6694" s="18"/>
    </row>
    <row r="6695" spans="13:13" x14ac:dyDescent="0.25">
      <c r="M6695" s="18"/>
    </row>
    <row r="6696" spans="13:13" x14ac:dyDescent="0.25">
      <c r="M6696" s="18"/>
    </row>
    <row r="6697" spans="13:13" x14ac:dyDescent="0.25">
      <c r="M6697" s="18"/>
    </row>
    <row r="6698" spans="13:13" x14ac:dyDescent="0.25">
      <c r="M6698" s="18"/>
    </row>
    <row r="6699" spans="13:13" x14ac:dyDescent="0.25">
      <c r="M6699" s="18"/>
    </row>
    <row r="6700" spans="13:13" x14ac:dyDescent="0.25">
      <c r="M6700" s="18"/>
    </row>
    <row r="6701" spans="13:13" x14ac:dyDescent="0.25">
      <c r="M6701" s="18"/>
    </row>
    <row r="6702" spans="13:13" x14ac:dyDescent="0.25">
      <c r="M6702" s="18"/>
    </row>
    <row r="6703" spans="13:13" x14ac:dyDescent="0.25">
      <c r="M6703" s="18"/>
    </row>
    <row r="6704" spans="13:13" x14ac:dyDescent="0.25">
      <c r="M6704" s="18"/>
    </row>
    <row r="6705" spans="13:13" x14ac:dyDescent="0.25">
      <c r="M6705" s="18"/>
    </row>
    <row r="6706" spans="13:13" x14ac:dyDescent="0.25">
      <c r="M6706" s="18"/>
    </row>
    <row r="6707" spans="13:13" x14ac:dyDescent="0.25">
      <c r="M6707" s="18"/>
    </row>
    <row r="6708" spans="13:13" x14ac:dyDescent="0.25">
      <c r="M6708" s="18"/>
    </row>
    <row r="6709" spans="13:13" x14ac:dyDescent="0.25">
      <c r="M6709" s="18"/>
    </row>
    <row r="6710" spans="13:13" x14ac:dyDescent="0.25">
      <c r="M6710" s="18"/>
    </row>
    <row r="6711" spans="13:13" x14ac:dyDescent="0.25">
      <c r="M6711" s="18"/>
    </row>
    <row r="6712" spans="13:13" x14ac:dyDescent="0.25">
      <c r="M6712" s="18"/>
    </row>
    <row r="6713" spans="13:13" x14ac:dyDescent="0.25">
      <c r="M6713" s="18"/>
    </row>
    <row r="6714" spans="13:13" x14ac:dyDescent="0.25">
      <c r="M6714" s="18"/>
    </row>
    <row r="6715" spans="13:13" x14ac:dyDescent="0.25">
      <c r="M6715" s="18"/>
    </row>
    <row r="6716" spans="13:13" x14ac:dyDescent="0.25">
      <c r="M6716" s="18"/>
    </row>
    <row r="6717" spans="13:13" x14ac:dyDescent="0.25">
      <c r="M6717" s="18"/>
    </row>
    <row r="6718" spans="13:13" x14ac:dyDescent="0.25">
      <c r="M6718" s="18"/>
    </row>
    <row r="6719" spans="13:13" x14ac:dyDescent="0.25">
      <c r="M6719" s="18"/>
    </row>
    <row r="6720" spans="13:13" x14ac:dyDescent="0.25">
      <c r="M6720" s="18"/>
    </row>
    <row r="6721" spans="13:13" x14ac:dyDescent="0.25">
      <c r="M6721" s="18"/>
    </row>
    <row r="6722" spans="13:13" x14ac:dyDescent="0.25">
      <c r="M6722" s="18"/>
    </row>
    <row r="6723" spans="13:13" x14ac:dyDescent="0.25">
      <c r="M6723" s="18"/>
    </row>
    <row r="6724" spans="13:13" x14ac:dyDescent="0.25">
      <c r="M6724" s="18"/>
    </row>
    <row r="6725" spans="13:13" x14ac:dyDescent="0.25">
      <c r="M6725" s="18"/>
    </row>
    <row r="6726" spans="13:13" x14ac:dyDescent="0.25">
      <c r="M6726" s="18"/>
    </row>
    <row r="6727" spans="13:13" x14ac:dyDescent="0.25">
      <c r="M6727" s="18"/>
    </row>
    <row r="6728" spans="13:13" x14ac:dyDescent="0.25">
      <c r="M6728" s="18"/>
    </row>
    <row r="6729" spans="13:13" x14ac:dyDescent="0.25">
      <c r="M6729" s="18"/>
    </row>
    <row r="6730" spans="13:13" x14ac:dyDescent="0.25">
      <c r="M6730" s="18"/>
    </row>
    <row r="6731" spans="13:13" x14ac:dyDescent="0.25">
      <c r="M6731" s="18"/>
    </row>
    <row r="6732" spans="13:13" x14ac:dyDescent="0.25">
      <c r="M6732" s="18"/>
    </row>
    <row r="6733" spans="13:13" x14ac:dyDescent="0.25">
      <c r="M6733" s="18"/>
    </row>
    <row r="6734" spans="13:13" x14ac:dyDescent="0.25">
      <c r="M6734" s="18"/>
    </row>
    <row r="6735" spans="13:13" x14ac:dyDescent="0.25">
      <c r="M6735" s="18"/>
    </row>
    <row r="6736" spans="13:13" x14ac:dyDescent="0.25">
      <c r="M6736" s="18"/>
    </row>
    <row r="6737" spans="13:13" x14ac:dyDescent="0.25">
      <c r="M6737" s="18"/>
    </row>
    <row r="6738" spans="13:13" x14ac:dyDescent="0.25">
      <c r="M6738" s="18"/>
    </row>
    <row r="6739" spans="13:13" x14ac:dyDescent="0.25">
      <c r="M6739" s="18"/>
    </row>
    <row r="6740" spans="13:13" x14ac:dyDescent="0.25">
      <c r="M6740" s="18"/>
    </row>
    <row r="6741" spans="13:13" x14ac:dyDescent="0.25">
      <c r="M6741" s="18"/>
    </row>
    <row r="6742" spans="13:13" x14ac:dyDescent="0.25">
      <c r="M6742" s="18"/>
    </row>
    <row r="6743" spans="13:13" x14ac:dyDescent="0.25">
      <c r="M6743" s="18"/>
    </row>
    <row r="6744" spans="13:13" x14ac:dyDescent="0.25">
      <c r="M6744" s="18"/>
    </row>
    <row r="6745" spans="13:13" x14ac:dyDescent="0.25">
      <c r="M6745" s="18"/>
    </row>
    <row r="6746" spans="13:13" x14ac:dyDescent="0.25">
      <c r="M6746" s="18"/>
    </row>
    <row r="6747" spans="13:13" x14ac:dyDescent="0.25">
      <c r="M6747" s="18"/>
    </row>
    <row r="6748" spans="13:13" x14ac:dyDescent="0.25">
      <c r="M6748" s="18"/>
    </row>
    <row r="6749" spans="13:13" x14ac:dyDescent="0.25">
      <c r="M6749" s="18"/>
    </row>
    <row r="6750" spans="13:13" x14ac:dyDescent="0.25">
      <c r="M6750" s="18"/>
    </row>
    <row r="6751" spans="13:13" x14ac:dyDescent="0.25">
      <c r="M6751" s="18"/>
    </row>
    <row r="6752" spans="13:13" x14ac:dyDescent="0.25">
      <c r="M6752" s="18"/>
    </row>
    <row r="6753" spans="13:13" x14ac:dyDescent="0.25">
      <c r="M6753" s="18"/>
    </row>
    <row r="6754" spans="13:13" x14ac:dyDescent="0.25">
      <c r="M6754" s="18"/>
    </row>
    <row r="6755" spans="13:13" x14ac:dyDescent="0.25">
      <c r="M6755" s="18"/>
    </row>
    <row r="6756" spans="13:13" x14ac:dyDescent="0.25">
      <c r="M6756" s="18"/>
    </row>
    <row r="6757" spans="13:13" x14ac:dyDescent="0.25">
      <c r="M6757" s="18"/>
    </row>
    <row r="6758" spans="13:13" x14ac:dyDescent="0.25">
      <c r="M6758" s="18"/>
    </row>
    <row r="6759" spans="13:13" x14ac:dyDescent="0.25">
      <c r="M6759" s="18"/>
    </row>
    <row r="6760" spans="13:13" x14ac:dyDescent="0.25">
      <c r="M6760" s="18"/>
    </row>
    <row r="6761" spans="13:13" x14ac:dyDescent="0.25">
      <c r="M6761" s="18"/>
    </row>
    <row r="6762" spans="13:13" x14ac:dyDescent="0.25">
      <c r="M6762" s="18"/>
    </row>
    <row r="6763" spans="13:13" x14ac:dyDescent="0.25">
      <c r="M6763" s="18"/>
    </row>
    <row r="6764" spans="13:13" x14ac:dyDescent="0.25">
      <c r="M6764" s="18"/>
    </row>
    <row r="6765" spans="13:13" x14ac:dyDescent="0.25">
      <c r="M6765" s="18"/>
    </row>
    <row r="6766" spans="13:13" x14ac:dyDescent="0.25">
      <c r="M6766" s="18"/>
    </row>
    <row r="6767" spans="13:13" x14ac:dyDescent="0.25">
      <c r="M6767" s="18"/>
    </row>
    <row r="6768" spans="13:13" x14ac:dyDescent="0.25">
      <c r="M6768" s="18"/>
    </row>
    <row r="6769" spans="13:13" x14ac:dyDescent="0.25">
      <c r="M6769" s="18"/>
    </row>
    <row r="6770" spans="13:13" x14ac:dyDescent="0.25">
      <c r="M6770" s="18"/>
    </row>
    <row r="6771" spans="13:13" x14ac:dyDescent="0.25">
      <c r="M6771" s="18"/>
    </row>
    <row r="6772" spans="13:13" x14ac:dyDescent="0.25">
      <c r="M6772" s="18"/>
    </row>
    <row r="6773" spans="13:13" x14ac:dyDescent="0.25">
      <c r="M6773" s="18"/>
    </row>
    <row r="6774" spans="13:13" x14ac:dyDescent="0.25">
      <c r="M6774" s="18"/>
    </row>
    <row r="6775" spans="13:13" x14ac:dyDescent="0.25">
      <c r="M6775" s="18"/>
    </row>
    <row r="6776" spans="13:13" x14ac:dyDescent="0.25">
      <c r="M6776" s="18"/>
    </row>
    <row r="6777" spans="13:13" x14ac:dyDescent="0.25">
      <c r="M6777" s="18"/>
    </row>
    <row r="6778" spans="13:13" x14ac:dyDescent="0.25">
      <c r="M6778" s="18"/>
    </row>
    <row r="6779" spans="13:13" x14ac:dyDescent="0.25">
      <c r="M6779" s="18"/>
    </row>
    <row r="6780" spans="13:13" x14ac:dyDescent="0.25">
      <c r="M6780" s="18"/>
    </row>
    <row r="6781" spans="13:13" x14ac:dyDescent="0.25">
      <c r="M6781" s="18"/>
    </row>
    <row r="6782" spans="13:13" x14ac:dyDescent="0.25">
      <c r="M6782" s="18"/>
    </row>
    <row r="6783" spans="13:13" x14ac:dyDescent="0.25">
      <c r="M6783" s="18"/>
    </row>
    <row r="6784" spans="13:13" x14ac:dyDescent="0.25">
      <c r="M6784" s="18"/>
    </row>
    <row r="6785" spans="13:13" x14ac:dyDescent="0.25">
      <c r="M6785" s="18"/>
    </row>
    <row r="6786" spans="13:13" x14ac:dyDescent="0.25">
      <c r="M6786" s="18"/>
    </row>
    <row r="6787" spans="13:13" x14ac:dyDescent="0.25">
      <c r="M6787" s="18"/>
    </row>
    <row r="6788" spans="13:13" x14ac:dyDescent="0.25">
      <c r="M6788" s="18"/>
    </row>
    <row r="6789" spans="13:13" x14ac:dyDescent="0.25">
      <c r="M6789" s="18"/>
    </row>
    <row r="6790" spans="13:13" x14ac:dyDescent="0.25">
      <c r="M6790" s="18"/>
    </row>
    <row r="6791" spans="13:13" x14ac:dyDescent="0.25">
      <c r="M6791" s="18"/>
    </row>
    <row r="6792" spans="13:13" x14ac:dyDescent="0.25">
      <c r="M6792" s="18"/>
    </row>
    <row r="6793" spans="13:13" x14ac:dyDescent="0.25">
      <c r="M6793" s="18"/>
    </row>
    <row r="6794" spans="13:13" x14ac:dyDescent="0.25">
      <c r="M6794" s="18"/>
    </row>
    <row r="6795" spans="13:13" x14ac:dyDescent="0.25">
      <c r="M6795" s="18"/>
    </row>
    <row r="6796" spans="13:13" x14ac:dyDescent="0.25">
      <c r="M6796" s="18"/>
    </row>
    <row r="6797" spans="13:13" x14ac:dyDescent="0.25">
      <c r="M6797" s="18"/>
    </row>
    <row r="6798" spans="13:13" x14ac:dyDescent="0.25">
      <c r="M6798" s="18"/>
    </row>
    <row r="6799" spans="13:13" x14ac:dyDescent="0.25">
      <c r="M6799" s="18"/>
    </row>
    <row r="6800" spans="13:13" x14ac:dyDescent="0.25">
      <c r="M6800" s="18"/>
    </row>
    <row r="6801" spans="13:13" x14ac:dyDescent="0.25">
      <c r="M6801" s="18"/>
    </row>
    <row r="6802" spans="13:13" x14ac:dyDescent="0.25">
      <c r="M6802" s="18"/>
    </row>
    <row r="6803" spans="13:13" x14ac:dyDescent="0.25">
      <c r="M6803" s="18"/>
    </row>
    <row r="6804" spans="13:13" x14ac:dyDescent="0.25">
      <c r="M6804" s="18"/>
    </row>
    <row r="6805" spans="13:13" x14ac:dyDescent="0.25">
      <c r="M6805" s="18"/>
    </row>
    <row r="6806" spans="13:13" x14ac:dyDescent="0.25">
      <c r="M6806" s="18"/>
    </row>
    <row r="6807" spans="13:13" x14ac:dyDescent="0.25">
      <c r="M6807" s="18"/>
    </row>
    <row r="6808" spans="13:13" x14ac:dyDescent="0.25">
      <c r="M6808" s="18"/>
    </row>
    <row r="6809" spans="13:13" x14ac:dyDescent="0.25">
      <c r="M6809" s="18"/>
    </row>
    <row r="6810" spans="13:13" x14ac:dyDescent="0.25">
      <c r="M6810" s="18"/>
    </row>
    <row r="6811" spans="13:13" x14ac:dyDescent="0.25">
      <c r="M6811" s="18"/>
    </row>
    <row r="6812" spans="13:13" x14ac:dyDescent="0.25">
      <c r="M6812" s="18"/>
    </row>
    <row r="6813" spans="13:13" x14ac:dyDescent="0.25">
      <c r="M6813" s="18"/>
    </row>
    <row r="6814" spans="13:13" x14ac:dyDescent="0.25">
      <c r="M6814" s="18"/>
    </row>
    <row r="6815" spans="13:13" x14ac:dyDescent="0.25">
      <c r="M6815" s="18"/>
    </row>
    <row r="6816" spans="13:13" x14ac:dyDescent="0.25">
      <c r="M6816" s="18"/>
    </row>
    <row r="6817" spans="13:13" x14ac:dyDescent="0.25">
      <c r="M6817" s="18"/>
    </row>
    <row r="6818" spans="13:13" x14ac:dyDescent="0.25">
      <c r="M6818" s="18"/>
    </row>
    <row r="6819" spans="13:13" x14ac:dyDescent="0.25">
      <c r="M6819" s="18"/>
    </row>
    <row r="6820" spans="13:13" x14ac:dyDescent="0.25">
      <c r="M6820" s="18"/>
    </row>
    <row r="6821" spans="13:13" x14ac:dyDescent="0.25">
      <c r="M6821" s="18"/>
    </row>
    <row r="6822" spans="13:13" x14ac:dyDescent="0.25">
      <c r="M6822" s="18"/>
    </row>
    <row r="6823" spans="13:13" x14ac:dyDescent="0.25">
      <c r="M6823" s="18"/>
    </row>
    <row r="6824" spans="13:13" x14ac:dyDescent="0.25">
      <c r="M6824" s="18"/>
    </row>
    <row r="6825" spans="13:13" x14ac:dyDescent="0.25">
      <c r="M6825" s="18"/>
    </row>
    <row r="6826" spans="13:13" x14ac:dyDescent="0.25">
      <c r="M6826" s="18"/>
    </row>
    <row r="6827" spans="13:13" x14ac:dyDescent="0.25">
      <c r="M6827" s="18"/>
    </row>
    <row r="6828" spans="13:13" x14ac:dyDescent="0.25">
      <c r="M6828" s="18"/>
    </row>
    <row r="6829" spans="13:13" x14ac:dyDescent="0.25">
      <c r="M6829" s="18"/>
    </row>
    <row r="6830" spans="13:13" x14ac:dyDescent="0.25">
      <c r="M6830" s="18"/>
    </row>
    <row r="6831" spans="13:13" x14ac:dyDescent="0.25">
      <c r="M6831" s="18"/>
    </row>
    <row r="6832" spans="13:13" x14ac:dyDescent="0.25">
      <c r="M6832" s="18"/>
    </row>
    <row r="6833" spans="13:13" x14ac:dyDescent="0.25">
      <c r="M6833" s="18"/>
    </row>
    <row r="6834" spans="13:13" x14ac:dyDescent="0.25">
      <c r="M6834" s="18"/>
    </row>
    <row r="6835" spans="13:13" x14ac:dyDescent="0.25">
      <c r="M6835" s="18"/>
    </row>
    <row r="6836" spans="13:13" x14ac:dyDescent="0.25">
      <c r="M6836" s="18"/>
    </row>
    <row r="6837" spans="13:13" x14ac:dyDescent="0.25">
      <c r="M6837" s="18"/>
    </row>
    <row r="6838" spans="13:13" x14ac:dyDescent="0.25">
      <c r="M6838" s="18"/>
    </row>
    <row r="6839" spans="13:13" x14ac:dyDescent="0.25">
      <c r="M6839" s="18"/>
    </row>
    <row r="6840" spans="13:13" x14ac:dyDescent="0.25">
      <c r="M6840" s="18"/>
    </row>
    <row r="6841" spans="13:13" x14ac:dyDescent="0.25">
      <c r="M6841" s="18"/>
    </row>
    <row r="6842" spans="13:13" x14ac:dyDescent="0.25">
      <c r="M6842" s="18"/>
    </row>
    <row r="6843" spans="13:13" x14ac:dyDescent="0.25">
      <c r="M6843" s="18"/>
    </row>
    <row r="6844" spans="13:13" x14ac:dyDescent="0.25">
      <c r="M6844" s="18"/>
    </row>
    <row r="6845" spans="13:13" x14ac:dyDescent="0.25">
      <c r="M6845" s="18"/>
    </row>
    <row r="6846" spans="13:13" x14ac:dyDescent="0.25">
      <c r="M6846" s="18"/>
    </row>
    <row r="6847" spans="13:13" x14ac:dyDescent="0.25">
      <c r="M6847" s="18"/>
    </row>
    <row r="6848" spans="13:13" x14ac:dyDescent="0.25">
      <c r="M6848" s="18"/>
    </row>
    <row r="6849" spans="13:13" x14ac:dyDescent="0.25">
      <c r="M6849" s="18"/>
    </row>
    <row r="6850" spans="13:13" x14ac:dyDescent="0.25">
      <c r="M6850" s="18"/>
    </row>
    <row r="6851" spans="13:13" x14ac:dyDescent="0.25">
      <c r="M6851" s="18"/>
    </row>
    <row r="6852" spans="13:13" x14ac:dyDescent="0.25">
      <c r="M6852" s="18"/>
    </row>
    <row r="6853" spans="13:13" x14ac:dyDescent="0.25">
      <c r="M6853" s="18"/>
    </row>
    <row r="6854" spans="13:13" x14ac:dyDescent="0.25">
      <c r="M6854" s="18"/>
    </row>
    <row r="6855" spans="13:13" x14ac:dyDescent="0.25">
      <c r="M6855" s="18"/>
    </row>
    <row r="6856" spans="13:13" x14ac:dyDescent="0.25">
      <c r="M6856" s="18"/>
    </row>
    <row r="6857" spans="13:13" x14ac:dyDescent="0.25">
      <c r="M6857" s="18"/>
    </row>
    <row r="6858" spans="13:13" x14ac:dyDescent="0.25">
      <c r="M6858" s="18"/>
    </row>
    <row r="6859" spans="13:13" x14ac:dyDescent="0.25">
      <c r="M6859" s="18"/>
    </row>
    <row r="6860" spans="13:13" x14ac:dyDescent="0.25">
      <c r="M6860" s="18"/>
    </row>
    <row r="6861" spans="13:13" x14ac:dyDescent="0.25">
      <c r="M6861" s="18"/>
    </row>
    <row r="6862" spans="13:13" x14ac:dyDescent="0.25">
      <c r="M6862" s="18"/>
    </row>
    <row r="6863" spans="13:13" x14ac:dyDescent="0.25">
      <c r="M6863" s="18"/>
    </row>
    <row r="6864" spans="13:13" x14ac:dyDescent="0.25">
      <c r="M6864" s="18"/>
    </row>
    <row r="6865" spans="13:13" x14ac:dyDescent="0.25">
      <c r="M6865" s="18"/>
    </row>
    <row r="6866" spans="13:13" x14ac:dyDescent="0.25">
      <c r="M6866" s="18"/>
    </row>
    <row r="6867" spans="13:13" x14ac:dyDescent="0.25">
      <c r="M6867" s="18"/>
    </row>
    <row r="6868" spans="13:13" x14ac:dyDescent="0.25">
      <c r="M6868" s="18"/>
    </row>
    <row r="6869" spans="13:13" x14ac:dyDescent="0.25">
      <c r="M6869" s="18"/>
    </row>
    <row r="6870" spans="13:13" x14ac:dyDescent="0.25">
      <c r="M6870" s="18"/>
    </row>
    <row r="6871" spans="13:13" x14ac:dyDescent="0.25">
      <c r="M6871" s="18"/>
    </row>
    <row r="6872" spans="13:13" x14ac:dyDescent="0.25">
      <c r="M6872" s="18"/>
    </row>
    <row r="6873" spans="13:13" x14ac:dyDescent="0.25">
      <c r="M6873" s="18"/>
    </row>
    <row r="6874" spans="13:13" x14ac:dyDescent="0.25">
      <c r="M6874" s="18"/>
    </row>
    <row r="6875" spans="13:13" x14ac:dyDescent="0.25">
      <c r="M6875" s="18"/>
    </row>
    <row r="6876" spans="13:13" x14ac:dyDescent="0.25">
      <c r="M6876" s="18"/>
    </row>
    <row r="6877" spans="13:13" x14ac:dyDescent="0.25">
      <c r="M6877" s="18"/>
    </row>
    <row r="6878" spans="13:13" x14ac:dyDescent="0.25">
      <c r="M6878" s="18"/>
    </row>
    <row r="6879" spans="13:13" x14ac:dyDescent="0.25">
      <c r="M6879" s="18"/>
    </row>
    <row r="6880" spans="13:13" x14ac:dyDescent="0.25">
      <c r="M6880" s="18"/>
    </row>
    <row r="6881" spans="13:13" x14ac:dyDescent="0.25">
      <c r="M6881" s="18"/>
    </row>
    <row r="6882" spans="13:13" x14ac:dyDescent="0.25">
      <c r="M6882" s="18"/>
    </row>
    <row r="6883" spans="13:13" x14ac:dyDescent="0.25">
      <c r="M6883" s="18"/>
    </row>
    <row r="6884" spans="13:13" x14ac:dyDescent="0.25">
      <c r="M6884" s="18"/>
    </row>
    <row r="6885" spans="13:13" x14ac:dyDescent="0.25">
      <c r="M6885" s="18"/>
    </row>
    <row r="6886" spans="13:13" x14ac:dyDescent="0.25">
      <c r="M6886" s="18"/>
    </row>
    <row r="6887" spans="13:13" x14ac:dyDescent="0.25">
      <c r="M6887" s="18"/>
    </row>
    <row r="6888" spans="13:13" x14ac:dyDescent="0.25">
      <c r="M6888" s="18"/>
    </row>
    <row r="6889" spans="13:13" x14ac:dyDescent="0.25">
      <c r="M6889" s="18"/>
    </row>
    <row r="6890" spans="13:13" x14ac:dyDescent="0.25">
      <c r="M6890" s="18"/>
    </row>
    <row r="6891" spans="13:13" x14ac:dyDescent="0.25">
      <c r="M6891" s="18"/>
    </row>
    <row r="6892" spans="13:13" x14ac:dyDescent="0.25">
      <c r="M6892" s="18"/>
    </row>
    <row r="6893" spans="13:13" x14ac:dyDescent="0.25">
      <c r="M6893" s="18"/>
    </row>
    <row r="6894" spans="13:13" x14ac:dyDescent="0.25">
      <c r="M6894" s="18"/>
    </row>
    <row r="6895" spans="13:13" x14ac:dyDescent="0.25">
      <c r="M6895" s="18"/>
    </row>
    <row r="6896" spans="13:13" x14ac:dyDescent="0.25">
      <c r="M6896" s="18"/>
    </row>
    <row r="6897" spans="13:13" x14ac:dyDescent="0.25">
      <c r="M6897" s="18"/>
    </row>
    <row r="6898" spans="13:13" x14ac:dyDescent="0.25">
      <c r="M6898" s="18"/>
    </row>
    <row r="6899" spans="13:13" x14ac:dyDescent="0.25">
      <c r="M6899" s="18"/>
    </row>
    <row r="6900" spans="13:13" x14ac:dyDescent="0.25">
      <c r="M6900" s="18"/>
    </row>
    <row r="6901" spans="13:13" x14ac:dyDescent="0.25">
      <c r="M6901" s="18"/>
    </row>
    <row r="6902" spans="13:13" x14ac:dyDescent="0.25">
      <c r="M6902" s="18"/>
    </row>
    <row r="6903" spans="13:13" x14ac:dyDescent="0.25">
      <c r="M6903" s="18"/>
    </row>
    <row r="6904" spans="13:13" x14ac:dyDescent="0.25">
      <c r="M6904" s="18"/>
    </row>
    <row r="6905" spans="13:13" x14ac:dyDescent="0.25">
      <c r="M6905" s="18"/>
    </row>
    <row r="6906" spans="13:13" x14ac:dyDescent="0.25">
      <c r="M6906" s="18"/>
    </row>
    <row r="6907" spans="13:13" x14ac:dyDescent="0.25">
      <c r="M6907" s="18"/>
    </row>
    <row r="6908" spans="13:13" x14ac:dyDescent="0.25">
      <c r="M6908" s="18"/>
    </row>
    <row r="6909" spans="13:13" x14ac:dyDescent="0.25">
      <c r="M6909" s="18"/>
    </row>
    <row r="6910" spans="13:13" x14ac:dyDescent="0.25">
      <c r="M6910" s="18"/>
    </row>
    <row r="6911" spans="13:13" x14ac:dyDescent="0.25">
      <c r="M6911" s="18"/>
    </row>
    <row r="6912" spans="13:13" x14ac:dyDescent="0.25">
      <c r="M6912" s="18"/>
    </row>
    <row r="6913" spans="13:13" x14ac:dyDescent="0.25">
      <c r="M6913" s="18"/>
    </row>
    <row r="6914" spans="13:13" x14ac:dyDescent="0.25">
      <c r="M6914" s="18"/>
    </row>
    <row r="6915" spans="13:13" x14ac:dyDescent="0.25">
      <c r="M6915" s="18"/>
    </row>
    <row r="6916" spans="13:13" x14ac:dyDescent="0.25">
      <c r="M6916" s="18"/>
    </row>
    <row r="6917" spans="13:13" x14ac:dyDescent="0.25">
      <c r="M6917" s="18"/>
    </row>
    <row r="6918" spans="13:13" x14ac:dyDescent="0.25">
      <c r="M6918" s="18"/>
    </row>
    <row r="6919" spans="13:13" x14ac:dyDescent="0.25">
      <c r="M6919" s="18"/>
    </row>
    <row r="6920" spans="13:13" x14ac:dyDescent="0.25">
      <c r="M6920" s="18"/>
    </row>
    <row r="6921" spans="13:13" x14ac:dyDescent="0.25">
      <c r="M6921" s="18"/>
    </row>
    <row r="6922" spans="13:13" x14ac:dyDescent="0.25">
      <c r="M6922" s="18"/>
    </row>
    <row r="6923" spans="13:13" x14ac:dyDescent="0.25">
      <c r="M6923" s="18"/>
    </row>
    <row r="6924" spans="13:13" x14ac:dyDescent="0.25">
      <c r="M6924" s="18"/>
    </row>
    <row r="6925" spans="13:13" x14ac:dyDescent="0.25">
      <c r="M6925" s="18"/>
    </row>
    <row r="6926" spans="13:13" x14ac:dyDescent="0.25">
      <c r="M6926" s="18"/>
    </row>
    <row r="6927" spans="13:13" x14ac:dyDescent="0.25">
      <c r="M6927" s="18"/>
    </row>
    <row r="6928" spans="13:13" x14ac:dyDescent="0.25">
      <c r="M6928" s="18"/>
    </row>
    <row r="6929" spans="13:13" x14ac:dyDescent="0.25">
      <c r="M6929" s="18"/>
    </row>
    <row r="6930" spans="13:13" x14ac:dyDescent="0.25">
      <c r="M6930" s="18"/>
    </row>
    <row r="6931" spans="13:13" x14ac:dyDescent="0.25">
      <c r="M6931" s="18"/>
    </row>
    <row r="6932" spans="13:13" x14ac:dyDescent="0.25">
      <c r="M6932" s="18"/>
    </row>
    <row r="6933" spans="13:13" x14ac:dyDescent="0.25">
      <c r="M6933" s="18"/>
    </row>
    <row r="6934" spans="13:13" x14ac:dyDescent="0.25">
      <c r="M6934" s="18"/>
    </row>
    <row r="6935" spans="13:13" x14ac:dyDescent="0.25">
      <c r="M6935" s="18"/>
    </row>
    <row r="6936" spans="13:13" x14ac:dyDescent="0.25">
      <c r="M6936" s="18"/>
    </row>
    <row r="6937" spans="13:13" x14ac:dyDescent="0.25">
      <c r="M6937" s="18"/>
    </row>
    <row r="6938" spans="13:13" x14ac:dyDescent="0.25">
      <c r="M6938" s="18"/>
    </row>
    <row r="6939" spans="13:13" x14ac:dyDescent="0.25">
      <c r="M6939" s="18"/>
    </row>
    <row r="6940" spans="13:13" x14ac:dyDescent="0.25">
      <c r="M6940" s="18"/>
    </row>
    <row r="6941" spans="13:13" x14ac:dyDescent="0.25">
      <c r="M6941" s="18"/>
    </row>
    <row r="6942" spans="13:13" x14ac:dyDescent="0.25">
      <c r="M6942" s="18"/>
    </row>
    <row r="6943" spans="13:13" x14ac:dyDescent="0.25">
      <c r="M6943" s="18"/>
    </row>
    <row r="6944" spans="13:13" x14ac:dyDescent="0.25">
      <c r="M6944" s="18"/>
    </row>
    <row r="6945" spans="13:13" x14ac:dyDescent="0.25">
      <c r="M6945" s="18"/>
    </row>
    <row r="6946" spans="13:13" x14ac:dyDescent="0.25">
      <c r="M6946" s="18"/>
    </row>
    <row r="6947" spans="13:13" x14ac:dyDescent="0.25">
      <c r="M6947" s="18"/>
    </row>
    <row r="6948" spans="13:13" x14ac:dyDescent="0.25">
      <c r="M6948" s="18"/>
    </row>
    <row r="6949" spans="13:13" x14ac:dyDescent="0.25">
      <c r="M6949" s="18"/>
    </row>
    <row r="6950" spans="13:13" x14ac:dyDescent="0.25">
      <c r="M6950" s="18"/>
    </row>
    <row r="6951" spans="13:13" x14ac:dyDescent="0.25">
      <c r="M6951" s="18"/>
    </row>
    <row r="6952" spans="13:13" x14ac:dyDescent="0.25">
      <c r="M6952" s="18"/>
    </row>
    <row r="6953" spans="13:13" x14ac:dyDescent="0.25">
      <c r="M6953" s="18"/>
    </row>
    <row r="6954" spans="13:13" x14ac:dyDescent="0.25">
      <c r="M6954" s="18"/>
    </row>
    <row r="6955" spans="13:13" x14ac:dyDescent="0.25">
      <c r="M6955" s="18"/>
    </row>
    <row r="6956" spans="13:13" x14ac:dyDescent="0.25">
      <c r="M6956" s="18"/>
    </row>
    <row r="6957" spans="13:13" x14ac:dyDescent="0.25">
      <c r="M6957" s="18"/>
    </row>
    <row r="6958" spans="13:13" x14ac:dyDescent="0.25">
      <c r="M6958" s="18"/>
    </row>
    <row r="6959" spans="13:13" x14ac:dyDescent="0.25">
      <c r="M6959" s="18"/>
    </row>
    <row r="6960" spans="13:13" x14ac:dyDescent="0.25">
      <c r="M6960" s="18"/>
    </row>
    <row r="6961" spans="13:13" x14ac:dyDescent="0.25">
      <c r="M6961" s="18"/>
    </row>
    <row r="6962" spans="13:13" x14ac:dyDescent="0.25">
      <c r="M6962" s="18"/>
    </row>
    <row r="6963" spans="13:13" x14ac:dyDescent="0.25">
      <c r="M6963" s="18"/>
    </row>
    <row r="6964" spans="13:13" x14ac:dyDescent="0.25">
      <c r="M6964" s="18"/>
    </row>
    <row r="6965" spans="13:13" x14ac:dyDescent="0.25">
      <c r="M6965" s="18"/>
    </row>
    <row r="6966" spans="13:13" x14ac:dyDescent="0.25">
      <c r="M6966" s="18"/>
    </row>
    <row r="6967" spans="13:13" x14ac:dyDescent="0.25">
      <c r="M6967" s="18"/>
    </row>
    <row r="6968" spans="13:13" x14ac:dyDescent="0.25">
      <c r="M6968" s="18"/>
    </row>
    <row r="6969" spans="13:13" x14ac:dyDescent="0.25">
      <c r="M6969" s="18"/>
    </row>
    <row r="6970" spans="13:13" x14ac:dyDescent="0.25">
      <c r="M6970" s="18"/>
    </row>
    <row r="6971" spans="13:13" x14ac:dyDescent="0.25">
      <c r="M6971" s="18"/>
    </row>
    <row r="6972" spans="13:13" x14ac:dyDescent="0.25">
      <c r="M6972" s="18"/>
    </row>
    <row r="6973" spans="13:13" x14ac:dyDescent="0.25">
      <c r="M6973" s="18"/>
    </row>
    <row r="6974" spans="13:13" x14ac:dyDescent="0.25">
      <c r="M6974" s="18"/>
    </row>
    <row r="6975" spans="13:13" x14ac:dyDescent="0.25">
      <c r="M6975" s="18"/>
    </row>
    <row r="6976" spans="13:13" x14ac:dyDescent="0.25">
      <c r="M6976" s="18"/>
    </row>
    <row r="6977" spans="13:13" x14ac:dyDescent="0.25">
      <c r="M6977" s="18"/>
    </row>
    <row r="6978" spans="13:13" x14ac:dyDescent="0.25">
      <c r="M6978" s="18"/>
    </row>
    <row r="6979" spans="13:13" x14ac:dyDescent="0.25">
      <c r="M6979" s="18"/>
    </row>
    <row r="6980" spans="13:13" x14ac:dyDescent="0.25">
      <c r="M6980" s="18"/>
    </row>
    <row r="6981" spans="13:13" x14ac:dyDescent="0.25">
      <c r="M6981" s="18"/>
    </row>
    <row r="6982" spans="13:13" x14ac:dyDescent="0.25">
      <c r="M6982" s="18"/>
    </row>
    <row r="6983" spans="13:13" x14ac:dyDescent="0.25">
      <c r="M6983" s="18"/>
    </row>
    <row r="6984" spans="13:13" x14ac:dyDescent="0.25">
      <c r="M6984" s="18"/>
    </row>
    <row r="6985" spans="13:13" x14ac:dyDescent="0.25">
      <c r="M6985" s="18"/>
    </row>
    <row r="6986" spans="13:13" x14ac:dyDescent="0.25">
      <c r="M6986" s="18"/>
    </row>
    <row r="6987" spans="13:13" x14ac:dyDescent="0.25">
      <c r="M6987" s="18"/>
    </row>
    <row r="6988" spans="13:13" x14ac:dyDescent="0.25">
      <c r="M6988" s="18"/>
    </row>
    <row r="6989" spans="13:13" x14ac:dyDescent="0.25">
      <c r="M6989" s="18"/>
    </row>
    <row r="6990" spans="13:13" x14ac:dyDescent="0.25">
      <c r="M6990" s="18"/>
    </row>
    <row r="6991" spans="13:13" x14ac:dyDescent="0.25">
      <c r="M6991" s="18"/>
    </row>
    <row r="6992" spans="13:13" x14ac:dyDescent="0.25">
      <c r="M6992" s="18"/>
    </row>
    <row r="6993" spans="13:13" x14ac:dyDescent="0.25">
      <c r="M6993" s="18"/>
    </row>
    <row r="6994" spans="13:13" x14ac:dyDescent="0.25">
      <c r="M6994" s="18"/>
    </row>
    <row r="6995" spans="13:13" x14ac:dyDescent="0.25">
      <c r="M6995" s="18"/>
    </row>
    <row r="6996" spans="13:13" x14ac:dyDescent="0.25">
      <c r="M6996" s="18"/>
    </row>
    <row r="6997" spans="13:13" x14ac:dyDescent="0.25">
      <c r="M6997" s="18"/>
    </row>
    <row r="6998" spans="13:13" x14ac:dyDescent="0.25">
      <c r="M6998" s="18"/>
    </row>
    <row r="6999" spans="13:13" x14ac:dyDescent="0.25">
      <c r="M6999" s="18"/>
    </row>
    <row r="7000" spans="13:13" x14ac:dyDescent="0.25">
      <c r="M7000" s="18"/>
    </row>
    <row r="7001" spans="13:13" x14ac:dyDescent="0.25">
      <c r="M7001" s="18"/>
    </row>
    <row r="7002" spans="13:13" x14ac:dyDescent="0.25">
      <c r="M7002" s="18"/>
    </row>
    <row r="7003" spans="13:13" x14ac:dyDescent="0.25">
      <c r="M7003" s="18"/>
    </row>
    <row r="7004" spans="13:13" x14ac:dyDescent="0.25">
      <c r="M7004" s="18"/>
    </row>
    <row r="7005" spans="13:13" x14ac:dyDescent="0.25">
      <c r="M7005" s="18"/>
    </row>
    <row r="7006" spans="13:13" x14ac:dyDescent="0.25">
      <c r="M7006" s="18"/>
    </row>
    <row r="7007" spans="13:13" x14ac:dyDescent="0.25">
      <c r="M7007" s="18"/>
    </row>
    <row r="7008" spans="13:13" x14ac:dyDescent="0.25">
      <c r="M7008" s="18"/>
    </row>
    <row r="7009" spans="13:13" x14ac:dyDescent="0.25">
      <c r="M7009" s="18"/>
    </row>
    <row r="7010" spans="13:13" x14ac:dyDescent="0.25">
      <c r="M7010" s="18"/>
    </row>
    <row r="7011" spans="13:13" x14ac:dyDescent="0.25">
      <c r="M7011" s="18"/>
    </row>
    <row r="7012" spans="13:13" x14ac:dyDescent="0.25">
      <c r="M7012" s="18"/>
    </row>
    <row r="7013" spans="13:13" x14ac:dyDescent="0.25">
      <c r="M7013" s="18"/>
    </row>
    <row r="7014" spans="13:13" x14ac:dyDescent="0.25">
      <c r="M7014" s="18"/>
    </row>
    <row r="7015" spans="13:13" x14ac:dyDescent="0.25">
      <c r="M7015" s="18"/>
    </row>
    <row r="7016" spans="13:13" x14ac:dyDescent="0.25">
      <c r="M7016" s="18"/>
    </row>
    <row r="7017" spans="13:13" x14ac:dyDescent="0.25">
      <c r="M7017" s="18"/>
    </row>
    <row r="7018" spans="13:13" x14ac:dyDescent="0.25">
      <c r="M7018" s="18"/>
    </row>
    <row r="7019" spans="13:13" x14ac:dyDescent="0.25">
      <c r="M7019" s="18"/>
    </row>
    <row r="7020" spans="13:13" x14ac:dyDescent="0.25">
      <c r="M7020" s="18"/>
    </row>
    <row r="7021" spans="13:13" x14ac:dyDescent="0.25">
      <c r="M7021" s="18"/>
    </row>
    <row r="7022" spans="13:13" x14ac:dyDescent="0.25">
      <c r="M7022" s="18"/>
    </row>
    <row r="7023" spans="13:13" x14ac:dyDescent="0.25">
      <c r="M7023" s="18"/>
    </row>
    <row r="7024" spans="13:13" x14ac:dyDescent="0.25">
      <c r="M7024" s="18"/>
    </row>
    <row r="7025" spans="13:13" x14ac:dyDescent="0.25">
      <c r="M7025" s="18"/>
    </row>
    <row r="7026" spans="13:13" x14ac:dyDescent="0.25">
      <c r="M7026" s="18"/>
    </row>
    <row r="7027" spans="13:13" x14ac:dyDescent="0.25">
      <c r="M7027" s="18"/>
    </row>
    <row r="7028" spans="13:13" x14ac:dyDescent="0.25">
      <c r="M7028" s="18"/>
    </row>
    <row r="7029" spans="13:13" x14ac:dyDescent="0.25">
      <c r="M7029" s="18"/>
    </row>
    <row r="7030" spans="13:13" x14ac:dyDescent="0.25">
      <c r="M7030" s="18"/>
    </row>
    <row r="7031" spans="13:13" x14ac:dyDescent="0.25">
      <c r="M7031" s="18"/>
    </row>
    <row r="7032" spans="13:13" x14ac:dyDescent="0.25">
      <c r="M7032" s="18"/>
    </row>
    <row r="7033" spans="13:13" x14ac:dyDescent="0.25">
      <c r="M7033" s="18"/>
    </row>
    <row r="7034" spans="13:13" x14ac:dyDescent="0.25">
      <c r="M7034" s="18"/>
    </row>
    <row r="7035" spans="13:13" x14ac:dyDescent="0.25">
      <c r="M7035" s="18"/>
    </row>
    <row r="7036" spans="13:13" x14ac:dyDescent="0.25">
      <c r="M7036" s="18"/>
    </row>
    <row r="7037" spans="13:13" x14ac:dyDescent="0.25">
      <c r="M7037" s="18"/>
    </row>
    <row r="7038" spans="13:13" x14ac:dyDescent="0.25">
      <c r="M7038" s="18"/>
    </row>
    <row r="7039" spans="13:13" x14ac:dyDescent="0.25">
      <c r="M7039" s="18"/>
    </row>
    <row r="7040" spans="13:13" x14ac:dyDescent="0.25">
      <c r="M7040" s="18"/>
    </row>
    <row r="7041" spans="13:13" x14ac:dyDescent="0.25">
      <c r="M7041" s="18"/>
    </row>
    <row r="7042" spans="13:13" x14ac:dyDescent="0.25">
      <c r="M7042" s="18"/>
    </row>
    <row r="7043" spans="13:13" x14ac:dyDescent="0.25">
      <c r="M7043" s="18"/>
    </row>
    <row r="7044" spans="13:13" x14ac:dyDescent="0.25">
      <c r="M7044" s="18"/>
    </row>
    <row r="7045" spans="13:13" x14ac:dyDescent="0.25">
      <c r="M7045" s="18"/>
    </row>
    <row r="7046" spans="13:13" x14ac:dyDescent="0.25">
      <c r="M7046" s="18"/>
    </row>
    <row r="7047" spans="13:13" x14ac:dyDescent="0.25">
      <c r="M7047" s="18"/>
    </row>
    <row r="7048" spans="13:13" x14ac:dyDescent="0.25">
      <c r="M7048" s="18"/>
    </row>
    <row r="7049" spans="13:13" x14ac:dyDescent="0.25">
      <c r="M7049" s="18"/>
    </row>
    <row r="7050" spans="13:13" x14ac:dyDescent="0.25">
      <c r="M7050" s="18"/>
    </row>
    <row r="7051" spans="13:13" x14ac:dyDescent="0.25">
      <c r="M7051" s="18"/>
    </row>
    <row r="7052" spans="13:13" x14ac:dyDescent="0.25">
      <c r="M7052" s="18"/>
    </row>
    <row r="7053" spans="13:13" x14ac:dyDescent="0.25">
      <c r="M7053" s="18"/>
    </row>
    <row r="7054" spans="13:13" x14ac:dyDescent="0.25">
      <c r="M7054" s="18"/>
    </row>
    <row r="7055" spans="13:13" x14ac:dyDescent="0.25">
      <c r="M7055" s="18"/>
    </row>
    <row r="7056" spans="13:13" x14ac:dyDescent="0.25">
      <c r="M7056" s="18"/>
    </row>
    <row r="7057" spans="13:13" x14ac:dyDescent="0.25">
      <c r="M7057" s="18"/>
    </row>
    <row r="7058" spans="13:13" x14ac:dyDescent="0.25">
      <c r="M7058" s="18"/>
    </row>
    <row r="7059" spans="13:13" x14ac:dyDescent="0.25">
      <c r="M7059" s="18"/>
    </row>
    <row r="7060" spans="13:13" x14ac:dyDescent="0.25">
      <c r="M7060" s="18"/>
    </row>
    <row r="7061" spans="13:13" x14ac:dyDescent="0.25">
      <c r="M7061" s="18"/>
    </row>
    <row r="7062" spans="13:13" x14ac:dyDescent="0.25">
      <c r="M7062" s="18"/>
    </row>
    <row r="7063" spans="13:13" x14ac:dyDescent="0.25">
      <c r="M7063" s="18"/>
    </row>
    <row r="7064" spans="13:13" x14ac:dyDescent="0.25">
      <c r="M7064" s="18"/>
    </row>
    <row r="7065" spans="13:13" x14ac:dyDescent="0.25">
      <c r="M7065" s="18"/>
    </row>
    <row r="7066" spans="13:13" x14ac:dyDescent="0.25">
      <c r="M7066" s="18"/>
    </row>
    <row r="7067" spans="13:13" x14ac:dyDescent="0.25">
      <c r="M7067" s="18"/>
    </row>
    <row r="7068" spans="13:13" x14ac:dyDescent="0.25">
      <c r="M7068" s="18"/>
    </row>
    <row r="7069" spans="13:13" x14ac:dyDescent="0.25">
      <c r="M7069" s="18"/>
    </row>
    <row r="7070" spans="13:13" x14ac:dyDescent="0.25">
      <c r="M7070" s="18"/>
    </row>
    <row r="7071" spans="13:13" x14ac:dyDescent="0.25">
      <c r="M7071" s="18"/>
    </row>
    <row r="7072" spans="13:13" x14ac:dyDescent="0.25">
      <c r="M7072" s="18"/>
    </row>
    <row r="7073" spans="13:13" x14ac:dyDescent="0.25">
      <c r="M7073" s="18"/>
    </row>
    <row r="7074" spans="13:13" x14ac:dyDescent="0.25">
      <c r="M7074" s="18"/>
    </row>
    <row r="7075" spans="13:13" x14ac:dyDescent="0.25">
      <c r="M7075" s="18"/>
    </row>
    <row r="7076" spans="13:13" x14ac:dyDescent="0.25">
      <c r="M7076" s="18"/>
    </row>
    <row r="7077" spans="13:13" x14ac:dyDescent="0.25">
      <c r="M7077" s="18"/>
    </row>
    <row r="7078" spans="13:13" x14ac:dyDescent="0.25">
      <c r="M7078" s="18"/>
    </row>
    <row r="7079" spans="13:13" x14ac:dyDescent="0.25">
      <c r="M7079" s="18"/>
    </row>
    <row r="7080" spans="13:13" x14ac:dyDescent="0.25">
      <c r="M7080" s="18"/>
    </row>
    <row r="7081" spans="13:13" x14ac:dyDescent="0.25">
      <c r="M7081" s="18"/>
    </row>
    <row r="7082" spans="13:13" x14ac:dyDescent="0.25">
      <c r="M7082" s="18"/>
    </row>
    <row r="7083" spans="13:13" x14ac:dyDescent="0.25">
      <c r="M7083" s="18"/>
    </row>
    <row r="7084" spans="13:13" x14ac:dyDescent="0.25">
      <c r="M7084" s="18"/>
    </row>
    <row r="7085" spans="13:13" x14ac:dyDescent="0.25">
      <c r="M7085" s="18"/>
    </row>
    <row r="7086" spans="13:13" x14ac:dyDescent="0.25">
      <c r="M7086" s="18"/>
    </row>
    <row r="7087" spans="13:13" x14ac:dyDescent="0.25">
      <c r="M7087" s="18"/>
    </row>
    <row r="7088" spans="13:13" x14ac:dyDescent="0.25">
      <c r="M7088" s="18"/>
    </row>
    <row r="7089" spans="13:13" x14ac:dyDescent="0.25">
      <c r="M7089" s="18"/>
    </row>
    <row r="7090" spans="13:13" x14ac:dyDescent="0.25">
      <c r="M7090" s="18"/>
    </row>
    <row r="7091" spans="13:13" x14ac:dyDescent="0.25">
      <c r="M7091" s="18"/>
    </row>
    <row r="7092" spans="13:13" x14ac:dyDescent="0.25">
      <c r="M7092" s="18"/>
    </row>
    <row r="7093" spans="13:13" x14ac:dyDescent="0.25">
      <c r="M7093" s="18"/>
    </row>
    <row r="7094" spans="13:13" x14ac:dyDescent="0.25">
      <c r="M7094" s="18"/>
    </row>
    <row r="7095" spans="13:13" x14ac:dyDescent="0.25">
      <c r="M7095" s="18"/>
    </row>
    <row r="7096" spans="13:13" x14ac:dyDescent="0.25">
      <c r="M7096" s="18"/>
    </row>
    <row r="7097" spans="13:13" x14ac:dyDescent="0.25">
      <c r="M7097" s="18"/>
    </row>
    <row r="7098" spans="13:13" x14ac:dyDescent="0.25">
      <c r="M7098" s="18"/>
    </row>
    <row r="7099" spans="13:13" x14ac:dyDescent="0.25">
      <c r="M7099" s="18"/>
    </row>
    <row r="7100" spans="13:13" x14ac:dyDescent="0.25">
      <c r="M7100" s="18"/>
    </row>
    <row r="7101" spans="13:13" x14ac:dyDescent="0.25">
      <c r="M7101" s="18"/>
    </row>
    <row r="7102" spans="13:13" x14ac:dyDescent="0.25">
      <c r="M7102" s="18"/>
    </row>
    <row r="7103" spans="13:13" x14ac:dyDescent="0.25">
      <c r="M7103" s="18"/>
    </row>
    <row r="7104" spans="13:13" x14ac:dyDescent="0.25">
      <c r="M7104" s="18"/>
    </row>
    <row r="7105" spans="13:13" x14ac:dyDescent="0.25">
      <c r="M7105" s="18"/>
    </row>
    <row r="7106" spans="13:13" x14ac:dyDescent="0.25">
      <c r="M7106" s="18"/>
    </row>
    <row r="7107" spans="13:13" x14ac:dyDescent="0.25">
      <c r="M7107" s="18"/>
    </row>
    <row r="7108" spans="13:13" x14ac:dyDescent="0.25">
      <c r="M7108" s="18"/>
    </row>
    <row r="7109" spans="13:13" x14ac:dyDescent="0.25">
      <c r="M7109" s="18"/>
    </row>
    <row r="7110" spans="13:13" x14ac:dyDescent="0.25">
      <c r="M7110" s="18"/>
    </row>
    <row r="7111" spans="13:13" x14ac:dyDescent="0.25">
      <c r="M7111" s="18"/>
    </row>
    <row r="7112" spans="13:13" x14ac:dyDescent="0.25">
      <c r="M7112" s="18"/>
    </row>
    <row r="7113" spans="13:13" x14ac:dyDescent="0.25">
      <c r="M7113" s="18"/>
    </row>
    <row r="7114" spans="13:13" x14ac:dyDescent="0.25">
      <c r="M7114" s="18"/>
    </row>
    <row r="7115" spans="13:13" x14ac:dyDescent="0.25">
      <c r="M7115" s="18"/>
    </row>
    <row r="7116" spans="13:13" x14ac:dyDescent="0.25">
      <c r="M7116" s="18"/>
    </row>
    <row r="7117" spans="13:13" x14ac:dyDescent="0.25">
      <c r="M7117" s="18"/>
    </row>
    <row r="7118" spans="13:13" x14ac:dyDescent="0.25">
      <c r="M7118" s="18"/>
    </row>
    <row r="7119" spans="13:13" x14ac:dyDescent="0.25">
      <c r="M7119" s="18"/>
    </row>
    <row r="7120" spans="13:13" x14ac:dyDescent="0.25">
      <c r="M7120" s="18"/>
    </row>
    <row r="7121" spans="13:13" x14ac:dyDescent="0.25">
      <c r="M7121" s="18"/>
    </row>
    <row r="7122" spans="13:13" x14ac:dyDescent="0.25">
      <c r="M7122" s="18"/>
    </row>
    <row r="7123" spans="13:13" x14ac:dyDescent="0.25">
      <c r="M7123" s="18"/>
    </row>
    <row r="7124" spans="13:13" x14ac:dyDescent="0.25">
      <c r="M7124" s="18"/>
    </row>
    <row r="7125" spans="13:13" x14ac:dyDescent="0.25">
      <c r="M7125" s="18"/>
    </row>
    <row r="7126" spans="13:13" x14ac:dyDescent="0.25">
      <c r="M7126" s="18"/>
    </row>
    <row r="7127" spans="13:13" x14ac:dyDescent="0.25">
      <c r="M7127" s="18"/>
    </row>
    <row r="7128" spans="13:13" x14ac:dyDescent="0.25">
      <c r="M7128" s="18"/>
    </row>
    <row r="7129" spans="13:13" x14ac:dyDescent="0.25">
      <c r="M7129" s="18"/>
    </row>
    <row r="7130" spans="13:13" x14ac:dyDescent="0.25">
      <c r="M7130" s="18"/>
    </row>
    <row r="7131" spans="13:13" x14ac:dyDescent="0.25">
      <c r="M7131" s="18"/>
    </row>
    <row r="7132" spans="13:13" x14ac:dyDescent="0.25">
      <c r="M7132" s="18"/>
    </row>
    <row r="7133" spans="13:13" x14ac:dyDescent="0.25">
      <c r="M7133" s="18"/>
    </row>
    <row r="7134" spans="13:13" x14ac:dyDescent="0.25">
      <c r="M7134" s="18"/>
    </row>
    <row r="7135" spans="13:13" x14ac:dyDescent="0.25">
      <c r="M7135" s="18"/>
    </row>
    <row r="7136" spans="13:13" x14ac:dyDescent="0.25">
      <c r="M7136" s="18"/>
    </row>
    <row r="7137" spans="13:13" x14ac:dyDescent="0.25">
      <c r="M7137" s="18"/>
    </row>
    <row r="7138" spans="13:13" x14ac:dyDescent="0.25">
      <c r="M7138" s="18"/>
    </row>
    <row r="7139" spans="13:13" x14ac:dyDescent="0.25">
      <c r="M7139" s="18"/>
    </row>
    <row r="7140" spans="13:13" x14ac:dyDescent="0.25">
      <c r="M7140" s="18"/>
    </row>
    <row r="7141" spans="13:13" x14ac:dyDescent="0.25">
      <c r="M7141" s="18"/>
    </row>
    <row r="7142" spans="13:13" x14ac:dyDescent="0.25">
      <c r="M7142" s="18"/>
    </row>
    <row r="7143" spans="13:13" x14ac:dyDescent="0.25">
      <c r="M7143" s="18"/>
    </row>
    <row r="7144" spans="13:13" x14ac:dyDescent="0.25">
      <c r="M7144" s="18"/>
    </row>
    <row r="7145" spans="13:13" x14ac:dyDescent="0.25">
      <c r="M7145" s="18"/>
    </row>
    <row r="7146" spans="13:13" x14ac:dyDescent="0.25">
      <c r="M7146" s="18"/>
    </row>
    <row r="7147" spans="13:13" x14ac:dyDescent="0.25">
      <c r="M7147" s="18"/>
    </row>
    <row r="7148" spans="13:13" x14ac:dyDescent="0.25">
      <c r="M7148" s="18"/>
    </row>
    <row r="7149" spans="13:13" x14ac:dyDescent="0.25">
      <c r="M7149" s="18"/>
    </row>
    <row r="7150" spans="13:13" x14ac:dyDescent="0.25">
      <c r="M7150" s="18"/>
    </row>
    <row r="7151" spans="13:13" x14ac:dyDescent="0.25">
      <c r="M7151" s="18"/>
    </row>
    <row r="7152" spans="13:13" x14ac:dyDescent="0.25">
      <c r="M7152" s="18"/>
    </row>
    <row r="7153" spans="13:13" x14ac:dyDescent="0.25">
      <c r="M7153" s="18"/>
    </row>
    <row r="7154" spans="13:13" x14ac:dyDescent="0.25">
      <c r="M7154" s="18"/>
    </row>
    <row r="7155" spans="13:13" x14ac:dyDescent="0.25">
      <c r="M7155" s="18"/>
    </row>
    <row r="7156" spans="13:13" x14ac:dyDescent="0.25">
      <c r="M7156" s="18"/>
    </row>
    <row r="7157" spans="13:13" x14ac:dyDescent="0.25">
      <c r="M7157" s="18"/>
    </row>
    <row r="7158" spans="13:13" x14ac:dyDescent="0.25">
      <c r="M7158" s="18"/>
    </row>
    <row r="7159" spans="13:13" x14ac:dyDescent="0.25">
      <c r="M7159" s="18"/>
    </row>
    <row r="7160" spans="13:13" x14ac:dyDescent="0.25">
      <c r="M7160" s="18"/>
    </row>
    <row r="7161" spans="13:13" x14ac:dyDescent="0.25">
      <c r="M7161" s="18"/>
    </row>
    <row r="7162" spans="13:13" x14ac:dyDescent="0.25">
      <c r="M7162" s="18"/>
    </row>
    <row r="7163" spans="13:13" x14ac:dyDescent="0.25">
      <c r="M7163" s="18"/>
    </row>
    <row r="7164" spans="13:13" x14ac:dyDescent="0.25">
      <c r="M7164" s="18"/>
    </row>
    <row r="7165" spans="13:13" x14ac:dyDescent="0.25">
      <c r="M7165" s="18"/>
    </row>
    <row r="7166" spans="13:13" x14ac:dyDescent="0.25">
      <c r="M7166" s="18"/>
    </row>
    <row r="7167" spans="13:13" x14ac:dyDescent="0.25">
      <c r="M7167" s="18"/>
    </row>
    <row r="7168" spans="13:13" x14ac:dyDescent="0.25">
      <c r="M7168" s="18"/>
    </row>
    <row r="7169" spans="13:13" x14ac:dyDescent="0.25">
      <c r="M7169" s="18"/>
    </row>
    <row r="7170" spans="13:13" x14ac:dyDescent="0.25">
      <c r="M7170" s="18"/>
    </row>
    <row r="7171" spans="13:13" x14ac:dyDescent="0.25">
      <c r="M7171" s="18"/>
    </row>
    <row r="7172" spans="13:13" x14ac:dyDescent="0.25">
      <c r="M7172" s="18"/>
    </row>
    <row r="7173" spans="13:13" x14ac:dyDescent="0.25">
      <c r="M7173" s="18"/>
    </row>
    <row r="7174" spans="13:13" x14ac:dyDescent="0.25">
      <c r="M7174" s="18"/>
    </row>
    <row r="7175" spans="13:13" x14ac:dyDescent="0.25">
      <c r="M7175" s="18"/>
    </row>
    <row r="7176" spans="13:13" x14ac:dyDescent="0.25">
      <c r="M7176" s="18"/>
    </row>
    <row r="7177" spans="13:13" x14ac:dyDescent="0.25">
      <c r="M7177" s="18"/>
    </row>
    <row r="7178" spans="13:13" x14ac:dyDescent="0.25">
      <c r="M7178" s="18"/>
    </row>
    <row r="7179" spans="13:13" x14ac:dyDescent="0.25">
      <c r="M7179" s="18"/>
    </row>
    <row r="7180" spans="13:13" x14ac:dyDescent="0.25">
      <c r="M7180" s="18"/>
    </row>
    <row r="7181" spans="13:13" x14ac:dyDescent="0.25">
      <c r="M7181" s="18"/>
    </row>
    <row r="7182" spans="13:13" x14ac:dyDescent="0.25">
      <c r="M7182" s="18"/>
    </row>
    <row r="7183" spans="13:13" x14ac:dyDescent="0.25">
      <c r="M7183" s="18"/>
    </row>
    <row r="7184" spans="13:13" x14ac:dyDescent="0.25">
      <c r="M7184" s="18"/>
    </row>
    <row r="7185" spans="13:13" x14ac:dyDescent="0.25">
      <c r="M7185" s="18"/>
    </row>
    <row r="7186" spans="13:13" x14ac:dyDescent="0.25">
      <c r="M7186" s="18"/>
    </row>
    <row r="7187" spans="13:13" x14ac:dyDescent="0.25">
      <c r="M7187" s="18"/>
    </row>
    <row r="7188" spans="13:13" x14ac:dyDescent="0.25">
      <c r="M7188" s="18"/>
    </row>
    <row r="7189" spans="13:13" x14ac:dyDescent="0.25">
      <c r="M7189" s="18"/>
    </row>
    <row r="7190" spans="13:13" x14ac:dyDescent="0.25">
      <c r="M7190" s="18"/>
    </row>
    <row r="7191" spans="13:13" x14ac:dyDescent="0.25">
      <c r="M7191" s="18"/>
    </row>
    <row r="7192" spans="13:13" x14ac:dyDescent="0.25">
      <c r="M7192" s="18"/>
    </row>
    <row r="7193" spans="13:13" x14ac:dyDescent="0.25">
      <c r="M7193" s="18"/>
    </row>
    <row r="7194" spans="13:13" x14ac:dyDescent="0.25">
      <c r="M7194" s="18"/>
    </row>
    <row r="7195" spans="13:13" x14ac:dyDescent="0.25">
      <c r="M7195" s="18"/>
    </row>
    <row r="7196" spans="13:13" x14ac:dyDescent="0.25">
      <c r="M7196" s="18"/>
    </row>
    <row r="7197" spans="13:13" x14ac:dyDescent="0.25">
      <c r="M7197" s="18"/>
    </row>
    <row r="7198" spans="13:13" x14ac:dyDescent="0.25">
      <c r="M7198" s="18"/>
    </row>
    <row r="7199" spans="13:13" x14ac:dyDescent="0.25">
      <c r="M7199" s="18"/>
    </row>
    <row r="7200" spans="13:13" x14ac:dyDescent="0.25">
      <c r="M7200" s="18"/>
    </row>
    <row r="7201" spans="13:13" x14ac:dyDescent="0.25">
      <c r="M7201" s="18"/>
    </row>
    <row r="7202" spans="13:13" x14ac:dyDescent="0.25">
      <c r="M7202" s="18"/>
    </row>
    <row r="7203" spans="13:13" x14ac:dyDescent="0.25">
      <c r="M7203" s="18"/>
    </row>
    <row r="7204" spans="13:13" x14ac:dyDescent="0.25">
      <c r="M7204" s="18"/>
    </row>
    <row r="7205" spans="13:13" x14ac:dyDescent="0.25">
      <c r="M7205" s="18"/>
    </row>
    <row r="7206" spans="13:13" x14ac:dyDescent="0.25">
      <c r="M7206" s="18"/>
    </row>
    <row r="7207" spans="13:13" x14ac:dyDescent="0.25">
      <c r="M7207" s="18"/>
    </row>
    <row r="7208" spans="13:13" x14ac:dyDescent="0.25">
      <c r="M7208" s="18"/>
    </row>
    <row r="7209" spans="13:13" x14ac:dyDescent="0.25">
      <c r="M7209" s="18"/>
    </row>
    <row r="7210" spans="13:13" x14ac:dyDescent="0.25">
      <c r="M7210" s="18"/>
    </row>
    <row r="7211" spans="13:13" x14ac:dyDescent="0.25">
      <c r="M7211" s="18"/>
    </row>
    <row r="7212" spans="13:13" x14ac:dyDescent="0.25">
      <c r="M7212" s="18"/>
    </row>
    <row r="7213" spans="13:13" x14ac:dyDescent="0.25">
      <c r="M7213" s="18"/>
    </row>
    <row r="7214" spans="13:13" x14ac:dyDescent="0.25">
      <c r="M7214" s="18"/>
    </row>
    <row r="7215" spans="13:13" x14ac:dyDescent="0.25">
      <c r="M7215" s="18"/>
    </row>
    <row r="7216" spans="13:13" x14ac:dyDescent="0.25">
      <c r="M7216" s="18"/>
    </row>
    <row r="7217" spans="13:13" x14ac:dyDescent="0.25">
      <c r="M7217" s="18"/>
    </row>
    <row r="7218" spans="13:13" x14ac:dyDescent="0.25">
      <c r="M7218" s="18"/>
    </row>
    <row r="7219" spans="13:13" x14ac:dyDescent="0.25">
      <c r="M7219" s="18"/>
    </row>
    <row r="7220" spans="13:13" x14ac:dyDescent="0.25">
      <c r="M7220" s="18"/>
    </row>
    <row r="7221" spans="13:13" x14ac:dyDescent="0.25">
      <c r="M7221" s="18"/>
    </row>
    <row r="7222" spans="13:13" x14ac:dyDescent="0.25">
      <c r="M7222" s="18"/>
    </row>
    <row r="7223" spans="13:13" x14ac:dyDescent="0.25">
      <c r="M7223" s="18"/>
    </row>
    <row r="7224" spans="13:13" x14ac:dyDescent="0.25">
      <c r="M7224" s="18"/>
    </row>
    <row r="7225" spans="13:13" x14ac:dyDescent="0.25">
      <c r="M7225" s="18"/>
    </row>
    <row r="7226" spans="13:13" x14ac:dyDescent="0.25">
      <c r="M7226" s="18"/>
    </row>
    <row r="7227" spans="13:13" x14ac:dyDescent="0.25">
      <c r="M7227" s="18"/>
    </row>
    <row r="7228" spans="13:13" x14ac:dyDescent="0.25">
      <c r="M7228" s="18"/>
    </row>
    <row r="7229" spans="13:13" x14ac:dyDescent="0.25">
      <c r="M7229" s="18"/>
    </row>
    <row r="7230" spans="13:13" x14ac:dyDescent="0.25">
      <c r="M7230" s="18"/>
    </row>
    <row r="7231" spans="13:13" x14ac:dyDescent="0.25">
      <c r="M7231" s="18"/>
    </row>
    <row r="7232" spans="13:13" x14ac:dyDescent="0.25">
      <c r="M7232" s="18"/>
    </row>
    <row r="7233" spans="13:13" x14ac:dyDescent="0.25">
      <c r="M7233" s="18"/>
    </row>
    <row r="7234" spans="13:13" x14ac:dyDescent="0.25">
      <c r="M7234" s="18"/>
    </row>
    <row r="7235" spans="13:13" x14ac:dyDescent="0.25">
      <c r="M7235" s="18"/>
    </row>
    <row r="7236" spans="13:13" x14ac:dyDescent="0.25">
      <c r="M7236" s="18"/>
    </row>
    <row r="7237" spans="13:13" x14ac:dyDescent="0.25">
      <c r="M7237" s="18"/>
    </row>
    <row r="7238" spans="13:13" x14ac:dyDescent="0.25">
      <c r="M7238" s="18"/>
    </row>
    <row r="7239" spans="13:13" x14ac:dyDescent="0.25">
      <c r="M7239" s="18"/>
    </row>
    <row r="7240" spans="13:13" x14ac:dyDescent="0.25">
      <c r="M7240" s="18"/>
    </row>
    <row r="7241" spans="13:13" x14ac:dyDescent="0.25">
      <c r="M7241" s="18"/>
    </row>
    <row r="7242" spans="13:13" x14ac:dyDescent="0.25">
      <c r="M7242" s="18"/>
    </row>
    <row r="7243" spans="13:13" x14ac:dyDescent="0.25">
      <c r="M7243" s="18"/>
    </row>
    <row r="7244" spans="13:13" x14ac:dyDescent="0.25">
      <c r="M7244" s="18"/>
    </row>
    <row r="7245" spans="13:13" x14ac:dyDescent="0.25">
      <c r="M7245" s="18"/>
    </row>
    <row r="7246" spans="13:13" x14ac:dyDescent="0.25">
      <c r="M7246" s="18"/>
    </row>
    <row r="7247" spans="13:13" x14ac:dyDescent="0.25">
      <c r="M7247" s="18"/>
    </row>
    <row r="7248" spans="13:13" x14ac:dyDescent="0.25">
      <c r="M7248" s="18"/>
    </row>
    <row r="7249" spans="13:13" x14ac:dyDescent="0.25">
      <c r="M7249" s="18"/>
    </row>
    <row r="7250" spans="13:13" x14ac:dyDescent="0.25">
      <c r="M7250" s="18"/>
    </row>
    <row r="7251" spans="13:13" x14ac:dyDescent="0.25">
      <c r="M7251" s="18"/>
    </row>
    <row r="7252" spans="13:13" x14ac:dyDescent="0.25">
      <c r="M7252" s="18"/>
    </row>
    <row r="7253" spans="13:13" x14ac:dyDescent="0.25">
      <c r="M7253" s="18"/>
    </row>
    <row r="7254" spans="13:13" x14ac:dyDescent="0.25">
      <c r="M7254" s="18"/>
    </row>
    <row r="7255" spans="13:13" x14ac:dyDescent="0.25">
      <c r="M7255" s="18"/>
    </row>
    <row r="7256" spans="13:13" x14ac:dyDescent="0.25">
      <c r="M7256" s="18"/>
    </row>
    <row r="7257" spans="13:13" x14ac:dyDescent="0.25">
      <c r="M7257" s="18"/>
    </row>
    <row r="7258" spans="13:13" x14ac:dyDescent="0.25">
      <c r="M7258" s="18"/>
    </row>
    <row r="7259" spans="13:13" x14ac:dyDescent="0.25">
      <c r="M7259" s="18"/>
    </row>
    <row r="7260" spans="13:13" x14ac:dyDescent="0.25">
      <c r="M7260" s="18"/>
    </row>
    <row r="7261" spans="13:13" x14ac:dyDescent="0.25">
      <c r="M7261" s="18"/>
    </row>
    <row r="7262" spans="13:13" x14ac:dyDescent="0.25">
      <c r="M7262" s="18"/>
    </row>
    <row r="7263" spans="13:13" x14ac:dyDescent="0.25">
      <c r="M7263" s="18"/>
    </row>
    <row r="7264" spans="13:13" x14ac:dyDescent="0.25">
      <c r="M7264" s="18"/>
    </row>
    <row r="7265" spans="13:13" x14ac:dyDescent="0.25">
      <c r="M7265" s="18"/>
    </row>
    <row r="7266" spans="13:13" x14ac:dyDescent="0.25">
      <c r="M7266" s="18"/>
    </row>
    <row r="7267" spans="13:13" x14ac:dyDescent="0.25">
      <c r="M7267" s="18"/>
    </row>
    <row r="7268" spans="13:13" x14ac:dyDescent="0.25">
      <c r="M7268" s="18"/>
    </row>
    <row r="7269" spans="13:13" x14ac:dyDescent="0.25">
      <c r="M7269" s="18"/>
    </row>
    <row r="7270" spans="13:13" x14ac:dyDescent="0.25">
      <c r="M7270" s="18"/>
    </row>
    <row r="7271" spans="13:13" x14ac:dyDescent="0.25">
      <c r="M7271" s="18"/>
    </row>
    <row r="7272" spans="13:13" x14ac:dyDescent="0.25">
      <c r="M7272" s="18"/>
    </row>
    <row r="7273" spans="13:13" x14ac:dyDescent="0.25">
      <c r="M7273" s="18"/>
    </row>
    <row r="7274" spans="13:13" x14ac:dyDescent="0.25">
      <c r="M7274" s="18"/>
    </row>
    <row r="7275" spans="13:13" x14ac:dyDescent="0.25">
      <c r="M7275" s="18"/>
    </row>
    <row r="7276" spans="13:13" x14ac:dyDescent="0.25">
      <c r="M7276" s="18"/>
    </row>
    <row r="7277" spans="13:13" x14ac:dyDescent="0.25">
      <c r="M7277" s="18"/>
    </row>
    <row r="7278" spans="13:13" x14ac:dyDescent="0.25">
      <c r="M7278" s="18"/>
    </row>
    <row r="7279" spans="13:13" x14ac:dyDescent="0.25">
      <c r="M7279" s="18"/>
    </row>
    <row r="7280" spans="13:13" x14ac:dyDescent="0.25">
      <c r="M7280" s="18"/>
    </row>
    <row r="7281" spans="13:13" x14ac:dyDescent="0.25">
      <c r="M7281" s="18"/>
    </row>
    <row r="7282" spans="13:13" x14ac:dyDescent="0.25">
      <c r="M7282" s="18"/>
    </row>
    <row r="7283" spans="13:13" x14ac:dyDescent="0.25">
      <c r="M7283" s="18"/>
    </row>
    <row r="7284" spans="13:13" x14ac:dyDescent="0.25">
      <c r="M7284" s="18"/>
    </row>
    <row r="7285" spans="13:13" x14ac:dyDescent="0.25">
      <c r="M7285" s="18"/>
    </row>
    <row r="7286" spans="13:13" x14ac:dyDescent="0.25">
      <c r="M7286" s="18"/>
    </row>
    <row r="7287" spans="13:13" x14ac:dyDescent="0.25">
      <c r="M7287" s="18"/>
    </row>
    <row r="7288" spans="13:13" x14ac:dyDescent="0.25">
      <c r="M7288" s="18"/>
    </row>
    <row r="7289" spans="13:13" x14ac:dyDescent="0.25">
      <c r="M7289" s="18"/>
    </row>
    <row r="7290" spans="13:13" x14ac:dyDescent="0.25">
      <c r="M7290" s="18"/>
    </row>
    <row r="7291" spans="13:13" x14ac:dyDescent="0.25">
      <c r="M7291" s="18"/>
    </row>
    <row r="7292" spans="13:13" x14ac:dyDescent="0.25">
      <c r="M7292" s="18"/>
    </row>
    <row r="7293" spans="13:13" x14ac:dyDescent="0.25">
      <c r="M7293" s="18"/>
    </row>
    <row r="7294" spans="13:13" x14ac:dyDescent="0.25">
      <c r="M7294" s="18"/>
    </row>
    <row r="7295" spans="13:13" x14ac:dyDescent="0.25">
      <c r="M7295" s="18"/>
    </row>
    <row r="7296" spans="13:13" x14ac:dyDescent="0.25">
      <c r="M7296" s="18"/>
    </row>
    <row r="7297" spans="13:13" x14ac:dyDescent="0.25">
      <c r="M7297" s="18"/>
    </row>
    <row r="7298" spans="13:13" x14ac:dyDescent="0.25">
      <c r="M7298" s="18"/>
    </row>
    <row r="7299" spans="13:13" x14ac:dyDescent="0.25">
      <c r="M7299" s="18"/>
    </row>
    <row r="7300" spans="13:13" x14ac:dyDescent="0.25">
      <c r="M7300" s="18"/>
    </row>
    <row r="7301" spans="13:13" x14ac:dyDescent="0.25">
      <c r="M7301" s="18"/>
    </row>
    <row r="7302" spans="13:13" x14ac:dyDescent="0.25">
      <c r="M7302" s="18"/>
    </row>
    <row r="7303" spans="13:13" x14ac:dyDescent="0.25">
      <c r="M7303" s="18"/>
    </row>
    <row r="7304" spans="13:13" x14ac:dyDescent="0.25">
      <c r="M7304" s="18"/>
    </row>
    <row r="7305" spans="13:13" x14ac:dyDescent="0.25">
      <c r="M7305" s="18"/>
    </row>
    <row r="7306" spans="13:13" x14ac:dyDescent="0.25">
      <c r="M7306" s="18"/>
    </row>
    <row r="7307" spans="13:13" x14ac:dyDescent="0.25">
      <c r="M7307" s="18"/>
    </row>
    <row r="7308" spans="13:13" x14ac:dyDescent="0.25">
      <c r="M7308" s="18"/>
    </row>
    <row r="7309" spans="13:13" x14ac:dyDescent="0.25">
      <c r="M7309" s="18"/>
    </row>
    <row r="7310" spans="13:13" x14ac:dyDescent="0.25">
      <c r="M7310" s="18"/>
    </row>
    <row r="7311" spans="13:13" x14ac:dyDescent="0.25">
      <c r="M7311" s="18"/>
    </row>
    <row r="7312" spans="13:13" x14ac:dyDescent="0.25">
      <c r="M7312" s="18"/>
    </row>
    <row r="7313" spans="13:13" x14ac:dyDescent="0.25">
      <c r="M7313" s="18"/>
    </row>
    <row r="7314" spans="13:13" x14ac:dyDescent="0.25">
      <c r="M7314" s="18"/>
    </row>
    <row r="7315" spans="13:13" x14ac:dyDescent="0.25">
      <c r="M7315" s="18"/>
    </row>
    <row r="7316" spans="13:13" x14ac:dyDescent="0.25">
      <c r="M7316" s="18"/>
    </row>
    <row r="7317" spans="13:13" x14ac:dyDescent="0.25">
      <c r="M7317" s="18"/>
    </row>
    <row r="7318" spans="13:13" x14ac:dyDescent="0.25">
      <c r="M7318" s="18"/>
    </row>
    <row r="7319" spans="13:13" x14ac:dyDescent="0.25">
      <c r="M7319" s="18"/>
    </row>
    <row r="7320" spans="13:13" x14ac:dyDescent="0.25">
      <c r="M7320" s="18"/>
    </row>
    <row r="7321" spans="13:13" x14ac:dyDescent="0.25">
      <c r="M7321" s="18"/>
    </row>
    <row r="7322" spans="13:13" x14ac:dyDescent="0.25">
      <c r="M7322" s="18"/>
    </row>
    <row r="7323" spans="13:13" x14ac:dyDescent="0.25">
      <c r="M7323" s="18"/>
    </row>
    <row r="7324" spans="13:13" x14ac:dyDescent="0.25">
      <c r="M7324" s="18"/>
    </row>
    <row r="7325" spans="13:13" x14ac:dyDescent="0.25">
      <c r="M7325" s="18"/>
    </row>
    <row r="7326" spans="13:13" x14ac:dyDescent="0.25">
      <c r="M7326" s="18"/>
    </row>
    <row r="7327" spans="13:13" x14ac:dyDescent="0.25">
      <c r="M7327" s="18"/>
    </row>
    <row r="7328" spans="13:13" x14ac:dyDescent="0.25">
      <c r="M7328" s="18"/>
    </row>
    <row r="7329" spans="13:13" x14ac:dyDescent="0.25">
      <c r="M7329" s="18"/>
    </row>
    <row r="7330" spans="13:13" x14ac:dyDescent="0.25">
      <c r="M7330" s="18"/>
    </row>
    <row r="7331" spans="13:13" x14ac:dyDescent="0.25">
      <c r="M7331" s="18"/>
    </row>
    <row r="7332" spans="13:13" x14ac:dyDescent="0.25">
      <c r="M7332" s="18"/>
    </row>
    <row r="7333" spans="13:13" x14ac:dyDescent="0.25">
      <c r="M7333" s="18"/>
    </row>
    <row r="7334" spans="13:13" x14ac:dyDescent="0.25">
      <c r="M7334" s="18"/>
    </row>
    <row r="7335" spans="13:13" x14ac:dyDescent="0.25">
      <c r="M7335" s="18"/>
    </row>
    <row r="7336" spans="13:13" x14ac:dyDescent="0.25">
      <c r="M7336" s="18"/>
    </row>
    <row r="7337" spans="13:13" x14ac:dyDescent="0.25">
      <c r="M7337" s="18"/>
    </row>
    <row r="7338" spans="13:13" x14ac:dyDescent="0.25">
      <c r="M7338" s="18"/>
    </row>
    <row r="7339" spans="13:13" x14ac:dyDescent="0.25">
      <c r="M7339" s="18"/>
    </row>
    <row r="7340" spans="13:13" x14ac:dyDescent="0.25">
      <c r="M7340" s="18"/>
    </row>
    <row r="7341" spans="13:13" x14ac:dyDescent="0.25">
      <c r="M7341" s="18"/>
    </row>
    <row r="7342" spans="13:13" x14ac:dyDescent="0.25">
      <c r="M7342" s="18"/>
    </row>
    <row r="7343" spans="13:13" x14ac:dyDescent="0.25">
      <c r="M7343" s="18"/>
    </row>
    <row r="7344" spans="13:13" x14ac:dyDescent="0.25">
      <c r="M7344" s="18"/>
    </row>
    <row r="7345" spans="13:13" x14ac:dyDescent="0.25">
      <c r="M7345" s="18"/>
    </row>
    <row r="7346" spans="13:13" x14ac:dyDescent="0.25">
      <c r="M7346" s="18"/>
    </row>
    <row r="7347" spans="13:13" x14ac:dyDescent="0.25">
      <c r="M7347" s="18"/>
    </row>
    <row r="7348" spans="13:13" x14ac:dyDescent="0.25">
      <c r="M7348" s="18"/>
    </row>
    <row r="7349" spans="13:13" x14ac:dyDescent="0.25">
      <c r="M7349" s="18"/>
    </row>
    <row r="7350" spans="13:13" x14ac:dyDescent="0.25">
      <c r="M7350" s="18"/>
    </row>
    <row r="7351" spans="13:13" x14ac:dyDescent="0.25">
      <c r="M7351" s="18"/>
    </row>
    <row r="7352" spans="13:13" x14ac:dyDescent="0.25">
      <c r="M7352" s="18"/>
    </row>
    <row r="7353" spans="13:13" x14ac:dyDescent="0.25">
      <c r="M7353" s="18"/>
    </row>
    <row r="7354" spans="13:13" x14ac:dyDescent="0.25">
      <c r="M7354" s="18"/>
    </row>
    <row r="7355" spans="13:13" x14ac:dyDescent="0.25">
      <c r="M7355" s="18"/>
    </row>
    <row r="7356" spans="13:13" x14ac:dyDescent="0.25">
      <c r="M7356" s="18"/>
    </row>
    <row r="7357" spans="13:13" x14ac:dyDescent="0.25">
      <c r="M7357" s="18"/>
    </row>
    <row r="7358" spans="13:13" x14ac:dyDescent="0.25">
      <c r="M7358" s="18"/>
    </row>
    <row r="7359" spans="13:13" x14ac:dyDescent="0.25">
      <c r="M7359" s="18"/>
    </row>
    <row r="7360" spans="13:13" x14ac:dyDescent="0.25">
      <c r="M7360" s="18"/>
    </row>
    <row r="7361" spans="13:13" x14ac:dyDescent="0.25">
      <c r="M7361" s="18"/>
    </row>
    <row r="7362" spans="13:13" x14ac:dyDescent="0.25">
      <c r="M7362" s="18"/>
    </row>
    <row r="7363" spans="13:13" x14ac:dyDescent="0.25">
      <c r="M7363" s="18"/>
    </row>
    <row r="7364" spans="13:13" x14ac:dyDescent="0.25">
      <c r="M7364" s="18"/>
    </row>
    <row r="7365" spans="13:13" x14ac:dyDescent="0.25">
      <c r="M7365" s="18"/>
    </row>
    <row r="7366" spans="13:13" x14ac:dyDescent="0.25">
      <c r="M7366" s="18"/>
    </row>
    <row r="7367" spans="13:13" x14ac:dyDescent="0.25">
      <c r="M7367" s="18"/>
    </row>
    <row r="7368" spans="13:13" x14ac:dyDescent="0.25">
      <c r="M7368" s="18"/>
    </row>
    <row r="7369" spans="13:13" x14ac:dyDescent="0.25">
      <c r="M7369" s="18"/>
    </row>
    <row r="7370" spans="13:13" x14ac:dyDescent="0.25">
      <c r="M7370" s="18"/>
    </row>
    <row r="7371" spans="13:13" x14ac:dyDescent="0.25">
      <c r="M7371" s="18"/>
    </row>
    <row r="7372" spans="13:13" x14ac:dyDescent="0.25">
      <c r="M7372" s="18"/>
    </row>
    <row r="7373" spans="13:13" x14ac:dyDescent="0.25">
      <c r="M7373" s="18"/>
    </row>
    <row r="7374" spans="13:13" x14ac:dyDescent="0.25">
      <c r="M7374" s="18"/>
    </row>
    <row r="7375" spans="13:13" x14ac:dyDescent="0.25">
      <c r="M7375" s="18"/>
    </row>
    <row r="7376" spans="13:13" x14ac:dyDescent="0.25">
      <c r="M7376" s="18"/>
    </row>
    <row r="7377" spans="13:13" x14ac:dyDescent="0.25">
      <c r="M7377" s="18"/>
    </row>
    <row r="7378" spans="13:13" x14ac:dyDescent="0.25">
      <c r="M7378" s="18"/>
    </row>
    <row r="7379" spans="13:13" x14ac:dyDescent="0.25">
      <c r="M7379" s="18"/>
    </row>
    <row r="7380" spans="13:13" x14ac:dyDescent="0.25">
      <c r="M7380" s="18"/>
    </row>
    <row r="7381" spans="13:13" x14ac:dyDescent="0.25">
      <c r="M7381" s="18"/>
    </row>
    <row r="7382" spans="13:13" x14ac:dyDescent="0.25">
      <c r="M7382" s="18"/>
    </row>
    <row r="7383" spans="13:13" x14ac:dyDescent="0.25">
      <c r="M7383" s="18"/>
    </row>
    <row r="7384" spans="13:13" x14ac:dyDescent="0.25">
      <c r="M7384" s="18"/>
    </row>
    <row r="7385" spans="13:13" x14ac:dyDescent="0.25">
      <c r="M7385" s="18"/>
    </row>
    <row r="7386" spans="13:13" x14ac:dyDescent="0.25">
      <c r="M7386" s="18"/>
    </row>
    <row r="7387" spans="13:13" x14ac:dyDescent="0.25">
      <c r="M7387" s="18"/>
    </row>
    <row r="7388" spans="13:13" x14ac:dyDescent="0.25">
      <c r="M7388" s="18"/>
    </row>
    <row r="7389" spans="13:13" x14ac:dyDescent="0.25">
      <c r="M7389" s="18"/>
    </row>
    <row r="7390" spans="13:13" x14ac:dyDescent="0.25">
      <c r="M7390" s="18"/>
    </row>
    <row r="7391" spans="13:13" x14ac:dyDescent="0.25">
      <c r="M7391" s="18"/>
    </row>
    <row r="7392" spans="13:13" x14ac:dyDescent="0.25">
      <c r="M7392" s="18"/>
    </row>
    <row r="7393" spans="13:13" x14ac:dyDescent="0.25">
      <c r="M7393" s="18"/>
    </row>
    <row r="7394" spans="13:13" x14ac:dyDescent="0.25">
      <c r="M7394" s="18"/>
    </row>
    <row r="7395" spans="13:13" x14ac:dyDescent="0.25">
      <c r="M7395" s="18"/>
    </row>
    <row r="7396" spans="13:13" x14ac:dyDescent="0.25">
      <c r="M7396" s="18"/>
    </row>
    <row r="7397" spans="13:13" x14ac:dyDescent="0.25">
      <c r="M7397" s="18"/>
    </row>
    <row r="7398" spans="13:13" x14ac:dyDescent="0.25">
      <c r="M7398" s="18"/>
    </row>
    <row r="7399" spans="13:13" x14ac:dyDescent="0.25">
      <c r="M7399" s="18"/>
    </row>
    <row r="7400" spans="13:13" x14ac:dyDescent="0.25">
      <c r="M7400" s="18"/>
    </row>
    <row r="7401" spans="13:13" x14ac:dyDescent="0.25">
      <c r="M7401" s="18"/>
    </row>
    <row r="7402" spans="13:13" x14ac:dyDescent="0.25">
      <c r="M7402" s="18"/>
    </row>
    <row r="7403" spans="13:13" x14ac:dyDescent="0.25">
      <c r="M7403" s="18"/>
    </row>
    <row r="7404" spans="13:13" x14ac:dyDescent="0.25">
      <c r="M7404" s="18"/>
    </row>
    <row r="7405" spans="13:13" x14ac:dyDescent="0.25">
      <c r="M7405" s="18"/>
    </row>
    <row r="7406" spans="13:13" x14ac:dyDescent="0.25">
      <c r="M7406" s="18"/>
    </row>
    <row r="7407" spans="13:13" x14ac:dyDescent="0.25">
      <c r="M7407" s="18"/>
    </row>
    <row r="7408" spans="13:13" x14ac:dyDescent="0.25">
      <c r="M7408" s="18"/>
    </row>
    <row r="7409" spans="13:13" x14ac:dyDescent="0.25">
      <c r="M7409" s="18"/>
    </row>
    <row r="7410" spans="13:13" x14ac:dyDescent="0.25">
      <c r="M7410" s="18"/>
    </row>
    <row r="7411" spans="13:13" x14ac:dyDescent="0.25">
      <c r="M7411" s="18"/>
    </row>
    <row r="7412" spans="13:13" x14ac:dyDescent="0.25">
      <c r="M7412" s="18"/>
    </row>
    <row r="7413" spans="13:13" x14ac:dyDescent="0.25">
      <c r="M7413" s="18"/>
    </row>
    <row r="7414" spans="13:13" x14ac:dyDescent="0.25">
      <c r="M7414" s="18"/>
    </row>
    <row r="7415" spans="13:13" x14ac:dyDescent="0.25">
      <c r="M7415" s="18"/>
    </row>
    <row r="7416" spans="13:13" x14ac:dyDescent="0.25">
      <c r="M7416" s="18"/>
    </row>
    <row r="7417" spans="13:13" x14ac:dyDescent="0.25">
      <c r="M7417" s="18"/>
    </row>
    <row r="7418" spans="13:13" x14ac:dyDescent="0.25">
      <c r="M7418" s="18"/>
    </row>
    <row r="7419" spans="13:13" x14ac:dyDescent="0.25">
      <c r="M7419" s="18"/>
    </row>
    <row r="7420" spans="13:13" x14ac:dyDescent="0.25">
      <c r="M7420" s="18"/>
    </row>
    <row r="7421" spans="13:13" x14ac:dyDescent="0.25">
      <c r="M7421" s="18"/>
    </row>
    <row r="7422" spans="13:13" x14ac:dyDescent="0.25">
      <c r="M7422" s="18"/>
    </row>
    <row r="7423" spans="13:13" x14ac:dyDescent="0.25">
      <c r="M7423" s="18"/>
    </row>
    <row r="7424" spans="13:13" x14ac:dyDescent="0.25">
      <c r="M7424" s="18"/>
    </row>
    <row r="7425" spans="13:13" x14ac:dyDescent="0.25">
      <c r="M7425" s="18"/>
    </row>
    <row r="7426" spans="13:13" x14ac:dyDescent="0.25">
      <c r="M7426" s="18"/>
    </row>
    <row r="7427" spans="13:13" x14ac:dyDescent="0.25">
      <c r="M7427" s="18"/>
    </row>
    <row r="7428" spans="13:13" x14ac:dyDescent="0.25">
      <c r="M7428" s="18"/>
    </row>
    <row r="7429" spans="13:13" x14ac:dyDescent="0.25">
      <c r="M7429" s="18"/>
    </row>
    <row r="7430" spans="13:13" x14ac:dyDescent="0.25">
      <c r="M7430" s="18"/>
    </row>
    <row r="7431" spans="13:13" x14ac:dyDescent="0.25">
      <c r="M7431" s="18"/>
    </row>
    <row r="7432" spans="13:13" x14ac:dyDescent="0.25">
      <c r="M7432" s="18"/>
    </row>
    <row r="7433" spans="13:13" x14ac:dyDescent="0.25">
      <c r="M7433" s="18"/>
    </row>
    <row r="7434" spans="13:13" x14ac:dyDescent="0.25">
      <c r="M7434" s="18"/>
    </row>
    <row r="7435" spans="13:13" x14ac:dyDescent="0.25">
      <c r="M7435" s="18"/>
    </row>
    <row r="7436" spans="13:13" x14ac:dyDescent="0.25">
      <c r="M7436" s="18"/>
    </row>
    <row r="7437" spans="13:13" x14ac:dyDescent="0.25">
      <c r="M7437" s="18"/>
    </row>
    <row r="7438" spans="13:13" x14ac:dyDescent="0.25">
      <c r="M7438" s="18"/>
    </row>
    <row r="7439" spans="13:13" x14ac:dyDescent="0.25">
      <c r="M7439" s="18"/>
    </row>
    <row r="7440" spans="13:13" x14ac:dyDescent="0.25">
      <c r="M7440" s="18"/>
    </row>
    <row r="7441" spans="13:13" x14ac:dyDescent="0.25">
      <c r="M7441" s="18"/>
    </row>
    <row r="7442" spans="13:13" x14ac:dyDescent="0.25">
      <c r="M7442" s="18"/>
    </row>
    <row r="7443" spans="13:13" x14ac:dyDescent="0.25">
      <c r="M7443" s="18"/>
    </row>
    <row r="7444" spans="13:13" x14ac:dyDescent="0.25">
      <c r="M7444" s="18"/>
    </row>
    <row r="7445" spans="13:13" x14ac:dyDescent="0.25">
      <c r="M7445" s="18"/>
    </row>
    <row r="7446" spans="13:13" x14ac:dyDescent="0.25">
      <c r="M7446" s="18"/>
    </row>
    <row r="7447" spans="13:13" x14ac:dyDescent="0.25">
      <c r="M7447" s="18"/>
    </row>
    <row r="7448" spans="13:13" x14ac:dyDescent="0.25">
      <c r="M7448" s="18"/>
    </row>
    <row r="7449" spans="13:13" x14ac:dyDescent="0.25">
      <c r="M7449" s="18"/>
    </row>
    <row r="7450" spans="13:13" x14ac:dyDescent="0.25">
      <c r="M7450" s="18"/>
    </row>
    <row r="7451" spans="13:13" x14ac:dyDescent="0.25">
      <c r="M7451" s="18"/>
    </row>
    <row r="7452" spans="13:13" x14ac:dyDescent="0.25">
      <c r="M7452" s="18"/>
    </row>
    <row r="7453" spans="13:13" x14ac:dyDescent="0.25">
      <c r="M7453" s="18"/>
    </row>
    <row r="7454" spans="13:13" x14ac:dyDescent="0.25">
      <c r="M7454" s="18"/>
    </row>
    <row r="7455" spans="13:13" x14ac:dyDescent="0.25">
      <c r="M7455" s="18"/>
    </row>
    <row r="7456" spans="13:13" x14ac:dyDescent="0.25">
      <c r="M7456" s="18"/>
    </row>
    <row r="7457" spans="13:13" x14ac:dyDescent="0.25">
      <c r="M7457" s="18"/>
    </row>
    <row r="7458" spans="13:13" x14ac:dyDescent="0.25">
      <c r="M7458" s="18"/>
    </row>
    <row r="7459" spans="13:13" x14ac:dyDescent="0.25">
      <c r="M7459" s="18"/>
    </row>
    <row r="7460" spans="13:13" x14ac:dyDescent="0.25">
      <c r="M7460" s="18"/>
    </row>
    <row r="7461" spans="13:13" x14ac:dyDescent="0.25">
      <c r="M7461" s="18"/>
    </row>
    <row r="7462" spans="13:13" x14ac:dyDescent="0.25">
      <c r="M7462" s="18"/>
    </row>
    <row r="7463" spans="13:13" x14ac:dyDescent="0.25">
      <c r="M7463" s="18"/>
    </row>
    <row r="7464" spans="13:13" x14ac:dyDescent="0.25">
      <c r="M7464" s="18"/>
    </row>
    <row r="7465" spans="13:13" x14ac:dyDescent="0.25">
      <c r="M7465" s="18"/>
    </row>
    <row r="7466" spans="13:13" x14ac:dyDescent="0.25">
      <c r="M7466" s="18"/>
    </row>
    <row r="7467" spans="13:13" x14ac:dyDescent="0.25">
      <c r="M7467" s="18"/>
    </row>
    <row r="7468" spans="13:13" x14ac:dyDescent="0.25">
      <c r="M7468" s="18"/>
    </row>
    <row r="7469" spans="13:13" x14ac:dyDescent="0.25">
      <c r="M7469" s="18"/>
    </row>
    <row r="7470" spans="13:13" x14ac:dyDescent="0.25">
      <c r="M7470" s="18"/>
    </row>
    <row r="7471" spans="13:13" x14ac:dyDescent="0.25">
      <c r="M7471" s="18"/>
    </row>
    <row r="7472" spans="13:13" x14ac:dyDescent="0.25">
      <c r="M7472" s="18"/>
    </row>
    <row r="7473" spans="13:13" x14ac:dyDescent="0.25">
      <c r="M7473" s="18"/>
    </row>
    <row r="7474" spans="13:13" x14ac:dyDescent="0.25">
      <c r="M7474" s="18"/>
    </row>
    <row r="7475" spans="13:13" x14ac:dyDescent="0.25">
      <c r="M7475" s="18"/>
    </row>
    <row r="7476" spans="13:13" x14ac:dyDescent="0.25">
      <c r="M7476" s="18"/>
    </row>
    <row r="7477" spans="13:13" x14ac:dyDescent="0.25">
      <c r="M7477" s="18"/>
    </row>
    <row r="7478" spans="13:13" x14ac:dyDescent="0.25">
      <c r="M7478" s="18"/>
    </row>
    <row r="7479" spans="13:13" x14ac:dyDescent="0.25">
      <c r="M7479" s="18"/>
    </row>
    <row r="7480" spans="13:13" x14ac:dyDescent="0.25">
      <c r="M7480" s="18"/>
    </row>
    <row r="7481" spans="13:13" x14ac:dyDescent="0.25">
      <c r="M7481" s="18"/>
    </row>
    <row r="7482" spans="13:13" x14ac:dyDescent="0.25">
      <c r="M7482" s="18"/>
    </row>
    <row r="7483" spans="13:13" x14ac:dyDescent="0.25">
      <c r="M7483" s="18"/>
    </row>
    <row r="7484" spans="13:13" x14ac:dyDescent="0.25">
      <c r="M7484" s="18"/>
    </row>
    <row r="7485" spans="13:13" x14ac:dyDescent="0.25">
      <c r="M7485" s="18"/>
    </row>
    <row r="7486" spans="13:13" x14ac:dyDescent="0.25">
      <c r="M7486" s="18"/>
    </row>
    <row r="7487" spans="13:13" x14ac:dyDescent="0.25">
      <c r="M7487" s="18"/>
    </row>
    <row r="7488" spans="13:13" x14ac:dyDescent="0.25">
      <c r="M7488" s="18"/>
    </row>
    <row r="7489" spans="13:13" x14ac:dyDescent="0.25">
      <c r="M7489" s="18"/>
    </row>
    <row r="7490" spans="13:13" x14ac:dyDescent="0.25">
      <c r="M7490" s="18"/>
    </row>
    <row r="7491" spans="13:13" x14ac:dyDescent="0.25">
      <c r="M7491" s="18"/>
    </row>
    <row r="7492" spans="13:13" x14ac:dyDescent="0.25">
      <c r="M7492" s="18"/>
    </row>
    <row r="7493" spans="13:13" x14ac:dyDescent="0.25">
      <c r="M7493" s="18"/>
    </row>
    <row r="7494" spans="13:13" x14ac:dyDescent="0.25">
      <c r="M7494" s="18"/>
    </row>
    <row r="7495" spans="13:13" x14ac:dyDescent="0.25">
      <c r="M7495" s="18"/>
    </row>
    <row r="7496" spans="13:13" x14ac:dyDescent="0.25">
      <c r="M7496" s="18"/>
    </row>
    <row r="7497" spans="13:13" x14ac:dyDescent="0.25">
      <c r="M7497" s="18"/>
    </row>
    <row r="7498" spans="13:13" x14ac:dyDescent="0.25">
      <c r="M7498" s="18"/>
    </row>
    <row r="7499" spans="13:13" x14ac:dyDescent="0.25">
      <c r="M7499" s="18"/>
    </row>
    <row r="7500" spans="13:13" x14ac:dyDescent="0.25">
      <c r="M7500" s="18"/>
    </row>
    <row r="7501" spans="13:13" x14ac:dyDescent="0.25">
      <c r="M7501" s="18"/>
    </row>
    <row r="7502" spans="13:13" x14ac:dyDescent="0.25">
      <c r="M7502" s="18"/>
    </row>
    <row r="7503" spans="13:13" x14ac:dyDescent="0.25">
      <c r="M7503" s="18"/>
    </row>
    <row r="7504" spans="13:13" x14ac:dyDescent="0.25">
      <c r="M7504" s="18"/>
    </row>
    <row r="7505" spans="13:13" x14ac:dyDescent="0.25">
      <c r="M7505" s="18"/>
    </row>
    <row r="7506" spans="13:13" x14ac:dyDescent="0.25">
      <c r="M7506" s="18"/>
    </row>
    <row r="7507" spans="13:13" x14ac:dyDescent="0.25">
      <c r="M7507" s="18"/>
    </row>
    <row r="7508" spans="13:13" x14ac:dyDescent="0.25">
      <c r="M7508" s="18"/>
    </row>
    <row r="7509" spans="13:13" x14ac:dyDescent="0.25">
      <c r="M7509" s="18"/>
    </row>
    <row r="7510" spans="13:13" x14ac:dyDescent="0.25">
      <c r="M7510" s="18"/>
    </row>
    <row r="7511" spans="13:13" x14ac:dyDescent="0.25">
      <c r="M7511" s="18"/>
    </row>
    <row r="7512" spans="13:13" x14ac:dyDescent="0.25">
      <c r="M7512" s="18"/>
    </row>
    <row r="7513" spans="13:13" x14ac:dyDescent="0.25">
      <c r="M7513" s="18"/>
    </row>
    <row r="7514" spans="13:13" x14ac:dyDescent="0.25">
      <c r="M7514" s="18"/>
    </row>
    <row r="7515" spans="13:13" x14ac:dyDescent="0.25">
      <c r="M7515" s="18"/>
    </row>
    <row r="7516" spans="13:13" x14ac:dyDescent="0.25">
      <c r="M7516" s="18"/>
    </row>
    <row r="7517" spans="13:13" x14ac:dyDescent="0.25">
      <c r="M7517" s="18"/>
    </row>
    <row r="7518" spans="13:13" x14ac:dyDescent="0.25">
      <c r="M7518" s="18"/>
    </row>
    <row r="7519" spans="13:13" x14ac:dyDescent="0.25">
      <c r="M7519" s="18"/>
    </row>
    <row r="7520" spans="13:13" x14ac:dyDescent="0.25">
      <c r="M7520" s="18"/>
    </row>
    <row r="7521" spans="13:13" x14ac:dyDescent="0.25">
      <c r="M7521" s="18"/>
    </row>
    <row r="7522" spans="13:13" x14ac:dyDescent="0.25">
      <c r="M7522" s="18"/>
    </row>
    <row r="7523" spans="13:13" x14ac:dyDescent="0.25">
      <c r="M7523" s="18"/>
    </row>
    <row r="7524" spans="13:13" x14ac:dyDescent="0.25">
      <c r="M7524" s="18"/>
    </row>
    <row r="7525" spans="13:13" x14ac:dyDescent="0.25">
      <c r="M7525" s="18"/>
    </row>
    <row r="7526" spans="13:13" x14ac:dyDescent="0.25">
      <c r="M7526" s="18"/>
    </row>
    <row r="7527" spans="13:13" x14ac:dyDescent="0.25">
      <c r="M7527" s="18"/>
    </row>
    <row r="7528" spans="13:13" x14ac:dyDescent="0.25">
      <c r="M7528" s="18"/>
    </row>
    <row r="7529" spans="13:13" x14ac:dyDescent="0.25">
      <c r="M7529" s="18"/>
    </row>
    <row r="7530" spans="13:13" x14ac:dyDescent="0.25">
      <c r="M7530" s="18"/>
    </row>
    <row r="7531" spans="13:13" x14ac:dyDescent="0.25">
      <c r="M7531" s="18"/>
    </row>
    <row r="7532" spans="13:13" x14ac:dyDescent="0.25">
      <c r="M7532" s="18"/>
    </row>
    <row r="7533" spans="13:13" x14ac:dyDescent="0.25">
      <c r="M7533" s="18"/>
    </row>
    <row r="7534" spans="13:13" x14ac:dyDescent="0.25">
      <c r="M7534" s="18"/>
    </row>
    <row r="7535" spans="13:13" x14ac:dyDescent="0.25">
      <c r="M7535" s="18"/>
    </row>
    <row r="7536" spans="13:13" x14ac:dyDescent="0.25">
      <c r="M7536" s="18"/>
    </row>
    <row r="7537" spans="13:13" x14ac:dyDescent="0.25">
      <c r="M7537" s="18"/>
    </row>
    <row r="7538" spans="13:13" x14ac:dyDescent="0.25">
      <c r="M7538" s="18"/>
    </row>
    <row r="7539" spans="13:13" x14ac:dyDescent="0.25">
      <c r="M7539" s="18"/>
    </row>
    <row r="7540" spans="13:13" x14ac:dyDescent="0.25">
      <c r="M7540" s="18"/>
    </row>
    <row r="7541" spans="13:13" x14ac:dyDescent="0.25">
      <c r="M7541" s="18"/>
    </row>
    <row r="7542" spans="13:13" x14ac:dyDescent="0.25">
      <c r="M7542" s="18"/>
    </row>
    <row r="7543" spans="13:13" x14ac:dyDescent="0.25">
      <c r="M7543" s="18"/>
    </row>
    <row r="7544" spans="13:13" x14ac:dyDescent="0.25">
      <c r="M7544" s="18"/>
    </row>
    <row r="7545" spans="13:13" x14ac:dyDescent="0.25">
      <c r="M7545" s="18"/>
    </row>
    <row r="7546" spans="13:13" x14ac:dyDescent="0.25">
      <c r="M7546" s="18"/>
    </row>
    <row r="7547" spans="13:13" x14ac:dyDescent="0.25">
      <c r="M7547" s="18"/>
    </row>
    <row r="7548" spans="13:13" x14ac:dyDescent="0.25">
      <c r="M7548" s="18"/>
    </row>
    <row r="7549" spans="13:13" x14ac:dyDescent="0.25">
      <c r="M7549" s="18"/>
    </row>
    <row r="7550" spans="13:13" x14ac:dyDescent="0.25">
      <c r="M7550" s="18"/>
    </row>
    <row r="7551" spans="13:13" x14ac:dyDescent="0.25">
      <c r="M7551" s="18"/>
    </row>
    <row r="7552" spans="13:13" x14ac:dyDescent="0.25">
      <c r="M7552" s="18"/>
    </row>
    <row r="7553" spans="13:13" x14ac:dyDescent="0.25">
      <c r="M7553" s="18"/>
    </row>
    <row r="7554" spans="13:13" x14ac:dyDescent="0.25">
      <c r="M7554" s="18"/>
    </row>
    <row r="7555" spans="13:13" x14ac:dyDescent="0.25">
      <c r="M7555" s="18"/>
    </row>
    <row r="7556" spans="13:13" x14ac:dyDescent="0.25">
      <c r="M7556" s="18"/>
    </row>
    <row r="7557" spans="13:13" x14ac:dyDescent="0.25">
      <c r="M7557" s="18"/>
    </row>
    <row r="7558" spans="13:13" x14ac:dyDescent="0.25">
      <c r="M7558" s="18"/>
    </row>
    <row r="7559" spans="13:13" x14ac:dyDescent="0.25">
      <c r="M7559" s="18"/>
    </row>
    <row r="7560" spans="13:13" x14ac:dyDescent="0.25">
      <c r="M7560" s="18"/>
    </row>
    <row r="7561" spans="13:13" x14ac:dyDescent="0.25">
      <c r="M7561" s="18"/>
    </row>
    <row r="7562" spans="13:13" x14ac:dyDescent="0.25">
      <c r="M7562" s="18"/>
    </row>
    <row r="7563" spans="13:13" x14ac:dyDescent="0.25">
      <c r="M7563" s="18"/>
    </row>
    <row r="7564" spans="13:13" x14ac:dyDescent="0.25">
      <c r="M7564" s="18"/>
    </row>
    <row r="7565" spans="13:13" x14ac:dyDescent="0.25">
      <c r="M7565" s="18"/>
    </row>
    <row r="7566" spans="13:13" x14ac:dyDescent="0.25">
      <c r="M7566" s="18"/>
    </row>
    <row r="7567" spans="13:13" x14ac:dyDescent="0.25">
      <c r="M7567" s="18"/>
    </row>
    <row r="7568" spans="13:13" x14ac:dyDescent="0.25">
      <c r="M7568" s="18"/>
    </row>
    <row r="7569" spans="13:13" x14ac:dyDescent="0.25">
      <c r="M7569" s="18"/>
    </row>
    <row r="7570" spans="13:13" x14ac:dyDescent="0.25">
      <c r="M7570" s="18"/>
    </row>
    <row r="7571" spans="13:13" x14ac:dyDescent="0.25">
      <c r="M7571" s="18"/>
    </row>
    <row r="7572" spans="13:13" x14ac:dyDescent="0.25">
      <c r="M7572" s="18"/>
    </row>
    <row r="7573" spans="13:13" x14ac:dyDescent="0.25">
      <c r="M7573" s="18"/>
    </row>
    <row r="7574" spans="13:13" x14ac:dyDescent="0.25">
      <c r="M7574" s="18"/>
    </row>
    <row r="7575" spans="13:13" x14ac:dyDescent="0.25">
      <c r="M7575" s="18"/>
    </row>
    <row r="7576" spans="13:13" x14ac:dyDescent="0.25">
      <c r="M7576" s="18"/>
    </row>
    <row r="7577" spans="13:13" x14ac:dyDescent="0.25">
      <c r="M7577" s="18"/>
    </row>
    <row r="7578" spans="13:13" x14ac:dyDescent="0.25">
      <c r="M7578" s="18"/>
    </row>
    <row r="7579" spans="13:13" x14ac:dyDescent="0.25">
      <c r="M7579" s="18"/>
    </row>
    <row r="7580" spans="13:13" x14ac:dyDescent="0.25">
      <c r="M7580" s="18"/>
    </row>
    <row r="7581" spans="13:13" x14ac:dyDescent="0.25">
      <c r="M7581" s="18"/>
    </row>
    <row r="7582" spans="13:13" x14ac:dyDescent="0.25">
      <c r="M7582" s="18"/>
    </row>
    <row r="7583" spans="13:13" x14ac:dyDescent="0.25">
      <c r="M7583" s="18"/>
    </row>
    <row r="7584" spans="13:13" x14ac:dyDescent="0.25">
      <c r="M7584" s="18"/>
    </row>
    <row r="7585" spans="13:13" x14ac:dyDescent="0.25">
      <c r="M7585" s="18"/>
    </row>
    <row r="7586" spans="13:13" x14ac:dyDescent="0.25">
      <c r="M7586" s="18"/>
    </row>
    <row r="7587" spans="13:13" x14ac:dyDescent="0.25">
      <c r="M7587" s="18"/>
    </row>
    <row r="7588" spans="13:13" x14ac:dyDescent="0.25">
      <c r="M7588" s="18"/>
    </row>
    <row r="7589" spans="13:13" x14ac:dyDescent="0.25">
      <c r="M7589" s="18"/>
    </row>
    <row r="7590" spans="13:13" x14ac:dyDescent="0.25">
      <c r="M7590" s="18"/>
    </row>
    <row r="7591" spans="13:13" x14ac:dyDescent="0.25">
      <c r="M7591" s="18"/>
    </row>
    <row r="7592" spans="13:13" x14ac:dyDescent="0.25">
      <c r="M7592" s="18"/>
    </row>
    <row r="7593" spans="13:13" x14ac:dyDescent="0.25">
      <c r="M7593" s="18"/>
    </row>
    <row r="7594" spans="13:13" x14ac:dyDescent="0.25">
      <c r="M7594" s="18"/>
    </row>
    <row r="7595" spans="13:13" x14ac:dyDescent="0.25">
      <c r="M7595" s="18"/>
    </row>
    <row r="7596" spans="13:13" x14ac:dyDescent="0.25">
      <c r="M7596" s="18"/>
    </row>
    <row r="7597" spans="13:13" x14ac:dyDescent="0.25">
      <c r="M7597" s="18"/>
    </row>
    <row r="7598" spans="13:13" x14ac:dyDescent="0.25">
      <c r="M7598" s="18"/>
    </row>
    <row r="7599" spans="13:13" x14ac:dyDescent="0.25">
      <c r="M7599" s="18"/>
    </row>
    <row r="7600" spans="13:13" x14ac:dyDescent="0.25">
      <c r="M7600" s="18"/>
    </row>
    <row r="7601" spans="13:13" x14ac:dyDescent="0.25">
      <c r="M7601" s="18"/>
    </row>
    <row r="7602" spans="13:13" x14ac:dyDescent="0.25">
      <c r="M7602" s="18"/>
    </row>
    <row r="7603" spans="13:13" x14ac:dyDescent="0.25">
      <c r="M7603" s="18"/>
    </row>
    <row r="7604" spans="13:13" x14ac:dyDescent="0.25">
      <c r="M7604" s="18"/>
    </row>
    <row r="7605" spans="13:13" x14ac:dyDescent="0.25">
      <c r="M7605" s="18"/>
    </row>
    <row r="7606" spans="13:13" x14ac:dyDescent="0.25">
      <c r="M7606" s="18"/>
    </row>
    <row r="7607" spans="13:13" x14ac:dyDescent="0.25">
      <c r="M7607" s="18"/>
    </row>
    <row r="7608" spans="13:13" x14ac:dyDescent="0.25">
      <c r="M7608" s="18"/>
    </row>
    <row r="7609" spans="13:13" x14ac:dyDescent="0.25">
      <c r="M7609" s="18"/>
    </row>
    <row r="7610" spans="13:13" x14ac:dyDescent="0.25">
      <c r="M7610" s="18"/>
    </row>
    <row r="7611" spans="13:13" x14ac:dyDescent="0.25">
      <c r="M7611" s="18"/>
    </row>
    <row r="7612" spans="13:13" x14ac:dyDescent="0.25">
      <c r="M7612" s="18"/>
    </row>
    <row r="7613" spans="13:13" x14ac:dyDescent="0.25">
      <c r="M7613" s="18"/>
    </row>
    <row r="7614" spans="13:13" x14ac:dyDescent="0.25">
      <c r="M7614" s="18"/>
    </row>
    <row r="7615" spans="13:13" x14ac:dyDescent="0.25">
      <c r="M7615" s="18"/>
    </row>
    <row r="7616" spans="13:13" x14ac:dyDescent="0.25">
      <c r="M7616" s="18"/>
    </row>
    <row r="7617" spans="13:13" x14ac:dyDescent="0.25">
      <c r="M7617" s="18"/>
    </row>
    <row r="7618" spans="13:13" x14ac:dyDescent="0.25">
      <c r="M7618" s="18"/>
    </row>
    <row r="7619" spans="13:13" x14ac:dyDescent="0.25">
      <c r="M7619" s="18"/>
    </row>
    <row r="7620" spans="13:13" x14ac:dyDescent="0.25">
      <c r="M7620" s="18"/>
    </row>
    <row r="7621" spans="13:13" x14ac:dyDescent="0.25">
      <c r="M7621" s="18"/>
    </row>
    <row r="7622" spans="13:13" x14ac:dyDescent="0.25">
      <c r="M7622" s="18"/>
    </row>
    <row r="7623" spans="13:13" x14ac:dyDescent="0.25">
      <c r="M7623" s="18"/>
    </row>
    <row r="7624" spans="13:13" x14ac:dyDescent="0.25">
      <c r="M7624" s="18"/>
    </row>
    <row r="7625" spans="13:13" x14ac:dyDescent="0.25">
      <c r="M7625" s="18"/>
    </row>
    <row r="7626" spans="13:13" x14ac:dyDescent="0.25">
      <c r="M7626" s="18"/>
    </row>
    <row r="7627" spans="13:13" x14ac:dyDescent="0.25">
      <c r="M7627" s="18"/>
    </row>
    <row r="7628" spans="13:13" x14ac:dyDescent="0.25">
      <c r="M7628" s="18"/>
    </row>
    <row r="7629" spans="13:13" x14ac:dyDescent="0.25">
      <c r="M7629" s="18"/>
    </row>
    <row r="7630" spans="13:13" x14ac:dyDescent="0.25">
      <c r="M7630" s="18"/>
    </row>
    <row r="7631" spans="13:13" x14ac:dyDescent="0.25">
      <c r="M7631" s="18"/>
    </row>
    <row r="7632" spans="13:13" x14ac:dyDescent="0.25">
      <c r="M7632" s="18"/>
    </row>
    <row r="7633" spans="13:13" x14ac:dyDescent="0.25">
      <c r="M7633" s="18"/>
    </row>
    <row r="7634" spans="13:13" x14ac:dyDescent="0.25">
      <c r="M7634" s="18"/>
    </row>
    <row r="7635" spans="13:13" x14ac:dyDescent="0.25">
      <c r="M7635" s="18"/>
    </row>
    <row r="7636" spans="13:13" x14ac:dyDescent="0.25">
      <c r="M7636" s="18"/>
    </row>
    <row r="7637" spans="13:13" x14ac:dyDescent="0.25">
      <c r="M7637" s="18"/>
    </row>
    <row r="7638" spans="13:13" x14ac:dyDescent="0.25">
      <c r="M7638" s="18"/>
    </row>
    <row r="7639" spans="13:13" x14ac:dyDescent="0.25">
      <c r="M7639" s="18"/>
    </row>
    <row r="7640" spans="13:13" x14ac:dyDescent="0.25">
      <c r="M7640" s="18"/>
    </row>
    <row r="7641" spans="13:13" x14ac:dyDescent="0.25">
      <c r="M7641" s="18"/>
    </row>
    <row r="7642" spans="13:13" x14ac:dyDescent="0.25">
      <c r="M7642" s="18"/>
    </row>
    <row r="7643" spans="13:13" x14ac:dyDescent="0.25">
      <c r="M7643" s="18"/>
    </row>
    <row r="7644" spans="13:13" x14ac:dyDescent="0.25">
      <c r="M7644" s="18"/>
    </row>
    <row r="7645" spans="13:13" x14ac:dyDescent="0.25">
      <c r="M7645" s="18"/>
    </row>
    <row r="7646" spans="13:13" x14ac:dyDescent="0.25">
      <c r="M7646" s="18"/>
    </row>
    <row r="7647" spans="13:13" x14ac:dyDescent="0.25">
      <c r="M7647" s="18"/>
    </row>
    <row r="7648" spans="13:13" x14ac:dyDescent="0.25">
      <c r="M7648" s="18"/>
    </row>
    <row r="7649" spans="13:13" x14ac:dyDescent="0.25">
      <c r="M7649" s="18"/>
    </row>
    <row r="7650" spans="13:13" x14ac:dyDescent="0.25">
      <c r="M7650" s="18"/>
    </row>
    <row r="7651" spans="13:13" x14ac:dyDescent="0.25">
      <c r="M7651" s="18"/>
    </row>
    <row r="7652" spans="13:13" x14ac:dyDescent="0.25">
      <c r="M7652" s="18"/>
    </row>
    <row r="7653" spans="13:13" x14ac:dyDescent="0.25">
      <c r="M7653" s="18"/>
    </row>
    <row r="7654" spans="13:13" x14ac:dyDescent="0.25">
      <c r="M7654" s="18"/>
    </row>
    <row r="7655" spans="13:13" x14ac:dyDescent="0.25">
      <c r="M7655" s="18"/>
    </row>
    <row r="7656" spans="13:13" x14ac:dyDescent="0.25">
      <c r="M7656" s="18"/>
    </row>
    <row r="7657" spans="13:13" x14ac:dyDescent="0.25">
      <c r="M7657" s="18"/>
    </row>
    <row r="7658" spans="13:13" x14ac:dyDescent="0.25">
      <c r="M7658" s="18"/>
    </row>
    <row r="7659" spans="13:13" x14ac:dyDescent="0.25">
      <c r="M7659" s="18"/>
    </row>
    <row r="7660" spans="13:13" x14ac:dyDescent="0.25">
      <c r="M7660" s="18"/>
    </row>
    <row r="7661" spans="13:13" x14ac:dyDescent="0.25">
      <c r="M7661" s="18"/>
    </row>
    <row r="7662" spans="13:13" x14ac:dyDescent="0.25">
      <c r="M7662" s="18"/>
    </row>
    <row r="7663" spans="13:13" x14ac:dyDescent="0.25">
      <c r="M7663" s="18"/>
    </row>
    <row r="7664" spans="13:13" x14ac:dyDescent="0.25">
      <c r="M7664" s="18"/>
    </row>
    <row r="7665" spans="13:13" x14ac:dyDescent="0.25">
      <c r="M7665" s="18"/>
    </row>
    <row r="7666" spans="13:13" x14ac:dyDescent="0.25">
      <c r="M7666" s="18"/>
    </row>
    <row r="7667" spans="13:13" x14ac:dyDescent="0.25">
      <c r="M7667" s="18"/>
    </row>
    <row r="7668" spans="13:13" x14ac:dyDescent="0.25">
      <c r="M7668" s="18"/>
    </row>
    <row r="7669" spans="13:13" x14ac:dyDescent="0.25">
      <c r="M7669" s="18"/>
    </row>
    <row r="7670" spans="13:13" x14ac:dyDescent="0.25">
      <c r="M7670" s="18"/>
    </row>
    <row r="7671" spans="13:13" x14ac:dyDescent="0.25">
      <c r="M7671" s="18"/>
    </row>
    <row r="7672" spans="13:13" x14ac:dyDescent="0.25">
      <c r="M7672" s="18"/>
    </row>
    <row r="7673" spans="13:13" x14ac:dyDescent="0.25">
      <c r="M7673" s="18"/>
    </row>
    <row r="7674" spans="13:13" x14ac:dyDescent="0.25">
      <c r="M7674" s="18"/>
    </row>
    <row r="7675" spans="13:13" x14ac:dyDescent="0.25">
      <c r="M7675" s="18"/>
    </row>
    <row r="7676" spans="13:13" x14ac:dyDescent="0.25">
      <c r="M7676" s="18"/>
    </row>
    <row r="7677" spans="13:13" x14ac:dyDescent="0.25">
      <c r="M7677" s="18"/>
    </row>
    <row r="7678" spans="13:13" x14ac:dyDescent="0.25">
      <c r="M7678" s="18"/>
    </row>
    <row r="7679" spans="13:13" x14ac:dyDescent="0.25">
      <c r="M7679" s="18"/>
    </row>
    <row r="7680" spans="13:13" x14ac:dyDescent="0.25">
      <c r="M7680" s="18"/>
    </row>
    <row r="7681" spans="13:13" x14ac:dyDescent="0.25">
      <c r="M7681" s="18"/>
    </row>
    <row r="7682" spans="13:13" x14ac:dyDescent="0.25">
      <c r="M7682" s="18"/>
    </row>
    <row r="7683" spans="13:13" x14ac:dyDescent="0.25">
      <c r="M7683" s="18"/>
    </row>
    <row r="7684" spans="13:13" x14ac:dyDescent="0.25">
      <c r="M7684" s="18"/>
    </row>
    <row r="7685" spans="13:13" x14ac:dyDescent="0.25">
      <c r="M7685" s="18"/>
    </row>
    <row r="7686" spans="13:13" x14ac:dyDescent="0.25">
      <c r="M7686" s="18"/>
    </row>
    <row r="7687" spans="13:13" x14ac:dyDescent="0.25">
      <c r="M7687" s="18"/>
    </row>
    <row r="7688" spans="13:13" x14ac:dyDescent="0.25">
      <c r="M7688" s="18"/>
    </row>
    <row r="7689" spans="13:13" x14ac:dyDescent="0.25">
      <c r="M7689" s="18"/>
    </row>
    <row r="7690" spans="13:13" x14ac:dyDescent="0.25">
      <c r="M7690" s="18"/>
    </row>
    <row r="7691" spans="13:13" x14ac:dyDescent="0.25">
      <c r="M7691" s="18"/>
    </row>
    <row r="7692" spans="13:13" x14ac:dyDescent="0.25">
      <c r="M7692" s="18"/>
    </row>
    <row r="7693" spans="13:13" x14ac:dyDescent="0.25">
      <c r="M7693" s="18"/>
    </row>
    <row r="7694" spans="13:13" x14ac:dyDescent="0.25">
      <c r="M7694" s="18"/>
    </row>
    <row r="7695" spans="13:13" x14ac:dyDescent="0.25">
      <c r="M7695" s="18"/>
    </row>
    <row r="7696" spans="13:13" x14ac:dyDescent="0.25">
      <c r="M7696" s="18"/>
    </row>
    <row r="7697" spans="13:13" x14ac:dyDescent="0.25">
      <c r="M7697" s="18"/>
    </row>
    <row r="7698" spans="13:13" x14ac:dyDescent="0.25">
      <c r="M7698" s="18"/>
    </row>
    <row r="7699" spans="13:13" x14ac:dyDescent="0.25">
      <c r="M7699" s="18"/>
    </row>
    <row r="7700" spans="13:13" x14ac:dyDescent="0.25">
      <c r="M7700" s="18"/>
    </row>
    <row r="7701" spans="13:13" x14ac:dyDescent="0.25">
      <c r="M7701" s="18"/>
    </row>
    <row r="7702" spans="13:13" x14ac:dyDescent="0.25">
      <c r="M7702" s="18"/>
    </row>
    <row r="7703" spans="13:13" x14ac:dyDescent="0.25">
      <c r="M7703" s="18"/>
    </row>
    <row r="7704" spans="13:13" x14ac:dyDescent="0.25">
      <c r="M7704" s="18"/>
    </row>
    <row r="7705" spans="13:13" x14ac:dyDescent="0.25">
      <c r="M7705" s="18"/>
    </row>
    <row r="7706" spans="13:13" x14ac:dyDescent="0.25">
      <c r="M7706" s="18"/>
    </row>
    <row r="7707" spans="13:13" x14ac:dyDescent="0.25">
      <c r="M7707" s="18"/>
    </row>
    <row r="7708" spans="13:13" x14ac:dyDescent="0.25">
      <c r="M7708" s="18"/>
    </row>
    <row r="7709" spans="13:13" x14ac:dyDescent="0.25">
      <c r="M7709" s="18"/>
    </row>
    <row r="7710" spans="13:13" x14ac:dyDescent="0.25">
      <c r="M7710" s="18"/>
    </row>
    <row r="7711" spans="13:13" x14ac:dyDescent="0.25">
      <c r="M7711" s="18"/>
    </row>
    <row r="7712" spans="13:13" x14ac:dyDescent="0.25">
      <c r="M7712" s="18"/>
    </row>
    <row r="7713" spans="13:13" x14ac:dyDescent="0.25">
      <c r="M7713" s="18"/>
    </row>
    <row r="7714" spans="13:13" x14ac:dyDescent="0.25">
      <c r="M7714" s="18"/>
    </row>
    <row r="7715" spans="13:13" x14ac:dyDescent="0.25">
      <c r="M7715" s="18"/>
    </row>
    <row r="7716" spans="13:13" x14ac:dyDescent="0.25">
      <c r="M7716" s="18"/>
    </row>
    <row r="7717" spans="13:13" x14ac:dyDescent="0.25">
      <c r="M7717" s="18"/>
    </row>
    <row r="7718" spans="13:13" x14ac:dyDescent="0.25">
      <c r="M7718" s="18"/>
    </row>
    <row r="7719" spans="13:13" x14ac:dyDescent="0.25">
      <c r="M7719" s="18"/>
    </row>
    <row r="7720" spans="13:13" x14ac:dyDescent="0.25">
      <c r="M7720" s="18"/>
    </row>
    <row r="7721" spans="13:13" x14ac:dyDescent="0.25">
      <c r="M7721" s="18"/>
    </row>
    <row r="7722" spans="13:13" x14ac:dyDescent="0.25">
      <c r="M7722" s="18"/>
    </row>
    <row r="7723" spans="13:13" x14ac:dyDescent="0.25">
      <c r="M7723" s="18"/>
    </row>
    <row r="7724" spans="13:13" x14ac:dyDescent="0.25">
      <c r="M7724" s="18"/>
    </row>
    <row r="7725" spans="13:13" x14ac:dyDescent="0.25">
      <c r="M7725" s="18"/>
    </row>
    <row r="7726" spans="13:13" x14ac:dyDescent="0.25">
      <c r="M7726" s="18"/>
    </row>
    <row r="7727" spans="13:13" x14ac:dyDescent="0.25">
      <c r="M7727" s="18"/>
    </row>
    <row r="7728" spans="13:13" x14ac:dyDescent="0.25">
      <c r="M7728" s="18"/>
    </row>
    <row r="7729" spans="13:13" x14ac:dyDescent="0.25">
      <c r="M7729" s="18"/>
    </row>
    <row r="7730" spans="13:13" x14ac:dyDescent="0.25">
      <c r="M7730" s="18"/>
    </row>
    <row r="7731" spans="13:13" x14ac:dyDescent="0.25">
      <c r="M7731" s="18"/>
    </row>
    <row r="7732" spans="13:13" x14ac:dyDescent="0.25">
      <c r="M7732" s="18"/>
    </row>
    <row r="7733" spans="13:13" x14ac:dyDescent="0.25">
      <c r="M7733" s="18"/>
    </row>
    <row r="7734" spans="13:13" x14ac:dyDescent="0.25">
      <c r="M7734" s="18"/>
    </row>
    <row r="7735" spans="13:13" x14ac:dyDescent="0.25">
      <c r="M7735" s="18"/>
    </row>
    <row r="7736" spans="13:13" x14ac:dyDescent="0.25">
      <c r="M7736" s="18"/>
    </row>
    <row r="7737" spans="13:13" x14ac:dyDescent="0.25">
      <c r="M7737" s="18"/>
    </row>
    <row r="7738" spans="13:13" x14ac:dyDescent="0.25">
      <c r="M7738" s="18"/>
    </row>
    <row r="7739" spans="13:13" x14ac:dyDescent="0.25">
      <c r="M7739" s="18"/>
    </row>
    <row r="7740" spans="13:13" x14ac:dyDescent="0.25">
      <c r="M7740" s="18"/>
    </row>
    <row r="7741" spans="13:13" x14ac:dyDescent="0.25">
      <c r="M7741" s="18"/>
    </row>
    <row r="7742" spans="13:13" x14ac:dyDescent="0.25">
      <c r="M7742" s="18"/>
    </row>
    <row r="7743" spans="13:13" x14ac:dyDescent="0.25">
      <c r="M7743" s="18"/>
    </row>
    <row r="7744" spans="13:13" x14ac:dyDescent="0.25">
      <c r="M7744" s="18"/>
    </row>
    <row r="7745" spans="13:13" x14ac:dyDescent="0.25">
      <c r="M7745" s="18"/>
    </row>
    <row r="7746" spans="13:13" x14ac:dyDescent="0.25">
      <c r="M7746" s="18"/>
    </row>
    <row r="7747" spans="13:13" x14ac:dyDescent="0.25">
      <c r="M7747" s="18"/>
    </row>
    <row r="7748" spans="13:13" x14ac:dyDescent="0.25">
      <c r="M7748" s="18"/>
    </row>
    <row r="7749" spans="13:13" x14ac:dyDescent="0.25">
      <c r="M7749" s="18"/>
    </row>
    <row r="7750" spans="13:13" x14ac:dyDescent="0.25">
      <c r="M7750" s="18"/>
    </row>
    <row r="7751" spans="13:13" x14ac:dyDescent="0.25">
      <c r="M7751" s="18"/>
    </row>
    <row r="7752" spans="13:13" x14ac:dyDescent="0.25">
      <c r="M7752" s="18"/>
    </row>
    <row r="7753" spans="13:13" x14ac:dyDescent="0.25">
      <c r="M7753" s="18"/>
    </row>
    <row r="7754" spans="13:13" x14ac:dyDescent="0.25">
      <c r="M7754" s="18"/>
    </row>
    <row r="7755" spans="13:13" x14ac:dyDescent="0.25">
      <c r="M7755" s="18"/>
    </row>
    <row r="7756" spans="13:13" x14ac:dyDescent="0.25">
      <c r="M7756" s="18"/>
    </row>
    <row r="7757" spans="13:13" x14ac:dyDescent="0.25">
      <c r="M7757" s="18"/>
    </row>
    <row r="7758" spans="13:13" x14ac:dyDescent="0.25">
      <c r="M7758" s="18"/>
    </row>
    <row r="7759" spans="13:13" x14ac:dyDescent="0.25">
      <c r="M7759" s="18"/>
    </row>
    <row r="7760" spans="13:13" x14ac:dyDescent="0.25">
      <c r="M7760" s="18"/>
    </row>
    <row r="7761" spans="13:13" x14ac:dyDescent="0.25">
      <c r="M7761" s="18"/>
    </row>
    <row r="7762" spans="13:13" x14ac:dyDescent="0.25">
      <c r="M7762" s="18"/>
    </row>
    <row r="7763" spans="13:13" x14ac:dyDescent="0.25">
      <c r="M7763" s="18"/>
    </row>
    <row r="7764" spans="13:13" x14ac:dyDescent="0.25">
      <c r="M7764" s="18"/>
    </row>
    <row r="7765" spans="13:13" x14ac:dyDescent="0.25">
      <c r="M7765" s="18"/>
    </row>
    <row r="7766" spans="13:13" x14ac:dyDescent="0.25">
      <c r="M7766" s="18"/>
    </row>
    <row r="7767" spans="13:13" x14ac:dyDescent="0.25">
      <c r="M7767" s="18"/>
    </row>
    <row r="7768" spans="13:13" x14ac:dyDescent="0.25">
      <c r="M7768" s="18"/>
    </row>
    <row r="7769" spans="13:13" x14ac:dyDescent="0.25">
      <c r="M7769" s="18"/>
    </row>
    <row r="7770" spans="13:13" x14ac:dyDescent="0.25">
      <c r="M7770" s="18"/>
    </row>
    <row r="7771" spans="13:13" x14ac:dyDescent="0.25">
      <c r="M7771" s="18"/>
    </row>
    <row r="7772" spans="13:13" x14ac:dyDescent="0.25">
      <c r="M7772" s="18"/>
    </row>
    <row r="7773" spans="13:13" x14ac:dyDescent="0.25">
      <c r="M7773" s="18"/>
    </row>
    <row r="7774" spans="13:13" x14ac:dyDescent="0.25">
      <c r="M7774" s="18"/>
    </row>
    <row r="7775" spans="13:13" x14ac:dyDescent="0.25">
      <c r="M7775" s="18"/>
    </row>
    <row r="7776" spans="13:13" x14ac:dyDescent="0.25">
      <c r="M7776" s="18"/>
    </row>
    <row r="7777" spans="13:13" x14ac:dyDescent="0.25">
      <c r="M7777" s="18"/>
    </row>
    <row r="7778" spans="13:13" x14ac:dyDescent="0.25">
      <c r="M7778" s="18"/>
    </row>
    <row r="7779" spans="13:13" x14ac:dyDescent="0.25">
      <c r="M7779" s="18"/>
    </row>
    <row r="7780" spans="13:13" x14ac:dyDescent="0.25">
      <c r="M7780" s="18"/>
    </row>
    <row r="7781" spans="13:13" x14ac:dyDescent="0.25">
      <c r="M7781" s="18"/>
    </row>
    <row r="7782" spans="13:13" x14ac:dyDescent="0.25">
      <c r="M7782" s="18"/>
    </row>
    <row r="7783" spans="13:13" x14ac:dyDescent="0.25">
      <c r="M7783" s="18"/>
    </row>
    <row r="7784" spans="13:13" x14ac:dyDescent="0.25">
      <c r="M7784" s="18"/>
    </row>
    <row r="7785" spans="13:13" x14ac:dyDescent="0.25">
      <c r="M7785" s="18"/>
    </row>
    <row r="7786" spans="13:13" x14ac:dyDescent="0.25">
      <c r="M7786" s="18"/>
    </row>
    <row r="7787" spans="13:13" x14ac:dyDescent="0.25">
      <c r="M7787" s="18"/>
    </row>
    <row r="7788" spans="13:13" x14ac:dyDescent="0.25">
      <c r="M7788" s="18"/>
    </row>
    <row r="7789" spans="13:13" x14ac:dyDescent="0.25">
      <c r="M7789" s="18"/>
    </row>
    <row r="7790" spans="13:13" x14ac:dyDescent="0.25">
      <c r="M7790" s="18"/>
    </row>
    <row r="7791" spans="13:13" x14ac:dyDescent="0.25">
      <c r="M7791" s="18"/>
    </row>
    <row r="7792" spans="13:13" x14ac:dyDescent="0.25">
      <c r="M7792" s="18"/>
    </row>
    <row r="7793" spans="13:13" x14ac:dyDescent="0.25">
      <c r="M7793" s="18"/>
    </row>
    <row r="7794" spans="13:13" x14ac:dyDescent="0.25">
      <c r="M7794" s="18"/>
    </row>
    <row r="7795" spans="13:13" x14ac:dyDescent="0.25">
      <c r="M7795" s="18"/>
    </row>
    <row r="7796" spans="13:13" x14ac:dyDescent="0.25">
      <c r="M7796" s="18"/>
    </row>
    <row r="7797" spans="13:13" x14ac:dyDescent="0.25">
      <c r="M7797" s="18"/>
    </row>
    <row r="7798" spans="13:13" x14ac:dyDescent="0.25">
      <c r="M7798" s="18"/>
    </row>
    <row r="7799" spans="13:13" x14ac:dyDescent="0.25">
      <c r="M7799" s="18"/>
    </row>
    <row r="7800" spans="13:13" x14ac:dyDescent="0.25">
      <c r="M7800" s="18"/>
    </row>
    <row r="7801" spans="13:13" x14ac:dyDescent="0.25">
      <c r="M7801" s="18"/>
    </row>
    <row r="7802" spans="13:13" x14ac:dyDescent="0.25">
      <c r="M7802" s="18"/>
    </row>
    <row r="7803" spans="13:13" x14ac:dyDescent="0.25">
      <c r="M7803" s="18"/>
    </row>
    <row r="7804" spans="13:13" x14ac:dyDescent="0.25">
      <c r="M7804" s="18"/>
    </row>
    <row r="7805" spans="13:13" x14ac:dyDescent="0.25">
      <c r="M7805" s="18"/>
    </row>
    <row r="7806" spans="13:13" x14ac:dyDescent="0.25">
      <c r="M7806" s="18"/>
    </row>
    <row r="7807" spans="13:13" x14ac:dyDescent="0.25">
      <c r="M7807" s="18"/>
    </row>
    <row r="7808" spans="13:13" x14ac:dyDescent="0.25">
      <c r="M7808" s="18"/>
    </row>
    <row r="7809" spans="13:13" x14ac:dyDescent="0.25">
      <c r="M7809" s="18"/>
    </row>
    <row r="7810" spans="13:13" x14ac:dyDescent="0.25">
      <c r="M7810" s="18"/>
    </row>
    <row r="7811" spans="13:13" x14ac:dyDescent="0.25">
      <c r="M7811" s="18"/>
    </row>
    <row r="7812" spans="13:13" x14ac:dyDescent="0.25">
      <c r="M7812" s="18"/>
    </row>
    <row r="7813" spans="13:13" x14ac:dyDescent="0.25">
      <c r="M7813" s="18"/>
    </row>
    <row r="7814" spans="13:13" x14ac:dyDescent="0.25">
      <c r="M7814" s="18"/>
    </row>
    <row r="7815" spans="13:13" x14ac:dyDescent="0.25">
      <c r="M7815" s="18"/>
    </row>
    <row r="7816" spans="13:13" x14ac:dyDescent="0.25">
      <c r="M7816" s="18"/>
    </row>
    <row r="7817" spans="13:13" x14ac:dyDescent="0.25">
      <c r="M7817" s="18"/>
    </row>
    <row r="7818" spans="13:13" x14ac:dyDescent="0.25">
      <c r="M7818" s="18"/>
    </row>
    <row r="7819" spans="13:13" x14ac:dyDescent="0.25">
      <c r="M7819" s="18"/>
    </row>
    <row r="7820" spans="13:13" x14ac:dyDescent="0.25">
      <c r="M7820" s="18"/>
    </row>
    <row r="7821" spans="13:13" x14ac:dyDescent="0.25">
      <c r="M7821" s="18"/>
    </row>
    <row r="7822" spans="13:13" x14ac:dyDescent="0.25">
      <c r="M7822" s="18"/>
    </row>
    <row r="7823" spans="13:13" x14ac:dyDescent="0.25">
      <c r="M7823" s="18"/>
    </row>
    <row r="7824" spans="13:13" x14ac:dyDescent="0.25">
      <c r="M7824" s="18"/>
    </row>
    <row r="7825" spans="13:13" x14ac:dyDescent="0.25">
      <c r="M7825" s="18"/>
    </row>
    <row r="7826" spans="13:13" x14ac:dyDescent="0.25">
      <c r="M7826" s="18"/>
    </row>
    <row r="7827" spans="13:13" x14ac:dyDescent="0.25">
      <c r="M7827" s="18"/>
    </row>
    <row r="7828" spans="13:13" x14ac:dyDescent="0.25">
      <c r="M7828" s="18"/>
    </row>
    <row r="7829" spans="13:13" x14ac:dyDescent="0.25">
      <c r="M7829" s="18"/>
    </row>
    <row r="7830" spans="13:13" x14ac:dyDescent="0.25">
      <c r="M7830" s="18"/>
    </row>
    <row r="7831" spans="13:13" x14ac:dyDescent="0.25">
      <c r="M7831" s="18"/>
    </row>
    <row r="7832" spans="13:13" x14ac:dyDescent="0.25">
      <c r="M7832" s="18"/>
    </row>
    <row r="7833" spans="13:13" x14ac:dyDescent="0.25">
      <c r="M7833" s="18"/>
    </row>
    <row r="7834" spans="13:13" x14ac:dyDescent="0.25">
      <c r="M7834" s="18"/>
    </row>
    <row r="7835" spans="13:13" x14ac:dyDescent="0.25">
      <c r="M7835" s="18"/>
    </row>
    <row r="7836" spans="13:13" x14ac:dyDescent="0.25">
      <c r="M7836" s="18"/>
    </row>
    <row r="7837" spans="13:13" x14ac:dyDescent="0.25">
      <c r="M7837" s="18"/>
    </row>
    <row r="7838" spans="13:13" x14ac:dyDescent="0.25">
      <c r="M7838" s="18"/>
    </row>
    <row r="7839" spans="13:13" x14ac:dyDescent="0.25">
      <c r="M7839" s="18"/>
    </row>
    <row r="7840" spans="13:13" x14ac:dyDescent="0.25">
      <c r="M7840" s="18"/>
    </row>
    <row r="7841" spans="13:13" x14ac:dyDescent="0.25">
      <c r="M7841" s="18"/>
    </row>
    <row r="7842" spans="13:13" x14ac:dyDescent="0.25">
      <c r="M7842" s="18"/>
    </row>
    <row r="7843" spans="13:13" x14ac:dyDescent="0.25">
      <c r="M7843" s="18"/>
    </row>
    <row r="7844" spans="13:13" x14ac:dyDescent="0.25">
      <c r="M7844" s="18"/>
    </row>
    <row r="7845" spans="13:13" x14ac:dyDescent="0.25">
      <c r="M7845" s="18"/>
    </row>
    <row r="7846" spans="13:13" x14ac:dyDescent="0.25">
      <c r="M7846" s="18"/>
    </row>
    <row r="7847" spans="13:13" x14ac:dyDescent="0.25">
      <c r="M7847" s="18"/>
    </row>
    <row r="7848" spans="13:13" x14ac:dyDescent="0.25">
      <c r="M7848" s="18"/>
    </row>
    <row r="7849" spans="13:13" x14ac:dyDescent="0.25">
      <c r="M7849" s="18"/>
    </row>
    <row r="7850" spans="13:13" x14ac:dyDescent="0.25">
      <c r="M7850" s="18"/>
    </row>
    <row r="7851" spans="13:13" x14ac:dyDescent="0.25">
      <c r="M7851" s="18"/>
    </row>
    <row r="7852" spans="13:13" x14ac:dyDescent="0.25">
      <c r="M7852" s="18"/>
    </row>
    <row r="7853" spans="13:13" x14ac:dyDescent="0.25">
      <c r="M7853" s="18"/>
    </row>
    <row r="7854" spans="13:13" x14ac:dyDescent="0.25">
      <c r="M7854" s="18"/>
    </row>
    <row r="7855" spans="13:13" x14ac:dyDescent="0.25">
      <c r="M7855" s="18"/>
    </row>
    <row r="7856" spans="13:13" x14ac:dyDescent="0.25">
      <c r="M7856" s="18"/>
    </row>
    <row r="7857" spans="13:13" x14ac:dyDescent="0.25">
      <c r="M7857" s="18"/>
    </row>
    <row r="7858" spans="13:13" x14ac:dyDescent="0.25">
      <c r="M7858" s="18"/>
    </row>
    <row r="7859" spans="13:13" x14ac:dyDescent="0.25">
      <c r="M7859" s="18"/>
    </row>
    <row r="7860" spans="13:13" x14ac:dyDescent="0.25">
      <c r="M7860" s="18"/>
    </row>
    <row r="7861" spans="13:13" x14ac:dyDescent="0.25">
      <c r="M7861" s="18"/>
    </row>
    <row r="7862" spans="13:13" x14ac:dyDescent="0.25">
      <c r="M7862" s="18"/>
    </row>
    <row r="7863" spans="13:13" x14ac:dyDescent="0.25">
      <c r="M7863" s="18"/>
    </row>
    <row r="7864" spans="13:13" x14ac:dyDescent="0.25">
      <c r="M7864" s="18"/>
    </row>
    <row r="7865" spans="13:13" x14ac:dyDescent="0.25">
      <c r="M7865" s="18"/>
    </row>
    <row r="7866" spans="13:13" x14ac:dyDescent="0.25">
      <c r="M7866" s="18"/>
    </row>
    <row r="7867" spans="13:13" x14ac:dyDescent="0.25">
      <c r="M7867" s="18"/>
    </row>
    <row r="7868" spans="13:13" x14ac:dyDescent="0.25">
      <c r="M7868" s="18"/>
    </row>
    <row r="7869" spans="13:13" x14ac:dyDescent="0.25">
      <c r="M7869" s="18"/>
    </row>
    <row r="7870" spans="13:13" x14ac:dyDescent="0.25">
      <c r="M7870" s="18"/>
    </row>
    <row r="7871" spans="13:13" x14ac:dyDescent="0.25">
      <c r="M7871" s="18"/>
    </row>
    <row r="7872" spans="13:13" x14ac:dyDescent="0.25">
      <c r="M7872" s="18"/>
    </row>
    <row r="7873" spans="13:13" x14ac:dyDescent="0.25">
      <c r="M7873" s="18"/>
    </row>
    <row r="7874" spans="13:13" x14ac:dyDescent="0.25">
      <c r="M7874" s="18"/>
    </row>
    <row r="7875" spans="13:13" x14ac:dyDescent="0.25">
      <c r="M7875" s="18"/>
    </row>
    <row r="7876" spans="13:13" x14ac:dyDescent="0.25">
      <c r="M7876" s="18"/>
    </row>
    <row r="7877" spans="13:13" x14ac:dyDescent="0.25">
      <c r="M7877" s="18"/>
    </row>
    <row r="7878" spans="13:13" x14ac:dyDescent="0.25">
      <c r="M7878" s="18"/>
    </row>
    <row r="7879" spans="13:13" x14ac:dyDescent="0.25">
      <c r="M7879" s="18"/>
    </row>
    <row r="7880" spans="13:13" x14ac:dyDescent="0.25">
      <c r="M7880" s="18"/>
    </row>
    <row r="7881" spans="13:13" x14ac:dyDescent="0.25">
      <c r="M7881" s="18"/>
    </row>
    <row r="7882" spans="13:13" x14ac:dyDescent="0.25">
      <c r="M7882" s="18"/>
    </row>
    <row r="7883" spans="13:13" x14ac:dyDescent="0.25">
      <c r="M7883" s="18"/>
    </row>
    <row r="7884" spans="13:13" x14ac:dyDescent="0.25">
      <c r="M7884" s="18"/>
    </row>
    <row r="7885" spans="13:13" x14ac:dyDescent="0.25">
      <c r="M7885" s="18"/>
    </row>
    <row r="7886" spans="13:13" x14ac:dyDescent="0.25">
      <c r="M7886" s="18"/>
    </row>
    <row r="7887" spans="13:13" x14ac:dyDescent="0.25">
      <c r="M7887" s="18"/>
    </row>
    <row r="7888" spans="13:13" x14ac:dyDescent="0.25">
      <c r="M7888" s="18"/>
    </row>
    <row r="7889" spans="13:13" x14ac:dyDescent="0.25">
      <c r="M7889" s="18"/>
    </row>
    <row r="7890" spans="13:13" x14ac:dyDescent="0.25">
      <c r="M7890" s="18"/>
    </row>
    <row r="7891" spans="13:13" x14ac:dyDescent="0.25">
      <c r="M7891" s="18"/>
    </row>
    <row r="7892" spans="13:13" x14ac:dyDescent="0.25">
      <c r="M7892" s="18"/>
    </row>
    <row r="7893" spans="13:13" x14ac:dyDescent="0.25">
      <c r="M7893" s="18"/>
    </row>
    <row r="7894" spans="13:13" x14ac:dyDescent="0.25">
      <c r="M7894" s="18"/>
    </row>
    <row r="7895" spans="13:13" x14ac:dyDescent="0.25">
      <c r="M7895" s="18"/>
    </row>
    <row r="7896" spans="13:13" x14ac:dyDescent="0.25">
      <c r="M7896" s="18"/>
    </row>
    <row r="7897" spans="13:13" x14ac:dyDescent="0.25">
      <c r="M7897" s="18"/>
    </row>
    <row r="7898" spans="13:13" x14ac:dyDescent="0.25">
      <c r="M7898" s="18"/>
    </row>
    <row r="7899" spans="13:13" x14ac:dyDescent="0.25">
      <c r="M7899" s="18"/>
    </row>
    <row r="7900" spans="13:13" x14ac:dyDescent="0.25">
      <c r="M7900" s="18"/>
    </row>
    <row r="7901" spans="13:13" x14ac:dyDescent="0.25">
      <c r="M7901" s="18"/>
    </row>
    <row r="7902" spans="13:13" x14ac:dyDescent="0.25">
      <c r="M7902" s="18"/>
    </row>
    <row r="7903" spans="13:13" x14ac:dyDescent="0.25">
      <c r="M7903" s="18"/>
    </row>
    <row r="7904" spans="13:13" x14ac:dyDescent="0.25">
      <c r="M7904" s="18"/>
    </row>
    <row r="7905" spans="13:13" x14ac:dyDescent="0.25">
      <c r="M7905" s="18"/>
    </row>
    <row r="7906" spans="13:13" x14ac:dyDescent="0.25">
      <c r="M7906" s="18"/>
    </row>
    <row r="7907" spans="13:13" x14ac:dyDescent="0.25">
      <c r="M7907" s="18"/>
    </row>
    <row r="7908" spans="13:13" x14ac:dyDescent="0.25">
      <c r="M7908" s="18"/>
    </row>
    <row r="7909" spans="13:13" x14ac:dyDescent="0.25">
      <c r="M7909" s="18"/>
    </row>
    <row r="7910" spans="13:13" x14ac:dyDescent="0.25">
      <c r="M7910" s="18"/>
    </row>
    <row r="7911" spans="13:13" x14ac:dyDescent="0.25">
      <c r="M7911" s="18"/>
    </row>
    <row r="7912" spans="13:13" x14ac:dyDescent="0.25">
      <c r="M7912" s="18"/>
    </row>
    <row r="7913" spans="13:13" x14ac:dyDescent="0.25">
      <c r="M7913" s="18"/>
    </row>
    <row r="7914" spans="13:13" x14ac:dyDescent="0.25">
      <c r="M7914" s="18"/>
    </row>
    <row r="7915" spans="13:13" x14ac:dyDescent="0.25">
      <c r="M7915" s="18"/>
    </row>
    <row r="7916" spans="13:13" x14ac:dyDescent="0.25">
      <c r="M7916" s="18"/>
    </row>
    <row r="7917" spans="13:13" x14ac:dyDescent="0.25">
      <c r="M7917" s="18"/>
    </row>
    <row r="7918" spans="13:13" x14ac:dyDescent="0.25">
      <c r="M7918" s="18"/>
    </row>
    <row r="7919" spans="13:13" x14ac:dyDescent="0.25">
      <c r="M7919" s="18"/>
    </row>
    <row r="7920" spans="13:13" x14ac:dyDescent="0.25">
      <c r="M7920" s="18"/>
    </row>
    <row r="7921" spans="13:13" x14ac:dyDescent="0.25">
      <c r="M7921" s="18"/>
    </row>
    <row r="7922" spans="13:13" x14ac:dyDescent="0.25">
      <c r="M7922" s="18"/>
    </row>
    <row r="7923" spans="13:13" x14ac:dyDescent="0.25">
      <c r="M7923" s="18"/>
    </row>
    <row r="7924" spans="13:13" x14ac:dyDescent="0.25">
      <c r="M7924" s="18"/>
    </row>
    <row r="7925" spans="13:13" x14ac:dyDescent="0.25">
      <c r="M7925" s="18"/>
    </row>
    <row r="7926" spans="13:13" x14ac:dyDescent="0.25">
      <c r="M7926" s="18"/>
    </row>
    <row r="7927" spans="13:13" x14ac:dyDescent="0.25">
      <c r="M7927" s="18"/>
    </row>
    <row r="7928" spans="13:13" x14ac:dyDescent="0.25">
      <c r="M7928" s="18"/>
    </row>
    <row r="7929" spans="13:13" x14ac:dyDescent="0.25">
      <c r="M7929" s="18"/>
    </row>
    <row r="7930" spans="13:13" x14ac:dyDescent="0.25">
      <c r="M7930" s="18"/>
    </row>
    <row r="7931" spans="13:13" x14ac:dyDescent="0.25">
      <c r="M7931" s="18"/>
    </row>
    <row r="7932" spans="13:13" x14ac:dyDescent="0.25">
      <c r="M7932" s="18"/>
    </row>
    <row r="7933" spans="13:13" x14ac:dyDescent="0.25">
      <c r="M7933" s="18"/>
    </row>
    <row r="7934" spans="13:13" x14ac:dyDescent="0.25">
      <c r="M7934" s="18"/>
    </row>
    <row r="7935" spans="13:13" x14ac:dyDescent="0.25">
      <c r="M7935" s="18"/>
    </row>
    <row r="7936" spans="13:13" x14ac:dyDescent="0.25">
      <c r="M7936" s="18"/>
    </row>
    <row r="7937" spans="13:13" x14ac:dyDescent="0.25">
      <c r="M7937" s="18"/>
    </row>
    <row r="7938" spans="13:13" x14ac:dyDescent="0.25">
      <c r="M7938" s="18"/>
    </row>
    <row r="7939" spans="13:13" x14ac:dyDescent="0.25">
      <c r="M7939" s="18"/>
    </row>
    <row r="7940" spans="13:13" x14ac:dyDescent="0.25">
      <c r="M7940" s="18"/>
    </row>
    <row r="7941" spans="13:13" x14ac:dyDescent="0.25">
      <c r="M7941" s="18"/>
    </row>
    <row r="7942" spans="13:13" x14ac:dyDescent="0.25">
      <c r="M7942" s="18"/>
    </row>
    <row r="7943" spans="13:13" x14ac:dyDescent="0.25">
      <c r="M7943" s="18"/>
    </row>
    <row r="7944" spans="13:13" x14ac:dyDescent="0.25">
      <c r="M7944" s="18"/>
    </row>
    <row r="7945" spans="13:13" x14ac:dyDescent="0.25">
      <c r="M7945" s="18"/>
    </row>
    <row r="7946" spans="13:13" x14ac:dyDescent="0.25">
      <c r="M7946" s="18"/>
    </row>
    <row r="7947" spans="13:13" x14ac:dyDescent="0.25">
      <c r="M7947" s="18"/>
    </row>
    <row r="7948" spans="13:13" x14ac:dyDescent="0.25">
      <c r="M7948" s="18"/>
    </row>
    <row r="7949" spans="13:13" x14ac:dyDescent="0.25">
      <c r="M7949" s="18"/>
    </row>
    <row r="7950" spans="13:13" x14ac:dyDescent="0.25">
      <c r="M7950" s="18"/>
    </row>
    <row r="7951" spans="13:13" x14ac:dyDescent="0.25">
      <c r="M7951" s="18"/>
    </row>
    <row r="7952" spans="13:13" x14ac:dyDescent="0.25">
      <c r="M7952" s="18"/>
    </row>
    <row r="7953" spans="13:13" x14ac:dyDescent="0.25">
      <c r="M7953" s="18"/>
    </row>
    <row r="7954" spans="13:13" x14ac:dyDescent="0.25">
      <c r="M7954" s="18"/>
    </row>
    <row r="7955" spans="13:13" x14ac:dyDescent="0.25">
      <c r="M7955" s="18"/>
    </row>
    <row r="7956" spans="13:13" x14ac:dyDescent="0.25">
      <c r="M7956" s="18"/>
    </row>
    <row r="7957" spans="13:13" x14ac:dyDescent="0.25">
      <c r="M7957" s="18"/>
    </row>
    <row r="7958" spans="13:13" x14ac:dyDescent="0.25">
      <c r="M7958" s="18"/>
    </row>
    <row r="7959" spans="13:13" x14ac:dyDescent="0.25">
      <c r="M7959" s="18"/>
    </row>
    <row r="7960" spans="13:13" x14ac:dyDescent="0.25">
      <c r="M7960" s="18"/>
    </row>
    <row r="7961" spans="13:13" x14ac:dyDescent="0.25">
      <c r="M7961" s="18"/>
    </row>
    <row r="7962" spans="13:13" x14ac:dyDescent="0.25">
      <c r="M7962" s="18"/>
    </row>
    <row r="7963" spans="13:13" x14ac:dyDescent="0.25">
      <c r="M7963" s="18"/>
    </row>
    <row r="7964" spans="13:13" x14ac:dyDescent="0.25">
      <c r="M7964" s="18"/>
    </row>
    <row r="7965" spans="13:13" x14ac:dyDescent="0.25">
      <c r="M7965" s="18"/>
    </row>
    <row r="7966" spans="13:13" x14ac:dyDescent="0.25">
      <c r="M7966" s="18"/>
    </row>
    <row r="7967" spans="13:13" x14ac:dyDescent="0.25">
      <c r="M7967" s="18"/>
    </row>
    <row r="7968" spans="13:13" x14ac:dyDescent="0.25">
      <c r="M7968" s="18"/>
    </row>
    <row r="7969" spans="13:13" x14ac:dyDescent="0.25">
      <c r="M7969" s="18"/>
    </row>
    <row r="7970" spans="13:13" x14ac:dyDescent="0.25">
      <c r="M7970" s="18"/>
    </row>
    <row r="7971" spans="13:13" x14ac:dyDescent="0.25">
      <c r="M7971" s="18"/>
    </row>
    <row r="7972" spans="13:13" x14ac:dyDescent="0.25">
      <c r="M7972" s="18"/>
    </row>
    <row r="7973" spans="13:13" x14ac:dyDescent="0.25">
      <c r="M7973" s="18"/>
    </row>
    <row r="7974" spans="13:13" x14ac:dyDescent="0.25">
      <c r="M7974" s="18"/>
    </row>
    <row r="7975" spans="13:13" x14ac:dyDescent="0.25">
      <c r="M7975" s="18"/>
    </row>
    <row r="7976" spans="13:13" x14ac:dyDescent="0.25">
      <c r="M7976" s="18"/>
    </row>
    <row r="7977" spans="13:13" x14ac:dyDescent="0.25">
      <c r="M7977" s="18"/>
    </row>
    <row r="7978" spans="13:13" x14ac:dyDescent="0.25">
      <c r="M7978" s="18"/>
    </row>
    <row r="7979" spans="13:13" x14ac:dyDescent="0.25">
      <c r="M7979" s="18"/>
    </row>
    <row r="7980" spans="13:13" x14ac:dyDescent="0.25">
      <c r="M7980" s="18"/>
    </row>
    <row r="7981" spans="13:13" x14ac:dyDescent="0.25">
      <c r="M7981" s="18"/>
    </row>
    <row r="7982" spans="13:13" x14ac:dyDescent="0.25">
      <c r="M7982" s="18"/>
    </row>
    <row r="7983" spans="13:13" x14ac:dyDescent="0.25">
      <c r="M7983" s="18"/>
    </row>
    <row r="7984" spans="13:13" x14ac:dyDescent="0.25">
      <c r="M7984" s="18"/>
    </row>
    <row r="7985" spans="13:13" x14ac:dyDescent="0.25">
      <c r="M7985" s="18"/>
    </row>
    <row r="7986" spans="13:13" x14ac:dyDescent="0.25">
      <c r="M7986" s="18"/>
    </row>
    <row r="7987" spans="13:13" x14ac:dyDescent="0.25">
      <c r="M7987" s="18"/>
    </row>
    <row r="7988" spans="13:13" x14ac:dyDescent="0.25">
      <c r="M7988" s="18"/>
    </row>
    <row r="7989" spans="13:13" x14ac:dyDescent="0.25">
      <c r="M7989" s="18"/>
    </row>
    <row r="7990" spans="13:13" x14ac:dyDescent="0.25">
      <c r="M7990" s="18"/>
    </row>
    <row r="7991" spans="13:13" x14ac:dyDescent="0.25">
      <c r="M7991" s="18"/>
    </row>
    <row r="7992" spans="13:13" x14ac:dyDescent="0.25">
      <c r="M7992" s="18"/>
    </row>
    <row r="7993" spans="13:13" x14ac:dyDescent="0.25">
      <c r="M7993" s="18"/>
    </row>
    <row r="7994" spans="13:13" x14ac:dyDescent="0.25">
      <c r="M7994" s="18"/>
    </row>
    <row r="7995" spans="13:13" x14ac:dyDescent="0.25">
      <c r="M7995" s="18"/>
    </row>
    <row r="7996" spans="13:13" x14ac:dyDescent="0.25">
      <c r="M7996" s="18"/>
    </row>
    <row r="7997" spans="13:13" x14ac:dyDescent="0.25">
      <c r="M7997" s="18"/>
    </row>
    <row r="7998" spans="13:13" x14ac:dyDescent="0.25">
      <c r="M7998" s="18"/>
    </row>
    <row r="7999" spans="13:13" x14ac:dyDescent="0.25">
      <c r="M7999" s="18"/>
    </row>
    <row r="8000" spans="13:13" x14ac:dyDescent="0.25">
      <c r="M8000" s="18"/>
    </row>
    <row r="8001" spans="13:13" x14ac:dyDescent="0.25">
      <c r="M8001" s="18"/>
    </row>
    <row r="8002" spans="13:13" x14ac:dyDescent="0.25">
      <c r="M8002" s="18"/>
    </row>
    <row r="8003" spans="13:13" x14ac:dyDescent="0.25">
      <c r="M8003" s="18"/>
    </row>
    <row r="8004" spans="13:13" x14ac:dyDescent="0.25">
      <c r="M8004" s="18"/>
    </row>
    <row r="8005" spans="13:13" x14ac:dyDescent="0.25">
      <c r="M8005" s="18"/>
    </row>
    <row r="8006" spans="13:13" x14ac:dyDescent="0.25">
      <c r="M8006" s="18"/>
    </row>
    <row r="8007" spans="13:13" x14ac:dyDescent="0.25">
      <c r="M8007" s="18"/>
    </row>
    <row r="8008" spans="13:13" x14ac:dyDescent="0.25">
      <c r="M8008" s="18"/>
    </row>
    <row r="8009" spans="13:13" x14ac:dyDescent="0.25">
      <c r="M8009" s="18"/>
    </row>
    <row r="8010" spans="13:13" x14ac:dyDescent="0.25">
      <c r="M8010" s="18"/>
    </row>
    <row r="8011" spans="13:13" x14ac:dyDescent="0.25">
      <c r="M8011" s="18"/>
    </row>
    <row r="8012" spans="13:13" x14ac:dyDescent="0.25">
      <c r="M8012" s="18"/>
    </row>
    <row r="8013" spans="13:13" x14ac:dyDescent="0.25">
      <c r="M8013" s="18"/>
    </row>
    <row r="8014" spans="13:13" x14ac:dyDescent="0.25">
      <c r="M8014" s="18"/>
    </row>
    <row r="8015" spans="13:13" x14ac:dyDescent="0.25">
      <c r="M8015" s="18"/>
    </row>
    <row r="8016" spans="13:13" x14ac:dyDescent="0.25">
      <c r="M8016" s="18"/>
    </row>
    <row r="8017" spans="13:13" x14ac:dyDescent="0.25">
      <c r="M8017" s="18"/>
    </row>
    <row r="8018" spans="13:13" x14ac:dyDescent="0.25">
      <c r="M8018" s="18"/>
    </row>
    <row r="8019" spans="13:13" x14ac:dyDescent="0.25">
      <c r="M8019" s="18"/>
    </row>
    <row r="8020" spans="13:13" x14ac:dyDescent="0.25">
      <c r="M8020" s="18"/>
    </row>
    <row r="8021" spans="13:13" x14ac:dyDescent="0.25">
      <c r="M8021" s="18"/>
    </row>
    <row r="8022" spans="13:13" x14ac:dyDescent="0.25">
      <c r="M8022" s="18"/>
    </row>
    <row r="8023" spans="13:13" x14ac:dyDescent="0.25">
      <c r="M8023" s="18"/>
    </row>
    <row r="8024" spans="13:13" x14ac:dyDescent="0.25">
      <c r="M8024" s="18"/>
    </row>
    <row r="8025" spans="13:13" x14ac:dyDescent="0.25">
      <c r="M8025" s="18"/>
    </row>
    <row r="8026" spans="13:13" x14ac:dyDescent="0.25">
      <c r="M8026" s="18"/>
    </row>
    <row r="8027" spans="13:13" x14ac:dyDescent="0.25">
      <c r="M8027" s="18"/>
    </row>
    <row r="8028" spans="13:13" x14ac:dyDescent="0.25">
      <c r="M8028" s="18"/>
    </row>
    <row r="8029" spans="13:13" x14ac:dyDescent="0.25">
      <c r="M8029" s="18"/>
    </row>
    <row r="8030" spans="13:13" x14ac:dyDescent="0.25">
      <c r="M8030" s="18"/>
    </row>
    <row r="8031" spans="13:13" x14ac:dyDescent="0.25">
      <c r="M8031" s="18"/>
    </row>
    <row r="8032" spans="13:13" x14ac:dyDescent="0.25">
      <c r="M8032" s="18"/>
    </row>
    <row r="8033" spans="13:13" x14ac:dyDescent="0.25">
      <c r="M8033" s="18"/>
    </row>
    <row r="8034" spans="13:13" x14ac:dyDescent="0.25">
      <c r="M8034" s="18"/>
    </row>
    <row r="8035" spans="13:13" x14ac:dyDescent="0.25">
      <c r="M8035" s="18"/>
    </row>
    <row r="8036" spans="13:13" x14ac:dyDescent="0.25">
      <c r="M8036" s="18"/>
    </row>
    <row r="8037" spans="13:13" x14ac:dyDescent="0.25">
      <c r="M8037" s="18"/>
    </row>
    <row r="8038" spans="13:13" x14ac:dyDescent="0.25">
      <c r="M8038" s="18"/>
    </row>
    <row r="8039" spans="13:13" x14ac:dyDescent="0.25">
      <c r="M8039" s="18"/>
    </row>
    <row r="8040" spans="13:13" x14ac:dyDescent="0.25">
      <c r="M8040" s="18"/>
    </row>
    <row r="8041" spans="13:13" x14ac:dyDescent="0.25">
      <c r="M8041" s="18"/>
    </row>
    <row r="8042" spans="13:13" x14ac:dyDescent="0.25">
      <c r="M8042" s="18"/>
    </row>
    <row r="8043" spans="13:13" x14ac:dyDescent="0.25">
      <c r="M8043" s="18"/>
    </row>
    <row r="8044" spans="13:13" x14ac:dyDescent="0.25">
      <c r="M8044" s="18"/>
    </row>
    <row r="8045" spans="13:13" x14ac:dyDescent="0.25">
      <c r="M8045" s="18"/>
    </row>
    <row r="8046" spans="13:13" x14ac:dyDescent="0.25">
      <c r="M8046" s="18"/>
    </row>
    <row r="8047" spans="13:13" x14ac:dyDescent="0.25">
      <c r="M8047" s="18"/>
    </row>
    <row r="8048" spans="13:13" x14ac:dyDescent="0.25">
      <c r="M8048" s="18"/>
    </row>
    <row r="8049" spans="13:13" x14ac:dyDescent="0.25">
      <c r="M8049" s="18"/>
    </row>
    <row r="8050" spans="13:13" x14ac:dyDescent="0.25">
      <c r="M8050" s="18"/>
    </row>
    <row r="8051" spans="13:13" x14ac:dyDescent="0.25">
      <c r="M8051" s="18"/>
    </row>
    <row r="8052" spans="13:13" x14ac:dyDescent="0.25">
      <c r="M8052" s="18"/>
    </row>
    <row r="8053" spans="13:13" x14ac:dyDescent="0.25">
      <c r="M8053" s="18"/>
    </row>
    <row r="8054" spans="13:13" x14ac:dyDescent="0.25">
      <c r="M8054" s="18"/>
    </row>
    <row r="8055" spans="13:13" x14ac:dyDescent="0.25">
      <c r="M8055" s="18"/>
    </row>
    <row r="8056" spans="13:13" x14ac:dyDescent="0.25">
      <c r="M8056" s="18"/>
    </row>
    <row r="8057" spans="13:13" x14ac:dyDescent="0.25">
      <c r="M8057" s="18"/>
    </row>
    <row r="8058" spans="13:13" x14ac:dyDescent="0.25">
      <c r="M8058" s="18"/>
    </row>
    <row r="8059" spans="13:13" x14ac:dyDescent="0.25">
      <c r="M8059" s="18"/>
    </row>
    <row r="8060" spans="13:13" x14ac:dyDescent="0.25">
      <c r="M8060" s="18"/>
    </row>
    <row r="8061" spans="13:13" x14ac:dyDescent="0.25">
      <c r="M8061" s="18"/>
    </row>
    <row r="8062" spans="13:13" x14ac:dyDescent="0.25">
      <c r="M8062" s="18"/>
    </row>
    <row r="8063" spans="13:13" x14ac:dyDescent="0.25">
      <c r="M8063" s="18"/>
    </row>
    <row r="8064" spans="13:13" x14ac:dyDescent="0.25">
      <c r="M8064" s="18"/>
    </row>
    <row r="8065" spans="13:13" x14ac:dyDescent="0.25">
      <c r="M8065" s="18"/>
    </row>
    <row r="8066" spans="13:13" x14ac:dyDescent="0.25">
      <c r="M8066" s="18"/>
    </row>
    <row r="8067" spans="13:13" x14ac:dyDescent="0.25">
      <c r="M8067" s="18"/>
    </row>
    <row r="8068" spans="13:13" x14ac:dyDescent="0.25">
      <c r="M8068" s="18"/>
    </row>
    <row r="8069" spans="13:13" x14ac:dyDescent="0.25">
      <c r="M8069" s="18"/>
    </row>
    <row r="8070" spans="13:13" x14ac:dyDescent="0.25">
      <c r="M8070" s="18"/>
    </row>
    <row r="8071" spans="13:13" x14ac:dyDescent="0.25">
      <c r="M8071" s="18"/>
    </row>
    <row r="8072" spans="13:13" x14ac:dyDescent="0.25">
      <c r="M8072" s="18"/>
    </row>
    <row r="8073" spans="13:13" x14ac:dyDescent="0.25">
      <c r="M8073" s="18"/>
    </row>
    <row r="8074" spans="13:13" x14ac:dyDescent="0.25">
      <c r="M8074" s="18"/>
    </row>
    <row r="8075" spans="13:13" x14ac:dyDescent="0.25">
      <c r="M8075" s="18"/>
    </row>
    <row r="8076" spans="13:13" x14ac:dyDescent="0.25">
      <c r="M8076" s="18"/>
    </row>
    <row r="8077" spans="13:13" x14ac:dyDescent="0.25">
      <c r="M8077" s="18"/>
    </row>
    <row r="8078" spans="13:13" x14ac:dyDescent="0.25">
      <c r="M8078" s="18"/>
    </row>
    <row r="8079" spans="13:13" x14ac:dyDescent="0.25">
      <c r="M8079" s="18"/>
    </row>
    <row r="8080" spans="13:13" x14ac:dyDescent="0.25">
      <c r="M8080" s="18"/>
    </row>
    <row r="8081" spans="13:13" x14ac:dyDescent="0.25">
      <c r="M8081" s="18"/>
    </row>
    <row r="8082" spans="13:13" x14ac:dyDescent="0.25">
      <c r="M8082" s="18"/>
    </row>
    <row r="8083" spans="13:13" x14ac:dyDescent="0.25">
      <c r="M8083" s="18"/>
    </row>
    <row r="8084" spans="13:13" x14ac:dyDescent="0.25">
      <c r="M8084" s="18"/>
    </row>
    <row r="8085" spans="13:13" x14ac:dyDescent="0.25">
      <c r="M8085" s="18"/>
    </row>
    <row r="8086" spans="13:13" x14ac:dyDescent="0.25">
      <c r="M8086" s="18"/>
    </row>
    <row r="8087" spans="13:13" x14ac:dyDescent="0.25">
      <c r="M8087" s="18"/>
    </row>
    <row r="8088" spans="13:13" x14ac:dyDescent="0.25">
      <c r="M8088" s="18"/>
    </row>
    <row r="8089" spans="13:13" x14ac:dyDescent="0.25">
      <c r="M8089" s="18"/>
    </row>
    <row r="8090" spans="13:13" x14ac:dyDescent="0.25">
      <c r="M8090" s="18"/>
    </row>
    <row r="8091" spans="13:13" x14ac:dyDescent="0.25">
      <c r="M8091" s="18"/>
    </row>
    <row r="8092" spans="13:13" x14ac:dyDescent="0.25">
      <c r="M8092" s="18"/>
    </row>
    <row r="8093" spans="13:13" x14ac:dyDescent="0.25">
      <c r="M8093" s="18"/>
    </row>
    <row r="8094" spans="13:13" x14ac:dyDescent="0.25">
      <c r="M8094" s="18"/>
    </row>
    <row r="8095" spans="13:13" x14ac:dyDescent="0.25">
      <c r="M8095" s="18"/>
    </row>
    <row r="8096" spans="13:13" x14ac:dyDescent="0.25">
      <c r="M8096" s="18"/>
    </row>
    <row r="8097" spans="13:13" x14ac:dyDescent="0.25">
      <c r="M8097" s="18"/>
    </row>
    <row r="8098" spans="13:13" x14ac:dyDescent="0.25">
      <c r="M8098" s="18"/>
    </row>
    <row r="8099" spans="13:13" x14ac:dyDescent="0.25">
      <c r="M8099" s="18"/>
    </row>
    <row r="8100" spans="13:13" x14ac:dyDescent="0.25">
      <c r="M8100" s="18"/>
    </row>
    <row r="8101" spans="13:13" x14ac:dyDescent="0.25">
      <c r="M8101" s="18"/>
    </row>
    <row r="8102" spans="13:13" x14ac:dyDescent="0.25">
      <c r="M8102" s="18"/>
    </row>
    <row r="8103" spans="13:13" x14ac:dyDescent="0.25">
      <c r="M8103" s="18"/>
    </row>
    <row r="8104" spans="13:13" x14ac:dyDescent="0.25">
      <c r="M8104" s="18"/>
    </row>
    <row r="8105" spans="13:13" x14ac:dyDescent="0.25">
      <c r="M8105" s="18"/>
    </row>
    <row r="8106" spans="13:13" x14ac:dyDescent="0.25">
      <c r="M8106" s="18"/>
    </row>
    <row r="8107" spans="13:13" x14ac:dyDescent="0.25">
      <c r="M8107" s="18"/>
    </row>
    <row r="8108" spans="13:13" x14ac:dyDescent="0.25">
      <c r="M8108" s="18"/>
    </row>
    <row r="8109" spans="13:13" x14ac:dyDescent="0.25">
      <c r="M8109" s="18"/>
    </row>
    <row r="8110" spans="13:13" x14ac:dyDescent="0.25">
      <c r="M8110" s="18"/>
    </row>
    <row r="8111" spans="13:13" x14ac:dyDescent="0.25">
      <c r="M8111" s="18"/>
    </row>
    <row r="8112" spans="13:13" x14ac:dyDescent="0.25">
      <c r="M8112" s="18"/>
    </row>
    <row r="8113" spans="13:13" x14ac:dyDescent="0.25">
      <c r="M8113" s="18"/>
    </row>
    <row r="8114" spans="13:13" x14ac:dyDescent="0.25">
      <c r="M8114" s="18"/>
    </row>
    <row r="8115" spans="13:13" x14ac:dyDescent="0.25">
      <c r="M8115" s="18"/>
    </row>
    <row r="8116" spans="13:13" x14ac:dyDescent="0.25">
      <c r="M8116" s="18"/>
    </row>
    <row r="8117" spans="13:13" x14ac:dyDescent="0.25">
      <c r="M8117" s="18"/>
    </row>
    <row r="8118" spans="13:13" x14ac:dyDescent="0.25">
      <c r="M8118" s="18"/>
    </row>
    <row r="8119" spans="13:13" x14ac:dyDescent="0.25">
      <c r="M8119" s="18"/>
    </row>
    <row r="8120" spans="13:13" x14ac:dyDescent="0.25">
      <c r="M8120" s="18"/>
    </row>
    <row r="8121" spans="13:13" x14ac:dyDescent="0.25">
      <c r="M8121" s="18"/>
    </row>
    <row r="8122" spans="13:13" x14ac:dyDescent="0.25">
      <c r="M8122" s="18"/>
    </row>
    <row r="8123" spans="13:13" x14ac:dyDescent="0.25">
      <c r="M8123" s="18"/>
    </row>
    <row r="8124" spans="13:13" x14ac:dyDescent="0.25">
      <c r="M8124" s="18"/>
    </row>
    <row r="8125" spans="13:13" x14ac:dyDescent="0.25">
      <c r="M8125" s="18"/>
    </row>
    <row r="8126" spans="13:13" x14ac:dyDescent="0.25">
      <c r="M8126" s="18"/>
    </row>
    <row r="8127" spans="13:13" x14ac:dyDescent="0.25">
      <c r="M8127" s="18"/>
    </row>
    <row r="8128" spans="13:13" x14ac:dyDescent="0.25">
      <c r="M8128" s="18"/>
    </row>
    <row r="8129" spans="13:13" x14ac:dyDescent="0.25">
      <c r="M8129" s="18"/>
    </row>
    <row r="8130" spans="13:13" x14ac:dyDescent="0.25">
      <c r="M8130" s="18"/>
    </row>
    <row r="8131" spans="13:13" x14ac:dyDescent="0.25">
      <c r="M8131" s="18"/>
    </row>
    <row r="8132" spans="13:13" x14ac:dyDescent="0.25">
      <c r="M8132" s="18"/>
    </row>
    <row r="8133" spans="13:13" x14ac:dyDescent="0.25">
      <c r="M8133" s="18"/>
    </row>
    <row r="8134" spans="13:13" x14ac:dyDescent="0.25">
      <c r="M8134" s="18"/>
    </row>
    <row r="8135" spans="13:13" x14ac:dyDescent="0.25">
      <c r="M8135" s="18"/>
    </row>
    <row r="8136" spans="13:13" x14ac:dyDescent="0.25">
      <c r="M8136" s="18"/>
    </row>
    <row r="8137" spans="13:13" x14ac:dyDescent="0.25">
      <c r="M8137" s="18"/>
    </row>
    <row r="8138" spans="13:13" x14ac:dyDescent="0.25">
      <c r="M8138" s="18"/>
    </row>
    <row r="8139" spans="13:13" x14ac:dyDescent="0.25">
      <c r="M8139" s="18"/>
    </row>
    <row r="8140" spans="13:13" x14ac:dyDescent="0.25">
      <c r="M8140" s="18"/>
    </row>
    <row r="8141" spans="13:13" x14ac:dyDescent="0.25">
      <c r="M8141" s="18"/>
    </row>
    <row r="8142" spans="13:13" x14ac:dyDescent="0.25">
      <c r="M8142" s="18"/>
    </row>
    <row r="8143" spans="13:13" x14ac:dyDescent="0.25">
      <c r="M8143" s="18"/>
    </row>
    <row r="8144" spans="13:13" x14ac:dyDescent="0.25">
      <c r="M8144" s="18"/>
    </row>
    <row r="8145" spans="13:13" x14ac:dyDescent="0.25">
      <c r="M8145" s="18"/>
    </row>
    <row r="8146" spans="13:13" x14ac:dyDescent="0.25">
      <c r="M8146" s="18"/>
    </row>
    <row r="8147" spans="13:13" x14ac:dyDescent="0.25">
      <c r="M8147" s="18"/>
    </row>
    <row r="8148" spans="13:13" x14ac:dyDescent="0.25">
      <c r="M8148" s="18"/>
    </row>
    <row r="8149" spans="13:13" x14ac:dyDescent="0.25">
      <c r="M8149" s="18"/>
    </row>
    <row r="8150" spans="13:13" x14ac:dyDescent="0.25">
      <c r="M8150" s="18"/>
    </row>
    <row r="8151" spans="13:13" x14ac:dyDescent="0.25">
      <c r="M8151" s="18"/>
    </row>
    <row r="8152" spans="13:13" x14ac:dyDescent="0.25">
      <c r="M8152" s="18"/>
    </row>
    <row r="8153" spans="13:13" x14ac:dyDescent="0.25">
      <c r="M8153" s="18"/>
    </row>
    <row r="8154" spans="13:13" x14ac:dyDescent="0.25">
      <c r="M8154" s="18"/>
    </row>
    <row r="8155" spans="13:13" x14ac:dyDescent="0.25">
      <c r="M8155" s="18"/>
    </row>
    <row r="8156" spans="13:13" x14ac:dyDescent="0.25">
      <c r="M8156" s="18"/>
    </row>
    <row r="8157" spans="13:13" x14ac:dyDescent="0.25">
      <c r="M8157" s="18"/>
    </row>
    <row r="8158" spans="13:13" x14ac:dyDescent="0.25">
      <c r="M8158" s="18"/>
    </row>
    <row r="8159" spans="13:13" x14ac:dyDescent="0.25">
      <c r="M8159" s="18"/>
    </row>
    <row r="8160" spans="13:13" x14ac:dyDescent="0.25">
      <c r="M8160" s="18"/>
    </row>
    <row r="8161" spans="13:13" x14ac:dyDescent="0.25">
      <c r="M8161" s="18"/>
    </row>
    <row r="8162" spans="13:13" x14ac:dyDescent="0.25">
      <c r="M8162" s="18"/>
    </row>
    <row r="8163" spans="13:13" x14ac:dyDescent="0.25">
      <c r="M8163" s="18"/>
    </row>
    <row r="8164" spans="13:13" x14ac:dyDescent="0.25">
      <c r="M8164" s="18"/>
    </row>
    <row r="8165" spans="13:13" x14ac:dyDescent="0.25">
      <c r="M8165" s="18"/>
    </row>
    <row r="8166" spans="13:13" x14ac:dyDescent="0.25">
      <c r="M8166" s="18"/>
    </row>
    <row r="8167" spans="13:13" x14ac:dyDescent="0.25">
      <c r="M8167" s="18"/>
    </row>
    <row r="8168" spans="13:13" x14ac:dyDescent="0.25">
      <c r="M8168" s="18"/>
    </row>
    <row r="8169" spans="13:13" x14ac:dyDescent="0.25">
      <c r="M8169" s="18"/>
    </row>
    <row r="8170" spans="13:13" x14ac:dyDescent="0.25">
      <c r="M8170" s="18"/>
    </row>
    <row r="8171" spans="13:13" x14ac:dyDescent="0.25">
      <c r="M8171" s="18"/>
    </row>
    <row r="8172" spans="13:13" x14ac:dyDescent="0.25">
      <c r="M8172" s="18"/>
    </row>
    <row r="8173" spans="13:13" x14ac:dyDescent="0.25">
      <c r="M8173" s="18"/>
    </row>
    <row r="8174" spans="13:13" x14ac:dyDescent="0.25">
      <c r="M8174" s="18"/>
    </row>
    <row r="8175" spans="13:13" x14ac:dyDescent="0.25">
      <c r="M8175" s="18"/>
    </row>
    <row r="8176" spans="13:13" x14ac:dyDescent="0.25">
      <c r="M8176" s="18"/>
    </row>
    <row r="8177" spans="13:13" x14ac:dyDescent="0.25">
      <c r="M8177" s="18"/>
    </row>
    <row r="8178" spans="13:13" x14ac:dyDescent="0.25">
      <c r="M8178" s="18"/>
    </row>
    <row r="8179" spans="13:13" x14ac:dyDescent="0.25">
      <c r="M8179" s="18"/>
    </row>
    <row r="8180" spans="13:13" x14ac:dyDescent="0.25">
      <c r="M8180" s="18"/>
    </row>
    <row r="8181" spans="13:13" x14ac:dyDescent="0.25">
      <c r="M8181" s="18"/>
    </row>
    <row r="8182" spans="13:13" x14ac:dyDescent="0.25">
      <c r="M8182" s="18"/>
    </row>
    <row r="8183" spans="13:13" x14ac:dyDescent="0.25">
      <c r="M8183" s="18"/>
    </row>
    <row r="8184" spans="13:13" x14ac:dyDescent="0.25">
      <c r="M8184" s="18"/>
    </row>
    <row r="8185" spans="13:13" x14ac:dyDescent="0.25">
      <c r="M8185" s="18"/>
    </row>
    <row r="8186" spans="13:13" x14ac:dyDescent="0.25">
      <c r="M8186" s="18"/>
    </row>
    <row r="8187" spans="13:13" x14ac:dyDescent="0.25">
      <c r="M8187" s="18"/>
    </row>
    <row r="8188" spans="13:13" x14ac:dyDescent="0.25">
      <c r="M8188" s="18"/>
    </row>
    <row r="8189" spans="13:13" x14ac:dyDescent="0.25">
      <c r="M8189" s="18"/>
    </row>
    <row r="8190" spans="13:13" x14ac:dyDescent="0.25">
      <c r="M8190" s="18"/>
    </row>
    <row r="8191" spans="13:13" x14ac:dyDescent="0.25">
      <c r="M8191" s="18"/>
    </row>
    <row r="8192" spans="13:13" x14ac:dyDescent="0.25">
      <c r="M8192" s="18"/>
    </row>
    <row r="8193" spans="13:13" x14ac:dyDescent="0.25">
      <c r="M8193" s="18"/>
    </row>
    <row r="8194" spans="13:13" x14ac:dyDescent="0.25">
      <c r="M8194" s="18"/>
    </row>
    <row r="8195" spans="13:13" x14ac:dyDescent="0.25">
      <c r="M8195" s="18"/>
    </row>
    <row r="8196" spans="13:13" x14ac:dyDescent="0.25">
      <c r="M8196" s="18"/>
    </row>
    <row r="8197" spans="13:13" x14ac:dyDescent="0.25">
      <c r="M8197" s="18"/>
    </row>
    <row r="8198" spans="13:13" x14ac:dyDescent="0.25">
      <c r="M8198" s="18"/>
    </row>
    <row r="8199" spans="13:13" x14ac:dyDescent="0.25">
      <c r="M8199" s="18"/>
    </row>
    <row r="8200" spans="13:13" x14ac:dyDescent="0.25">
      <c r="M8200" s="18"/>
    </row>
    <row r="8201" spans="13:13" x14ac:dyDescent="0.25">
      <c r="M8201" s="18"/>
    </row>
    <row r="8202" spans="13:13" x14ac:dyDescent="0.25">
      <c r="M8202" s="18"/>
    </row>
    <row r="8203" spans="13:13" x14ac:dyDescent="0.25">
      <c r="M8203" s="18"/>
    </row>
    <row r="8204" spans="13:13" x14ac:dyDescent="0.25">
      <c r="M8204" s="18"/>
    </row>
    <row r="8205" spans="13:13" x14ac:dyDescent="0.25">
      <c r="M8205" s="18"/>
    </row>
    <row r="8206" spans="13:13" x14ac:dyDescent="0.25">
      <c r="M8206" s="18"/>
    </row>
    <row r="8207" spans="13:13" x14ac:dyDescent="0.25">
      <c r="M8207" s="18"/>
    </row>
    <row r="8208" spans="13:13" x14ac:dyDescent="0.25">
      <c r="M8208" s="18"/>
    </row>
    <row r="8209" spans="13:13" x14ac:dyDescent="0.25">
      <c r="M8209" s="18"/>
    </row>
    <row r="8210" spans="13:13" x14ac:dyDescent="0.25">
      <c r="M8210" s="18"/>
    </row>
    <row r="8211" spans="13:13" x14ac:dyDescent="0.25">
      <c r="M8211" s="18"/>
    </row>
    <row r="8212" spans="13:13" x14ac:dyDescent="0.25">
      <c r="M8212" s="18"/>
    </row>
    <row r="8213" spans="13:13" x14ac:dyDescent="0.25">
      <c r="M8213" s="18"/>
    </row>
    <row r="8214" spans="13:13" x14ac:dyDescent="0.25">
      <c r="M8214" s="18"/>
    </row>
    <row r="8215" spans="13:13" x14ac:dyDescent="0.25">
      <c r="M8215" s="18"/>
    </row>
    <row r="8216" spans="13:13" x14ac:dyDescent="0.25">
      <c r="M8216" s="18"/>
    </row>
    <row r="8217" spans="13:13" x14ac:dyDescent="0.25">
      <c r="M8217" s="18"/>
    </row>
    <row r="8218" spans="13:13" x14ac:dyDescent="0.25">
      <c r="M8218" s="18"/>
    </row>
    <row r="8219" spans="13:13" x14ac:dyDescent="0.25">
      <c r="M8219" s="18"/>
    </row>
    <row r="8220" spans="13:13" x14ac:dyDescent="0.25">
      <c r="M8220" s="18"/>
    </row>
    <row r="8221" spans="13:13" x14ac:dyDescent="0.25">
      <c r="M8221" s="18"/>
    </row>
    <row r="8222" spans="13:13" x14ac:dyDescent="0.25">
      <c r="M8222" s="18"/>
    </row>
    <row r="8223" spans="13:13" x14ac:dyDescent="0.25">
      <c r="M8223" s="18"/>
    </row>
    <row r="8224" spans="13:13" x14ac:dyDescent="0.25">
      <c r="M8224" s="18"/>
    </row>
    <row r="8225" spans="13:13" x14ac:dyDescent="0.25">
      <c r="M8225" s="18"/>
    </row>
    <row r="8226" spans="13:13" x14ac:dyDescent="0.25">
      <c r="M8226" s="18"/>
    </row>
    <row r="8227" spans="13:13" x14ac:dyDescent="0.25">
      <c r="M8227" s="18"/>
    </row>
    <row r="8228" spans="13:13" x14ac:dyDescent="0.25">
      <c r="M8228" s="18"/>
    </row>
    <row r="8229" spans="13:13" x14ac:dyDescent="0.25">
      <c r="M8229" s="18"/>
    </row>
    <row r="8230" spans="13:13" x14ac:dyDescent="0.25">
      <c r="M8230" s="18"/>
    </row>
    <row r="8231" spans="13:13" x14ac:dyDescent="0.25">
      <c r="M8231" s="18"/>
    </row>
    <row r="8232" spans="13:13" x14ac:dyDescent="0.25">
      <c r="M8232" s="18"/>
    </row>
    <row r="8233" spans="13:13" x14ac:dyDescent="0.25">
      <c r="M8233" s="18"/>
    </row>
    <row r="8234" spans="13:13" x14ac:dyDescent="0.25">
      <c r="M8234" s="18"/>
    </row>
    <row r="8235" spans="13:13" x14ac:dyDescent="0.25">
      <c r="M8235" s="18"/>
    </row>
    <row r="8236" spans="13:13" x14ac:dyDescent="0.25">
      <c r="M8236" s="18"/>
    </row>
    <row r="8237" spans="13:13" x14ac:dyDescent="0.25">
      <c r="M8237" s="18"/>
    </row>
    <row r="8238" spans="13:13" x14ac:dyDescent="0.25">
      <c r="M8238" s="18"/>
    </row>
    <row r="8239" spans="13:13" x14ac:dyDescent="0.25">
      <c r="M8239" s="18"/>
    </row>
    <row r="8240" spans="13:13" x14ac:dyDescent="0.25">
      <c r="M8240" s="18"/>
    </row>
    <row r="8241" spans="13:13" x14ac:dyDescent="0.25">
      <c r="M8241" s="18"/>
    </row>
    <row r="8242" spans="13:13" x14ac:dyDescent="0.25">
      <c r="M8242" s="18"/>
    </row>
    <row r="8243" spans="13:13" x14ac:dyDescent="0.25">
      <c r="M8243" s="18"/>
    </row>
    <row r="8244" spans="13:13" x14ac:dyDescent="0.25">
      <c r="M8244" s="18"/>
    </row>
    <row r="8245" spans="13:13" x14ac:dyDescent="0.25">
      <c r="M8245" s="18"/>
    </row>
    <row r="8246" spans="13:13" x14ac:dyDescent="0.25">
      <c r="M8246" s="18"/>
    </row>
    <row r="8247" spans="13:13" x14ac:dyDescent="0.25">
      <c r="M8247" s="18"/>
    </row>
    <row r="8248" spans="13:13" x14ac:dyDescent="0.25">
      <c r="M8248" s="18"/>
    </row>
    <row r="8249" spans="13:13" x14ac:dyDescent="0.25">
      <c r="M8249" s="18"/>
    </row>
    <row r="8250" spans="13:13" x14ac:dyDescent="0.25">
      <c r="M8250" s="18"/>
    </row>
    <row r="8251" spans="13:13" x14ac:dyDescent="0.25">
      <c r="M8251" s="18"/>
    </row>
    <row r="8252" spans="13:13" x14ac:dyDescent="0.25">
      <c r="M8252" s="18"/>
    </row>
    <row r="8253" spans="13:13" x14ac:dyDescent="0.25">
      <c r="M8253" s="18"/>
    </row>
    <row r="8254" spans="13:13" x14ac:dyDescent="0.25">
      <c r="M8254" s="18"/>
    </row>
    <row r="8255" spans="13:13" x14ac:dyDescent="0.25">
      <c r="M8255" s="18"/>
    </row>
    <row r="8256" spans="13:13" x14ac:dyDescent="0.25">
      <c r="M8256" s="18"/>
    </row>
    <row r="8257" spans="13:13" x14ac:dyDescent="0.25">
      <c r="M8257" s="18"/>
    </row>
    <row r="8258" spans="13:13" x14ac:dyDescent="0.25">
      <c r="M8258" s="18"/>
    </row>
    <row r="8259" spans="13:13" x14ac:dyDescent="0.25">
      <c r="M8259" s="18"/>
    </row>
    <row r="8260" spans="13:13" x14ac:dyDescent="0.25">
      <c r="M8260" s="18"/>
    </row>
    <row r="8261" spans="13:13" x14ac:dyDescent="0.25">
      <c r="M8261" s="18"/>
    </row>
    <row r="8262" spans="13:13" x14ac:dyDescent="0.25">
      <c r="M8262" s="18"/>
    </row>
    <row r="8263" spans="13:13" x14ac:dyDescent="0.25">
      <c r="M8263" s="18"/>
    </row>
    <row r="8264" spans="13:13" x14ac:dyDescent="0.25">
      <c r="M8264" s="18"/>
    </row>
    <row r="8265" spans="13:13" x14ac:dyDescent="0.25">
      <c r="M8265" s="18"/>
    </row>
    <row r="8266" spans="13:13" x14ac:dyDescent="0.25">
      <c r="M8266" s="18"/>
    </row>
    <row r="8267" spans="13:13" x14ac:dyDescent="0.25">
      <c r="M8267" s="18"/>
    </row>
    <row r="8268" spans="13:13" x14ac:dyDescent="0.25">
      <c r="M8268" s="18"/>
    </row>
    <row r="8269" spans="13:13" x14ac:dyDescent="0.25">
      <c r="M8269" s="18"/>
    </row>
    <row r="8270" spans="13:13" x14ac:dyDescent="0.25">
      <c r="M8270" s="18"/>
    </row>
    <row r="8271" spans="13:13" x14ac:dyDescent="0.25">
      <c r="M8271" s="18"/>
    </row>
    <row r="8272" spans="13:13" x14ac:dyDescent="0.25">
      <c r="M8272" s="18"/>
    </row>
    <row r="8273" spans="13:13" x14ac:dyDescent="0.25">
      <c r="M8273" s="18"/>
    </row>
    <row r="8274" spans="13:13" x14ac:dyDescent="0.25">
      <c r="M8274" s="18"/>
    </row>
    <row r="8275" spans="13:13" x14ac:dyDescent="0.25">
      <c r="M8275" s="18"/>
    </row>
    <row r="8276" spans="13:13" x14ac:dyDescent="0.25">
      <c r="M8276" s="18"/>
    </row>
    <row r="8277" spans="13:13" x14ac:dyDescent="0.25">
      <c r="M8277" s="18"/>
    </row>
    <row r="8278" spans="13:13" x14ac:dyDescent="0.25">
      <c r="M8278" s="18"/>
    </row>
    <row r="8279" spans="13:13" x14ac:dyDescent="0.25">
      <c r="M8279" s="18"/>
    </row>
    <row r="8280" spans="13:13" x14ac:dyDescent="0.25">
      <c r="M8280" s="18"/>
    </row>
    <row r="8281" spans="13:13" x14ac:dyDescent="0.25">
      <c r="M8281" s="18"/>
    </row>
    <row r="8282" spans="13:13" x14ac:dyDescent="0.25">
      <c r="M8282" s="18"/>
    </row>
    <row r="8283" spans="13:13" x14ac:dyDescent="0.25">
      <c r="M8283" s="18"/>
    </row>
    <row r="8284" spans="13:13" x14ac:dyDescent="0.25">
      <c r="M8284" s="18"/>
    </row>
    <row r="8285" spans="13:13" x14ac:dyDescent="0.25">
      <c r="M8285" s="18"/>
    </row>
    <row r="8286" spans="13:13" x14ac:dyDescent="0.25">
      <c r="M8286" s="18"/>
    </row>
    <row r="8287" spans="13:13" x14ac:dyDescent="0.25">
      <c r="M8287" s="18"/>
    </row>
    <row r="8288" spans="13:13" x14ac:dyDescent="0.25">
      <c r="M8288" s="18"/>
    </row>
    <row r="8289" spans="13:13" x14ac:dyDescent="0.25">
      <c r="M8289" s="18"/>
    </row>
    <row r="8290" spans="13:13" x14ac:dyDescent="0.25">
      <c r="M8290" s="18"/>
    </row>
    <row r="8291" spans="13:13" x14ac:dyDescent="0.25">
      <c r="M8291" s="18"/>
    </row>
    <row r="8292" spans="13:13" x14ac:dyDescent="0.25">
      <c r="M8292" s="18"/>
    </row>
    <row r="8293" spans="13:13" x14ac:dyDescent="0.25">
      <c r="M8293" s="18"/>
    </row>
    <row r="8294" spans="13:13" x14ac:dyDescent="0.25">
      <c r="M8294" s="18"/>
    </row>
    <row r="8295" spans="13:13" x14ac:dyDescent="0.25">
      <c r="M8295" s="18"/>
    </row>
    <row r="8296" spans="13:13" x14ac:dyDescent="0.25">
      <c r="M8296" s="18"/>
    </row>
    <row r="8297" spans="13:13" x14ac:dyDescent="0.25">
      <c r="M8297" s="18"/>
    </row>
    <row r="8298" spans="13:13" x14ac:dyDescent="0.25">
      <c r="M8298" s="18"/>
    </row>
    <row r="8299" spans="13:13" x14ac:dyDescent="0.25">
      <c r="M8299" s="18"/>
    </row>
    <row r="8300" spans="13:13" x14ac:dyDescent="0.25">
      <c r="M8300" s="18"/>
    </row>
    <row r="8301" spans="13:13" x14ac:dyDescent="0.25">
      <c r="M8301" s="18"/>
    </row>
    <row r="8302" spans="13:13" x14ac:dyDescent="0.25">
      <c r="M8302" s="18"/>
    </row>
    <row r="8303" spans="13:13" x14ac:dyDescent="0.25">
      <c r="M8303" s="18"/>
    </row>
    <row r="8304" spans="13:13" x14ac:dyDescent="0.25">
      <c r="M8304" s="18"/>
    </row>
    <row r="8305" spans="13:13" x14ac:dyDescent="0.25">
      <c r="M8305" s="18"/>
    </row>
    <row r="8306" spans="13:13" x14ac:dyDescent="0.25">
      <c r="M8306" s="18"/>
    </row>
    <row r="8307" spans="13:13" x14ac:dyDescent="0.25">
      <c r="M8307" s="18"/>
    </row>
    <row r="8308" spans="13:13" x14ac:dyDescent="0.25">
      <c r="M8308" s="18"/>
    </row>
    <row r="8309" spans="13:13" x14ac:dyDescent="0.25">
      <c r="M8309" s="18"/>
    </row>
    <row r="8310" spans="13:13" x14ac:dyDescent="0.25">
      <c r="M8310" s="18"/>
    </row>
    <row r="8311" spans="13:13" x14ac:dyDescent="0.25">
      <c r="M8311" s="18"/>
    </row>
    <row r="8312" spans="13:13" x14ac:dyDescent="0.25">
      <c r="M8312" s="18"/>
    </row>
    <row r="8313" spans="13:13" x14ac:dyDescent="0.25">
      <c r="M8313" s="18"/>
    </row>
    <row r="8314" spans="13:13" x14ac:dyDescent="0.25">
      <c r="M8314" s="18"/>
    </row>
    <row r="8315" spans="13:13" x14ac:dyDescent="0.25">
      <c r="M8315" s="18"/>
    </row>
    <row r="8316" spans="13:13" x14ac:dyDescent="0.25">
      <c r="M8316" s="18"/>
    </row>
    <row r="8317" spans="13:13" x14ac:dyDescent="0.25">
      <c r="M8317" s="18"/>
    </row>
    <row r="8318" spans="13:13" x14ac:dyDescent="0.25">
      <c r="M8318" s="18"/>
    </row>
    <row r="8319" spans="13:13" x14ac:dyDescent="0.25">
      <c r="M8319" s="18"/>
    </row>
    <row r="8320" spans="13:13" x14ac:dyDescent="0.25">
      <c r="M8320" s="18"/>
    </row>
    <row r="8321" spans="13:13" x14ac:dyDescent="0.25">
      <c r="M8321" s="18"/>
    </row>
    <row r="8322" spans="13:13" x14ac:dyDescent="0.25">
      <c r="M8322" s="18"/>
    </row>
    <row r="8323" spans="13:13" x14ac:dyDescent="0.25">
      <c r="M8323" s="18"/>
    </row>
    <row r="8324" spans="13:13" x14ac:dyDescent="0.25">
      <c r="M8324" s="18"/>
    </row>
    <row r="8325" spans="13:13" x14ac:dyDescent="0.25">
      <c r="M8325" s="18"/>
    </row>
    <row r="8326" spans="13:13" x14ac:dyDescent="0.25">
      <c r="M8326" s="18"/>
    </row>
    <row r="8327" spans="13:13" x14ac:dyDescent="0.25">
      <c r="M8327" s="18"/>
    </row>
    <row r="8328" spans="13:13" x14ac:dyDescent="0.25">
      <c r="M8328" s="18"/>
    </row>
    <row r="8329" spans="13:13" x14ac:dyDescent="0.25">
      <c r="M8329" s="18"/>
    </row>
    <row r="8330" spans="13:13" x14ac:dyDescent="0.25">
      <c r="M8330" s="18"/>
    </row>
    <row r="8331" spans="13:13" x14ac:dyDescent="0.25">
      <c r="M8331" s="18"/>
    </row>
    <row r="8332" spans="13:13" x14ac:dyDescent="0.25">
      <c r="M8332" s="18"/>
    </row>
    <row r="8333" spans="13:13" x14ac:dyDescent="0.25">
      <c r="M8333" s="18"/>
    </row>
    <row r="8334" spans="13:13" x14ac:dyDescent="0.25">
      <c r="M8334" s="18"/>
    </row>
    <row r="8335" spans="13:13" x14ac:dyDescent="0.25">
      <c r="M8335" s="18"/>
    </row>
    <row r="8336" spans="13:13" x14ac:dyDescent="0.25">
      <c r="M8336" s="18"/>
    </row>
    <row r="8337" spans="13:13" x14ac:dyDescent="0.25">
      <c r="M8337" s="18"/>
    </row>
    <row r="8338" spans="13:13" x14ac:dyDescent="0.25">
      <c r="M8338" s="18"/>
    </row>
    <row r="8339" spans="13:13" x14ac:dyDescent="0.25">
      <c r="M8339" s="18"/>
    </row>
    <row r="8340" spans="13:13" x14ac:dyDescent="0.25">
      <c r="M8340" s="18"/>
    </row>
    <row r="8341" spans="13:13" x14ac:dyDescent="0.25">
      <c r="M8341" s="18"/>
    </row>
    <row r="8342" spans="13:13" x14ac:dyDescent="0.25">
      <c r="M8342" s="18"/>
    </row>
    <row r="8343" spans="13:13" x14ac:dyDescent="0.25">
      <c r="M8343" s="18"/>
    </row>
    <row r="8344" spans="13:13" x14ac:dyDescent="0.25">
      <c r="M8344" s="18"/>
    </row>
    <row r="8345" spans="13:13" x14ac:dyDescent="0.25">
      <c r="M8345" s="18"/>
    </row>
    <row r="8346" spans="13:13" x14ac:dyDescent="0.25">
      <c r="M8346" s="18"/>
    </row>
    <row r="8347" spans="13:13" x14ac:dyDescent="0.25">
      <c r="M8347" s="18"/>
    </row>
    <row r="8348" spans="13:13" x14ac:dyDescent="0.25">
      <c r="M8348" s="18"/>
    </row>
    <row r="8349" spans="13:13" x14ac:dyDescent="0.25">
      <c r="M8349" s="18"/>
    </row>
    <row r="8350" spans="13:13" x14ac:dyDescent="0.25">
      <c r="M8350" s="18"/>
    </row>
    <row r="8351" spans="13:13" x14ac:dyDescent="0.25">
      <c r="M8351" s="18"/>
    </row>
    <row r="8352" spans="13:13" x14ac:dyDescent="0.25">
      <c r="M8352" s="18"/>
    </row>
    <row r="8353" spans="13:13" x14ac:dyDescent="0.25">
      <c r="M8353" s="18"/>
    </row>
    <row r="8354" spans="13:13" x14ac:dyDescent="0.25">
      <c r="M8354" s="18"/>
    </row>
    <row r="8355" spans="13:13" x14ac:dyDescent="0.25">
      <c r="M8355" s="18"/>
    </row>
    <row r="8356" spans="13:13" x14ac:dyDescent="0.25">
      <c r="M8356" s="18"/>
    </row>
    <row r="8357" spans="13:13" x14ac:dyDescent="0.25">
      <c r="M8357" s="18"/>
    </row>
    <row r="8358" spans="13:13" x14ac:dyDescent="0.25">
      <c r="M8358" s="18"/>
    </row>
    <row r="8359" spans="13:13" x14ac:dyDescent="0.25">
      <c r="M8359" s="18"/>
    </row>
    <row r="8360" spans="13:13" x14ac:dyDescent="0.25">
      <c r="M8360" s="18"/>
    </row>
    <row r="8361" spans="13:13" x14ac:dyDescent="0.25">
      <c r="M8361" s="18"/>
    </row>
    <row r="8362" spans="13:13" x14ac:dyDescent="0.25">
      <c r="M8362" s="18"/>
    </row>
    <row r="8363" spans="13:13" x14ac:dyDescent="0.25">
      <c r="M8363" s="18"/>
    </row>
    <row r="8364" spans="13:13" x14ac:dyDescent="0.25">
      <c r="M8364" s="18"/>
    </row>
    <row r="8365" spans="13:13" x14ac:dyDescent="0.25">
      <c r="M8365" s="18"/>
    </row>
    <row r="8366" spans="13:13" x14ac:dyDescent="0.25">
      <c r="M8366" s="18"/>
    </row>
    <row r="8367" spans="13:13" x14ac:dyDescent="0.25">
      <c r="M8367" s="18"/>
    </row>
    <row r="8368" spans="13:13" x14ac:dyDescent="0.25">
      <c r="M8368" s="18"/>
    </row>
    <row r="8369" spans="13:13" x14ac:dyDescent="0.25">
      <c r="M8369" s="18"/>
    </row>
    <row r="8370" spans="13:13" x14ac:dyDescent="0.25">
      <c r="M8370" s="18"/>
    </row>
    <row r="8371" spans="13:13" x14ac:dyDescent="0.25">
      <c r="M8371" s="18"/>
    </row>
    <row r="8372" spans="13:13" x14ac:dyDescent="0.25">
      <c r="M8372" s="18"/>
    </row>
    <row r="8373" spans="13:13" x14ac:dyDescent="0.25">
      <c r="M8373" s="18"/>
    </row>
    <row r="8374" spans="13:13" x14ac:dyDescent="0.25">
      <c r="M8374" s="18"/>
    </row>
    <row r="8375" spans="13:13" x14ac:dyDescent="0.25">
      <c r="M8375" s="18"/>
    </row>
    <row r="8376" spans="13:13" x14ac:dyDescent="0.25">
      <c r="M8376" s="18"/>
    </row>
    <row r="8377" spans="13:13" x14ac:dyDescent="0.25">
      <c r="M8377" s="18"/>
    </row>
    <row r="8378" spans="13:13" x14ac:dyDescent="0.25">
      <c r="M8378" s="18"/>
    </row>
    <row r="8379" spans="13:13" x14ac:dyDescent="0.25">
      <c r="M8379" s="18"/>
    </row>
    <row r="8380" spans="13:13" x14ac:dyDescent="0.25">
      <c r="M8380" s="18"/>
    </row>
    <row r="8381" spans="13:13" x14ac:dyDescent="0.25">
      <c r="M8381" s="18"/>
    </row>
    <row r="8382" spans="13:13" x14ac:dyDescent="0.25">
      <c r="M8382" s="18"/>
    </row>
    <row r="8383" spans="13:13" x14ac:dyDescent="0.25">
      <c r="M8383" s="18"/>
    </row>
    <row r="8384" spans="13:13" x14ac:dyDescent="0.25">
      <c r="M8384" s="18"/>
    </row>
    <row r="8385" spans="13:13" x14ac:dyDescent="0.25">
      <c r="M8385" s="18"/>
    </row>
    <row r="8386" spans="13:13" x14ac:dyDescent="0.25">
      <c r="M8386" s="18"/>
    </row>
    <row r="8387" spans="13:13" x14ac:dyDescent="0.25">
      <c r="M8387" s="18"/>
    </row>
    <row r="8388" spans="13:13" x14ac:dyDescent="0.25">
      <c r="M8388" s="18"/>
    </row>
    <row r="8389" spans="13:13" x14ac:dyDescent="0.25">
      <c r="M8389" s="18"/>
    </row>
    <row r="8390" spans="13:13" x14ac:dyDescent="0.25">
      <c r="M8390" s="18"/>
    </row>
    <row r="8391" spans="13:13" x14ac:dyDescent="0.25">
      <c r="M8391" s="18"/>
    </row>
    <row r="8392" spans="13:13" x14ac:dyDescent="0.25">
      <c r="M8392" s="18"/>
    </row>
    <row r="8393" spans="13:13" x14ac:dyDescent="0.25">
      <c r="M8393" s="18"/>
    </row>
    <row r="8394" spans="13:13" x14ac:dyDescent="0.25">
      <c r="M8394" s="18"/>
    </row>
    <row r="8395" spans="13:13" x14ac:dyDescent="0.25">
      <c r="M8395" s="18"/>
    </row>
    <row r="8396" spans="13:13" x14ac:dyDescent="0.25">
      <c r="M8396" s="18"/>
    </row>
    <row r="8397" spans="13:13" x14ac:dyDescent="0.25">
      <c r="M8397" s="18"/>
    </row>
    <row r="8398" spans="13:13" x14ac:dyDescent="0.25">
      <c r="M8398" s="18"/>
    </row>
    <row r="8399" spans="13:13" x14ac:dyDescent="0.25">
      <c r="M8399" s="18"/>
    </row>
    <row r="8400" spans="13:13" x14ac:dyDescent="0.25">
      <c r="M8400" s="18"/>
    </row>
    <row r="8401" spans="13:13" x14ac:dyDescent="0.25">
      <c r="M8401" s="18"/>
    </row>
    <row r="8402" spans="13:13" x14ac:dyDescent="0.25">
      <c r="M8402" s="18"/>
    </row>
    <row r="8403" spans="13:13" x14ac:dyDescent="0.25">
      <c r="M8403" s="18"/>
    </row>
    <row r="8404" spans="13:13" x14ac:dyDescent="0.25">
      <c r="M8404" s="18"/>
    </row>
    <row r="8405" spans="13:13" x14ac:dyDescent="0.25">
      <c r="M8405" s="18"/>
    </row>
    <row r="8406" spans="13:13" x14ac:dyDescent="0.25">
      <c r="M8406" s="18"/>
    </row>
    <row r="8407" spans="13:13" x14ac:dyDescent="0.25">
      <c r="M8407" s="18"/>
    </row>
    <row r="8408" spans="13:13" x14ac:dyDescent="0.25">
      <c r="M8408" s="18"/>
    </row>
    <row r="8409" spans="13:13" x14ac:dyDescent="0.25">
      <c r="M8409" s="18"/>
    </row>
    <row r="8410" spans="13:13" x14ac:dyDescent="0.25">
      <c r="M8410" s="18"/>
    </row>
    <row r="8411" spans="13:13" x14ac:dyDescent="0.25">
      <c r="M8411" s="18"/>
    </row>
    <row r="8412" spans="13:13" x14ac:dyDescent="0.25">
      <c r="M8412" s="18"/>
    </row>
    <row r="8413" spans="13:13" x14ac:dyDescent="0.25">
      <c r="M8413" s="18"/>
    </row>
    <row r="8414" spans="13:13" x14ac:dyDescent="0.25">
      <c r="M8414" s="18"/>
    </row>
    <row r="8415" spans="13:13" x14ac:dyDescent="0.25">
      <c r="M8415" s="18"/>
    </row>
    <row r="8416" spans="13:13" x14ac:dyDescent="0.25">
      <c r="M8416" s="18"/>
    </row>
    <row r="8417" spans="13:13" x14ac:dyDescent="0.25">
      <c r="M8417" s="18"/>
    </row>
    <row r="8418" spans="13:13" x14ac:dyDescent="0.25">
      <c r="M8418" s="18"/>
    </row>
    <row r="8419" spans="13:13" x14ac:dyDescent="0.25">
      <c r="M8419" s="18"/>
    </row>
    <row r="8420" spans="13:13" x14ac:dyDescent="0.25">
      <c r="M8420" s="18"/>
    </row>
    <row r="8421" spans="13:13" x14ac:dyDescent="0.25">
      <c r="M8421" s="18"/>
    </row>
    <row r="8422" spans="13:13" x14ac:dyDescent="0.25">
      <c r="M8422" s="18"/>
    </row>
    <row r="8423" spans="13:13" x14ac:dyDescent="0.25">
      <c r="M8423" s="18"/>
    </row>
    <row r="8424" spans="13:13" x14ac:dyDescent="0.25">
      <c r="M8424" s="18"/>
    </row>
    <row r="8425" spans="13:13" x14ac:dyDescent="0.25">
      <c r="M8425" s="18"/>
    </row>
    <row r="8426" spans="13:13" x14ac:dyDescent="0.25">
      <c r="M8426" s="18"/>
    </row>
    <row r="8427" spans="13:13" x14ac:dyDescent="0.25">
      <c r="M8427" s="18"/>
    </row>
    <row r="8428" spans="13:13" x14ac:dyDescent="0.25">
      <c r="M8428" s="18"/>
    </row>
    <row r="8429" spans="13:13" x14ac:dyDescent="0.25">
      <c r="M8429" s="18"/>
    </row>
    <row r="8430" spans="13:13" x14ac:dyDescent="0.25">
      <c r="M8430" s="18"/>
    </row>
    <row r="8431" spans="13:13" x14ac:dyDescent="0.25">
      <c r="M8431" s="18"/>
    </row>
    <row r="8432" spans="13:13" x14ac:dyDescent="0.25">
      <c r="M8432" s="18"/>
    </row>
    <row r="8433" spans="13:13" x14ac:dyDescent="0.25">
      <c r="M8433" s="18"/>
    </row>
    <row r="8434" spans="13:13" x14ac:dyDescent="0.25">
      <c r="M8434" s="18"/>
    </row>
    <row r="8435" spans="13:13" x14ac:dyDescent="0.25">
      <c r="M8435" s="18"/>
    </row>
    <row r="8436" spans="13:13" x14ac:dyDescent="0.25">
      <c r="M8436" s="18"/>
    </row>
    <row r="8437" spans="13:13" x14ac:dyDescent="0.25">
      <c r="M8437" s="18"/>
    </row>
    <row r="8438" spans="13:13" x14ac:dyDescent="0.25">
      <c r="M8438" s="18"/>
    </row>
    <row r="8439" spans="13:13" x14ac:dyDescent="0.25">
      <c r="M8439" s="18"/>
    </row>
    <row r="8440" spans="13:13" x14ac:dyDescent="0.25">
      <c r="M8440" s="18"/>
    </row>
    <row r="8441" spans="13:13" x14ac:dyDescent="0.25">
      <c r="M8441" s="18"/>
    </row>
    <row r="8442" spans="13:13" x14ac:dyDescent="0.25">
      <c r="M8442" s="18"/>
    </row>
    <row r="8443" spans="13:13" x14ac:dyDescent="0.25">
      <c r="M8443" s="18"/>
    </row>
    <row r="8444" spans="13:13" x14ac:dyDescent="0.25">
      <c r="M8444" s="18"/>
    </row>
    <row r="8445" spans="13:13" x14ac:dyDescent="0.25">
      <c r="M8445" s="18"/>
    </row>
    <row r="8446" spans="13:13" x14ac:dyDescent="0.25">
      <c r="M8446" s="18"/>
    </row>
    <row r="8447" spans="13:13" x14ac:dyDescent="0.25">
      <c r="M8447" s="18"/>
    </row>
    <row r="8448" spans="13:13" x14ac:dyDescent="0.25">
      <c r="M8448" s="18"/>
    </row>
    <row r="8449" spans="13:13" x14ac:dyDescent="0.25">
      <c r="M8449" s="18"/>
    </row>
    <row r="8450" spans="13:13" x14ac:dyDescent="0.25">
      <c r="M8450" s="18"/>
    </row>
    <row r="8451" spans="13:13" x14ac:dyDescent="0.25">
      <c r="M8451" s="18"/>
    </row>
    <row r="8452" spans="13:13" x14ac:dyDescent="0.25">
      <c r="M8452" s="18"/>
    </row>
    <row r="8453" spans="13:13" x14ac:dyDescent="0.25">
      <c r="M8453" s="18"/>
    </row>
    <row r="8454" spans="13:13" x14ac:dyDescent="0.25">
      <c r="M8454" s="18"/>
    </row>
    <row r="8455" spans="13:13" x14ac:dyDescent="0.25">
      <c r="M8455" s="18"/>
    </row>
    <row r="8456" spans="13:13" x14ac:dyDescent="0.25">
      <c r="M8456" s="18"/>
    </row>
    <row r="8457" spans="13:13" x14ac:dyDescent="0.25">
      <c r="M8457" s="18"/>
    </row>
    <row r="8458" spans="13:13" x14ac:dyDescent="0.25">
      <c r="M8458" s="18"/>
    </row>
    <row r="8459" spans="13:13" x14ac:dyDescent="0.25">
      <c r="M8459" s="18"/>
    </row>
    <row r="8460" spans="13:13" x14ac:dyDescent="0.25">
      <c r="M8460" s="18"/>
    </row>
    <row r="8461" spans="13:13" x14ac:dyDescent="0.25">
      <c r="M8461" s="18"/>
    </row>
    <row r="8462" spans="13:13" x14ac:dyDescent="0.25">
      <c r="M8462" s="18"/>
    </row>
    <row r="8463" spans="13:13" x14ac:dyDescent="0.25">
      <c r="M8463" s="18"/>
    </row>
    <row r="8464" spans="13:13" x14ac:dyDescent="0.25">
      <c r="M8464" s="18"/>
    </row>
    <row r="8465" spans="13:13" x14ac:dyDescent="0.25">
      <c r="M8465" s="18"/>
    </row>
    <row r="8466" spans="13:13" x14ac:dyDescent="0.25">
      <c r="M8466" s="18"/>
    </row>
    <row r="8467" spans="13:13" x14ac:dyDescent="0.25">
      <c r="M8467" s="18"/>
    </row>
    <row r="8468" spans="13:13" x14ac:dyDescent="0.25">
      <c r="M8468" s="18"/>
    </row>
    <row r="8469" spans="13:13" x14ac:dyDescent="0.25">
      <c r="M8469" s="18"/>
    </row>
    <row r="8470" spans="13:13" x14ac:dyDescent="0.25">
      <c r="M8470" s="18"/>
    </row>
    <row r="8471" spans="13:13" x14ac:dyDescent="0.25">
      <c r="M8471" s="18"/>
    </row>
    <row r="8472" spans="13:13" x14ac:dyDescent="0.25">
      <c r="M8472" s="18"/>
    </row>
    <row r="8473" spans="13:13" x14ac:dyDescent="0.25">
      <c r="M8473" s="18"/>
    </row>
    <row r="8474" spans="13:13" x14ac:dyDescent="0.25">
      <c r="M8474" s="18"/>
    </row>
    <row r="8475" spans="13:13" x14ac:dyDescent="0.25">
      <c r="M8475" s="18"/>
    </row>
    <row r="8476" spans="13:13" x14ac:dyDescent="0.25">
      <c r="M8476" s="18"/>
    </row>
    <row r="8477" spans="13:13" x14ac:dyDescent="0.25">
      <c r="M8477" s="18"/>
    </row>
    <row r="8478" spans="13:13" x14ac:dyDescent="0.25">
      <c r="M8478" s="18"/>
    </row>
    <row r="8479" spans="13:13" x14ac:dyDescent="0.25">
      <c r="M8479" s="18"/>
    </row>
    <row r="8480" spans="13:13" x14ac:dyDescent="0.25">
      <c r="M8480" s="18"/>
    </row>
    <row r="8481" spans="13:13" x14ac:dyDescent="0.25">
      <c r="M8481" s="18"/>
    </row>
    <row r="8482" spans="13:13" x14ac:dyDescent="0.25">
      <c r="M8482" s="18"/>
    </row>
    <row r="8483" spans="13:13" x14ac:dyDescent="0.25">
      <c r="M8483" s="18"/>
    </row>
    <row r="8484" spans="13:13" x14ac:dyDescent="0.25">
      <c r="M8484" s="18"/>
    </row>
    <row r="8485" spans="13:13" x14ac:dyDescent="0.25">
      <c r="M8485" s="18"/>
    </row>
    <row r="8486" spans="13:13" x14ac:dyDescent="0.25">
      <c r="M8486" s="18"/>
    </row>
    <row r="8487" spans="13:13" x14ac:dyDescent="0.25">
      <c r="M8487" s="18"/>
    </row>
    <row r="8488" spans="13:13" x14ac:dyDescent="0.25">
      <c r="M8488" s="18"/>
    </row>
    <row r="8489" spans="13:13" x14ac:dyDescent="0.25">
      <c r="M8489" s="18"/>
    </row>
    <row r="8490" spans="13:13" x14ac:dyDescent="0.25">
      <c r="M8490" s="18"/>
    </row>
    <row r="8491" spans="13:13" x14ac:dyDescent="0.25">
      <c r="M8491" s="18"/>
    </row>
    <row r="8492" spans="13:13" x14ac:dyDescent="0.25">
      <c r="M8492" s="18"/>
    </row>
    <row r="8493" spans="13:13" x14ac:dyDescent="0.25">
      <c r="M8493" s="18"/>
    </row>
    <row r="8494" spans="13:13" x14ac:dyDescent="0.25">
      <c r="M8494" s="18"/>
    </row>
    <row r="8495" spans="13:13" x14ac:dyDescent="0.25">
      <c r="M8495" s="18"/>
    </row>
    <row r="8496" spans="13:13" x14ac:dyDescent="0.25">
      <c r="M8496" s="18"/>
    </row>
    <row r="8497" spans="13:13" x14ac:dyDescent="0.25">
      <c r="M8497" s="18"/>
    </row>
    <row r="8498" spans="13:13" x14ac:dyDescent="0.25">
      <c r="M8498" s="18"/>
    </row>
    <row r="8499" spans="13:13" x14ac:dyDescent="0.25">
      <c r="M8499" s="18"/>
    </row>
    <row r="8500" spans="13:13" x14ac:dyDescent="0.25">
      <c r="M8500" s="18"/>
    </row>
    <row r="8501" spans="13:13" x14ac:dyDescent="0.25">
      <c r="M8501" s="18"/>
    </row>
    <row r="8502" spans="13:13" x14ac:dyDescent="0.25">
      <c r="M8502" s="18"/>
    </row>
    <row r="8503" spans="13:13" x14ac:dyDescent="0.25">
      <c r="M8503" s="18"/>
    </row>
    <row r="8504" spans="13:13" x14ac:dyDescent="0.25">
      <c r="M8504" s="18"/>
    </row>
    <row r="8505" spans="13:13" x14ac:dyDescent="0.25">
      <c r="M8505" s="18"/>
    </row>
    <row r="8506" spans="13:13" x14ac:dyDescent="0.25">
      <c r="M8506" s="18"/>
    </row>
    <row r="8507" spans="13:13" x14ac:dyDescent="0.25">
      <c r="M8507" s="18"/>
    </row>
    <row r="8508" spans="13:13" x14ac:dyDescent="0.25">
      <c r="M8508" s="18"/>
    </row>
    <row r="8509" spans="13:13" x14ac:dyDescent="0.25">
      <c r="M8509" s="18"/>
    </row>
    <row r="8510" spans="13:13" x14ac:dyDescent="0.25">
      <c r="M8510" s="18"/>
    </row>
    <row r="8511" spans="13:13" x14ac:dyDescent="0.25">
      <c r="M8511" s="18"/>
    </row>
    <row r="8512" spans="13:13" x14ac:dyDescent="0.25">
      <c r="M8512" s="18"/>
    </row>
    <row r="8513" spans="13:13" x14ac:dyDescent="0.25">
      <c r="M8513" s="18"/>
    </row>
    <row r="8514" spans="13:13" x14ac:dyDescent="0.25">
      <c r="M8514" s="18"/>
    </row>
    <row r="8515" spans="13:13" x14ac:dyDescent="0.25">
      <c r="M8515" s="18"/>
    </row>
    <row r="8516" spans="13:13" x14ac:dyDescent="0.25">
      <c r="M8516" s="18"/>
    </row>
    <row r="8517" spans="13:13" x14ac:dyDescent="0.25">
      <c r="M8517" s="18"/>
    </row>
    <row r="8518" spans="13:13" x14ac:dyDescent="0.25">
      <c r="M8518" s="18"/>
    </row>
    <row r="8519" spans="13:13" x14ac:dyDescent="0.25">
      <c r="M8519" s="18"/>
    </row>
    <row r="8520" spans="13:13" x14ac:dyDescent="0.25">
      <c r="M8520" s="18"/>
    </row>
    <row r="8521" spans="13:13" x14ac:dyDescent="0.25">
      <c r="M8521" s="18"/>
    </row>
    <row r="8522" spans="13:13" x14ac:dyDescent="0.25">
      <c r="M8522" s="18"/>
    </row>
    <row r="8523" spans="13:13" x14ac:dyDescent="0.25">
      <c r="M8523" s="18"/>
    </row>
    <row r="8524" spans="13:13" x14ac:dyDescent="0.25">
      <c r="M8524" s="18"/>
    </row>
    <row r="8525" spans="13:13" x14ac:dyDescent="0.25">
      <c r="M8525" s="18"/>
    </row>
    <row r="8526" spans="13:13" x14ac:dyDescent="0.25">
      <c r="M8526" s="18"/>
    </row>
    <row r="8527" spans="13:13" x14ac:dyDescent="0.25">
      <c r="M8527" s="18"/>
    </row>
    <row r="8528" spans="13:13" x14ac:dyDescent="0.25">
      <c r="M8528" s="18"/>
    </row>
    <row r="8529" spans="13:13" x14ac:dyDescent="0.25">
      <c r="M8529" s="18"/>
    </row>
    <row r="8530" spans="13:13" x14ac:dyDescent="0.25">
      <c r="M8530" s="18"/>
    </row>
    <row r="8531" spans="13:13" x14ac:dyDescent="0.25">
      <c r="M8531" s="18"/>
    </row>
    <row r="8532" spans="13:13" x14ac:dyDescent="0.25">
      <c r="M8532" s="18"/>
    </row>
    <row r="8533" spans="13:13" x14ac:dyDescent="0.25">
      <c r="M8533" s="18"/>
    </row>
    <row r="8534" spans="13:13" x14ac:dyDescent="0.25">
      <c r="M8534" s="18"/>
    </row>
    <row r="8535" spans="13:13" x14ac:dyDescent="0.25">
      <c r="M8535" s="18"/>
    </row>
    <row r="8536" spans="13:13" x14ac:dyDescent="0.25">
      <c r="M8536" s="18"/>
    </row>
    <row r="8537" spans="13:13" x14ac:dyDescent="0.25">
      <c r="M8537" s="18"/>
    </row>
    <row r="8538" spans="13:13" x14ac:dyDescent="0.25">
      <c r="M8538" s="18"/>
    </row>
    <row r="8539" spans="13:13" x14ac:dyDescent="0.25">
      <c r="M8539" s="18"/>
    </row>
    <row r="8540" spans="13:13" x14ac:dyDescent="0.25">
      <c r="M8540" s="18"/>
    </row>
    <row r="8541" spans="13:13" x14ac:dyDescent="0.25">
      <c r="M8541" s="18"/>
    </row>
    <row r="8542" spans="13:13" x14ac:dyDescent="0.25">
      <c r="M8542" s="18"/>
    </row>
    <row r="8543" spans="13:13" x14ac:dyDescent="0.25">
      <c r="M8543" s="18"/>
    </row>
    <row r="8544" spans="13:13" x14ac:dyDescent="0.25">
      <c r="M8544" s="18"/>
    </row>
    <row r="8545" spans="13:13" x14ac:dyDescent="0.25">
      <c r="M8545" s="18"/>
    </row>
    <row r="8546" spans="13:13" x14ac:dyDescent="0.25">
      <c r="M8546" s="18"/>
    </row>
    <row r="8547" spans="13:13" x14ac:dyDescent="0.25">
      <c r="M8547" s="18"/>
    </row>
    <row r="8548" spans="13:13" x14ac:dyDescent="0.25">
      <c r="M8548" s="18"/>
    </row>
    <row r="8549" spans="13:13" x14ac:dyDescent="0.25">
      <c r="M8549" s="18"/>
    </row>
    <row r="8550" spans="13:13" x14ac:dyDescent="0.25">
      <c r="M8550" s="18"/>
    </row>
    <row r="8551" spans="13:13" x14ac:dyDescent="0.25">
      <c r="M8551" s="18"/>
    </row>
    <row r="8552" spans="13:13" x14ac:dyDescent="0.25">
      <c r="M8552" s="18"/>
    </row>
    <row r="8553" spans="13:13" x14ac:dyDescent="0.25">
      <c r="M8553" s="18"/>
    </row>
    <row r="8554" spans="13:13" x14ac:dyDescent="0.25">
      <c r="M8554" s="18"/>
    </row>
    <row r="8555" spans="13:13" x14ac:dyDescent="0.25">
      <c r="M8555" s="18"/>
    </row>
    <row r="8556" spans="13:13" x14ac:dyDescent="0.25">
      <c r="M8556" s="18"/>
    </row>
    <row r="8557" spans="13:13" x14ac:dyDescent="0.25">
      <c r="M8557" s="18"/>
    </row>
    <row r="8558" spans="13:13" x14ac:dyDescent="0.25">
      <c r="M8558" s="18"/>
    </row>
    <row r="8559" spans="13:13" x14ac:dyDescent="0.25">
      <c r="M8559" s="18"/>
    </row>
    <row r="8560" spans="13:13" x14ac:dyDescent="0.25">
      <c r="M8560" s="18"/>
    </row>
    <row r="8561" spans="13:13" x14ac:dyDescent="0.25">
      <c r="M8561" s="18"/>
    </row>
    <row r="8562" spans="13:13" x14ac:dyDescent="0.25">
      <c r="M8562" s="18"/>
    </row>
    <row r="8563" spans="13:13" x14ac:dyDescent="0.25">
      <c r="M8563" s="18"/>
    </row>
    <row r="8564" spans="13:13" x14ac:dyDescent="0.25">
      <c r="M8564" s="18"/>
    </row>
    <row r="8565" spans="13:13" x14ac:dyDescent="0.25">
      <c r="M8565" s="18"/>
    </row>
    <row r="8566" spans="13:13" x14ac:dyDescent="0.25">
      <c r="M8566" s="18"/>
    </row>
    <row r="8567" spans="13:13" x14ac:dyDescent="0.25">
      <c r="M8567" s="18"/>
    </row>
    <row r="8568" spans="13:13" x14ac:dyDescent="0.25">
      <c r="M8568" s="18"/>
    </row>
    <row r="8569" spans="13:13" x14ac:dyDescent="0.25">
      <c r="M8569" s="18"/>
    </row>
    <row r="8570" spans="13:13" x14ac:dyDescent="0.25">
      <c r="M8570" s="18"/>
    </row>
    <row r="8571" spans="13:13" x14ac:dyDescent="0.25">
      <c r="M8571" s="18"/>
    </row>
    <row r="8572" spans="13:13" x14ac:dyDescent="0.25">
      <c r="M8572" s="18"/>
    </row>
    <row r="8573" spans="13:13" x14ac:dyDescent="0.25">
      <c r="M8573" s="18"/>
    </row>
    <row r="8574" spans="13:13" x14ac:dyDescent="0.25">
      <c r="M8574" s="18"/>
    </row>
    <row r="8575" spans="13:13" x14ac:dyDescent="0.25">
      <c r="M8575" s="18"/>
    </row>
    <row r="8576" spans="13:13" x14ac:dyDescent="0.25">
      <c r="M8576" s="18"/>
    </row>
    <row r="8577" spans="13:13" x14ac:dyDescent="0.25">
      <c r="M8577" s="18"/>
    </row>
    <row r="8578" spans="13:13" x14ac:dyDescent="0.25">
      <c r="M8578" s="18"/>
    </row>
    <row r="8579" spans="13:13" x14ac:dyDescent="0.25">
      <c r="M8579" s="18"/>
    </row>
    <row r="8580" spans="13:13" x14ac:dyDescent="0.25">
      <c r="M8580" s="18"/>
    </row>
    <row r="8581" spans="13:13" x14ac:dyDescent="0.25">
      <c r="M8581" s="18"/>
    </row>
    <row r="8582" spans="13:13" x14ac:dyDescent="0.25">
      <c r="M8582" s="18"/>
    </row>
    <row r="8583" spans="13:13" x14ac:dyDescent="0.25">
      <c r="M8583" s="18"/>
    </row>
    <row r="8584" spans="13:13" x14ac:dyDescent="0.25">
      <c r="M8584" s="18"/>
    </row>
    <row r="8585" spans="13:13" x14ac:dyDescent="0.25">
      <c r="M8585" s="18"/>
    </row>
    <row r="8586" spans="13:13" x14ac:dyDescent="0.25">
      <c r="M8586" s="18"/>
    </row>
    <row r="8587" spans="13:13" x14ac:dyDescent="0.25">
      <c r="M8587" s="18"/>
    </row>
    <row r="8588" spans="13:13" x14ac:dyDescent="0.25">
      <c r="M8588" s="18"/>
    </row>
    <row r="8589" spans="13:13" x14ac:dyDescent="0.25">
      <c r="M8589" s="18"/>
    </row>
    <row r="8590" spans="13:13" x14ac:dyDescent="0.25">
      <c r="M8590" s="18"/>
    </row>
    <row r="8591" spans="13:13" x14ac:dyDescent="0.25">
      <c r="M8591" s="18"/>
    </row>
    <row r="8592" spans="13:13" x14ac:dyDescent="0.25">
      <c r="M8592" s="18"/>
    </row>
    <row r="8593" spans="13:13" x14ac:dyDescent="0.25">
      <c r="M8593" s="18"/>
    </row>
    <row r="8594" spans="13:13" x14ac:dyDescent="0.25">
      <c r="M8594" s="18"/>
    </row>
    <row r="8595" spans="13:13" x14ac:dyDescent="0.25">
      <c r="M8595" s="18"/>
    </row>
    <row r="8596" spans="13:13" x14ac:dyDescent="0.25">
      <c r="M8596" s="18"/>
    </row>
    <row r="8597" spans="13:13" x14ac:dyDescent="0.25">
      <c r="M8597" s="18"/>
    </row>
    <row r="8598" spans="13:13" x14ac:dyDescent="0.25">
      <c r="M8598" s="18"/>
    </row>
    <row r="8599" spans="13:13" x14ac:dyDescent="0.25">
      <c r="M8599" s="18"/>
    </row>
    <row r="8600" spans="13:13" x14ac:dyDescent="0.25">
      <c r="M8600" s="18"/>
    </row>
    <row r="8601" spans="13:13" x14ac:dyDescent="0.25">
      <c r="M8601" s="18"/>
    </row>
    <row r="8602" spans="13:13" x14ac:dyDescent="0.25">
      <c r="M8602" s="18"/>
    </row>
    <row r="8603" spans="13:13" x14ac:dyDescent="0.25">
      <c r="M8603" s="18"/>
    </row>
    <row r="8604" spans="13:13" x14ac:dyDescent="0.25">
      <c r="M8604" s="18"/>
    </row>
    <row r="8605" spans="13:13" x14ac:dyDescent="0.25">
      <c r="M8605" s="18"/>
    </row>
    <row r="8606" spans="13:13" x14ac:dyDescent="0.25">
      <c r="M8606" s="18"/>
    </row>
    <row r="8607" spans="13:13" x14ac:dyDescent="0.25">
      <c r="M8607" s="18"/>
    </row>
    <row r="8608" spans="13:13" x14ac:dyDescent="0.25">
      <c r="M8608" s="18"/>
    </row>
    <row r="8609" spans="13:13" x14ac:dyDescent="0.25">
      <c r="M8609" s="18"/>
    </row>
    <row r="8610" spans="13:13" x14ac:dyDescent="0.25">
      <c r="M8610" s="18"/>
    </row>
    <row r="8611" spans="13:13" x14ac:dyDescent="0.25">
      <c r="M8611" s="18"/>
    </row>
    <row r="8612" spans="13:13" x14ac:dyDescent="0.25">
      <c r="M8612" s="18"/>
    </row>
    <row r="8613" spans="13:13" x14ac:dyDescent="0.25">
      <c r="M8613" s="18"/>
    </row>
    <row r="8614" spans="13:13" x14ac:dyDescent="0.25">
      <c r="M8614" s="18"/>
    </row>
    <row r="8615" spans="13:13" x14ac:dyDescent="0.25">
      <c r="M8615" s="18"/>
    </row>
    <row r="8616" spans="13:13" x14ac:dyDescent="0.25">
      <c r="M8616" s="18"/>
    </row>
    <row r="8617" spans="13:13" x14ac:dyDescent="0.25">
      <c r="M8617" s="18"/>
    </row>
    <row r="8618" spans="13:13" x14ac:dyDescent="0.25">
      <c r="M8618" s="18"/>
    </row>
    <row r="8619" spans="13:13" x14ac:dyDescent="0.25">
      <c r="M8619" s="18"/>
    </row>
    <row r="8620" spans="13:13" x14ac:dyDescent="0.25">
      <c r="M8620" s="18"/>
    </row>
    <row r="8621" spans="13:13" x14ac:dyDescent="0.25">
      <c r="M8621" s="18"/>
    </row>
    <row r="8622" spans="13:13" x14ac:dyDescent="0.25">
      <c r="M8622" s="18"/>
    </row>
    <row r="8623" spans="13:13" x14ac:dyDescent="0.25">
      <c r="M8623" s="18"/>
    </row>
    <row r="8624" spans="13:13" x14ac:dyDescent="0.25">
      <c r="M8624" s="18"/>
    </row>
    <row r="8625" spans="13:13" x14ac:dyDescent="0.25">
      <c r="M8625" s="18"/>
    </row>
    <row r="8626" spans="13:13" x14ac:dyDescent="0.25">
      <c r="M8626" s="18"/>
    </row>
    <row r="8627" spans="13:13" x14ac:dyDescent="0.25">
      <c r="M8627" s="18"/>
    </row>
    <row r="8628" spans="13:13" x14ac:dyDescent="0.25">
      <c r="M8628" s="18"/>
    </row>
    <row r="8629" spans="13:13" x14ac:dyDescent="0.25">
      <c r="M8629" s="18"/>
    </row>
    <row r="8630" spans="13:13" x14ac:dyDescent="0.25">
      <c r="M8630" s="18"/>
    </row>
    <row r="8631" spans="13:13" x14ac:dyDescent="0.25">
      <c r="M8631" s="18"/>
    </row>
    <row r="8632" spans="13:13" x14ac:dyDescent="0.25">
      <c r="M8632" s="18"/>
    </row>
    <row r="8633" spans="13:13" x14ac:dyDescent="0.25">
      <c r="M8633" s="18"/>
    </row>
    <row r="8634" spans="13:13" x14ac:dyDescent="0.25">
      <c r="M8634" s="18"/>
    </row>
    <row r="8635" spans="13:13" x14ac:dyDescent="0.25">
      <c r="M8635" s="18"/>
    </row>
    <row r="8636" spans="13:13" x14ac:dyDescent="0.25">
      <c r="M8636" s="18"/>
    </row>
    <row r="8637" spans="13:13" x14ac:dyDescent="0.25">
      <c r="M8637" s="18"/>
    </row>
    <row r="8638" spans="13:13" x14ac:dyDescent="0.25">
      <c r="M8638" s="18"/>
    </row>
    <row r="8639" spans="13:13" x14ac:dyDescent="0.25">
      <c r="M8639" s="18"/>
    </row>
    <row r="8640" spans="13:13" x14ac:dyDescent="0.25">
      <c r="M8640" s="18"/>
    </row>
    <row r="8641" spans="13:13" x14ac:dyDescent="0.25">
      <c r="M8641" s="18"/>
    </row>
    <row r="8642" spans="13:13" x14ac:dyDescent="0.25">
      <c r="M8642" s="18"/>
    </row>
    <row r="8643" spans="13:13" x14ac:dyDescent="0.25">
      <c r="M8643" s="18"/>
    </row>
    <row r="8644" spans="13:13" x14ac:dyDescent="0.25">
      <c r="M8644" s="18"/>
    </row>
    <row r="8645" spans="13:13" x14ac:dyDescent="0.25">
      <c r="M8645" s="18"/>
    </row>
    <row r="8646" spans="13:13" x14ac:dyDescent="0.25">
      <c r="M8646" s="18"/>
    </row>
    <row r="8647" spans="13:13" x14ac:dyDescent="0.25">
      <c r="M8647" s="18"/>
    </row>
    <row r="8648" spans="13:13" x14ac:dyDescent="0.25">
      <c r="M8648" s="18"/>
    </row>
    <row r="8649" spans="13:13" x14ac:dyDescent="0.25">
      <c r="M8649" s="18"/>
    </row>
    <row r="8650" spans="13:13" x14ac:dyDescent="0.25">
      <c r="M8650" s="18"/>
    </row>
    <row r="8651" spans="13:13" x14ac:dyDescent="0.25">
      <c r="M8651" s="18"/>
    </row>
    <row r="8652" spans="13:13" x14ac:dyDescent="0.25">
      <c r="M8652" s="18"/>
    </row>
    <row r="8653" spans="13:13" x14ac:dyDescent="0.25">
      <c r="M8653" s="18"/>
    </row>
    <row r="8654" spans="13:13" x14ac:dyDescent="0.25">
      <c r="M8654" s="18"/>
    </row>
    <row r="8655" spans="13:13" x14ac:dyDescent="0.25">
      <c r="M8655" s="18"/>
    </row>
    <row r="8656" spans="13:13" x14ac:dyDescent="0.25">
      <c r="M8656" s="18"/>
    </row>
    <row r="8657" spans="13:13" x14ac:dyDescent="0.25">
      <c r="M8657" s="18"/>
    </row>
    <row r="8658" spans="13:13" x14ac:dyDescent="0.25">
      <c r="M8658" s="18"/>
    </row>
    <row r="8659" spans="13:13" x14ac:dyDescent="0.25">
      <c r="M8659" s="18"/>
    </row>
    <row r="8660" spans="13:13" x14ac:dyDescent="0.25">
      <c r="M8660" s="18"/>
    </row>
    <row r="8661" spans="13:13" x14ac:dyDescent="0.25">
      <c r="M8661" s="18"/>
    </row>
    <row r="8662" spans="13:13" x14ac:dyDescent="0.25">
      <c r="M8662" s="18"/>
    </row>
    <row r="8663" spans="13:13" x14ac:dyDescent="0.25">
      <c r="M8663" s="18"/>
    </row>
    <row r="8664" spans="13:13" x14ac:dyDescent="0.25">
      <c r="M8664" s="18"/>
    </row>
    <row r="8665" spans="13:13" x14ac:dyDescent="0.25">
      <c r="M8665" s="18"/>
    </row>
    <row r="8666" spans="13:13" x14ac:dyDescent="0.25">
      <c r="M8666" s="18"/>
    </row>
    <row r="8667" spans="13:13" x14ac:dyDescent="0.25">
      <c r="M8667" s="18"/>
    </row>
    <row r="8668" spans="13:13" x14ac:dyDescent="0.25">
      <c r="M8668" s="18"/>
    </row>
    <row r="8669" spans="13:13" x14ac:dyDescent="0.25">
      <c r="M8669" s="18"/>
    </row>
    <row r="8670" spans="13:13" x14ac:dyDescent="0.25">
      <c r="M8670" s="18"/>
    </row>
    <row r="8671" spans="13:13" x14ac:dyDescent="0.25">
      <c r="M8671" s="18"/>
    </row>
    <row r="8672" spans="13:13" x14ac:dyDescent="0.25">
      <c r="M8672" s="18"/>
    </row>
    <row r="8673" spans="13:13" x14ac:dyDescent="0.25">
      <c r="M8673" s="18"/>
    </row>
    <row r="8674" spans="13:13" x14ac:dyDescent="0.25">
      <c r="M8674" s="18"/>
    </row>
    <row r="8675" spans="13:13" x14ac:dyDescent="0.25">
      <c r="M8675" s="18"/>
    </row>
    <row r="8676" spans="13:13" x14ac:dyDescent="0.25">
      <c r="M8676" s="18"/>
    </row>
    <row r="8677" spans="13:13" x14ac:dyDescent="0.25">
      <c r="M8677" s="18"/>
    </row>
    <row r="8678" spans="13:13" x14ac:dyDescent="0.25">
      <c r="M8678" s="18"/>
    </row>
    <row r="8679" spans="13:13" x14ac:dyDescent="0.25">
      <c r="M8679" s="18"/>
    </row>
    <row r="8680" spans="13:13" x14ac:dyDescent="0.25">
      <c r="M8680" s="18"/>
    </row>
    <row r="8681" spans="13:13" x14ac:dyDescent="0.25">
      <c r="M8681" s="18"/>
    </row>
    <row r="8682" spans="13:13" x14ac:dyDescent="0.25">
      <c r="M8682" s="18"/>
    </row>
    <row r="8683" spans="13:13" x14ac:dyDescent="0.25">
      <c r="M8683" s="18"/>
    </row>
    <row r="8684" spans="13:13" x14ac:dyDescent="0.25">
      <c r="M8684" s="18"/>
    </row>
    <row r="8685" spans="13:13" x14ac:dyDescent="0.25">
      <c r="M8685" s="18"/>
    </row>
    <row r="8686" spans="13:13" x14ac:dyDescent="0.25">
      <c r="M8686" s="18"/>
    </row>
    <row r="8687" spans="13:13" x14ac:dyDescent="0.25">
      <c r="M8687" s="18"/>
    </row>
    <row r="8688" spans="13:13" x14ac:dyDescent="0.25">
      <c r="M8688" s="18"/>
    </row>
    <row r="8689" spans="13:13" x14ac:dyDescent="0.25">
      <c r="M8689" s="18"/>
    </row>
    <row r="8690" spans="13:13" x14ac:dyDescent="0.25">
      <c r="M8690" s="18"/>
    </row>
    <row r="8691" spans="13:13" x14ac:dyDescent="0.25">
      <c r="M8691" s="18"/>
    </row>
    <row r="8692" spans="13:13" x14ac:dyDescent="0.25">
      <c r="M8692" s="18"/>
    </row>
    <row r="8693" spans="13:13" x14ac:dyDescent="0.25">
      <c r="M8693" s="18"/>
    </row>
    <row r="8694" spans="13:13" x14ac:dyDescent="0.25">
      <c r="M8694" s="18"/>
    </row>
    <row r="8695" spans="13:13" x14ac:dyDescent="0.25">
      <c r="M8695" s="18"/>
    </row>
    <row r="8696" spans="13:13" x14ac:dyDescent="0.25">
      <c r="M8696" s="18"/>
    </row>
    <row r="8697" spans="13:13" x14ac:dyDescent="0.25">
      <c r="M8697" s="18"/>
    </row>
    <row r="8698" spans="13:13" x14ac:dyDescent="0.25">
      <c r="M8698" s="18"/>
    </row>
    <row r="8699" spans="13:13" x14ac:dyDescent="0.25">
      <c r="M8699" s="18"/>
    </row>
    <row r="8700" spans="13:13" x14ac:dyDescent="0.25">
      <c r="M8700" s="18"/>
    </row>
    <row r="8701" spans="13:13" x14ac:dyDescent="0.25">
      <c r="M8701" s="18"/>
    </row>
    <row r="8702" spans="13:13" x14ac:dyDescent="0.25">
      <c r="M8702" s="18"/>
    </row>
    <row r="8703" spans="13:13" x14ac:dyDescent="0.25">
      <c r="M8703" s="18"/>
    </row>
    <row r="8704" spans="13:13" x14ac:dyDescent="0.25">
      <c r="M8704" s="18"/>
    </row>
    <row r="8705" spans="13:13" x14ac:dyDescent="0.25">
      <c r="M8705" s="18"/>
    </row>
    <row r="8706" spans="13:13" x14ac:dyDescent="0.25">
      <c r="M8706" s="18"/>
    </row>
    <row r="8707" spans="13:13" x14ac:dyDescent="0.25">
      <c r="M8707" s="18"/>
    </row>
    <row r="8708" spans="13:13" x14ac:dyDescent="0.25">
      <c r="M8708" s="18"/>
    </row>
    <row r="8709" spans="13:13" x14ac:dyDescent="0.25">
      <c r="M8709" s="18"/>
    </row>
    <row r="8710" spans="13:13" x14ac:dyDescent="0.25">
      <c r="M8710" s="18"/>
    </row>
    <row r="8711" spans="13:13" x14ac:dyDescent="0.25">
      <c r="M8711" s="18"/>
    </row>
    <row r="8712" spans="13:13" x14ac:dyDescent="0.25">
      <c r="M8712" s="18"/>
    </row>
    <row r="8713" spans="13:13" x14ac:dyDescent="0.25">
      <c r="M8713" s="18"/>
    </row>
    <row r="8714" spans="13:13" x14ac:dyDescent="0.25">
      <c r="M8714" s="18"/>
    </row>
    <row r="8715" spans="13:13" x14ac:dyDescent="0.25">
      <c r="M8715" s="18"/>
    </row>
    <row r="8716" spans="13:13" x14ac:dyDescent="0.25">
      <c r="M8716" s="18"/>
    </row>
    <row r="8717" spans="13:13" x14ac:dyDescent="0.25">
      <c r="M8717" s="18"/>
    </row>
    <row r="8718" spans="13:13" x14ac:dyDescent="0.25">
      <c r="M8718" s="18"/>
    </row>
    <row r="8719" spans="13:13" x14ac:dyDescent="0.25">
      <c r="M8719" s="18"/>
    </row>
    <row r="8720" spans="13:13" x14ac:dyDescent="0.25">
      <c r="M8720" s="18"/>
    </row>
    <row r="8721" spans="13:13" x14ac:dyDescent="0.25">
      <c r="M8721" s="18"/>
    </row>
    <row r="8722" spans="13:13" x14ac:dyDescent="0.25">
      <c r="M8722" s="18"/>
    </row>
    <row r="8723" spans="13:13" x14ac:dyDescent="0.25">
      <c r="M8723" s="18"/>
    </row>
    <row r="8724" spans="13:13" x14ac:dyDescent="0.25">
      <c r="M8724" s="18"/>
    </row>
    <row r="8725" spans="13:13" x14ac:dyDescent="0.25">
      <c r="M8725" s="18"/>
    </row>
    <row r="8726" spans="13:13" x14ac:dyDescent="0.25">
      <c r="M8726" s="18"/>
    </row>
    <row r="8727" spans="13:13" x14ac:dyDescent="0.25">
      <c r="M8727" s="18"/>
    </row>
    <row r="8728" spans="13:13" x14ac:dyDescent="0.25">
      <c r="M8728" s="18"/>
    </row>
    <row r="8729" spans="13:13" x14ac:dyDescent="0.25">
      <c r="M8729" s="18"/>
    </row>
    <row r="8730" spans="13:13" x14ac:dyDescent="0.25">
      <c r="M8730" s="18"/>
    </row>
    <row r="8731" spans="13:13" x14ac:dyDescent="0.25">
      <c r="M8731" s="18"/>
    </row>
    <row r="8732" spans="13:13" x14ac:dyDescent="0.25">
      <c r="M8732" s="18"/>
    </row>
    <row r="8733" spans="13:13" x14ac:dyDescent="0.25">
      <c r="M8733" s="18"/>
    </row>
    <row r="8734" spans="13:13" x14ac:dyDescent="0.25">
      <c r="M8734" s="18"/>
    </row>
    <row r="8735" spans="13:13" x14ac:dyDescent="0.25">
      <c r="M8735" s="18"/>
    </row>
    <row r="8736" spans="13:13" x14ac:dyDescent="0.25">
      <c r="M8736" s="18"/>
    </row>
    <row r="8737" spans="13:13" x14ac:dyDescent="0.25">
      <c r="M8737" s="18"/>
    </row>
    <row r="8738" spans="13:13" x14ac:dyDescent="0.25">
      <c r="M8738" s="18"/>
    </row>
    <row r="8739" spans="13:13" x14ac:dyDescent="0.25">
      <c r="M8739" s="18"/>
    </row>
    <row r="8740" spans="13:13" x14ac:dyDescent="0.25">
      <c r="M8740" s="18"/>
    </row>
    <row r="8741" spans="13:13" x14ac:dyDescent="0.25">
      <c r="M8741" s="18"/>
    </row>
    <row r="8742" spans="13:13" x14ac:dyDescent="0.25">
      <c r="M8742" s="18"/>
    </row>
    <row r="8743" spans="13:13" x14ac:dyDescent="0.25">
      <c r="M8743" s="18"/>
    </row>
    <row r="8744" spans="13:13" x14ac:dyDescent="0.25">
      <c r="M8744" s="18"/>
    </row>
    <row r="8745" spans="13:13" x14ac:dyDescent="0.25">
      <c r="M8745" s="18"/>
    </row>
    <row r="8746" spans="13:13" x14ac:dyDescent="0.25">
      <c r="M8746" s="18"/>
    </row>
    <row r="8747" spans="13:13" x14ac:dyDescent="0.25">
      <c r="M8747" s="18"/>
    </row>
    <row r="8748" spans="13:13" x14ac:dyDescent="0.25">
      <c r="M8748" s="18"/>
    </row>
    <row r="8749" spans="13:13" x14ac:dyDescent="0.25">
      <c r="M8749" s="18"/>
    </row>
    <row r="8750" spans="13:13" x14ac:dyDescent="0.25">
      <c r="M8750" s="18"/>
    </row>
    <row r="8751" spans="13:13" x14ac:dyDescent="0.25">
      <c r="M8751" s="18"/>
    </row>
    <row r="8752" spans="13:13" x14ac:dyDescent="0.25">
      <c r="M8752" s="18"/>
    </row>
    <row r="8753" spans="13:13" x14ac:dyDescent="0.25">
      <c r="M8753" s="18"/>
    </row>
    <row r="8754" spans="13:13" x14ac:dyDescent="0.25">
      <c r="M8754" s="18"/>
    </row>
    <row r="8755" spans="13:13" x14ac:dyDescent="0.25">
      <c r="M8755" s="18"/>
    </row>
    <row r="8756" spans="13:13" x14ac:dyDescent="0.25">
      <c r="M8756" s="18"/>
    </row>
    <row r="8757" spans="13:13" x14ac:dyDescent="0.25">
      <c r="M8757" s="18"/>
    </row>
    <row r="8758" spans="13:13" x14ac:dyDescent="0.25">
      <c r="M8758" s="18"/>
    </row>
    <row r="8759" spans="13:13" x14ac:dyDescent="0.25">
      <c r="M8759" s="18"/>
    </row>
    <row r="8760" spans="13:13" x14ac:dyDescent="0.25">
      <c r="M8760" s="18"/>
    </row>
    <row r="8761" spans="13:13" x14ac:dyDescent="0.25">
      <c r="M8761" s="18"/>
    </row>
    <row r="8762" spans="13:13" x14ac:dyDescent="0.25">
      <c r="M8762" s="18"/>
    </row>
    <row r="8763" spans="13:13" x14ac:dyDescent="0.25">
      <c r="M8763" s="18"/>
    </row>
    <row r="8764" spans="13:13" x14ac:dyDescent="0.25">
      <c r="M8764" s="18"/>
    </row>
    <row r="8765" spans="13:13" x14ac:dyDescent="0.25">
      <c r="M8765" s="18"/>
    </row>
    <row r="8766" spans="13:13" x14ac:dyDescent="0.25">
      <c r="M8766" s="18"/>
    </row>
    <row r="8767" spans="13:13" x14ac:dyDescent="0.25">
      <c r="M8767" s="18"/>
    </row>
    <row r="8768" spans="13:13" x14ac:dyDescent="0.25">
      <c r="M8768" s="18"/>
    </row>
    <row r="8769" spans="13:13" x14ac:dyDescent="0.25">
      <c r="M8769" s="18"/>
    </row>
    <row r="8770" spans="13:13" x14ac:dyDescent="0.25">
      <c r="M8770" s="18"/>
    </row>
    <row r="8771" spans="13:13" x14ac:dyDescent="0.25">
      <c r="M8771" s="18"/>
    </row>
    <row r="8772" spans="13:13" x14ac:dyDescent="0.25">
      <c r="M8772" s="18"/>
    </row>
    <row r="8773" spans="13:13" x14ac:dyDescent="0.25">
      <c r="M8773" s="18"/>
    </row>
    <row r="8774" spans="13:13" x14ac:dyDescent="0.25">
      <c r="M8774" s="18"/>
    </row>
    <row r="8775" spans="13:13" x14ac:dyDescent="0.25">
      <c r="M8775" s="18"/>
    </row>
    <row r="8776" spans="13:13" x14ac:dyDescent="0.25">
      <c r="M8776" s="18"/>
    </row>
    <row r="8777" spans="13:13" x14ac:dyDescent="0.25">
      <c r="M8777" s="18"/>
    </row>
    <row r="8778" spans="13:13" x14ac:dyDescent="0.25">
      <c r="M8778" s="18"/>
    </row>
    <row r="8779" spans="13:13" x14ac:dyDescent="0.25">
      <c r="M8779" s="18"/>
    </row>
    <row r="8780" spans="13:13" x14ac:dyDescent="0.25">
      <c r="M8780" s="18"/>
    </row>
    <row r="8781" spans="13:13" x14ac:dyDescent="0.25">
      <c r="M8781" s="18"/>
    </row>
    <row r="8782" spans="13:13" x14ac:dyDescent="0.25">
      <c r="M8782" s="18"/>
    </row>
    <row r="8783" spans="13:13" x14ac:dyDescent="0.25">
      <c r="M8783" s="18"/>
    </row>
    <row r="8784" spans="13:13" x14ac:dyDescent="0.25">
      <c r="M8784" s="18"/>
    </row>
    <row r="8785" spans="13:13" x14ac:dyDescent="0.25">
      <c r="M8785" s="18"/>
    </row>
    <row r="8786" spans="13:13" x14ac:dyDescent="0.25">
      <c r="M8786" s="18"/>
    </row>
    <row r="8787" spans="13:13" x14ac:dyDescent="0.25">
      <c r="M8787" s="18"/>
    </row>
    <row r="8788" spans="13:13" x14ac:dyDescent="0.25">
      <c r="M8788" s="18"/>
    </row>
    <row r="8789" spans="13:13" x14ac:dyDescent="0.25">
      <c r="M8789" s="18"/>
    </row>
    <row r="8790" spans="13:13" x14ac:dyDescent="0.25">
      <c r="M8790" s="18"/>
    </row>
    <row r="8791" spans="13:13" x14ac:dyDescent="0.25">
      <c r="M8791" s="18"/>
    </row>
    <row r="8792" spans="13:13" x14ac:dyDescent="0.25">
      <c r="M8792" s="18"/>
    </row>
    <row r="8793" spans="13:13" x14ac:dyDescent="0.25">
      <c r="M8793" s="18"/>
    </row>
    <row r="8794" spans="13:13" x14ac:dyDescent="0.25">
      <c r="M8794" s="18"/>
    </row>
    <row r="8795" spans="13:13" x14ac:dyDescent="0.25">
      <c r="M8795" s="18"/>
    </row>
    <row r="8796" spans="13:13" x14ac:dyDescent="0.25">
      <c r="M8796" s="18"/>
    </row>
    <row r="8797" spans="13:13" x14ac:dyDescent="0.25">
      <c r="M8797" s="18"/>
    </row>
    <row r="8798" spans="13:13" x14ac:dyDescent="0.25">
      <c r="M8798" s="18"/>
    </row>
    <row r="8799" spans="13:13" x14ac:dyDescent="0.25">
      <c r="M8799" s="18"/>
    </row>
    <row r="8800" spans="13:13" x14ac:dyDescent="0.25">
      <c r="M8800" s="18"/>
    </row>
    <row r="8801" spans="13:13" x14ac:dyDescent="0.25">
      <c r="M8801" s="18"/>
    </row>
    <row r="8802" spans="13:13" x14ac:dyDescent="0.25">
      <c r="M8802" s="18"/>
    </row>
    <row r="8803" spans="13:13" x14ac:dyDescent="0.25">
      <c r="M8803" s="18"/>
    </row>
    <row r="8804" spans="13:13" x14ac:dyDescent="0.25">
      <c r="M8804" s="18"/>
    </row>
    <row r="8805" spans="13:13" x14ac:dyDescent="0.25">
      <c r="M8805" s="18"/>
    </row>
    <row r="8806" spans="13:13" x14ac:dyDescent="0.25">
      <c r="M8806" s="18"/>
    </row>
    <row r="8807" spans="13:13" x14ac:dyDescent="0.25">
      <c r="M8807" s="18"/>
    </row>
    <row r="8808" spans="13:13" x14ac:dyDescent="0.25">
      <c r="M8808" s="18"/>
    </row>
    <row r="8809" spans="13:13" x14ac:dyDescent="0.25">
      <c r="M8809" s="18"/>
    </row>
    <row r="8810" spans="13:13" x14ac:dyDescent="0.25">
      <c r="M8810" s="18"/>
    </row>
    <row r="8811" spans="13:13" x14ac:dyDescent="0.25">
      <c r="M8811" s="18"/>
    </row>
    <row r="8812" spans="13:13" x14ac:dyDescent="0.25">
      <c r="M8812" s="18"/>
    </row>
    <row r="8813" spans="13:13" x14ac:dyDescent="0.25">
      <c r="M8813" s="18"/>
    </row>
    <row r="8814" spans="13:13" x14ac:dyDescent="0.25">
      <c r="M8814" s="18"/>
    </row>
    <row r="8815" spans="13:13" x14ac:dyDescent="0.25">
      <c r="M8815" s="18"/>
    </row>
    <row r="8816" spans="13:13" x14ac:dyDescent="0.25">
      <c r="M8816" s="18"/>
    </row>
    <row r="8817" spans="13:13" x14ac:dyDescent="0.25">
      <c r="M8817" s="18"/>
    </row>
    <row r="8818" spans="13:13" x14ac:dyDescent="0.25">
      <c r="M8818" s="18"/>
    </row>
    <row r="8819" spans="13:13" x14ac:dyDescent="0.25">
      <c r="M8819" s="18"/>
    </row>
    <row r="8820" spans="13:13" x14ac:dyDescent="0.25">
      <c r="M8820" s="18"/>
    </row>
    <row r="8821" spans="13:13" x14ac:dyDescent="0.25">
      <c r="M8821" s="18"/>
    </row>
    <row r="8822" spans="13:13" x14ac:dyDescent="0.25">
      <c r="M8822" s="18"/>
    </row>
    <row r="8823" spans="13:13" x14ac:dyDescent="0.25">
      <c r="M8823" s="18"/>
    </row>
    <row r="8824" spans="13:13" x14ac:dyDescent="0.25">
      <c r="M8824" s="18"/>
    </row>
    <row r="8825" spans="13:13" x14ac:dyDescent="0.25">
      <c r="M8825" s="18"/>
    </row>
    <row r="8826" spans="13:13" x14ac:dyDescent="0.25">
      <c r="M8826" s="18"/>
    </row>
    <row r="8827" spans="13:13" x14ac:dyDescent="0.25">
      <c r="M8827" s="18"/>
    </row>
    <row r="8828" spans="13:13" x14ac:dyDescent="0.25">
      <c r="M8828" s="18"/>
    </row>
    <row r="8829" spans="13:13" x14ac:dyDescent="0.25">
      <c r="M8829" s="18"/>
    </row>
    <row r="8830" spans="13:13" x14ac:dyDescent="0.25">
      <c r="M8830" s="18"/>
    </row>
    <row r="8831" spans="13:13" x14ac:dyDescent="0.25">
      <c r="M8831" s="18"/>
    </row>
    <row r="8832" spans="13:13" x14ac:dyDescent="0.25">
      <c r="M8832" s="18"/>
    </row>
    <row r="8833" spans="13:13" x14ac:dyDescent="0.25">
      <c r="M8833" s="18"/>
    </row>
    <row r="8834" spans="13:13" x14ac:dyDescent="0.25">
      <c r="M8834" s="18"/>
    </row>
    <row r="8835" spans="13:13" x14ac:dyDescent="0.25">
      <c r="M8835" s="18"/>
    </row>
    <row r="8836" spans="13:13" x14ac:dyDescent="0.25">
      <c r="M8836" s="18"/>
    </row>
    <row r="8837" spans="13:13" x14ac:dyDescent="0.25">
      <c r="M8837" s="18"/>
    </row>
    <row r="8838" spans="13:13" x14ac:dyDescent="0.25">
      <c r="M8838" s="18"/>
    </row>
    <row r="8839" spans="13:13" x14ac:dyDescent="0.25">
      <c r="M8839" s="18"/>
    </row>
    <row r="8840" spans="13:13" x14ac:dyDescent="0.25">
      <c r="M8840" s="18"/>
    </row>
    <row r="8841" spans="13:13" x14ac:dyDescent="0.25">
      <c r="M8841" s="18"/>
    </row>
    <row r="8842" spans="13:13" x14ac:dyDescent="0.25">
      <c r="M8842" s="18"/>
    </row>
    <row r="8843" spans="13:13" x14ac:dyDescent="0.25">
      <c r="M8843" s="18"/>
    </row>
    <row r="8844" spans="13:13" x14ac:dyDescent="0.25">
      <c r="M8844" s="18"/>
    </row>
    <row r="8845" spans="13:13" x14ac:dyDescent="0.25">
      <c r="M8845" s="18"/>
    </row>
    <row r="8846" spans="13:13" x14ac:dyDescent="0.25">
      <c r="M8846" s="18"/>
    </row>
    <row r="8847" spans="13:13" x14ac:dyDescent="0.25">
      <c r="M8847" s="18"/>
    </row>
    <row r="8848" spans="13:13" x14ac:dyDescent="0.25">
      <c r="M8848" s="18"/>
    </row>
    <row r="8849" spans="13:13" x14ac:dyDescent="0.25">
      <c r="M8849" s="18"/>
    </row>
    <row r="8850" spans="13:13" x14ac:dyDescent="0.25">
      <c r="M8850" s="18"/>
    </row>
    <row r="8851" spans="13:13" x14ac:dyDescent="0.25">
      <c r="M8851" s="18"/>
    </row>
    <row r="8852" spans="13:13" x14ac:dyDescent="0.25">
      <c r="M8852" s="18"/>
    </row>
    <row r="8853" spans="13:13" x14ac:dyDescent="0.25">
      <c r="M8853" s="18"/>
    </row>
    <row r="8854" spans="13:13" x14ac:dyDescent="0.25">
      <c r="M8854" s="18"/>
    </row>
    <row r="8855" spans="13:13" x14ac:dyDescent="0.25">
      <c r="M8855" s="18"/>
    </row>
    <row r="8856" spans="13:13" x14ac:dyDescent="0.25">
      <c r="M8856" s="18"/>
    </row>
    <row r="8857" spans="13:13" x14ac:dyDescent="0.25">
      <c r="M8857" s="18"/>
    </row>
    <row r="8858" spans="13:13" x14ac:dyDescent="0.25">
      <c r="M8858" s="18"/>
    </row>
    <row r="8859" spans="13:13" x14ac:dyDescent="0.25">
      <c r="M8859" s="18"/>
    </row>
    <row r="8860" spans="13:13" x14ac:dyDescent="0.25">
      <c r="M8860" s="18"/>
    </row>
    <row r="8861" spans="13:13" x14ac:dyDescent="0.25">
      <c r="M8861" s="18"/>
    </row>
    <row r="8862" spans="13:13" x14ac:dyDescent="0.25">
      <c r="M8862" s="18"/>
    </row>
    <row r="8863" spans="13:13" x14ac:dyDescent="0.25">
      <c r="M8863" s="18"/>
    </row>
    <row r="8864" spans="13:13" x14ac:dyDescent="0.25">
      <c r="M8864" s="18"/>
    </row>
    <row r="8865" spans="13:13" x14ac:dyDescent="0.25">
      <c r="M8865" s="18"/>
    </row>
    <row r="8866" spans="13:13" x14ac:dyDescent="0.25">
      <c r="M8866" s="18"/>
    </row>
    <row r="8867" spans="13:13" x14ac:dyDescent="0.25">
      <c r="M8867" s="18"/>
    </row>
    <row r="8868" spans="13:13" x14ac:dyDescent="0.25">
      <c r="M8868" s="18"/>
    </row>
    <row r="8869" spans="13:13" x14ac:dyDescent="0.25">
      <c r="M8869" s="18"/>
    </row>
    <row r="8870" spans="13:13" x14ac:dyDescent="0.25">
      <c r="M8870" s="18"/>
    </row>
    <row r="8871" spans="13:13" x14ac:dyDescent="0.25">
      <c r="M8871" s="18"/>
    </row>
    <row r="8872" spans="13:13" x14ac:dyDescent="0.25">
      <c r="M8872" s="18"/>
    </row>
    <row r="8873" spans="13:13" x14ac:dyDescent="0.25">
      <c r="M8873" s="18"/>
    </row>
    <row r="8874" spans="13:13" x14ac:dyDescent="0.25">
      <c r="M8874" s="18"/>
    </row>
    <row r="8875" spans="13:13" x14ac:dyDescent="0.25">
      <c r="M8875" s="18"/>
    </row>
    <row r="8876" spans="13:13" x14ac:dyDescent="0.25">
      <c r="M8876" s="18"/>
    </row>
    <row r="8877" spans="13:13" x14ac:dyDescent="0.25">
      <c r="M8877" s="18"/>
    </row>
    <row r="8878" spans="13:13" x14ac:dyDescent="0.25">
      <c r="M8878" s="18"/>
    </row>
    <row r="8879" spans="13:13" x14ac:dyDescent="0.25">
      <c r="M8879" s="18"/>
    </row>
    <row r="8880" spans="13:13" x14ac:dyDescent="0.25">
      <c r="M8880" s="18"/>
    </row>
    <row r="8881" spans="13:13" x14ac:dyDescent="0.25">
      <c r="M8881" s="18"/>
    </row>
    <row r="8882" spans="13:13" x14ac:dyDescent="0.25">
      <c r="M8882" s="18"/>
    </row>
    <row r="8883" spans="13:13" x14ac:dyDescent="0.25">
      <c r="M8883" s="18"/>
    </row>
    <row r="8884" spans="13:13" x14ac:dyDescent="0.25">
      <c r="M8884" s="18"/>
    </row>
    <row r="8885" spans="13:13" x14ac:dyDescent="0.25">
      <c r="M8885" s="18"/>
    </row>
    <row r="8886" spans="13:13" x14ac:dyDescent="0.25">
      <c r="M8886" s="18"/>
    </row>
    <row r="8887" spans="13:13" x14ac:dyDescent="0.25">
      <c r="M8887" s="18"/>
    </row>
    <row r="8888" spans="13:13" x14ac:dyDescent="0.25">
      <c r="M8888" s="18"/>
    </row>
    <row r="8889" spans="13:13" x14ac:dyDescent="0.25">
      <c r="M8889" s="18"/>
    </row>
    <row r="8890" spans="13:13" x14ac:dyDescent="0.25">
      <c r="M8890" s="18"/>
    </row>
    <row r="8891" spans="13:13" x14ac:dyDescent="0.25">
      <c r="M8891" s="18"/>
    </row>
    <row r="8892" spans="13:13" x14ac:dyDescent="0.25">
      <c r="M8892" s="18"/>
    </row>
    <row r="8893" spans="13:13" x14ac:dyDescent="0.25">
      <c r="M8893" s="18"/>
    </row>
    <row r="8894" spans="13:13" x14ac:dyDescent="0.25">
      <c r="M8894" s="18"/>
    </row>
    <row r="8895" spans="13:13" x14ac:dyDescent="0.25">
      <c r="M8895" s="18"/>
    </row>
    <row r="8896" spans="13:13" x14ac:dyDescent="0.25">
      <c r="M8896" s="18"/>
    </row>
    <row r="8897" spans="13:13" x14ac:dyDescent="0.25">
      <c r="M8897" s="18"/>
    </row>
    <row r="8898" spans="13:13" x14ac:dyDescent="0.25">
      <c r="M8898" s="18"/>
    </row>
    <row r="8899" spans="13:13" x14ac:dyDescent="0.25">
      <c r="M8899" s="18"/>
    </row>
    <row r="8900" spans="13:13" x14ac:dyDescent="0.25">
      <c r="M8900" s="18"/>
    </row>
    <row r="8901" spans="13:13" x14ac:dyDescent="0.25">
      <c r="M8901" s="18"/>
    </row>
    <row r="8902" spans="13:13" x14ac:dyDescent="0.25">
      <c r="M8902" s="18"/>
    </row>
    <row r="8903" spans="13:13" x14ac:dyDescent="0.25">
      <c r="M8903" s="18"/>
    </row>
    <row r="8904" spans="13:13" x14ac:dyDescent="0.25">
      <c r="M8904" s="18"/>
    </row>
    <row r="8905" spans="13:13" x14ac:dyDescent="0.25">
      <c r="M8905" s="18"/>
    </row>
    <row r="8906" spans="13:13" x14ac:dyDescent="0.25">
      <c r="M8906" s="18"/>
    </row>
    <row r="8907" spans="13:13" x14ac:dyDescent="0.25">
      <c r="M8907" s="18"/>
    </row>
    <row r="8908" spans="13:13" x14ac:dyDescent="0.25">
      <c r="M8908" s="18"/>
    </row>
    <row r="8909" spans="13:13" x14ac:dyDescent="0.25">
      <c r="M8909" s="18"/>
    </row>
    <row r="8910" spans="13:13" x14ac:dyDescent="0.25">
      <c r="M8910" s="18"/>
    </row>
    <row r="8911" spans="13:13" x14ac:dyDescent="0.25">
      <c r="M8911" s="18"/>
    </row>
    <row r="8912" spans="13:13" x14ac:dyDescent="0.25">
      <c r="M8912" s="18"/>
    </row>
    <row r="8913" spans="13:13" x14ac:dyDescent="0.25">
      <c r="M8913" s="18"/>
    </row>
    <row r="8914" spans="13:13" x14ac:dyDescent="0.25">
      <c r="M8914" s="18"/>
    </row>
    <row r="8915" spans="13:13" x14ac:dyDescent="0.25">
      <c r="M8915" s="18"/>
    </row>
    <row r="8916" spans="13:13" x14ac:dyDescent="0.25">
      <c r="M8916" s="18"/>
    </row>
    <row r="8917" spans="13:13" x14ac:dyDescent="0.25">
      <c r="M8917" s="18"/>
    </row>
    <row r="8918" spans="13:13" x14ac:dyDescent="0.25">
      <c r="M8918" s="18"/>
    </row>
    <row r="8919" spans="13:13" x14ac:dyDescent="0.25">
      <c r="M8919" s="18"/>
    </row>
    <row r="8920" spans="13:13" x14ac:dyDescent="0.25">
      <c r="M8920" s="18"/>
    </row>
    <row r="8921" spans="13:13" x14ac:dyDescent="0.25">
      <c r="M8921" s="18"/>
    </row>
    <row r="8922" spans="13:13" x14ac:dyDescent="0.25">
      <c r="M8922" s="18"/>
    </row>
    <row r="8923" spans="13:13" x14ac:dyDescent="0.25">
      <c r="M8923" s="18"/>
    </row>
    <row r="8924" spans="13:13" x14ac:dyDescent="0.25">
      <c r="M8924" s="18"/>
    </row>
    <row r="8925" spans="13:13" x14ac:dyDescent="0.25">
      <c r="M8925" s="18"/>
    </row>
    <row r="8926" spans="13:13" x14ac:dyDescent="0.25">
      <c r="M8926" s="18"/>
    </row>
    <row r="8927" spans="13:13" x14ac:dyDescent="0.25">
      <c r="M8927" s="18"/>
    </row>
    <row r="8928" spans="13:13" x14ac:dyDescent="0.25">
      <c r="M8928" s="18"/>
    </row>
    <row r="8929" spans="13:13" x14ac:dyDescent="0.25">
      <c r="M8929" s="18"/>
    </row>
    <row r="8930" spans="13:13" x14ac:dyDescent="0.25">
      <c r="M8930" s="18"/>
    </row>
    <row r="8931" spans="13:13" x14ac:dyDescent="0.25">
      <c r="M8931" s="18"/>
    </row>
    <row r="8932" spans="13:13" x14ac:dyDescent="0.25">
      <c r="M8932" s="18"/>
    </row>
    <row r="8933" spans="13:13" x14ac:dyDescent="0.25">
      <c r="M8933" s="18"/>
    </row>
    <row r="8934" spans="13:13" x14ac:dyDescent="0.25">
      <c r="M8934" s="18"/>
    </row>
    <row r="8935" spans="13:13" x14ac:dyDescent="0.25">
      <c r="M8935" s="18"/>
    </row>
    <row r="8936" spans="13:13" x14ac:dyDescent="0.25">
      <c r="M8936" s="18"/>
    </row>
    <row r="8937" spans="13:13" x14ac:dyDescent="0.25">
      <c r="M8937" s="18"/>
    </row>
    <row r="8938" spans="13:13" x14ac:dyDescent="0.25">
      <c r="M8938" s="18"/>
    </row>
    <row r="8939" spans="13:13" x14ac:dyDescent="0.25">
      <c r="M8939" s="18"/>
    </row>
    <row r="8940" spans="13:13" x14ac:dyDescent="0.25">
      <c r="M8940" s="18"/>
    </row>
    <row r="8941" spans="13:13" x14ac:dyDescent="0.25">
      <c r="M8941" s="18"/>
    </row>
    <row r="8942" spans="13:13" x14ac:dyDescent="0.25">
      <c r="M8942" s="18"/>
    </row>
    <row r="8943" spans="13:13" x14ac:dyDescent="0.25">
      <c r="M8943" s="18"/>
    </row>
    <row r="8944" spans="13:13" x14ac:dyDescent="0.25">
      <c r="M8944" s="18"/>
    </row>
    <row r="8945" spans="13:13" x14ac:dyDescent="0.25">
      <c r="M8945" s="18"/>
    </row>
    <row r="8946" spans="13:13" x14ac:dyDescent="0.25">
      <c r="M8946" s="18"/>
    </row>
    <row r="8947" spans="13:13" x14ac:dyDescent="0.25">
      <c r="M8947" s="18"/>
    </row>
    <row r="8948" spans="13:13" x14ac:dyDescent="0.25">
      <c r="M8948" s="18"/>
    </row>
    <row r="8949" spans="13:13" x14ac:dyDescent="0.25">
      <c r="M8949" s="18"/>
    </row>
    <row r="8950" spans="13:13" x14ac:dyDescent="0.25">
      <c r="M8950" s="18"/>
    </row>
    <row r="8951" spans="13:13" x14ac:dyDescent="0.25">
      <c r="M8951" s="18"/>
    </row>
    <row r="8952" spans="13:13" x14ac:dyDescent="0.25">
      <c r="M8952" s="18"/>
    </row>
    <row r="8953" spans="13:13" x14ac:dyDescent="0.25">
      <c r="M8953" s="18"/>
    </row>
    <row r="8954" spans="13:13" x14ac:dyDescent="0.25">
      <c r="M8954" s="18"/>
    </row>
    <row r="8955" spans="13:13" x14ac:dyDescent="0.25">
      <c r="M8955" s="18"/>
    </row>
    <row r="8956" spans="13:13" x14ac:dyDescent="0.25">
      <c r="M8956" s="18"/>
    </row>
    <row r="8957" spans="13:13" x14ac:dyDescent="0.25">
      <c r="M8957" s="18"/>
    </row>
    <row r="8958" spans="13:13" x14ac:dyDescent="0.25">
      <c r="M8958" s="18"/>
    </row>
    <row r="8959" spans="13:13" x14ac:dyDescent="0.25">
      <c r="M8959" s="18"/>
    </row>
    <row r="8960" spans="13:13" x14ac:dyDescent="0.25">
      <c r="M8960" s="18"/>
    </row>
    <row r="8961" spans="13:13" x14ac:dyDescent="0.25">
      <c r="M8961" s="18"/>
    </row>
    <row r="8962" spans="13:13" x14ac:dyDescent="0.25">
      <c r="M8962" s="18"/>
    </row>
    <row r="8963" spans="13:13" x14ac:dyDescent="0.25">
      <c r="M8963" s="18"/>
    </row>
    <row r="8964" spans="13:13" x14ac:dyDescent="0.25">
      <c r="M8964" s="18"/>
    </row>
    <row r="8965" spans="13:13" x14ac:dyDescent="0.25">
      <c r="M8965" s="18"/>
    </row>
    <row r="8966" spans="13:13" x14ac:dyDescent="0.25">
      <c r="M8966" s="18"/>
    </row>
    <row r="8967" spans="13:13" x14ac:dyDescent="0.25">
      <c r="M8967" s="18"/>
    </row>
    <row r="8968" spans="13:13" x14ac:dyDescent="0.25">
      <c r="M8968" s="18"/>
    </row>
    <row r="8969" spans="13:13" x14ac:dyDescent="0.25">
      <c r="M8969" s="18"/>
    </row>
    <row r="8970" spans="13:13" x14ac:dyDescent="0.25">
      <c r="M8970" s="18"/>
    </row>
    <row r="8971" spans="13:13" x14ac:dyDescent="0.25">
      <c r="M8971" s="18"/>
    </row>
    <row r="8972" spans="13:13" x14ac:dyDescent="0.25">
      <c r="M8972" s="18"/>
    </row>
    <row r="8973" spans="13:13" x14ac:dyDescent="0.25">
      <c r="M8973" s="18"/>
    </row>
    <row r="8974" spans="13:13" x14ac:dyDescent="0.25">
      <c r="M8974" s="18"/>
    </row>
    <row r="8975" spans="13:13" x14ac:dyDescent="0.25">
      <c r="M8975" s="18"/>
    </row>
    <row r="8976" spans="13:13" x14ac:dyDescent="0.25">
      <c r="M8976" s="18"/>
    </row>
    <row r="8977" spans="13:13" x14ac:dyDescent="0.25">
      <c r="M8977" s="18"/>
    </row>
    <row r="8978" spans="13:13" x14ac:dyDescent="0.25">
      <c r="M8978" s="18"/>
    </row>
    <row r="8979" spans="13:13" x14ac:dyDescent="0.25">
      <c r="M8979" s="18"/>
    </row>
    <row r="8980" spans="13:13" x14ac:dyDescent="0.25">
      <c r="M8980" s="18"/>
    </row>
    <row r="8981" spans="13:13" x14ac:dyDescent="0.25">
      <c r="M8981" s="18"/>
    </row>
    <row r="8982" spans="13:13" x14ac:dyDescent="0.25">
      <c r="M8982" s="18"/>
    </row>
    <row r="8983" spans="13:13" x14ac:dyDescent="0.25">
      <c r="M8983" s="18"/>
    </row>
    <row r="8984" spans="13:13" x14ac:dyDescent="0.25">
      <c r="M8984" s="18"/>
    </row>
    <row r="8985" spans="13:13" x14ac:dyDescent="0.25">
      <c r="M8985" s="18"/>
    </row>
    <row r="8986" spans="13:13" x14ac:dyDescent="0.25">
      <c r="M8986" s="18"/>
    </row>
    <row r="8987" spans="13:13" x14ac:dyDescent="0.25">
      <c r="M8987" s="18"/>
    </row>
    <row r="8988" spans="13:13" x14ac:dyDescent="0.25">
      <c r="M8988" s="18"/>
    </row>
    <row r="8989" spans="13:13" x14ac:dyDescent="0.25">
      <c r="M8989" s="18"/>
    </row>
    <row r="8990" spans="13:13" x14ac:dyDescent="0.25">
      <c r="M8990" s="18"/>
    </row>
    <row r="8991" spans="13:13" x14ac:dyDescent="0.25">
      <c r="M8991" s="18"/>
    </row>
    <row r="8992" spans="13:13" x14ac:dyDescent="0.25">
      <c r="M8992" s="18"/>
    </row>
    <row r="8993" spans="13:13" x14ac:dyDescent="0.25">
      <c r="M8993" s="18"/>
    </row>
    <row r="8994" spans="13:13" x14ac:dyDescent="0.25">
      <c r="M8994" s="18"/>
    </row>
    <row r="8995" spans="13:13" x14ac:dyDescent="0.25">
      <c r="M8995" s="18"/>
    </row>
    <row r="8996" spans="13:13" x14ac:dyDescent="0.25">
      <c r="M8996" s="18"/>
    </row>
    <row r="8997" spans="13:13" x14ac:dyDescent="0.25">
      <c r="M8997" s="18"/>
    </row>
    <row r="8998" spans="13:13" x14ac:dyDescent="0.25">
      <c r="M8998" s="18"/>
    </row>
    <row r="8999" spans="13:13" x14ac:dyDescent="0.25">
      <c r="M8999" s="18"/>
    </row>
    <row r="9000" spans="13:13" x14ac:dyDescent="0.25">
      <c r="M9000" s="18"/>
    </row>
    <row r="9001" spans="13:13" x14ac:dyDescent="0.25">
      <c r="M9001" s="18"/>
    </row>
    <row r="9002" spans="13:13" x14ac:dyDescent="0.25">
      <c r="M9002" s="18"/>
    </row>
    <row r="9003" spans="13:13" x14ac:dyDescent="0.25">
      <c r="M9003" s="18"/>
    </row>
    <row r="9004" spans="13:13" x14ac:dyDescent="0.25">
      <c r="M9004" s="18"/>
    </row>
    <row r="9005" spans="13:13" x14ac:dyDescent="0.25">
      <c r="M9005" s="18"/>
    </row>
    <row r="9006" spans="13:13" x14ac:dyDescent="0.25">
      <c r="M9006" s="18"/>
    </row>
    <row r="9007" spans="13:13" x14ac:dyDescent="0.25">
      <c r="M9007" s="18"/>
    </row>
    <row r="9008" spans="13:13" x14ac:dyDescent="0.25">
      <c r="M9008" s="18"/>
    </row>
    <row r="9009" spans="13:13" x14ac:dyDescent="0.25">
      <c r="M9009" s="18"/>
    </row>
    <row r="9010" spans="13:13" x14ac:dyDescent="0.25">
      <c r="M9010" s="18"/>
    </row>
    <row r="9011" spans="13:13" x14ac:dyDescent="0.25">
      <c r="M9011" s="18"/>
    </row>
    <row r="9012" spans="13:13" x14ac:dyDescent="0.25">
      <c r="M9012" s="18"/>
    </row>
    <row r="9013" spans="13:13" x14ac:dyDescent="0.25">
      <c r="M9013" s="18"/>
    </row>
    <row r="9014" spans="13:13" x14ac:dyDescent="0.25">
      <c r="M9014" s="18"/>
    </row>
    <row r="9015" spans="13:13" x14ac:dyDescent="0.25">
      <c r="M9015" s="18"/>
    </row>
    <row r="9016" spans="13:13" x14ac:dyDescent="0.25">
      <c r="M9016" s="18"/>
    </row>
    <row r="9017" spans="13:13" x14ac:dyDescent="0.25">
      <c r="M9017" s="18"/>
    </row>
    <row r="9018" spans="13:13" x14ac:dyDescent="0.25">
      <c r="M9018" s="18"/>
    </row>
    <row r="9019" spans="13:13" x14ac:dyDescent="0.25">
      <c r="M9019" s="18"/>
    </row>
    <row r="9020" spans="13:13" x14ac:dyDescent="0.25">
      <c r="M9020" s="18"/>
    </row>
    <row r="9021" spans="13:13" x14ac:dyDescent="0.25">
      <c r="M9021" s="18"/>
    </row>
    <row r="9022" spans="13:13" x14ac:dyDescent="0.25">
      <c r="M9022" s="18"/>
    </row>
    <row r="9023" spans="13:13" x14ac:dyDescent="0.25">
      <c r="M9023" s="18"/>
    </row>
    <row r="9024" spans="13:13" x14ac:dyDescent="0.25">
      <c r="M9024" s="18"/>
    </row>
    <row r="9025" spans="13:13" x14ac:dyDescent="0.25">
      <c r="M9025" s="18"/>
    </row>
    <row r="9026" spans="13:13" x14ac:dyDescent="0.25">
      <c r="M9026" s="18"/>
    </row>
    <row r="9027" spans="13:13" x14ac:dyDescent="0.25">
      <c r="M9027" s="18"/>
    </row>
    <row r="9028" spans="13:13" x14ac:dyDescent="0.25">
      <c r="M9028" s="18"/>
    </row>
    <row r="9029" spans="13:13" x14ac:dyDescent="0.25">
      <c r="M9029" s="18"/>
    </row>
    <row r="9030" spans="13:13" x14ac:dyDescent="0.25">
      <c r="M9030" s="18"/>
    </row>
    <row r="9031" spans="13:13" x14ac:dyDescent="0.25">
      <c r="M9031" s="18"/>
    </row>
    <row r="9032" spans="13:13" x14ac:dyDescent="0.25">
      <c r="M9032" s="18"/>
    </row>
    <row r="9033" spans="13:13" x14ac:dyDescent="0.25">
      <c r="M9033" s="18"/>
    </row>
    <row r="9034" spans="13:13" x14ac:dyDescent="0.25">
      <c r="M9034" s="18"/>
    </row>
    <row r="9035" spans="13:13" x14ac:dyDescent="0.25">
      <c r="M9035" s="18"/>
    </row>
    <row r="9036" spans="13:13" x14ac:dyDescent="0.25">
      <c r="M9036" s="18"/>
    </row>
    <row r="9037" spans="13:13" x14ac:dyDescent="0.25">
      <c r="M9037" s="18"/>
    </row>
    <row r="9038" spans="13:13" x14ac:dyDescent="0.25">
      <c r="M9038" s="18"/>
    </row>
    <row r="9039" spans="13:13" x14ac:dyDescent="0.25">
      <c r="M9039" s="18"/>
    </row>
    <row r="9040" spans="13:13" x14ac:dyDescent="0.25">
      <c r="M9040" s="18"/>
    </row>
    <row r="9041" spans="13:13" x14ac:dyDescent="0.25">
      <c r="M9041" s="18"/>
    </row>
    <row r="9042" spans="13:13" x14ac:dyDescent="0.25">
      <c r="M9042" s="18"/>
    </row>
    <row r="9043" spans="13:13" x14ac:dyDescent="0.25">
      <c r="M9043" s="18"/>
    </row>
    <row r="9044" spans="13:13" x14ac:dyDescent="0.25">
      <c r="M9044" s="18"/>
    </row>
    <row r="9045" spans="13:13" x14ac:dyDescent="0.25">
      <c r="M9045" s="18"/>
    </row>
    <row r="9046" spans="13:13" x14ac:dyDescent="0.25">
      <c r="M9046" s="18"/>
    </row>
    <row r="9047" spans="13:13" x14ac:dyDescent="0.25">
      <c r="M9047" s="18"/>
    </row>
    <row r="9048" spans="13:13" x14ac:dyDescent="0.25">
      <c r="M9048" s="18"/>
    </row>
    <row r="9049" spans="13:13" x14ac:dyDescent="0.25">
      <c r="M9049" s="18"/>
    </row>
    <row r="9050" spans="13:13" x14ac:dyDescent="0.25">
      <c r="M9050" s="18"/>
    </row>
    <row r="9051" spans="13:13" x14ac:dyDescent="0.25">
      <c r="M9051" s="18"/>
    </row>
    <row r="9052" spans="13:13" x14ac:dyDescent="0.25">
      <c r="M9052" s="18"/>
    </row>
    <row r="9053" spans="13:13" x14ac:dyDescent="0.25">
      <c r="M9053" s="18"/>
    </row>
    <row r="9054" spans="13:13" x14ac:dyDescent="0.25">
      <c r="M9054" s="18"/>
    </row>
    <row r="9055" spans="13:13" x14ac:dyDescent="0.25">
      <c r="M9055" s="18"/>
    </row>
    <row r="9056" spans="13:13" x14ac:dyDescent="0.25">
      <c r="M9056" s="18"/>
    </row>
    <row r="9057" spans="13:13" x14ac:dyDescent="0.25">
      <c r="M9057" s="18"/>
    </row>
    <row r="9058" spans="13:13" x14ac:dyDescent="0.25">
      <c r="M9058" s="18"/>
    </row>
    <row r="9059" spans="13:13" x14ac:dyDescent="0.25">
      <c r="M9059" s="18"/>
    </row>
    <row r="9060" spans="13:13" x14ac:dyDescent="0.25">
      <c r="M9060" s="18"/>
    </row>
    <row r="9061" spans="13:13" x14ac:dyDescent="0.25">
      <c r="M9061" s="18"/>
    </row>
    <row r="9062" spans="13:13" x14ac:dyDescent="0.25">
      <c r="M9062" s="18"/>
    </row>
    <row r="9063" spans="13:13" x14ac:dyDescent="0.25">
      <c r="M9063" s="18"/>
    </row>
    <row r="9064" spans="13:13" x14ac:dyDescent="0.25">
      <c r="M9064" s="18"/>
    </row>
    <row r="9065" spans="13:13" x14ac:dyDescent="0.25">
      <c r="M9065" s="18"/>
    </row>
    <row r="9066" spans="13:13" x14ac:dyDescent="0.25">
      <c r="M9066" s="18"/>
    </row>
    <row r="9067" spans="13:13" x14ac:dyDescent="0.25">
      <c r="M9067" s="18"/>
    </row>
    <row r="9068" spans="13:13" x14ac:dyDescent="0.25">
      <c r="M9068" s="18"/>
    </row>
    <row r="9069" spans="13:13" x14ac:dyDescent="0.25">
      <c r="M9069" s="18"/>
    </row>
    <row r="9070" spans="13:13" x14ac:dyDescent="0.25">
      <c r="M9070" s="18"/>
    </row>
    <row r="9071" spans="13:13" x14ac:dyDescent="0.25">
      <c r="M9071" s="18"/>
    </row>
    <row r="9072" spans="13:13" x14ac:dyDescent="0.25">
      <c r="M9072" s="18"/>
    </row>
    <row r="9073" spans="13:13" x14ac:dyDescent="0.25">
      <c r="M9073" s="18"/>
    </row>
    <row r="9074" spans="13:13" x14ac:dyDescent="0.25">
      <c r="M9074" s="18"/>
    </row>
    <row r="9075" spans="13:13" x14ac:dyDescent="0.25">
      <c r="M9075" s="18"/>
    </row>
    <row r="9076" spans="13:13" x14ac:dyDescent="0.25">
      <c r="M9076" s="18"/>
    </row>
    <row r="9077" spans="13:13" x14ac:dyDescent="0.25">
      <c r="M9077" s="18"/>
    </row>
    <row r="9078" spans="13:13" x14ac:dyDescent="0.25">
      <c r="M9078" s="18"/>
    </row>
    <row r="9079" spans="13:13" x14ac:dyDescent="0.25">
      <c r="M9079" s="18"/>
    </row>
    <row r="9080" spans="13:13" x14ac:dyDescent="0.25">
      <c r="M9080" s="18"/>
    </row>
    <row r="9081" spans="13:13" x14ac:dyDescent="0.25">
      <c r="M9081" s="18"/>
    </row>
    <row r="9082" spans="13:13" x14ac:dyDescent="0.25">
      <c r="M9082" s="18"/>
    </row>
    <row r="9083" spans="13:13" x14ac:dyDescent="0.25">
      <c r="M9083" s="18"/>
    </row>
    <row r="9084" spans="13:13" x14ac:dyDescent="0.25">
      <c r="M9084" s="18"/>
    </row>
    <row r="9085" spans="13:13" x14ac:dyDescent="0.25">
      <c r="M9085" s="18"/>
    </row>
    <row r="9086" spans="13:13" x14ac:dyDescent="0.25">
      <c r="M9086" s="18"/>
    </row>
    <row r="9087" spans="13:13" x14ac:dyDescent="0.25">
      <c r="M9087" s="18"/>
    </row>
    <row r="9088" spans="13:13" x14ac:dyDescent="0.25">
      <c r="M9088" s="18"/>
    </row>
    <row r="9089" spans="13:13" x14ac:dyDescent="0.25">
      <c r="M9089" s="18"/>
    </row>
    <row r="9090" spans="13:13" x14ac:dyDescent="0.25">
      <c r="M9090" s="18"/>
    </row>
    <row r="9091" spans="13:13" x14ac:dyDescent="0.25">
      <c r="M9091" s="18"/>
    </row>
    <row r="9092" spans="13:13" x14ac:dyDescent="0.25">
      <c r="M9092" s="18"/>
    </row>
    <row r="9093" spans="13:13" x14ac:dyDescent="0.25">
      <c r="M9093" s="18"/>
    </row>
    <row r="9094" spans="13:13" x14ac:dyDescent="0.25">
      <c r="M9094" s="18"/>
    </row>
    <row r="9095" spans="13:13" x14ac:dyDescent="0.25">
      <c r="M9095" s="18"/>
    </row>
    <row r="9096" spans="13:13" x14ac:dyDescent="0.25">
      <c r="M9096" s="18"/>
    </row>
    <row r="9097" spans="13:13" x14ac:dyDescent="0.25">
      <c r="M9097" s="18"/>
    </row>
    <row r="9098" spans="13:13" x14ac:dyDescent="0.25">
      <c r="M9098" s="18"/>
    </row>
    <row r="9099" spans="13:13" x14ac:dyDescent="0.25">
      <c r="M9099" s="18"/>
    </row>
    <row r="9100" spans="13:13" x14ac:dyDescent="0.25">
      <c r="M9100" s="18"/>
    </row>
    <row r="9101" spans="13:13" x14ac:dyDescent="0.25">
      <c r="M9101" s="18"/>
    </row>
    <row r="9102" spans="13:13" x14ac:dyDescent="0.25">
      <c r="M9102" s="18"/>
    </row>
    <row r="9103" spans="13:13" x14ac:dyDescent="0.25">
      <c r="M9103" s="18"/>
    </row>
    <row r="9104" spans="13:13" x14ac:dyDescent="0.25">
      <c r="M9104" s="18"/>
    </row>
    <row r="9105" spans="13:13" x14ac:dyDescent="0.25">
      <c r="M9105" s="18"/>
    </row>
    <row r="9106" spans="13:13" x14ac:dyDescent="0.25">
      <c r="M9106" s="18"/>
    </row>
    <row r="9107" spans="13:13" x14ac:dyDescent="0.25">
      <c r="M9107" s="18"/>
    </row>
    <row r="9108" spans="13:13" x14ac:dyDescent="0.25">
      <c r="M9108" s="18"/>
    </row>
    <row r="9109" spans="13:13" x14ac:dyDescent="0.25">
      <c r="M9109" s="18"/>
    </row>
    <row r="9110" spans="13:13" x14ac:dyDescent="0.25">
      <c r="M9110" s="18"/>
    </row>
    <row r="9111" spans="13:13" x14ac:dyDescent="0.25">
      <c r="M9111" s="18"/>
    </row>
    <row r="9112" spans="13:13" x14ac:dyDescent="0.25">
      <c r="M9112" s="18"/>
    </row>
    <row r="9113" spans="13:13" x14ac:dyDescent="0.25">
      <c r="M9113" s="18"/>
    </row>
    <row r="9114" spans="13:13" x14ac:dyDescent="0.25">
      <c r="M9114" s="18"/>
    </row>
    <row r="9115" spans="13:13" x14ac:dyDescent="0.25">
      <c r="M9115" s="18"/>
    </row>
    <row r="9116" spans="13:13" x14ac:dyDescent="0.25">
      <c r="M9116" s="18"/>
    </row>
    <row r="9117" spans="13:13" x14ac:dyDescent="0.25">
      <c r="M9117" s="18"/>
    </row>
    <row r="9118" spans="13:13" x14ac:dyDescent="0.25">
      <c r="M9118" s="18"/>
    </row>
    <row r="9119" spans="13:13" x14ac:dyDescent="0.25">
      <c r="M9119" s="18"/>
    </row>
    <row r="9120" spans="13:13" x14ac:dyDescent="0.25">
      <c r="M9120" s="18"/>
    </row>
    <row r="9121" spans="13:13" x14ac:dyDescent="0.25">
      <c r="M9121" s="18"/>
    </row>
    <row r="9122" spans="13:13" x14ac:dyDescent="0.25">
      <c r="M9122" s="18"/>
    </row>
    <row r="9123" spans="13:13" x14ac:dyDescent="0.25">
      <c r="M9123" s="18"/>
    </row>
    <row r="9124" spans="13:13" x14ac:dyDescent="0.25">
      <c r="M9124" s="18"/>
    </row>
    <row r="9125" spans="13:13" x14ac:dyDescent="0.25">
      <c r="M9125" s="18"/>
    </row>
    <row r="9126" spans="13:13" x14ac:dyDescent="0.25">
      <c r="M9126" s="18"/>
    </row>
    <row r="9127" spans="13:13" x14ac:dyDescent="0.25">
      <c r="M9127" s="18"/>
    </row>
    <row r="9128" spans="13:13" x14ac:dyDescent="0.25">
      <c r="M9128" s="18"/>
    </row>
    <row r="9129" spans="13:13" x14ac:dyDescent="0.25">
      <c r="M9129" s="18"/>
    </row>
    <row r="9130" spans="13:13" x14ac:dyDescent="0.25">
      <c r="M9130" s="18"/>
    </row>
    <row r="9131" spans="13:13" x14ac:dyDescent="0.25">
      <c r="M9131" s="18"/>
    </row>
    <row r="9132" spans="13:13" x14ac:dyDescent="0.25">
      <c r="M9132" s="18"/>
    </row>
    <row r="9133" spans="13:13" x14ac:dyDescent="0.25">
      <c r="M9133" s="18"/>
    </row>
    <row r="9134" spans="13:13" x14ac:dyDescent="0.25">
      <c r="M9134" s="18"/>
    </row>
    <row r="9135" spans="13:13" x14ac:dyDescent="0.25">
      <c r="M9135" s="18"/>
    </row>
    <row r="9136" spans="13:13" x14ac:dyDescent="0.25">
      <c r="M9136" s="18"/>
    </row>
    <row r="9137" spans="13:13" x14ac:dyDescent="0.25">
      <c r="M9137" s="18"/>
    </row>
    <row r="9138" spans="13:13" x14ac:dyDescent="0.25">
      <c r="M9138" s="18"/>
    </row>
    <row r="9139" spans="13:13" x14ac:dyDescent="0.25">
      <c r="M9139" s="18"/>
    </row>
    <row r="9140" spans="13:13" x14ac:dyDescent="0.25">
      <c r="M9140" s="18"/>
    </row>
    <row r="9141" spans="13:13" x14ac:dyDescent="0.25">
      <c r="M9141" s="18"/>
    </row>
    <row r="9142" spans="13:13" x14ac:dyDescent="0.25">
      <c r="M9142" s="18"/>
    </row>
    <row r="9143" spans="13:13" x14ac:dyDescent="0.25">
      <c r="M9143" s="18"/>
    </row>
    <row r="9144" spans="13:13" x14ac:dyDescent="0.25">
      <c r="M9144" s="18"/>
    </row>
    <row r="9145" spans="13:13" x14ac:dyDescent="0.25">
      <c r="M9145" s="18"/>
    </row>
    <row r="9146" spans="13:13" x14ac:dyDescent="0.25">
      <c r="M9146" s="18"/>
    </row>
    <row r="9147" spans="13:13" x14ac:dyDescent="0.25">
      <c r="M9147" s="18"/>
    </row>
    <row r="9148" spans="13:13" x14ac:dyDescent="0.25">
      <c r="M9148" s="18"/>
    </row>
    <row r="9149" spans="13:13" x14ac:dyDescent="0.25">
      <c r="M9149" s="18"/>
    </row>
    <row r="9150" spans="13:13" x14ac:dyDescent="0.25">
      <c r="M9150" s="18"/>
    </row>
    <row r="9151" spans="13:13" x14ac:dyDescent="0.25">
      <c r="M9151" s="18"/>
    </row>
    <row r="9152" spans="13:13" x14ac:dyDescent="0.25">
      <c r="M9152" s="18"/>
    </row>
    <row r="9153" spans="13:13" x14ac:dyDescent="0.25">
      <c r="M9153" s="18"/>
    </row>
    <row r="9154" spans="13:13" x14ac:dyDescent="0.25">
      <c r="M9154" s="18"/>
    </row>
    <row r="9155" spans="13:13" x14ac:dyDescent="0.25">
      <c r="M9155" s="18"/>
    </row>
    <row r="9156" spans="13:13" x14ac:dyDescent="0.25">
      <c r="M9156" s="18"/>
    </row>
    <row r="9157" spans="13:13" x14ac:dyDescent="0.25">
      <c r="M9157" s="18"/>
    </row>
    <row r="9158" spans="13:13" x14ac:dyDescent="0.25">
      <c r="M9158" s="18"/>
    </row>
    <row r="9159" spans="13:13" x14ac:dyDescent="0.25">
      <c r="M9159" s="18"/>
    </row>
    <row r="9160" spans="13:13" x14ac:dyDescent="0.25">
      <c r="M9160" s="18"/>
    </row>
    <row r="9161" spans="13:13" x14ac:dyDescent="0.25">
      <c r="M9161" s="18"/>
    </row>
    <row r="9162" spans="13:13" x14ac:dyDescent="0.25">
      <c r="M9162" s="18"/>
    </row>
    <row r="9163" spans="13:13" x14ac:dyDescent="0.25">
      <c r="M9163" s="18"/>
    </row>
    <row r="9164" spans="13:13" x14ac:dyDescent="0.25">
      <c r="M9164" s="18"/>
    </row>
    <row r="9165" spans="13:13" x14ac:dyDescent="0.25">
      <c r="M9165" s="18"/>
    </row>
    <row r="9166" spans="13:13" x14ac:dyDescent="0.25">
      <c r="M9166" s="18"/>
    </row>
    <row r="9167" spans="13:13" x14ac:dyDescent="0.25">
      <c r="M9167" s="18"/>
    </row>
    <row r="9168" spans="13:13" x14ac:dyDescent="0.25">
      <c r="M9168" s="18"/>
    </row>
    <row r="9169" spans="13:13" x14ac:dyDescent="0.25">
      <c r="M9169" s="18"/>
    </row>
    <row r="9170" spans="13:13" x14ac:dyDescent="0.25">
      <c r="M9170" s="18"/>
    </row>
    <row r="9171" spans="13:13" x14ac:dyDescent="0.25">
      <c r="M9171" s="18"/>
    </row>
    <row r="9172" spans="13:13" x14ac:dyDescent="0.25">
      <c r="M9172" s="18"/>
    </row>
    <row r="9173" spans="13:13" x14ac:dyDescent="0.25">
      <c r="M9173" s="18"/>
    </row>
    <row r="9174" spans="13:13" x14ac:dyDescent="0.25">
      <c r="M9174" s="18"/>
    </row>
    <row r="9175" spans="13:13" x14ac:dyDescent="0.25">
      <c r="M9175" s="18"/>
    </row>
    <row r="9176" spans="13:13" x14ac:dyDescent="0.25">
      <c r="M9176" s="18"/>
    </row>
    <row r="9177" spans="13:13" x14ac:dyDescent="0.25">
      <c r="M9177" s="18"/>
    </row>
    <row r="9178" spans="13:13" x14ac:dyDescent="0.25">
      <c r="M9178" s="18"/>
    </row>
    <row r="9179" spans="13:13" x14ac:dyDescent="0.25">
      <c r="M9179" s="18"/>
    </row>
    <row r="9180" spans="13:13" x14ac:dyDescent="0.25">
      <c r="M9180" s="18"/>
    </row>
    <row r="9181" spans="13:13" x14ac:dyDescent="0.25">
      <c r="M9181" s="18"/>
    </row>
    <row r="9182" spans="13:13" x14ac:dyDescent="0.25">
      <c r="M9182" s="18"/>
    </row>
    <row r="9183" spans="13:13" x14ac:dyDescent="0.25">
      <c r="M9183" s="18"/>
    </row>
    <row r="9184" spans="13:13" x14ac:dyDescent="0.25">
      <c r="M9184" s="18"/>
    </row>
    <row r="9185" spans="13:13" x14ac:dyDescent="0.25">
      <c r="M9185" s="18"/>
    </row>
    <row r="9186" spans="13:13" x14ac:dyDescent="0.25">
      <c r="M9186" s="18"/>
    </row>
    <row r="9187" spans="13:13" x14ac:dyDescent="0.25">
      <c r="M9187" s="18"/>
    </row>
    <row r="9188" spans="13:13" x14ac:dyDescent="0.25">
      <c r="M9188" s="18"/>
    </row>
    <row r="9189" spans="13:13" x14ac:dyDescent="0.25">
      <c r="M9189" s="18"/>
    </row>
    <row r="9190" spans="13:13" x14ac:dyDescent="0.25">
      <c r="M9190" s="18"/>
    </row>
    <row r="9191" spans="13:13" x14ac:dyDescent="0.25">
      <c r="M9191" s="18"/>
    </row>
    <row r="9192" spans="13:13" x14ac:dyDescent="0.25">
      <c r="M9192" s="18"/>
    </row>
    <row r="9193" spans="13:13" x14ac:dyDescent="0.25">
      <c r="M9193" s="18"/>
    </row>
    <row r="9194" spans="13:13" x14ac:dyDescent="0.25">
      <c r="M9194" s="18"/>
    </row>
    <row r="9195" spans="13:13" x14ac:dyDescent="0.25">
      <c r="M9195" s="18"/>
    </row>
    <row r="9196" spans="13:13" x14ac:dyDescent="0.25">
      <c r="M9196" s="18"/>
    </row>
    <row r="9197" spans="13:13" x14ac:dyDescent="0.25">
      <c r="M9197" s="18"/>
    </row>
    <row r="9198" spans="13:13" x14ac:dyDescent="0.25">
      <c r="M9198" s="18"/>
    </row>
    <row r="9199" spans="13:13" x14ac:dyDescent="0.25">
      <c r="M9199" s="18"/>
    </row>
    <row r="9200" spans="13:13" x14ac:dyDescent="0.25">
      <c r="M9200" s="18"/>
    </row>
    <row r="9201" spans="13:13" x14ac:dyDescent="0.25">
      <c r="M9201" s="18"/>
    </row>
    <row r="9202" spans="13:13" x14ac:dyDescent="0.25">
      <c r="M9202" s="18"/>
    </row>
    <row r="9203" spans="13:13" x14ac:dyDescent="0.25">
      <c r="M9203" s="18"/>
    </row>
    <row r="9204" spans="13:13" x14ac:dyDescent="0.25">
      <c r="M9204" s="18"/>
    </row>
    <row r="9205" spans="13:13" x14ac:dyDescent="0.25">
      <c r="M9205" s="18"/>
    </row>
    <row r="9206" spans="13:13" x14ac:dyDescent="0.25">
      <c r="M9206" s="18"/>
    </row>
    <row r="9207" spans="13:13" x14ac:dyDescent="0.25">
      <c r="M9207" s="18"/>
    </row>
    <row r="9208" spans="13:13" x14ac:dyDescent="0.25">
      <c r="M9208" s="18"/>
    </row>
    <row r="9209" spans="13:13" x14ac:dyDescent="0.25">
      <c r="M9209" s="18"/>
    </row>
    <row r="9210" spans="13:13" x14ac:dyDescent="0.25">
      <c r="M9210" s="18"/>
    </row>
    <row r="9211" spans="13:13" x14ac:dyDescent="0.25">
      <c r="M9211" s="18"/>
    </row>
    <row r="9212" spans="13:13" x14ac:dyDescent="0.25">
      <c r="M9212" s="18"/>
    </row>
    <row r="9213" spans="13:13" x14ac:dyDescent="0.25">
      <c r="M9213" s="18"/>
    </row>
    <row r="9214" spans="13:13" x14ac:dyDescent="0.25">
      <c r="M9214" s="18"/>
    </row>
    <row r="9215" spans="13:13" x14ac:dyDescent="0.25">
      <c r="M9215" s="18"/>
    </row>
    <row r="9216" spans="13:13" x14ac:dyDescent="0.25">
      <c r="M9216" s="18"/>
    </row>
    <row r="9217" spans="13:13" x14ac:dyDescent="0.25">
      <c r="M9217" s="18"/>
    </row>
    <row r="9218" spans="13:13" x14ac:dyDescent="0.25">
      <c r="M9218" s="18"/>
    </row>
    <row r="9219" spans="13:13" x14ac:dyDescent="0.25">
      <c r="M9219" s="18"/>
    </row>
    <row r="9220" spans="13:13" x14ac:dyDescent="0.25">
      <c r="M9220" s="18"/>
    </row>
    <row r="9221" spans="13:13" x14ac:dyDescent="0.25">
      <c r="M9221" s="18"/>
    </row>
    <row r="9222" spans="13:13" x14ac:dyDescent="0.25">
      <c r="M9222" s="18"/>
    </row>
    <row r="9223" spans="13:13" x14ac:dyDescent="0.25">
      <c r="M9223" s="18"/>
    </row>
    <row r="9224" spans="13:13" x14ac:dyDescent="0.25">
      <c r="M9224" s="18"/>
    </row>
    <row r="9225" spans="13:13" x14ac:dyDescent="0.25">
      <c r="M9225" s="18"/>
    </row>
    <row r="9226" spans="13:13" x14ac:dyDescent="0.25">
      <c r="M9226" s="18"/>
    </row>
    <row r="9227" spans="13:13" x14ac:dyDescent="0.25">
      <c r="M9227" s="18"/>
    </row>
    <row r="9228" spans="13:13" x14ac:dyDescent="0.25">
      <c r="M9228" s="18"/>
    </row>
    <row r="9229" spans="13:13" x14ac:dyDescent="0.25">
      <c r="M9229" s="18"/>
    </row>
    <row r="9230" spans="13:13" x14ac:dyDescent="0.25">
      <c r="M9230" s="18"/>
    </row>
    <row r="9231" spans="13:13" x14ac:dyDescent="0.25">
      <c r="M9231" s="18"/>
    </row>
    <row r="9232" spans="13:13" x14ac:dyDescent="0.25">
      <c r="M9232" s="18"/>
    </row>
    <row r="9233" spans="13:13" x14ac:dyDescent="0.25">
      <c r="M9233" s="18"/>
    </row>
    <row r="9234" spans="13:13" x14ac:dyDescent="0.25">
      <c r="M9234" s="18"/>
    </row>
    <row r="9235" spans="13:13" x14ac:dyDescent="0.25">
      <c r="M9235" s="18"/>
    </row>
    <row r="9236" spans="13:13" x14ac:dyDescent="0.25">
      <c r="M9236" s="18"/>
    </row>
    <row r="9237" spans="13:13" x14ac:dyDescent="0.25">
      <c r="M9237" s="18"/>
    </row>
    <row r="9238" spans="13:13" x14ac:dyDescent="0.25">
      <c r="M9238" s="18"/>
    </row>
    <row r="9239" spans="13:13" x14ac:dyDescent="0.25">
      <c r="M9239" s="18"/>
    </row>
    <row r="9240" spans="13:13" x14ac:dyDescent="0.25">
      <c r="M9240" s="18"/>
    </row>
    <row r="9241" spans="13:13" x14ac:dyDescent="0.25">
      <c r="M9241" s="18"/>
    </row>
    <row r="9242" spans="13:13" x14ac:dyDescent="0.25">
      <c r="M9242" s="18"/>
    </row>
    <row r="9243" spans="13:13" x14ac:dyDescent="0.25">
      <c r="M9243" s="18"/>
    </row>
    <row r="9244" spans="13:13" x14ac:dyDescent="0.25">
      <c r="M9244" s="18"/>
    </row>
    <row r="9245" spans="13:13" x14ac:dyDescent="0.25">
      <c r="M9245" s="18"/>
    </row>
    <row r="9246" spans="13:13" x14ac:dyDescent="0.25">
      <c r="M9246" s="18"/>
    </row>
    <row r="9247" spans="13:13" x14ac:dyDescent="0.25">
      <c r="M9247" s="18"/>
    </row>
    <row r="9248" spans="13:13" x14ac:dyDescent="0.25">
      <c r="M9248" s="18"/>
    </row>
    <row r="9249" spans="13:13" x14ac:dyDescent="0.25">
      <c r="M9249" s="18"/>
    </row>
    <row r="9250" spans="13:13" x14ac:dyDescent="0.25">
      <c r="M9250" s="18"/>
    </row>
    <row r="9251" spans="13:13" x14ac:dyDescent="0.25">
      <c r="M9251" s="18"/>
    </row>
    <row r="9252" spans="13:13" x14ac:dyDescent="0.25">
      <c r="M9252" s="18"/>
    </row>
    <row r="9253" spans="13:13" x14ac:dyDescent="0.25">
      <c r="M9253" s="18"/>
    </row>
    <row r="9254" spans="13:13" x14ac:dyDescent="0.25">
      <c r="M9254" s="18"/>
    </row>
    <row r="9255" spans="13:13" x14ac:dyDescent="0.25">
      <c r="M9255" s="18"/>
    </row>
    <row r="9256" spans="13:13" x14ac:dyDescent="0.25">
      <c r="M9256" s="18"/>
    </row>
    <row r="9257" spans="13:13" x14ac:dyDescent="0.25">
      <c r="M9257" s="18"/>
    </row>
    <row r="9258" spans="13:13" x14ac:dyDescent="0.25">
      <c r="M9258" s="18"/>
    </row>
    <row r="9259" spans="13:13" x14ac:dyDescent="0.25">
      <c r="M9259" s="18"/>
    </row>
    <row r="9260" spans="13:13" x14ac:dyDescent="0.25">
      <c r="M9260" s="18"/>
    </row>
    <row r="9261" spans="13:13" x14ac:dyDescent="0.25">
      <c r="M9261" s="18"/>
    </row>
    <row r="9262" spans="13:13" x14ac:dyDescent="0.25">
      <c r="M9262" s="18"/>
    </row>
    <row r="9263" spans="13:13" x14ac:dyDescent="0.25">
      <c r="M9263" s="18"/>
    </row>
    <row r="9264" spans="13:13" x14ac:dyDescent="0.25">
      <c r="M9264" s="18"/>
    </row>
    <row r="9265" spans="13:13" x14ac:dyDescent="0.25">
      <c r="M9265" s="18"/>
    </row>
    <row r="9266" spans="13:13" x14ac:dyDescent="0.25">
      <c r="M9266" s="18"/>
    </row>
    <row r="9267" spans="13:13" x14ac:dyDescent="0.25">
      <c r="M9267" s="18"/>
    </row>
    <row r="9268" spans="13:13" x14ac:dyDescent="0.25">
      <c r="M9268" s="18"/>
    </row>
    <row r="9269" spans="13:13" x14ac:dyDescent="0.25">
      <c r="M9269" s="18"/>
    </row>
    <row r="9270" spans="13:13" x14ac:dyDescent="0.25">
      <c r="M9270" s="18"/>
    </row>
    <row r="9271" spans="13:13" x14ac:dyDescent="0.25">
      <c r="M9271" s="18"/>
    </row>
    <row r="9272" spans="13:13" x14ac:dyDescent="0.25">
      <c r="M9272" s="18"/>
    </row>
    <row r="9273" spans="13:13" x14ac:dyDescent="0.25">
      <c r="M9273" s="18"/>
    </row>
    <row r="9274" spans="13:13" x14ac:dyDescent="0.25">
      <c r="M9274" s="18"/>
    </row>
    <row r="9275" spans="13:13" x14ac:dyDescent="0.25">
      <c r="M9275" s="18"/>
    </row>
    <row r="9276" spans="13:13" x14ac:dyDescent="0.25">
      <c r="M9276" s="18"/>
    </row>
    <row r="9277" spans="13:13" x14ac:dyDescent="0.25">
      <c r="M9277" s="18"/>
    </row>
    <row r="9278" spans="13:13" x14ac:dyDescent="0.25">
      <c r="M9278" s="18"/>
    </row>
    <row r="9279" spans="13:13" x14ac:dyDescent="0.25">
      <c r="M9279" s="18"/>
    </row>
    <row r="9280" spans="13:13" x14ac:dyDescent="0.25">
      <c r="M9280" s="18"/>
    </row>
    <row r="9281" spans="13:13" x14ac:dyDescent="0.25">
      <c r="M9281" s="18"/>
    </row>
    <row r="9282" spans="13:13" x14ac:dyDescent="0.25">
      <c r="M9282" s="18"/>
    </row>
    <row r="9283" spans="13:13" x14ac:dyDescent="0.25">
      <c r="M9283" s="18"/>
    </row>
    <row r="9284" spans="13:13" x14ac:dyDescent="0.25">
      <c r="M9284" s="18"/>
    </row>
    <row r="9285" spans="13:13" x14ac:dyDescent="0.25">
      <c r="M9285" s="18"/>
    </row>
    <row r="9286" spans="13:13" x14ac:dyDescent="0.25">
      <c r="M9286" s="18"/>
    </row>
    <row r="9287" spans="13:13" x14ac:dyDescent="0.25">
      <c r="M9287" s="18"/>
    </row>
    <row r="9288" spans="13:13" x14ac:dyDescent="0.25">
      <c r="M9288" s="18"/>
    </row>
    <row r="9289" spans="13:13" x14ac:dyDescent="0.25">
      <c r="M9289" s="18"/>
    </row>
    <row r="9290" spans="13:13" x14ac:dyDescent="0.25">
      <c r="M9290" s="18"/>
    </row>
    <row r="9291" spans="13:13" x14ac:dyDescent="0.25">
      <c r="M9291" s="18"/>
    </row>
    <row r="9292" spans="13:13" x14ac:dyDescent="0.25">
      <c r="M9292" s="18"/>
    </row>
    <row r="9293" spans="13:13" x14ac:dyDescent="0.25">
      <c r="M9293" s="18"/>
    </row>
    <row r="9294" spans="13:13" x14ac:dyDescent="0.25">
      <c r="M9294" s="18"/>
    </row>
    <row r="9295" spans="13:13" x14ac:dyDescent="0.25">
      <c r="M9295" s="18"/>
    </row>
    <row r="9296" spans="13:13" x14ac:dyDescent="0.25">
      <c r="M9296" s="18"/>
    </row>
    <row r="9297" spans="13:13" x14ac:dyDescent="0.25">
      <c r="M9297" s="18"/>
    </row>
    <row r="9298" spans="13:13" x14ac:dyDescent="0.25">
      <c r="M9298" s="18"/>
    </row>
    <row r="9299" spans="13:13" x14ac:dyDescent="0.25">
      <c r="M9299" s="18"/>
    </row>
    <row r="9300" spans="13:13" x14ac:dyDescent="0.25">
      <c r="M9300" s="18"/>
    </row>
    <row r="9301" spans="13:13" x14ac:dyDescent="0.25">
      <c r="M9301" s="18"/>
    </row>
    <row r="9302" spans="13:13" x14ac:dyDescent="0.25">
      <c r="M9302" s="18"/>
    </row>
    <row r="9303" spans="13:13" x14ac:dyDescent="0.25">
      <c r="M9303" s="18"/>
    </row>
    <row r="9304" spans="13:13" x14ac:dyDescent="0.25">
      <c r="M9304" s="18"/>
    </row>
    <row r="9305" spans="13:13" x14ac:dyDescent="0.25">
      <c r="M9305" s="18"/>
    </row>
    <row r="9306" spans="13:13" x14ac:dyDescent="0.25">
      <c r="M9306" s="18"/>
    </row>
    <row r="9307" spans="13:13" x14ac:dyDescent="0.25">
      <c r="M9307" s="18"/>
    </row>
    <row r="9308" spans="13:13" x14ac:dyDescent="0.25">
      <c r="M9308" s="18"/>
    </row>
    <row r="9309" spans="13:13" x14ac:dyDescent="0.25">
      <c r="M9309" s="18"/>
    </row>
    <row r="9310" spans="13:13" x14ac:dyDescent="0.25">
      <c r="M9310" s="18"/>
    </row>
    <row r="9311" spans="13:13" x14ac:dyDescent="0.25">
      <c r="M9311" s="18"/>
    </row>
    <row r="9312" spans="13:13" x14ac:dyDescent="0.25">
      <c r="M9312" s="18"/>
    </row>
    <row r="9313" spans="13:13" x14ac:dyDescent="0.25">
      <c r="M9313" s="18"/>
    </row>
    <row r="9314" spans="13:13" x14ac:dyDescent="0.25">
      <c r="M9314" s="18"/>
    </row>
    <row r="9315" spans="13:13" x14ac:dyDescent="0.25">
      <c r="M9315" s="18"/>
    </row>
    <row r="9316" spans="13:13" x14ac:dyDescent="0.25">
      <c r="M9316" s="18"/>
    </row>
    <row r="9317" spans="13:13" x14ac:dyDescent="0.25">
      <c r="M9317" s="18"/>
    </row>
    <row r="9318" spans="13:13" x14ac:dyDescent="0.25">
      <c r="M9318" s="18"/>
    </row>
    <row r="9319" spans="13:13" x14ac:dyDescent="0.25">
      <c r="M9319" s="18"/>
    </row>
    <row r="9320" spans="13:13" x14ac:dyDescent="0.25">
      <c r="M9320" s="18"/>
    </row>
    <row r="9321" spans="13:13" x14ac:dyDescent="0.25">
      <c r="M9321" s="18"/>
    </row>
    <row r="9322" spans="13:13" x14ac:dyDescent="0.25">
      <c r="M9322" s="18"/>
    </row>
    <row r="9323" spans="13:13" x14ac:dyDescent="0.25">
      <c r="M9323" s="18"/>
    </row>
    <row r="9324" spans="13:13" x14ac:dyDescent="0.25">
      <c r="M9324" s="18"/>
    </row>
    <row r="9325" spans="13:13" x14ac:dyDescent="0.25">
      <c r="M9325" s="18"/>
    </row>
    <row r="9326" spans="13:13" x14ac:dyDescent="0.25">
      <c r="M9326" s="18"/>
    </row>
    <row r="9327" spans="13:13" x14ac:dyDescent="0.25">
      <c r="M9327" s="18"/>
    </row>
    <row r="9328" spans="13:13" x14ac:dyDescent="0.25">
      <c r="M9328" s="18"/>
    </row>
    <row r="9329" spans="13:13" x14ac:dyDescent="0.25">
      <c r="M9329" s="18"/>
    </row>
    <row r="9330" spans="13:13" x14ac:dyDescent="0.25">
      <c r="M9330" s="18"/>
    </row>
    <row r="9331" spans="13:13" x14ac:dyDescent="0.25">
      <c r="M9331" s="18"/>
    </row>
    <row r="9332" spans="13:13" x14ac:dyDescent="0.25">
      <c r="M9332" s="18"/>
    </row>
    <row r="9333" spans="13:13" x14ac:dyDescent="0.25">
      <c r="M9333" s="18"/>
    </row>
    <row r="9334" spans="13:13" x14ac:dyDescent="0.25">
      <c r="M9334" s="18"/>
    </row>
    <row r="9335" spans="13:13" x14ac:dyDescent="0.25">
      <c r="M9335" s="18"/>
    </row>
    <row r="9336" spans="13:13" x14ac:dyDescent="0.25">
      <c r="M9336" s="18"/>
    </row>
    <row r="9337" spans="13:13" x14ac:dyDescent="0.25">
      <c r="M9337" s="18"/>
    </row>
    <row r="9338" spans="13:13" x14ac:dyDescent="0.25">
      <c r="M9338" s="18"/>
    </row>
    <row r="9339" spans="13:13" x14ac:dyDescent="0.25">
      <c r="M9339" s="18"/>
    </row>
    <row r="9340" spans="13:13" x14ac:dyDescent="0.25">
      <c r="M9340" s="18"/>
    </row>
    <row r="9341" spans="13:13" x14ac:dyDescent="0.25">
      <c r="M9341" s="18"/>
    </row>
    <row r="9342" spans="13:13" x14ac:dyDescent="0.25">
      <c r="M9342" s="18"/>
    </row>
    <row r="9343" spans="13:13" x14ac:dyDescent="0.25">
      <c r="M9343" s="18"/>
    </row>
    <row r="9344" spans="13:13" x14ac:dyDescent="0.25">
      <c r="M9344" s="18"/>
    </row>
    <row r="9345" spans="13:13" x14ac:dyDescent="0.25">
      <c r="M9345" s="18"/>
    </row>
    <row r="9346" spans="13:13" x14ac:dyDescent="0.25">
      <c r="M9346" s="18"/>
    </row>
    <row r="9347" spans="13:13" x14ac:dyDescent="0.25">
      <c r="M9347" s="18"/>
    </row>
    <row r="9348" spans="13:13" x14ac:dyDescent="0.25">
      <c r="M9348" s="18"/>
    </row>
    <row r="9349" spans="13:13" x14ac:dyDescent="0.25">
      <c r="M9349" s="18"/>
    </row>
    <row r="9350" spans="13:13" x14ac:dyDescent="0.25">
      <c r="M9350" s="18"/>
    </row>
    <row r="9351" spans="13:13" x14ac:dyDescent="0.25">
      <c r="M9351" s="18"/>
    </row>
    <row r="9352" spans="13:13" x14ac:dyDescent="0.25">
      <c r="M9352" s="18"/>
    </row>
    <row r="9353" spans="13:13" x14ac:dyDescent="0.25">
      <c r="M9353" s="18"/>
    </row>
    <row r="9354" spans="13:13" x14ac:dyDescent="0.25">
      <c r="M9354" s="18"/>
    </row>
    <row r="9355" spans="13:13" x14ac:dyDescent="0.25">
      <c r="M9355" s="18"/>
    </row>
    <row r="9356" spans="13:13" x14ac:dyDescent="0.25">
      <c r="M9356" s="18"/>
    </row>
    <row r="9357" spans="13:13" x14ac:dyDescent="0.25">
      <c r="M9357" s="18"/>
    </row>
    <row r="9358" spans="13:13" x14ac:dyDescent="0.25">
      <c r="M9358" s="18"/>
    </row>
    <row r="9359" spans="13:13" x14ac:dyDescent="0.25">
      <c r="M9359" s="18"/>
    </row>
    <row r="9360" spans="13:13" x14ac:dyDescent="0.25">
      <c r="M9360" s="18"/>
    </row>
    <row r="9361" spans="13:13" x14ac:dyDescent="0.25">
      <c r="M9361" s="18"/>
    </row>
    <row r="9362" spans="13:13" x14ac:dyDescent="0.25">
      <c r="M9362" s="18"/>
    </row>
    <row r="9363" spans="13:13" x14ac:dyDescent="0.25">
      <c r="M9363" s="18"/>
    </row>
    <row r="9364" spans="13:13" x14ac:dyDescent="0.25">
      <c r="M9364" s="18"/>
    </row>
    <row r="9365" spans="13:13" x14ac:dyDescent="0.25">
      <c r="M9365" s="18"/>
    </row>
    <row r="9366" spans="13:13" x14ac:dyDescent="0.25">
      <c r="M9366" s="18"/>
    </row>
    <row r="9367" spans="13:13" x14ac:dyDescent="0.25">
      <c r="M9367" s="18"/>
    </row>
    <row r="9368" spans="13:13" x14ac:dyDescent="0.25">
      <c r="M9368" s="18"/>
    </row>
    <row r="9369" spans="13:13" x14ac:dyDescent="0.25">
      <c r="M9369" s="18"/>
    </row>
    <row r="9370" spans="13:13" x14ac:dyDescent="0.25">
      <c r="M9370" s="18"/>
    </row>
    <row r="9371" spans="13:13" x14ac:dyDescent="0.25">
      <c r="M9371" s="18"/>
    </row>
    <row r="9372" spans="13:13" x14ac:dyDescent="0.25">
      <c r="M9372" s="18"/>
    </row>
    <row r="9373" spans="13:13" x14ac:dyDescent="0.25">
      <c r="M9373" s="18"/>
    </row>
    <row r="9374" spans="13:13" x14ac:dyDescent="0.25">
      <c r="M9374" s="18"/>
    </row>
    <row r="9375" spans="13:13" x14ac:dyDescent="0.25">
      <c r="M9375" s="18"/>
    </row>
    <row r="9376" spans="13:13" x14ac:dyDescent="0.25">
      <c r="M9376" s="18"/>
    </row>
    <row r="9377" spans="13:13" x14ac:dyDescent="0.25">
      <c r="M9377" s="18"/>
    </row>
    <row r="9378" spans="13:13" x14ac:dyDescent="0.25">
      <c r="M9378" s="18"/>
    </row>
    <row r="9379" spans="13:13" x14ac:dyDescent="0.25">
      <c r="M9379" s="18"/>
    </row>
    <row r="9380" spans="13:13" x14ac:dyDescent="0.25">
      <c r="M9380" s="18"/>
    </row>
    <row r="9381" spans="13:13" x14ac:dyDescent="0.25">
      <c r="M9381" s="18"/>
    </row>
    <row r="9382" spans="13:13" x14ac:dyDescent="0.25">
      <c r="M9382" s="18"/>
    </row>
    <row r="9383" spans="13:13" x14ac:dyDescent="0.25">
      <c r="M9383" s="18"/>
    </row>
    <row r="9384" spans="13:13" x14ac:dyDescent="0.25">
      <c r="M9384" s="18"/>
    </row>
    <row r="9385" spans="13:13" x14ac:dyDescent="0.25">
      <c r="M9385" s="18"/>
    </row>
    <row r="9386" spans="13:13" x14ac:dyDescent="0.25">
      <c r="M9386" s="18"/>
    </row>
    <row r="9387" spans="13:13" x14ac:dyDescent="0.25">
      <c r="M9387" s="18"/>
    </row>
    <row r="9388" spans="13:13" x14ac:dyDescent="0.25">
      <c r="M9388" s="18"/>
    </row>
    <row r="9389" spans="13:13" x14ac:dyDescent="0.25">
      <c r="M9389" s="18"/>
    </row>
    <row r="9390" spans="13:13" x14ac:dyDescent="0.25">
      <c r="M9390" s="18"/>
    </row>
    <row r="9391" spans="13:13" x14ac:dyDescent="0.25">
      <c r="M9391" s="18"/>
    </row>
    <row r="9392" spans="13:13" x14ac:dyDescent="0.25">
      <c r="M9392" s="18"/>
    </row>
    <row r="9393" spans="13:13" x14ac:dyDescent="0.25">
      <c r="M9393" s="18"/>
    </row>
    <row r="9394" spans="13:13" x14ac:dyDescent="0.25">
      <c r="M9394" s="18"/>
    </row>
    <row r="9395" spans="13:13" x14ac:dyDescent="0.25">
      <c r="M9395" s="18"/>
    </row>
    <row r="9396" spans="13:13" x14ac:dyDescent="0.25">
      <c r="M9396" s="18"/>
    </row>
    <row r="9397" spans="13:13" x14ac:dyDescent="0.25">
      <c r="M9397" s="18"/>
    </row>
    <row r="9398" spans="13:13" x14ac:dyDescent="0.25">
      <c r="M9398" s="18"/>
    </row>
    <row r="9399" spans="13:13" x14ac:dyDescent="0.25">
      <c r="M9399" s="18"/>
    </row>
    <row r="9400" spans="13:13" x14ac:dyDescent="0.25">
      <c r="M9400" s="18"/>
    </row>
    <row r="9401" spans="13:13" x14ac:dyDescent="0.25">
      <c r="M9401" s="18"/>
    </row>
    <row r="9402" spans="13:13" x14ac:dyDescent="0.25">
      <c r="M9402" s="18"/>
    </row>
    <row r="9403" spans="13:13" x14ac:dyDescent="0.25">
      <c r="M9403" s="18"/>
    </row>
    <row r="9404" spans="13:13" x14ac:dyDescent="0.25">
      <c r="M9404" s="18"/>
    </row>
    <row r="9405" spans="13:13" x14ac:dyDescent="0.25">
      <c r="M9405" s="18"/>
    </row>
    <row r="9406" spans="13:13" x14ac:dyDescent="0.25">
      <c r="M9406" s="18"/>
    </row>
    <row r="9407" spans="13:13" x14ac:dyDescent="0.25">
      <c r="M9407" s="18"/>
    </row>
    <row r="9408" spans="13:13" x14ac:dyDescent="0.25">
      <c r="M9408" s="18"/>
    </row>
    <row r="9409" spans="13:13" x14ac:dyDescent="0.25">
      <c r="M9409" s="18"/>
    </row>
    <row r="9410" spans="13:13" x14ac:dyDescent="0.25">
      <c r="M9410" s="18"/>
    </row>
    <row r="9411" spans="13:13" x14ac:dyDescent="0.25">
      <c r="M9411" s="18"/>
    </row>
    <row r="9412" spans="13:13" x14ac:dyDescent="0.25">
      <c r="M9412" s="18"/>
    </row>
    <row r="9413" spans="13:13" x14ac:dyDescent="0.25">
      <c r="M9413" s="18"/>
    </row>
    <row r="9414" spans="13:13" x14ac:dyDescent="0.25">
      <c r="M9414" s="18"/>
    </row>
    <row r="9415" spans="13:13" x14ac:dyDescent="0.25">
      <c r="M9415" s="18"/>
    </row>
    <row r="9416" spans="13:13" x14ac:dyDescent="0.25">
      <c r="M9416" s="18"/>
    </row>
    <row r="9417" spans="13:13" x14ac:dyDescent="0.25">
      <c r="M9417" s="18"/>
    </row>
    <row r="9418" spans="13:13" x14ac:dyDescent="0.25">
      <c r="M9418" s="18"/>
    </row>
    <row r="9419" spans="13:13" x14ac:dyDescent="0.25">
      <c r="M9419" s="18"/>
    </row>
    <row r="9420" spans="13:13" x14ac:dyDescent="0.25">
      <c r="M9420" s="18"/>
    </row>
    <row r="9421" spans="13:13" x14ac:dyDescent="0.25">
      <c r="M9421" s="18"/>
    </row>
    <row r="9422" spans="13:13" x14ac:dyDescent="0.25">
      <c r="M9422" s="18"/>
    </row>
    <row r="9423" spans="13:13" x14ac:dyDescent="0.25">
      <c r="M9423" s="18"/>
    </row>
    <row r="9424" spans="13:13" x14ac:dyDescent="0.25">
      <c r="M9424" s="18"/>
    </row>
    <row r="9425" spans="13:13" x14ac:dyDescent="0.25">
      <c r="M9425" s="18"/>
    </row>
    <row r="9426" spans="13:13" x14ac:dyDescent="0.25">
      <c r="M9426" s="18"/>
    </row>
    <row r="9427" spans="13:13" x14ac:dyDescent="0.25">
      <c r="M9427" s="18"/>
    </row>
    <row r="9428" spans="13:13" x14ac:dyDescent="0.25">
      <c r="M9428" s="18"/>
    </row>
    <row r="9429" spans="13:13" x14ac:dyDescent="0.25">
      <c r="M9429" s="18"/>
    </row>
    <row r="9430" spans="13:13" x14ac:dyDescent="0.25">
      <c r="M9430" s="18"/>
    </row>
    <row r="9431" spans="13:13" x14ac:dyDescent="0.25">
      <c r="M9431" s="18"/>
    </row>
    <row r="9432" spans="13:13" x14ac:dyDescent="0.25">
      <c r="M9432" s="18"/>
    </row>
    <row r="9433" spans="13:13" x14ac:dyDescent="0.25">
      <c r="M9433" s="18"/>
    </row>
    <row r="9434" spans="13:13" x14ac:dyDescent="0.25">
      <c r="M9434" s="18"/>
    </row>
    <row r="9435" spans="13:13" x14ac:dyDescent="0.25">
      <c r="M9435" s="18"/>
    </row>
    <row r="9436" spans="13:13" x14ac:dyDescent="0.25">
      <c r="M9436" s="18"/>
    </row>
    <row r="9437" spans="13:13" x14ac:dyDescent="0.25">
      <c r="M9437" s="18"/>
    </row>
    <row r="9438" spans="13:13" x14ac:dyDescent="0.25">
      <c r="M9438" s="18"/>
    </row>
    <row r="9439" spans="13:13" x14ac:dyDescent="0.25">
      <c r="M9439" s="18"/>
    </row>
    <row r="9440" spans="13:13" x14ac:dyDescent="0.25">
      <c r="M9440" s="18"/>
    </row>
    <row r="9441" spans="13:13" x14ac:dyDescent="0.25">
      <c r="M9441" s="18"/>
    </row>
    <row r="9442" spans="13:13" x14ac:dyDescent="0.25">
      <c r="M9442" s="18"/>
    </row>
    <row r="9443" spans="13:13" x14ac:dyDescent="0.25">
      <c r="M9443" s="18"/>
    </row>
    <row r="9444" spans="13:13" x14ac:dyDescent="0.25">
      <c r="M9444" s="18"/>
    </row>
    <row r="9445" spans="13:13" x14ac:dyDescent="0.25">
      <c r="M9445" s="18"/>
    </row>
    <row r="9446" spans="13:13" x14ac:dyDescent="0.25">
      <c r="M9446" s="18"/>
    </row>
    <row r="9447" spans="13:13" x14ac:dyDescent="0.25">
      <c r="M9447" s="18"/>
    </row>
    <row r="9448" spans="13:13" x14ac:dyDescent="0.25">
      <c r="M9448" s="18"/>
    </row>
    <row r="9449" spans="13:13" x14ac:dyDescent="0.25">
      <c r="M9449" s="18"/>
    </row>
    <row r="9450" spans="13:13" x14ac:dyDescent="0.25">
      <c r="M9450" s="18"/>
    </row>
    <row r="9451" spans="13:13" x14ac:dyDescent="0.25">
      <c r="M9451" s="18"/>
    </row>
    <row r="9452" spans="13:13" x14ac:dyDescent="0.25">
      <c r="M9452" s="18"/>
    </row>
    <row r="9453" spans="13:13" x14ac:dyDescent="0.25">
      <c r="M9453" s="18"/>
    </row>
    <row r="9454" spans="13:13" x14ac:dyDescent="0.25">
      <c r="M9454" s="18"/>
    </row>
    <row r="9455" spans="13:13" x14ac:dyDescent="0.25">
      <c r="M9455" s="18"/>
    </row>
    <row r="9456" spans="13:13" x14ac:dyDescent="0.25">
      <c r="M9456" s="18"/>
    </row>
    <row r="9457" spans="13:13" x14ac:dyDescent="0.25">
      <c r="M9457" s="18"/>
    </row>
    <row r="9458" spans="13:13" x14ac:dyDescent="0.25">
      <c r="M9458" s="18"/>
    </row>
    <row r="9459" spans="13:13" x14ac:dyDescent="0.25">
      <c r="M9459" s="18"/>
    </row>
    <row r="9460" spans="13:13" x14ac:dyDescent="0.25">
      <c r="M9460" s="18"/>
    </row>
    <row r="9461" spans="13:13" x14ac:dyDescent="0.25">
      <c r="M9461" s="18"/>
    </row>
    <row r="9462" spans="13:13" x14ac:dyDescent="0.25">
      <c r="M9462" s="18"/>
    </row>
    <row r="9463" spans="13:13" x14ac:dyDescent="0.25">
      <c r="M9463" s="18"/>
    </row>
    <row r="9464" spans="13:13" x14ac:dyDescent="0.25">
      <c r="M9464" s="18"/>
    </row>
    <row r="9465" spans="13:13" x14ac:dyDescent="0.25">
      <c r="M9465" s="18"/>
    </row>
    <row r="9466" spans="13:13" x14ac:dyDescent="0.25">
      <c r="M9466" s="18"/>
    </row>
    <row r="9467" spans="13:13" x14ac:dyDescent="0.25">
      <c r="M9467" s="18"/>
    </row>
    <row r="9468" spans="13:13" x14ac:dyDescent="0.25">
      <c r="M9468" s="18"/>
    </row>
    <row r="9469" spans="13:13" x14ac:dyDescent="0.25">
      <c r="M9469" s="18"/>
    </row>
    <row r="9470" spans="13:13" x14ac:dyDescent="0.25">
      <c r="M9470" s="18"/>
    </row>
    <row r="9471" spans="13:13" x14ac:dyDescent="0.25">
      <c r="M9471" s="18"/>
    </row>
    <row r="9472" spans="13:13" x14ac:dyDescent="0.25">
      <c r="M9472" s="18"/>
    </row>
    <row r="9473" spans="13:13" x14ac:dyDescent="0.25">
      <c r="M9473" s="18"/>
    </row>
    <row r="9474" spans="13:13" x14ac:dyDescent="0.25">
      <c r="M9474" s="18"/>
    </row>
    <row r="9475" spans="13:13" x14ac:dyDescent="0.25">
      <c r="M9475" s="18"/>
    </row>
    <row r="9476" spans="13:13" x14ac:dyDescent="0.25">
      <c r="M9476" s="18"/>
    </row>
    <row r="9477" spans="13:13" x14ac:dyDescent="0.25">
      <c r="M9477" s="18"/>
    </row>
    <row r="9478" spans="13:13" x14ac:dyDescent="0.25">
      <c r="M9478" s="18"/>
    </row>
    <row r="9479" spans="13:13" x14ac:dyDescent="0.25">
      <c r="M9479" s="18"/>
    </row>
    <row r="9480" spans="13:13" x14ac:dyDescent="0.25">
      <c r="M9480" s="18"/>
    </row>
    <row r="9481" spans="13:13" x14ac:dyDescent="0.25">
      <c r="M9481" s="18"/>
    </row>
    <row r="9482" spans="13:13" x14ac:dyDescent="0.25">
      <c r="M9482" s="18"/>
    </row>
    <row r="9483" spans="13:13" x14ac:dyDescent="0.25">
      <c r="M9483" s="18"/>
    </row>
    <row r="9484" spans="13:13" x14ac:dyDescent="0.25">
      <c r="M9484" s="18"/>
    </row>
    <row r="9485" spans="13:13" x14ac:dyDescent="0.25">
      <c r="M9485" s="18"/>
    </row>
    <row r="9486" spans="13:13" x14ac:dyDescent="0.25">
      <c r="M9486" s="18"/>
    </row>
    <row r="9487" spans="13:13" x14ac:dyDescent="0.25">
      <c r="M9487" s="18"/>
    </row>
    <row r="9488" spans="13:13" x14ac:dyDescent="0.25">
      <c r="M9488" s="18"/>
    </row>
    <row r="9489" spans="13:13" x14ac:dyDescent="0.25">
      <c r="M9489" s="18"/>
    </row>
    <row r="9490" spans="13:13" x14ac:dyDescent="0.25">
      <c r="M9490" s="18"/>
    </row>
    <row r="9491" spans="13:13" x14ac:dyDescent="0.25">
      <c r="M9491" s="18"/>
    </row>
    <row r="9492" spans="13:13" x14ac:dyDescent="0.25">
      <c r="M9492" s="18"/>
    </row>
    <row r="9493" spans="13:13" x14ac:dyDescent="0.25">
      <c r="M9493" s="18"/>
    </row>
    <row r="9494" spans="13:13" x14ac:dyDescent="0.25">
      <c r="M9494" s="18"/>
    </row>
    <row r="9495" spans="13:13" x14ac:dyDescent="0.25">
      <c r="M9495" s="18"/>
    </row>
    <row r="9496" spans="13:13" x14ac:dyDescent="0.25">
      <c r="M9496" s="18"/>
    </row>
    <row r="9497" spans="13:13" x14ac:dyDescent="0.25">
      <c r="M9497" s="18"/>
    </row>
    <row r="9498" spans="13:13" x14ac:dyDescent="0.25">
      <c r="M9498" s="18"/>
    </row>
    <row r="9499" spans="13:13" x14ac:dyDescent="0.25">
      <c r="M9499" s="18"/>
    </row>
    <row r="9500" spans="13:13" x14ac:dyDescent="0.25">
      <c r="M9500" s="18"/>
    </row>
    <row r="9501" spans="13:13" x14ac:dyDescent="0.25">
      <c r="M9501" s="18"/>
    </row>
    <row r="9502" spans="13:13" x14ac:dyDescent="0.25">
      <c r="M9502" s="18"/>
    </row>
    <row r="9503" spans="13:13" x14ac:dyDescent="0.25">
      <c r="M9503" s="18"/>
    </row>
    <row r="9504" spans="13:13" x14ac:dyDescent="0.25">
      <c r="M9504" s="18"/>
    </row>
    <row r="9505" spans="13:13" x14ac:dyDescent="0.25">
      <c r="M9505" s="18"/>
    </row>
    <row r="9506" spans="13:13" x14ac:dyDescent="0.25">
      <c r="M9506" s="18"/>
    </row>
    <row r="9507" spans="13:13" x14ac:dyDescent="0.25">
      <c r="M9507" s="18"/>
    </row>
    <row r="9508" spans="13:13" x14ac:dyDescent="0.25">
      <c r="M9508" s="18"/>
    </row>
    <row r="9509" spans="13:13" x14ac:dyDescent="0.25">
      <c r="M9509" s="18"/>
    </row>
    <row r="9510" spans="13:13" x14ac:dyDescent="0.25">
      <c r="M9510" s="18"/>
    </row>
    <row r="9511" spans="13:13" x14ac:dyDescent="0.25">
      <c r="M9511" s="18"/>
    </row>
    <row r="9512" spans="13:13" x14ac:dyDescent="0.25">
      <c r="M9512" s="18"/>
    </row>
    <row r="9513" spans="13:13" x14ac:dyDescent="0.25">
      <c r="M9513" s="18"/>
    </row>
    <row r="9514" spans="13:13" x14ac:dyDescent="0.25">
      <c r="M9514" s="18"/>
    </row>
    <row r="9515" spans="13:13" x14ac:dyDescent="0.25">
      <c r="M9515" s="18"/>
    </row>
    <row r="9516" spans="13:13" x14ac:dyDescent="0.25">
      <c r="M9516" s="18"/>
    </row>
    <row r="9517" spans="13:13" x14ac:dyDescent="0.25">
      <c r="M9517" s="18"/>
    </row>
    <row r="9518" spans="13:13" x14ac:dyDescent="0.25">
      <c r="M9518" s="18"/>
    </row>
    <row r="9519" spans="13:13" x14ac:dyDescent="0.25">
      <c r="M9519" s="18"/>
    </row>
    <row r="9520" spans="13:13" x14ac:dyDescent="0.25">
      <c r="M9520" s="18"/>
    </row>
    <row r="9521" spans="13:13" x14ac:dyDescent="0.25">
      <c r="M9521" s="18"/>
    </row>
    <row r="9522" spans="13:13" x14ac:dyDescent="0.25">
      <c r="M9522" s="18"/>
    </row>
    <row r="9523" spans="13:13" x14ac:dyDescent="0.25">
      <c r="M9523" s="18"/>
    </row>
    <row r="9524" spans="13:13" x14ac:dyDescent="0.25">
      <c r="M9524" s="18"/>
    </row>
    <row r="9525" spans="13:13" x14ac:dyDescent="0.25">
      <c r="M9525" s="18"/>
    </row>
    <row r="9526" spans="13:13" x14ac:dyDescent="0.25">
      <c r="M9526" s="18"/>
    </row>
    <row r="9527" spans="13:13" x14ac:dyDescent="0.25">
      <c r="M9527" s="18"/>
    </row>
    <row r="9528" spans="13:13" x14ac:dyDescent="0.25">
      <c r="M9528" s="18"/>
    </row>
    <row r="9529" spans="13:13" x14ac:dyDescent="0.25">
      <c r="M9529" s="18"/>
    </row>
    <row r="9530" spans="13:13" x14ac:dyDescent="0.25">
      <c r="M9530" s="18"/>
    </row>
    <row r="9531" spans="13:13" x14ac:dyDescent="0.25">
      <c r="M9531" s="18"/>
    </row>
    <row r="9532" spans="13:13" x14ac:dyDescent="0.25">
      <c r="M9532" s="18"/>
    </row>
    <row r="9533" spans="13:13" x14ac:dyDescent="0.25">
      <c r="M9533" s="18"/>
    </row>
    <row r="9534" spans="13:13" x14ac:dyDescent="0.25">
      <c r="M9534" s="18"/>
    </row>
    <row r="9535" spans="13:13" x14ac:dyDescent="0.25">
      <c r="M9535" s="18"/>
    </row>
    <row r="9536" spans="13:13" x14ac:dyDescent="0.25">
      <c r="M9536" s="18"/>
    </row>
    <row r="9537" spans="13:13" x14ac:dyDescent="0.25">
      <c r="M9537" s="18"/>
    </row>
    <row r="9538" spans="13:13" x14ac:dyDescent="0.25">
      <c r="M9538" s="18"/>
    </row>
    <row r="9539" spans="13:13" x14ac:dyDescent="0.25">
      <c r="M9539" s="18"/>
    </row>
    <row r="9540" spans="13:13" x14ac:dyDescent="0.25">
      <c r="M9540" s="18"/>
    </row>
    <row r="9541" spans="13:13" x14ac:dyDescent="0.25">
      <c r="M9541" s="18"/>
    </row>
    <row r="9542" spans="13:13" x14ac:dyDescent="0.25">
      <c r="M9542" s="18"/>
    </row>
    <row r="9543" spans="13:13" x14ac:dyDescent="0.25">
      <c r="M9543" s="18"/>
    </row>
    <row r="9544" spans="13:13" x14ac:dyDescent="0.25">
      <c r="M9544" s="18"/>
    </row>
    <row r="9545" spans="13:13" x14ac:dyDescent="0.25">
      <c r="M9545" s="18"/>
    </row>
    <row r="9546" spans="13:13" x14ac:dyDescent="0.25">
      <c r="M9546" s="18"/>
    </row>
    <row r="9547" spans="13:13" x14ac:dyDescent="0.25">
      <c r="M9547" s="18"/>
    </row>
    <row r="9548" spans="13:13" x14ac:dyDescent="0.25">
      <c r="M9548" s="18"/>
    </row>
    <row r="9549" spans="13:13" x14ac:dyDescent="0.25">
      <c r="M9549" s="18"/>
    </row>
    <row r="9550" spans="13:13" x14ac:dyDescent="0.25">
      <c r="M9550" s="18"/>
    </row>
    <row r="9551" spans="13:13" x14ac:dyDescent="0.25">
      <c r="M9551" s="18"/>
    </row>
    <row r="9552" spans="13:13" x14ac:dyDescent="0.25">
      <c r="M9552" s="18"/>
    </row>
    <row r="9553" spans="13:13" x14ac:dyDescent="0.25">
      <c r="M9553" s="18"/>
    </row>
    <row r="9554" spans="13:13" x14ac:dyDescent="0.25">
      <c r="M9554" s="18"/>
    </row>
    <row r="9555" spans="13:13" x14ac:dyDescent="0.25">
      <c r="M9555" s="18"/>
    </row>
    <row r="9556" spans="13:13" x14ac:dyDescent="0.25">
      <c r="M9556" s="18"/>
    </row>
    <row r="9557" spans="13:13" x14ac:dyDescent="0.25">
      <c r="M9557" s="18"/>
    </row>
    <row r="9558" spans="13:13" x14ac:dyDescent="0.25">
      <c r="M9558" s="18"/>
    </row>
    <row r="9559" spans="13:13" x14ac:dyDescent="0.25">
      <c r="M9559" s="18"/>
    </row>
    <row r="9560" spans="13:13" x14ac:dyDescent="0.25">
      <c r="M9560" s="18"/>
    </row>
    <row r="9561" spans="13:13" x14ac:dyDescent="0.25">
      <c r="M9561" s="18"/>
    </row>
    <row r="9562" spans="13:13" x14ac:dyDescent="0.25">
      <c r="M9562" s="18"/>
    </row>
    <row r="9563" spans="13:13" x14ac:dyDescent="0.25">
      <c r="M9563" s="18"/>
    </row>
    <row r="9564" spans="13:13" x14ac:dyDescent="0.25">
      <c r="M9564" s="18"/>
    </row>
    <row r="9565" spans="13:13" x14ac:dyDescent="0.25">
      <c r="M9565" s="18"/>
    </row>
    <row r="9566" spans="13:13" x14ac:dyDescent="0.25">
      <c r="M9566" s="18"/>
    </row>
    <row r="9567" spans="13:13" x14ac:dyDescent="0.25">
      <c r="M9567" s="18"/>
    </row>
    <row r="9568" spans="13:13" x14ac:dyDescent="0.25">
      <c r="M9568" s="18"/>
    </row>
    <row r="9569" spans="13:13" x14ac:dyDescent="0.25">
      <c r="M9569" s="18"/>
    </row>
    <row r="9570" spans="13:13" x14ac:dyDescent="0.25">
      <c r="M9570" s="18"/>
    </row>
    <row r="9571" spans="13:13" x14ac:dyDescent="0.25">
      <c r="M9571" s="18"/>
    </row>
    <row r="9572" spans="13:13" x14ac:dyDescent="0.25">
      <c r="M9572" s="18"/>
    </row>
    <row r="9573" spans="13:13" x14ac:dyDescent="0.25">
      <c r="M9573" s="18"/>
    </row>
    <row r="9574" spans="13:13" x14ac:dyDescent="0.25">
      <c r="M9574" s="18"/>
    </row>
    <row r="9575" spans="13:13" x14ac:dyDescent="0.25">
      <c r="M9575" s="18"/>
    </row>
    <row r="9576" spans="13:13" x14ac:dyDescent="0.25">
      <c r="M9576" s="18"/>
    </row>
    <row r="9577" spans="13:13" x14ac:dyDescent="0.25">
      <c r="M9577" s="18"/>
    </row>
    <row r="9578" spans="13:13" x14ac:dyDescent="0.25">
      <c r="M9578" s="18"/>
    </row>
    <row r="9579" spans="13:13" x14ac:dyDescent="0.25">
      <c r="M9579" s="18"/>
    </row>
    <row r="9580" spans="13:13" x14ac:dyDescent="0.25">
      <c r="M9580" s="18"/>
    </row>
    <row r="9581" spans="13:13" x14ac:dyDescent="0.25">
      <c r="M9581" s="18"/>
    </row>
    <row r="9582" spans="13:13" x14ac:dyDescent="0.25">
      <c r="M9582" s="18"/>
    </row>
    <row r="9583" spans="13:13" x14ac:dyDescent="0.25">
      <c r="M9583" s="18"/>
    </row>
    <row r="9584" spans="13:13" x14ac:dyDescent="0.25">
      <c r="M9584" s="18"/>
    </row>
    <row r="9585" spans="13:13" x14ac:dyDescent="0.25">
      <c r="M9585" s="18"/>
    </row>
    <row r="9586" spans="13:13" x14ac:dyDescent="0.25">
      <c r="M9586" s="18"/>
    </row>
    <row r="9587" spans="13:13" x14ac:dyDescent="0.25">
      <c r="M9587" s="18"/>
    </row>
    <row r="9588" spans="13:13" x14ac:dyDescent="0.25">
      <c r="M9588" s="18"/>
    </row>
    <row r="9589" spans="13:13" x14ac:dyDescent="0.25">
      <c r="M9589" s="18"/>
    </row>
    <row r="9590" spans="13:13" x14ac:dyDescent="0.25">
      <c r="M9590" s="18"/>
    </row>
    <row r="9591" spans="13:13" x14ac:dyDescent="0.25">
      <c r="M9591" s="18"/>
    </row>
    <row r="9592" spans="13:13" x14ac:dyDescent="0.25">
      <c r="M9592" s="18"/>
    </row>
    <row r="9593" spans="13:13" x14ac:dyDescent="0.25">
      <c r="M9593" s="18"/>
    </row>
    <row r="9594" spans="13:13" x14ac:dyDescent="0.25">
      <c r="M9594" s="18"/>
    </row>
    <row r="9595" spans="13:13" x14ac:dyDescent="0.25">
      <c r="M9595" s="18"/>
    </row>
    <row r="9596" spans="13:13" x14ac:dyDescent="0.25">
      <c r="M9596" s="18"/>
    </row>
    <row r="9597" spans="13:13" x14ac:dyDescent="0.25">
      <c r="M9597" s="18"/>
    </row>
    <row r="9598" spans="13:13" x14ac:dyDescent="0.25">
      <c r="M9598" s="18"/>
    </row>
    <row r="9599" spans="13:13" x14ac:dyDescent="0.25">
      <c r="M9599" s="18"/>
    </row>
    <row r="9600" spans="13:13" x14ac:dyDescent="0.25">
      <c r="M9600" s="18"/>
    </row>
    <row r="9601" spans="13:13" x14ac:dyDescent="0.25">
      <c r="M9601" s="18"/>
    </row>
    <row r="9602" spans="13:13" x14ac:dyDescent="0.25">
      <c r="M9602" s="18"/>
    </row>
    <row r="9603" spans="13:13" x14ac:dyDescent="0.25">
      <c r="M9603" s="18"/>
    </row>
    <row r="9604" spans="13:13" x14ac:dyDescent="0.25">
      <c r="M9604" s="18"/>
    </row>
    <row r="9605" spans="13:13" x14ac:dyDescent="0.25">
      <c r="M9605" s="18"/>
    </row>
    <row r="9606" spans="13:13" x14ac:dyDescent="0.25">
      <c r="M9606" s="18"/>
    </row>
    <row r="9607" spans="13:13" x14ac:dyDescent="0.25">
      <c r="M9607" s="18"/>
    </row>
    <row r="9608" spans="13:13" x14ac:dyDescent="0.25">
      <c r="M9608" s="18"/>
    </row>
    <row r="9609" spans="13:13" x14ac:dyDescent="0.25">
      <c r="M9609" s="18"/>
    </row>
    <row r="9610" spans="13:13" x14ac:dyDescent="0.25">
      <c r="M9610" s="18"/>
    </row>
    <row r="9611" spans="13:13" x14ac:dyDescent="0.25">
      <c r="M9611" s="18"/>
    </row>
    <row r="9612" spans="13:13" x14ac:dyDescent="0.25">
      <c r="M9612" s="18"/>
    </row>
    <row r="9613" spans="13:13" x14ac:dyDescent="0.25">
      <c r="M9613" s="18"/>
    </row>
    <row r="9614" spans="13:13" x14ac:dyDescent="0.25">
      <c r="M9614" s="18"/>
    </row>
    <row r="9615" spans="13:13" x14ac:dyDescent="0.25">
      <c r="M9615" s="18"/>
    </row>
    <row r="9616" spans="13:13" x14ac:dyDescent="0.25">
      <c r="M9616" s="18"/>
    </row>
    <row r="9617" spans="13:13" x14ac:dyDescent="0.25">
      <c r="M9617" s="18"/>
    </row>
    <row r="9618" spans="13:13" x14ac:dyDescent="0.25">
      <c r="M9618" s="18"/>
    </row>
    <row r="9619" spans="13:13" x14ac:dyDescent="0.25">
      <c r="M9619" s="18"/>
    </row>
    <row r="9620" spans="13:13" x14ac:dyDescent="0.25">
      <c r="M9620" s="18"/>
    </row>
    <row r="9621" spans="13:13" x14ac:dyDescent="0.25">
      <c r="M9621" s="18"/>
    </row>
    <row r="9622" spans="13:13" x14ac:dyDescent="0.25">
      <c r="M9622" s="18"/>
    </row>
    <row r="9623" spans="13:13" x14ac:dyDescent="0.25">
      <c r="M9623" s="18"/>
    </row>
    <row r="9624" spans="13:13" x14ac:dyDescent="0.25">
      <c r="M9624" s="18"/>
    </row>
    <row r="9625" spans="13:13" x14ac:dyDescent="0.25">
      <c r="M9625" s="18"/>
    </row>
    <row r="9626" spans="13:13" x14ac:dyDescent="0.25">
      <c r="M9626" s="18"/>
    </row>
    <row r="9627" spans="13:13" x14ac:dyDescent="0.25">
      <c r="M9627" s="18"/>
    </row>
    <row r="9628" spans="13:13" x14ac:dyDescent="0.25">
      <c r="M9628" s="18"/>
    </row>
    <row r="9629" spans="13:13" x14ac:dyDescent="0.25">
      <c r="M9629" s="18"/>
    </row>
    <row r="9630" spans="13:13" x14ac:dyDescent="0.25">
      <c r="M9630" s="18"/>
    </row>
    <row r="9631" spans="13:13" x14ac:dyDescent="0.25">
      <c r="M9631" s="18"/>
    </row>
    <row r="9632" spans="13:13" x14ac:dyDescent="0.25">
      <c r="M9632" s="18"/>
    </row>
    <row r="9633" spans="13:13" x14ac:dyDescent="0.25">
      <c r="M9633" s="18"/>
    </row>
    <row r="9634" spans="13:13" x14ac:dyDescent="0.25">
      <c r="M9634" s="18"/>
    </row>
    <row r="9635" spans="13:13" x14ac:dyDescent="0.25">
      <c r="M9635" s="18"/>
    </row>
    <row r="9636" spans="13:13" x14ac:dyDescent="0.25">
      <c r="M9636" s="18"/>
    </row>
    <row r="9637" spans="13:13" x14ac:dyDescent="0.25">
      <c r="M9637" s="18"/>
    </row>
    <row r="9638" spans="13:13" x14ac:dyDescent="0.25">
      <c r="M9638" s="18"/>
    </row>
    <row r="9639" spans="13:13" x14ac:dyDescent="0.25">
      <c r="M9639" s="18"/>
    </row>
    <row r="9640" spans="13:13" x14ac:dyDescent="0.25">
      <c r="M9640" s="18"/>
    </row>
    <row r="9641" spans="13:13" x14ac:dyDescent="0.25">
      <c r="M9641" s="18"/>
    </row>
    <row r="9642" spans="13:13" x14ac:dyDescent="0.25">
      <c r="M9642" s="18"/>
    </row>
    <row r="9643" spans="13:13" x14ac:dyDescent="0.25">
      <c r="M9643" s="18"/>
    </row>
    <row r="9644" spans="13:13" x14ac:dyDescent="0.25">
      <c r="M9644" s="18"/>
    </row>
    <row r="9645" spans="13:13" x14ac:dyDescent="0.25">
      <c r="M9645" s="18"/>
    </row>
    <row r="9646" spans="13:13" x14ac:dyDescent="0.25">
      <c r="M9646" s="18"/>
    </row>
    <row r="9647" spans="13:13" x14ac:dyDescent="0.25">
      <c r="M9647" s="18"/>
    </row>
    <row r="9648" spans="13:13" x14ac:dyDescent="0.25">
      <c r="M9648" s="18"/>
    </row>
    <row r="9649" spans="13:13" x14ac:dyDescent="0.25">
      <c r="M9649" s="18"/>
    </row>
    <row r="9650" spans="13:13" x14ac:dyDescent="0.25">
      <c r="M9650" s="18"/>
    </row>
    <row r="9651" spans="13:13" x14ac:dyDescent="0.25">
      <c r="M9651" s="18"/>
    </row>
    <row r="9652" spans="13:13" x14ac:dyDescent="0.25">
      <c r="M9652" s="18"/>
    </row>
    <row r="9653" spans="13:13" x14ac:dyDescent="0.25">
      <c r="M9653" s="18"/>
    </row>
    <row r="9654" spans="13:13" x14ac:dyDescent="0.25">
      <c r="M9654" s="18"/>
    </row>
    <row r="9655" spans="13:13" x14ac:dyDescent="0.25">
      <c r="M9655" s="18"/>
    </row>
    <row r="9656" spans="13:13" x14ac:dyDescent="0.25">
      <c r="M9656" s="18"/>
    </row>
    <row r="9657" spans="13:13" x14ac:dyDescent="0.25">
      <c r="M9657" s="18"/>
    </row>
    <row r="9658" spans="13:13" x14ac:dyDescent="0.25">
      <c r="M9658" s="18"/>
    </row>
    <row r="9659" spans="13:13" x14ac:dyDescent="0.25">
      <c r="M9659" s="18"/>
    </row>
    <row r="9660" spans="13:13" x14ac:dyDescent="0.25">
      <c r="M9660" s="18"/>
    </row>
    <row r="9661" spans="13:13" x14ac:dyDescent="0.25">
      <c r="M9661" s="18"/>
    </row>
    <row r="9662" spans="13:13" x14ac:dyDescent="0.25">
      <c r="M9662" s="18"/>
    </row>
    <row r="9663" spans="13:13" x14ac:dyDescent="0.25">
      <c r="M9663" s="18"/>
    </row>
    <row r="9664" spans="13:13" x14ac:dyDescent="0.25">
      <c r="M9664" s="18"/>
    </row>
    <row r="9665" spans="13:13" x14ac:dyDescent="0.25">
      <c r="M9665" s="18"/>
    </row>
    <row r="9666" spans="13:13" x14ac:dyDescent="0.25">
      <c r="M9666" s="18"/>
    </row>
    <row r="9667" spans="13:13" x14ac:dyDescent="0.25">
      <c r="M9667" s="18"/>
    </row>
    <row r="9668" spans="13:13" x14ac:dyDescent="0.25">
      <c r="M9668" s="18"/>
    </row>
    <row r="9669" spans="13:13" x14ac:dyDescent="0.25">
      <c r="M9669" s="18"/>
    </row>
    <row r="9670" spans="13:13" x14ac:dyDescent="0.25">
      <c r="M9670" s="18"/>
    </row>
    <row r="9671" spans="13:13" x14ac:dyDescent="0.25">
      <c r="M9671" s="18"/>
    </row>
    <row r="9672" spans="13:13" x14ac:dyDescent="0.25">
      <c r="M9672" s="18"/>
    </row>
    <row r="9673" spans="13:13" x14ac:dyDescent="0.25">
      <c r="M9673" s="18"/>
    </row>
    <row r="9674" spans="13:13" x14ac:dyDescent="0.25">
      <c r="M9674" s="18"/>
    </row>
    <row r="9675" spans="13:13" x14ac:dyDescent="0.25">
      <c r="M9675" s="18"/>
    </row>
    <row r="9676" spans="13:13" x14ac:dyDescent="0.25">
      <c r="M9676" s="18"/>
    </row>
    <row r="9677" spans="13:13" x14ac:dyDescent="0.25">
      <c r="M9677" s="18"/>
    </row>
    <row r="9678" spans="13:13" x14ac:dyDescent="0.25">
      <c r="M9678" s="18"/>
    </row>
    <row r="9679" spans="13:13" x14ac:dyDescent="0.25">
      <c r="M9679" s="18"/>
    </row>
    <row r="9680" spans="13:13" x14ac:dyDescent="0.25">
      <c r="M9680" s="18"/>
    </row>
    <row r="9681" spans="13:13" x14ac:dyDescent="0.25">
      <c r="M9681" s="18"/>
    </row>
    <row r="9682" spans="13:13" x14ac:dyDescent="0.25">
      <c r="M9682" s="18"/>
    </row>
    <row r="9683" spans="13:13" x14ac:dyDescent="0.25">
      <c r="M9683" s="18"/>
    </row>
    <row r="9684" spans="13:13" x14ac:dyDescent="0.25">
      <c r="M9684" s="18"/>
    </row>
    <row r="9685" spans="13:13" x14ac:dyDescent="0.25">
      <c r="M9685" s="18"/>
    </row>
    <row r="9686" spans="13:13" x14ac:dyDescent="0.25">
      <c r="M9686" s="18"/>
    </row>
    <row r="9687" spans="13:13" x14ac:dyDescent="0.25">
      <c r="M9687" s="18"/>
    </row>
    <row r="9688" spans="13:13" x14ac:dyDescent="0.25">
      <c r="M9688" s="18"/>
    </row>
    <row r="9689" spans="13:13" x14ac:dyDescent="0.25">
      <c r="M9689" s="18"/>
    </row>
    <row r="9690" spans="13:13" x14ac:dyDescent="0.25">
      <c r="M9690" s="18"/>
    </row>
    <row r="9691" spans="13:13" x14ac:dyDescent="0.25">
      <c r="M9691" s="18"/>
    </row>
    <row r="9692" spans="13:13" x14ac:dyDescent="0.25">
      <c r="M9692" s="18"/>
    </row>
    <row r="9693" spans="13:13" x14ac:dyDescent="0.25">
      <c r="M9693" s="18"/>
    </row>
    <row r="9694" spans="13:13" x14ac:dyDescent="0.25">
      <c r="M9694" s="18"/>
    </row>
    <row r="9695" spans="13:13" x14ac:dyDescent="0.25">
      <c r="M9695" s="18"/>
    </row>
    <row r="9696" spans="13:13" x14ac:dyDescent="0.25">
      <c r="M9696" s="18"/>
    </row>
    <row r="9697" spans="13:13" x14ac:dyDescent="0.25">
      <c r="M9697" s="18"/>
    </row>
    <row r="9698" spans="13:13" x14ac:dyDescent="0.25">
      <c r="M9698" s="18"/>
    </row>
    <row r="9699" spans="13:13" x14ac:dyDescent="0.25">
      <c r="M9699" s="18"/>
    </row>
    <row r="9700" spans="13:13" x14ac:dyDescent="0.25">
      <c r="M9700" s="18"/>
    </row>
    <row r="9701" spans="13:13" x14ac:dyDescent="0.25">
      <c r="M9701" s="18"/>
    </row>
    <row r="9702" spans="13:13" x14ac:dyDescent="0.25">
      <c r="M9702" s="18"/>
    </row>
    <row r="9703" spans="13:13" x14ac:dyDescent="0.25">
      <c r="M9703" s="18"/>
    </row>
    <row r="9704" spans="13:13" x14ac:dyDescent="0.25">
      <c r="M9704" s="18"/>
    </row>
    <row r="9705" spans="13:13" x14ac:dyDescent="0.25">
      <c r="M9705" s="18"/>
    </row>
    <row r="9706" spans="13:13" x14ac:dyDescent="0.25">
      <c r="M9706" s="18"/>
    </row>
    <row r="9707" spans="13:13" x14ac:dyDescent="0.25">
      <c r="M9707" s="18"/>
    </row>
    <row r="9708" spans="13:13" x14ac:dyDescent="0.25">
      <c r="M9708" s="18"/>
    </row>
    <row r="9709" spans="13:13" x14ac:dyDescent="0.25">
      <c r="M9709" s="18"/>
    </row>
    <row r="9710" spans="13:13" x14ac:dyDescent="0.25">
      <c r="M9710" s="18"/>
    </row>
    <row r="9711" spans="13:13" x14ac:dyDescent="0.25">
      <c r="M9711" s="18"/>
    </row>
    <row r="9712" spans="13:13" x14ac:dyDescent="0.25">
      <c r="M9712" s="18"/>
    </row>
    <row r="9713" spans="13:13" x14ac:dyDescent="0.25">
      <c r="M9713" s="18"/>
    </row>
    <row r="9714" spans="13:13" x14ac:dyDescent="0.25">
      <c r="M9714" s="18"/>
    </row>
    <row r="9715" spans="13:13" x14ac:dyDescent="0.25">
      <c r="M9715" s="18"/>
    </row>
    <row r="9716" spans="13:13" x14ac:dyDescent="0.25">
      <c r="M9716" s="18"/>
    </row>
    <row r="9717" spans="13:13" x14ac:dyDescent="0.25">
      <c r="M9717" s="18"/>
    </row>
    <row r="9718" spans="13:13" x14ac:dyDescent="0.25">
      <c r="M9718" s="18"/>
    </row>
    <row r="9719" spans="13:13" x14ac:dyDescent="0.25">
      <c r="M9719" s="18"/>
    </row>
    <row r="9720" spans="13:13" x14ac:dyDescent="0.25">
      <c r="M9720" s="18"/>
    </row>
    <row r="9721" spans="13:13" x14ac:dyDescent="0.25">
      <c r="M9721" s="18"/>
    </row>
    <row r="9722" spans="13:13" x14ac:dyDescent="0.25">
      <c r="M9722" s="18"/>
    </row>
    <row r="9723" spans="13:13" x14ac:dyDescent="0.25">
      <c r="M9723" s="18"/>
    </row>
    <row r="9724" spans="13:13" x14ac:dyDescent="0.25">
      <c r="M9724" s="18"/>
    </row>
    <row r="9725" spans="13:13" x14ac:dyDescent="0.25">
      <c r="M9725" s="18"/>
    </row>
    <row r="9726" spans="13:13" x14ac:dyDescent="0.25">
      <c r="M9726" s="18"/>
    </row>
    <row r="9727" spans="13:13" x14ac:dyDescent="0.25">
      <c r="M9727" s="18"/>
    </row>
    <row r="9728" spans="13:13" x14ac:dyDescent="0.25">
      <c r="M9728" s="18"/>
    </row>
    <row r="9729" spans="13:13" x14ac:dyDescent="0.25">
      <c r="M9729" s="18"/>
    </row>
    <row r="9730" spans="13:13" x14ac:dyDescent="0.25">
      <c r="M9730" s="18"/>
    </row>
    <row r="9731" spans="13:13" x14ac:dyDescent="0.25">
      <c r="M9731" s="18"/>
    </row>
    <row r="9732" spans="13:13" x14ac:dyDescent="0.25">
      <c r="M9732" s="18"/>
    </row>
    <row r="9733" spans="13:13" x14ac:dyDescent="0.25">
      <c r="M9733" s="18"/>
    </row>
    <row r="9734" spans="13:13" x14ac:dyDescent="0.25">
      <c r="M9734" s="18"/>
    </row>
    <row r="9735" spans="13:13" x14ac:dyDescent="0.25">
      <c r="M9735" s="18"/>
    </row>
    <row r="9736" spans="13:13" x14ac:dyDescent="0.25">
      <c r="M9736" s="18"/>
    </row>
    <row r="9737" spans="13:13" x14ac:dyDescent="0.25">
      <c r="M9737" s="18"/>
    </row>
    <row r="9738" spans="13:13" x14ac:dyDescent="0.25">
      <c r="M9738" s="18"/>
    </row>
    <row r="9739" spans="13:13" x14ac:dyDescent="0.25">
      <c r="M9739" s="18"/>
    </row>
    <row r="9740" spans="13:13" x14ac:dyDescent="0.25">
      <c r="M9740" s="18"/>
    </row>
    <row r="9741" spans="13:13" x14ac:dyDescent="0.25">
      <c r="M9741" s="18"/>
    </row>
    <row r="9742" spans="13:13" x14ac:dyDescent="0.25">
      <c r="M9742" s="18"/>
    </row>
    <row r="9743" spans="13:13" x14ac:dyDescent="0.25">
      <c r="M9743" s="18"/>
    </row>
    <row r="9744" spans="13:13" x14ac:dyDescent="0.25">
      <c r="M9744" s="18"/>
    </row>
    <row r="9745" spans="13:13" x14ac:dyDescent="0.25">
      <c r="M9745" s="18"/>
    </row>
    <row r="9746" spans="13:13" x14ac:dyDescent="0.25">
      <c r="M9746" s="18"/>
    </row>
    <row r="9747" spans="13:13" x14ac:dyDescent="0.25">
      <c r="M9747" s="18"/>
    </row>
    <row r="9748" spans="13:13" x14ac:dyDescent="0.25">
      <c r="M9748" s="18"/>
    </row>
    <row r="9749" spans="13:13" x14ac:dyDescent="0.25">
      <c r="M9749" s="18"/>
    </row>
    <row r="9750" spans="13:13" x14ac:dyDescent="0.25">
      <c r="M9750" s="18"/>
    </row>
    <row r="9751" spans="13:13" x14ac:dyDescent="0.25">
      <c r="M9751" s="18"/>
    </row>
    <row r="9752" spans="13:13" x14ac:dyDescent="0.25">
      <c r="M9752" s="18"/>
    </row>
    <row r="9753" spans="13:13" x14ac:dyDescent="0.25">
      <c r="M9753" s="18"/>
    </row>
    <row r="9754" spans="13:13" x14ac:dyDescent="0.25">
      <c r="M9754" s="18"/>
    </row>
    <row r="9755" spans="13:13" x14ac:dyDescent="0.25">
      <c r="M9755" s="18"/>
    </row>
    <row r="9756" spans="13:13" x14ac:dyDescent="0.25">
      <c r="M9756" s="18"/>
    </row>
    <row r="9757" spans="13:13" x14ac:dyDescent="0.25">
      <c r="M9757" s="18"/>
    </row>
    <row r="9758" spans="13:13" x14ac:dyDescent="0.25">
      <c r="M9758" s="18"/>
    </row>
    <row r="9759" spans="13:13" x14ac:dyDescent="0.25">
      <c r="M9759" s="18"/>
    </row>
    <row r="9760" spans="13:13" x14ac:dyDescent="0.25">
      <c r="M9760" s="18"/>
    </row>
    <row r="9761" spans="13:13" x14ac:dyDescent="0.25">
      <c r="M9761" s="18"/>
    </row>
    <row r="9762" spans="13:13" x14ac:dyDescent="0.25">
      <c r="M9762" s="18"/>
    </row>
    <row r="9763" spans="13:13" x14ac:dyDescent="0.25">
      <c r="M9763" s="18"/>
    </row>
    <row r="9764" spans="13:13" x14ac:dyDescent="0.25">
      <c r="M9764" s="18"/>
    </row>
    <row r="9765" spans="13:13" x14ac:dyDescent="0.25">
      <c r="M9765" s="18"/>
    </row>
    <row r="9766" spans="13:13" x14ac:dyDescent="0.25">
      <c r="M9766" s="18"/>
    </row>
    <row r="9767" spans="13:13" x14ac:dyDescent="0.25">
      <c r="M9767" s="18"/>
    </row>
    <row r="9768" spans="13:13" x14ac:dyDescent="0.25">
      <c r="M9768" s="18"/>
    </row>
    <row r="9769" spans="13:13" x14ac:dyDescent="0.25">
      <c r="M9769" s="18"/>
    </row>
    <row r="9770" spans="13:13" x14ac:dyDescent="0.25">
      <c r="M9770" s="18"/>
    </row>
    <row r="9771" spans="13:13" x14ac:dyDescent="0.25">
      <c r="M9771" s="18"/>
    </row>
    <row r="9772" spans="13:13" x14ac:dyDescent="0.25">
      <c r="M9772" s="18"/>
    </row>
    <row r="9773" spans="13:13" x14ac:dyDescent="0.25">
      <c r="M9773" s="18"/>
    </row>
    <row r="9774" spans="13:13" x14ac:dyDescent="0.25">
      <c r="M9774" s="18"/>
    </row>
    <row r="9775" spans="13:13" x14ac:dyDescent="0.25">
      <c r="M9775" s="18"/>
    </row>
    <row r="9776" spans="13:13" x14ac:dyDescent="0.25">
      <c r="M9776" s="18"/>
    </row>
    <row r="9777" spans="13:13" x14ac:dyDescent="0.25">
      <c r="M9777" s="18"/>
    </row>
    <row r="9778" spans="13:13" x14ac:dyDescent="0.25">
      <c r="M9778" s="18"/>
    </row>
    <row r="9779" spans="13:13" x14ac:dyDescent="0.25">
      <c r="M9779" s="18"/>
    </row>
    <row r="9780" spans="13:13" x14ac:dyDescent="0.25">
      <c r="M9780" s="18"/>
    </row>
    <row r="9781" spans="13:13" x14ac:dyDescent="0.25">
      <c r="M9781" s="18"/>
    </row>
    <row r="9782" spans="13:13" x14ac:dyDescent="0.25">
      <c r="M9782" s="18"/>
    </row>
    <row r="9783" spans="13:13" x14ac:dyDescent="0.25">
      <c r="M9783" s="18"/>
    </row>
    <row r="9784" spans="13:13" x14ac:dyDescent="0.25">
      <c r="M9784" s="18"/>
    </row>
    <row r="9785" spans="13:13" x14ac:dyDescent="0.25">
      <c r="M9785" s="18"/>
    </row>
    <row r="9786" spans="13:13" x14ac:dyDescent="0.25">
      <c r="M9786" s="18"/>
    </row>
    <row r="9787" spans="13:13" x14ac:dyDescent="0.25">
      <c r="M9787" s="18"/>
    </row>
    <row r="9788" spans="13:13" x14ac:dyDescent="0.25">
      <c r="M9788" s="18"/>
    </row>
    <row r="9789" spans="13:13" x14ac:dyDescent="0.25">
      <c r="M9789" s="18"/>
    </row>
    <row r="9790" spans="13:13" x14ac:dyDescent="0.25">
      <c r="M9790" s="18"/>
    </row>
    <row r="9791" spans="13:13" x14ac:dyDescent="0.25">
      <c r="M9791" s="18"/>
    </row>
    <row r="9792" spans="13:13" x14ac:dyDescent="0.25">
      <c r="M9792" s="18"/>
    </row>
    <row r="9793" spans="13:13" x14ac:dyDescent="0.25">
      <c r="M9793" s="18"/>
    </row>
    <row r="9794" spans="13:13" x14ac:dyDescent="0.25">
      <c r="M9794" s="18"/>
    </row>
    <row r="9795" spans="13:13" x14ac:dyDescent="0.25">
      <c r="M9795" s="18"/>
    </row>
    <row r="9796" spans="13:13" x14ac:dyDescent="0.25">
      <c r="M9796" s="18"/>
    </row>
    <row r="9797" spans="13:13" x14ac:dyDescent="0.25">
      <c r="M9797" s="18"/>
    </row>
    <row r="9798" spans="13:13" x14ac:dyDescent="0.25">
      <c r="M9798" s="18"/>
    </row>
    <row r="9799" spans="13:13" x14ac:dyDescent="0.25">
      <c r="M9799" s="18"/>
    </row>
    <row r="9800" spans="13:13" x14ac:dyDescent="0.25">
      <c r="M9800" s="18"/>
    </row>
    <row r="9801" spans="13:13" x14ac:dyDescent="0.25">
      <c r="M9801" s="18"/>
    </row>
    <row r="9802" spans="13:13" x14ac:dyDescent="0.25">
      <c r="M9802" s="18"/>
    </row>
    <row r="9803" spans="13:13" x14ac:dyDescent="0.25">
      <c r="M9803" s="18"/>
    </row>
    <row r="9804" spans="13:13" x14ac:dyDescent="0.25">
      <c r="M9804" s="18"/>
    </row>
    <row r="9805" spans="13:13" x14ac:dyDescent="0.25">
      <c r="M9805" s="18"/>
    </row>
    <row r="9806" spans="13:13" x14ac:dyDescent="0.25">
      <c r="M9806" s="18"/>
    </row>
    <row r="9807" spans="13:13" x14ac:dyDescent="0.25">
      <c r="M9807" s="18"/>
    </row>
    <row r="9808" spans="13:13" x14ac:dyDescent="0.25">
      <c r="M9808" s="18"/>
    </row>
    <row r="9809" spans="13:13" x14ac:dyDescent="0.25">
      <c r="M9809" s="18"/>
    </row>
    <row r="9810" spans="13:13" x14ac:dyDescent="0.25">
      <c r="M9810" s="18"/>
    </row>
    <row r="9811" spans="13:13" x14ac:dyDescent="0.25">
      <c r="M9811" s="18"/>
    </row>
    <row r="9812" spans="13:13" x14ac:dyDescent="0.25">
      <c r="M9812" s="18"/>
    </row>
    <row r="9813" spans="13:13" x14ac:dyDescent="0.25">
      <c r="M9813" s="18"/>
    </row>
    <row r="9814" spans="13:13" x14ac:dyDescent="0.25">
      <c r="M9814" s="18"/>
    </row>
    <row r="9815" spans="13:13" x14ac:dyDescent="0.25">
      <c r="M9815" s="18"/>
    </row>
    <row r="9816" spans="13:13" x14ac:dyDescent="0.25">
      <c r="M9816" s="18"/>
    </row>
    <row r="9817" spans="13:13" x14ac:dyDescent="0.25">
      <c r="M9817" s="18"/>
    </row>
    <row r="9818" spans="13:13" x14ac:dyDescent="0.25">
      <c r="M9818" s="18"/>
    </row>
    <row r="9819" spans="13:13" x14ac:dyDescent="0.25">
      <c r="M9819" s="18"/>
    </row>
    <row r="9820" spans="13:13" x14ac:dyDescent="0.25">
      <c r="M9820" s="18"/>
    </row>
    <row r="9821" spans="13:13" x14ac:dyDescent="0.25">
      <c r="M9821" s="18"/>
    </row>
    <row r="9822" spans="13:13" x14ac:dyDescent="0.25">
      <c r="M9822" s="18"/>
    </row>
    <row r="9823" spans="13:13" x14ac:dyDescent="0.25">
      <c r="M9823" s="18"/>
    </row>
    <row r="9824" spans="13:13" x14ac:dyDescent="0.25">
      <c r="M9824" s="18"/>
    </row>
    <row r="9825" spans="13:13" x14ac:dyDescent="0.25">
      <c r="M9825" s="18"/>
    </row>
    <row r="9826" spans="13:13" x14ac:dyDescent="0.25">
      <c r="M9826" s="18"/>
    </row>
    <row r="9827" spans="13:13" x14ac:dyDescent="0.25">
      <c r="M9827" s="18"/>
    </row>
    <row r="9828" spans="13:13" x14ac:dyDescent="0.25">
      <c r="M9828" s="18"/>
    </row>
    <row r="9829" spans="13:13" x14ac:dyDescent="0.25">
      <c r="M9829" s="18"/>
    </row>
    <row r="9830" spans="13:13" x14ac:dyDescent="0.25">
      <c r="M9830" s="18"/>
    </row>
    <row r="9831" spans="13:13" x14ac:dyDescent="0.25">
      <c r="M9831" s="18"/>
    </row>
    <row r="9832" spans="13:13" x14ac:dyDescent="0.25">
      <c r="M9832" s="18"/>
    </row>
    <row r="9833" spans="13:13" x14ac:dyDescent="0.25">
      <c r="M9833" s="18"/>
    </row>
    <row r="9834" spans="13:13" x14ac:dyDescent="0.25">
      <c r="M9834" s="18"/>
    </row>
    <row r="9835" spans="13:13" x14ac:dyDescent="0.25">
      <c r="M9835" s="18"/>
    </row>
    <row r="9836" spans="13:13" x14ac:dyDescent="0.25">
      <c r="M9836" s="18"/>
    </row>
    <row r="9837" spans="13:13" x14ac:dyDescent="0.25">
      <c r="M9837" s="18"/>
    </row>
    <row r="9838" spans="13:13" x14ac:dyDescent="0.25">
      <c r="M9838" s="18"/>
    </row>
    <row r="9839" spans="13:13" x14ac:dyDescent="0.25">
      <c r="M9839" s="18"/>
    </row>
    <row r="9840" spans="13:13" x14ac:dyDescent="0.25">
      <c r="M9840" s="18"/>
    </row>
    <row r="9841" spans="13:13" x14ac:dyDescent="0.25">
      <c r="M9841" s="18"/>
    </row>
    <row r="9842" spans="13:13" x14ac:dyDescent="0.25">
      <c r="M9842" s="18"/>
    </row>
    <row r="9843" spans="13:13" x14ac:dyDescent="0.25">
      <c r="M9843" s="18"/>
    </row>
    <row r="9844" spans="13:13" x14ac:dyDescent="0.25">
      <c r="M9844" s="18"/>
    </row>
    <row r="9845" spans="13:13" x14ac:dyDescent="0.25">
      <c r="M9845" s="18"/>
    </row>
    <row r="9846" spans="13:13" x14ac:dyDescent="0.25">
      <c r="M9846" s="18"/>
    </row>
    <row r="9847" spans="13:13" x14ac:dyDescent="0.25">
      <c r="M9847" s="18"/>
    </row>
    <row r="9848" spans="13:13" x14ac:dyDescent="0.25">
      <c r="M9848" s="18"/>
    </row>
    <row r="9849" spans="13:13" x14ac:dyDescent="0.25">
      <c r="M9849" s="18"/>
    </row>
    <row r="9850" spans="13:13" x14ac:dyDescent="0.25">
      <c r="M9850" s="18"/>
    </row>
    <row r="9851" spans="13:13" x14ac:dyDescent="0.25">
      <c r="M9851" s="18"/>
    </row>
    <row r="9852" spans="13:13" x14ac:dyDescent="0.25">
      <c r="M9852" s="18"/>
    </row>
    <row r="9853" spans="13:13" x14ac:dyDescent="0.25">
      <c r="M9853" s="18"/>
    </row>
    <row r="9854" spans="13:13" x14ac:dyDescent="0.25">
      <c r="M9854" s="18"/>
    </row>
    <row r="9855" spans="13:13" x14ac:dyDescent="0.25">
      <c r="M9855" s="18"/>
    </row>
    <row r="9856" spans="13:13" x14ac:dyDescent="0.25">
      <c r="M9856" s="18"/>
    </row>
    <row r="9857" spans="13:13" x14ac:dyDescent="0.25">
      <c r="M9857" s="18"/>
    </row>
    <row r="9858" spans="13:13" x14ac:dyDescent="0.25">
      <c r="M9858" s="18"/>
    </row>
    <row r="9859" spans="13:13" x14ac:dyDescent="0.25">
      <c r="M9859" s="18"/>
    </row>
    <row r="9860" spans="13:13" x14ac:dyDescent="0.25">
      <c r="M9860" s="18"/>
    </row>
    <row r="9861" spans="13:13" x14ac:dyDescent="0.25">
      <c r="M9861" s="18"/>
    </row>
    <row r="9862" spans="13:13" x14ac:dyDescent="0.25">
      <c r="M9862" s="18"/>
    </row>
    <row r="9863" spans="13:13" x14ac:dyDescent="0.25">
      <c r="M9863" s="18"/>
    </row>
    <row r="9864" spans="13:13" x14ac:dyDescent="0.25">
      <c r="M9864" s="18"/>
    </row>
    <row r="9865" spans="13:13" x14ac:dyDescent="0.25">
      <c r="M9865" s="18"/>
    </row>
    <row r="9866" spans="13:13" x14ac:dyDescent="0.25">
      <c r="M9866" s="18"/>
    </row>
    <row r="9867" spans="13:13" x14ac:dyDescent="0.25">
      <c r="M9867" s="18"/>
    </row>
    <row r="9868" spans="13:13" x14ac:dyDescent="0.25">
      <c r="M9868" s="18"/>
    </row>
    <row r="9869" spans="13:13" x14ac:dyDescent="0.25">
      <c r="M9869" s="18"/>
    </row>
    <row r="9870" spans="13:13" x14ac:dyDescent="0.25">
      <c r="M9870" s="18"/>
    </row>
    <row r="9871" spans="13:13" x14ac:dyDescent="0.25">
      <c r="M9871" s="18"/>
    </row>
    <row r="9872" spans="13:13" x14ac:dyDescent="0.25">
      <c r="M9872" s="18"/>
    </row>
    <row r="9873" spans="13:13" x14ac:dyDescent="0.25">
      <c r="M9873" s="18"/>
    </row>
    <row r="9874" spans="13:13" x14ac:dyDescent="0.25">
      <c r="M9874" s="18"/>
    </row>
    <row r="9875" spans="13:13" x14ac:dyDescent="0.25">
      <c r="M9875" s="18"/>
    </row>
    <row r="9876" spans="13:13" x14ac:dyDescent="0.25">
      <c r="M9876" s="18"/>
    </row>
    <row r="9877" spans="13:13" x14ac:dyDescent="0.25">
      <c r="M9877" s="18"/>
    </row>
    <row r="9878" spans="13:13" x14ac:dyDescent="0.25">
      <c r="M9878" s="18"/>
    </row>
    <row r="9879" spans="13:13" x14ac:dyDescent="0.25">
      <c r="M9879" s="18"/>
    </row>
    <row r="9880" spans="13:13" x14ac:dyDescent="0.25">
      <c r="M9880" s="18"/>
    </row>
    <row r="9881" spans="13:13" x14ac:dyDescent="0.25">
      <c r="M9881" s="18"/>
    </row>
    <row r="9882" spans="13:13" x14ac:dyDescent="0.25">
      <c r="M9882" s="18"/>
    </row>
    <row r="9883" spans="13:13" x14ac:dyDescent="0.25">
      <c r="M9883" s="18"/>
    </row>
    <row r="9884" spans="13:13" x14ac:dyDescent="0.25">
      <c r="M9884" s="18"/>
    </row>
    <row r="9885" spans="13:13" x14ac:dyDescent="0.25">
      <c r="M9885" s="18"/>
    </row>
    <row r="9886" spans="13:13" x14ac:dyDescent="0.25">
      <c r="M9886" s="18"/>
    </row>
    <row r="9887" spans="13:13" x14ac:dyDescent="0.25">
      <c r="M9887" s="18"/>
    </row>
    <row r="9888" spans="13:13" x14ac:dyDescent="0.25">
      <c r="M9888" s="18"/>
    </row>
    <row r="9889" spans="13:13" x14ac:dyDescent="0.25">
      <c r="M9889" s="18"/>
    </row>
    <row r="9890" spans="13:13" x14ac:dyDescent="0.25">
      <c r="M9890" s="18"/>
    </row>
    <row r="9891" spans="13:13" x14ac:dyDescent="0.25">
      <c r="M9891" s="18"/>
    </row>
    <row r="9892" spans="13:13" x14ac:dyDescent="0.25">
      <c r="M9892" s="18"/>
    </row>
    <row r="9893" spans="13:13" x14ac:dyDescent="0.25">
      <c r="M9893" s="18"/>
    </row>
    <row r="9894" spans="13:13" x14ac:dyDescent="0.25">
      <c r="M9894" s="18"/>
    </row>
    <row r="9895" spans="13:13" x14ac:dyDescent="0.25">
      <c r="M9895" s="18"/>
    </row>
    <row r="9896" spans="13:13" x14ac:dyDescent="0.25">
      <c r="M9896" s="18"/>
    </row>
    <row r="9897" spans="13:13" x14ac:dyDescent="0.25">
      <c r="M9897" s="18"/>
    </row>
    <row r="9898" spans="13:13" x14ac:dyDescent="0.25">
      <c r="M9898" s="18"/>
    </row>
    <row r="9899" spans="13:13" x14ac:dyDescent="0.25">
      <c r="M9899" s="18"/>
    </row>
    <row r="9900" spans="13:13" x14ac:dyDescent="0.25">
      <c r="M9900" s="18"/>
    </row>
    <row r="9901" spans="13:13" x14ac:dyDescent="0.25">
      <c r="M9901" s="18"/>
    </row>
    <row r="9902" spans="13:13" x14ac:dyDescent="0.25">
      <c r="M9902" s="18"/>
    </row>
    <row r="9903" spans="13:13" x14ac:dyDescent="0.25">
      <c r="M9903" s="18"/>
    </row>
    <row r="9904" spans="13:13" x14ac:dyDescent="0.25">
      <c r="M9904" s="18"/>
    </row>
    <row r="9905" spans="13:13" x14ac:dyDescent="0.25">
      <c r="M9905" s="18"/>
    </row>
    <row r="9906" spans="13:13" x14ac:dyDescent="0.25">
      <c r="M9906" s="18"/>
    </row>
    <row r="9907" spans="13:13" x14ac:dyDescent="0.25">
      <c r="M9907" s="18"/>
    </row>
    <row r="9908" spans="13:13" x14ac:dyDescent="0.25">
      <c r="M9908" s="18"/>
    </row>
    <row r="9909" spans="13:13" x14ac:dyDescent="0.25">
      <c r="M9909" s="18"/>
    </row>
    <row r="9910" spans="13:13" x14ac:dyDescent="0.25">
      <c r="M9910" s="18"/>
    </row>
    <row r="9911" spans="13:13" x14ac:dyDescent="0.25">
      <c r="M9911" s="18"/>
    </row>
    <row r="9912" spans="13:13" x14ac:dyDescent="0.25">
      <c r="M9912" s="18"/>
    </row>
    <row r="9913" spans="13:13" x14ac:dyDescent="0.25">
      <c r="M9913" s="18"/>
    </row>
    <row r="9914" spans="13:13" x14ac:dyDescent="0.25">
      <c r="M9914" s="18"/>
    </row>
    <row r="9915" spans="13:13" x14ac:dyDescent="0.25">
      <c r="M9915" s="18"/>
    </row>
    <row r="9916" spans="13:13" x14ac:dyDescent="0.25">
      <c r="M9916" s="18"/>
    </row>
    <row r="9917" spans="13:13" x14ac:dyDescent="0.25">
      <c r="M9917" s="18"/>
    </row>
    <row r="9918" spans="13:13" x14ac:dyDescent="0.25">
      <c r="M9918" s="18"/>
    </row>
    <row r="9919" spans="13:13" x14ac:dyDescent="0.25">
      <c r="M9919" s="18"/>
    </row>
    <row r="9920" spans="13:13" x14ac:dyDescent="0.25">
      <c r="M9920" s="18"/>
    </row>
    <row r="9921" spans="13:13" x14ac:dyDescent="0.25">
      <c r="M9921" s="18"/>
    </row>
    <row r="9922" spans="13:13" x14ac:dyDescent="0.25">
      <c r="M9922" s="18"/>
    </row>
    <row r="9923" spans="13:13" x14ac:dyDescent="0.25">
      <c r="M9923" s="18"/>
    </row>
    <row r="9924" spans="13:13" x14ac:dyDescent="0.25">
      <c r="M9924" s="18"/>
    </row>
    <row r="9925" spans="13:13" x14ac:dyDescent="0.25">
      <c r="M9925" s="18"/>
    </row>
    <row r="9926" spans="13:13" x14ac:dyDescent="0.25">
      <c r="M9926" s="18"/>
    </row>
    <row r="9927" spans="13:13" x14ac:dyDescent="0.25">
      <c r="M9927" s="18"/>
    </row>
    <row r="9928" spans="13:13" x14ac:dyDescent="0.25">
      <c r="M9928" s="18"/>
    </row>
    <row r="9929" spans="13:13" x14ac:dyDescent="0.25">
      <c r="M9929" s="18"/>
    </row>
    <row r="9930" spans="13:13" x14ac:dyDescent="0.25">
      <c r="M9930" s="18"/>
    </row>
    <row r="9931" spans="13:13" x14ac:dyDescent="0.25">
      <c r="M9931" s="18"/>
    </row>
    <row r="9932" spans="13:13" x14ac:dyDescent="0.25">
      <c r="M9932" s="18"/>
    </row>
    <row r="9933" spans="13:13" x14ac:dyDescent="0.25">
      <c r="M9933" s="18"/>
    </row>
    <row r="9934" spans="13:13" x14ac:dyDescent="0.25">
      <c r="M9934" s="18"/>
    </row>
    <row r="9935" spans="13:13" x14ac:dyDescent="0.25">
      <c r="M9935" s="18"/>
    </row>
    <row r="9936" spans="13:13" x14ac:dyDescent="0.25">
      <c r="M9936" s="18"/>
    </row>
    <row r="9937" spans="13:13" x14ac:dyDescent="0.25">
      <c r="M9937" s="18"/>
    </row>
    <row r="9938" spans="13:13" x14ac:dyDescent="0.25">
      <c r="M9938" s="18"/>
    </row>
    <row r="9939" spans="13:13" x14ac:dyDescent="0.25">
      <c r="M9939" s="18"/>
    </row>
    <row r="9940" spans="13:13" x14ac:dyDescent="0.25">
      <c r="M9940" s="18"/>
    </row>
    <row r="9941" spans="13:13" x14ac:dyDescent="0.25">
      <c r="M9941" s="18"/>
    </row>
    <row r="9942" spans="13:13" x14ac:dyDescent="0.25">
      <c r="M9942" s="18"/>
    </row>
    <row r="9943" spans="13:13" x14ac:dyDescent="0.25">
      <c r="M9943" s="18"/>
    </row>
    <row r="9944" spans="13:13" x14ac:dyDescent="0.25">
      <c r="M9944" s="18"/>
    </row>
    <row r="9945" spans="13:13" x14ac:dyDescent="0.25">
      <c r="M9945" s="18"/>
    </row>
    <row r="9946" spans="13:13" x14ac:dyDescent="0.25">
      <c r="M9946" s="18"/>
    </row>
    <row r="9947" spans="13:13" x14ac:dyDescent="0.25">
      <c r="M9947" s="18"/>
    </row>
    <row r="9948" spans="13:13" x14ac:dyDescent="0.25">
      <c r="M9948" s="18"/>
    </row>
    <row r="9949" spans="13:13" x14ac:dyDescent="0.25">
      <c r="M9949" s="18"/>
    </row>
    <row r="9950" spans="13:13" x14ac:dyDescent="0.25">
      <c r="M9950" s="18"/>
    </row>
    <row r="9951" spans="13:13" x14ac:dyDescent="0.25">
      <c r="M9951" s="18"/>
    </row>
    <row r="9952" spans="13:13" x14ac:dyDescent="0.25">
      <c r="M9952" s="18"/>
    </row>
    <row r="9953" spans="13:13" x14ac:dyDescent="0.25">
      <c r="M9953" s="18"/>
    </row>
    <row r="9954" spans="13:13" x14ac:dyDescent="0.25">
      <c r="M9954" s="18"/>
    </row>
    <row r="9955" spans="13:13" x14ac:dyDescent="0.25">
      <c r="M9955" s="18"/>
    </row>
    <row r="9956" spans="13:13" x14ac:dyDescent="0.25">
      <c r="M9956" s="18"/>
    </row>
    <row r="9957" spans="13:13" x14ac:dyDescent="0.25">
      <c r="M9957" s="18"/>
    </row>
    <row r="9958" spans="13:13" x14ac:dyDescent="0.25">
      <c r="M9958" s="18"/>
    </row>
    <row r="9959" spans="13:13" x14ac:dyDescent="0.25">
      <c r="M9959" s="18"/>
    </row>
    <row r="9960" spans="13:13" x14ac:dyDescent="0.25">
      <c r="M9960" s="18"/>
    </row>
    <row r="9961" spans="13:13" x14ac:dyDescent="0.25">
      <c r="M9961" s="18"/>
    </row>
    <row r="9962" spans="13:13" x14ac:dyDescent="0.25">
      <c r="M9962" s="18"/>
    </row>
    <row r="9963" spans="13:13" x14ac:dyDescent="0.25">
      <c r="M9963" s="18"/>
    </row>
    <row r="9964" spans="13:13" x14ac:dyDescent="0.25">
      <c r="M9964" s="18"/>
    </row>
    <row r="9965" spans="13:13" x14ac:dyDescent="0.25">
      <c r="M9965" s="18"/>
    </row>
    <row r="9966" spans="13:13" x14ac:dyDescent="0.25">
      <c r="M9966" s="18"/>
    </row>
    <row r="9967" spans="13:13" x14ac:dyDescent="0.25">
      <c r="M9967" s="18"/>
    </row>
    <row r="9968" spans="13:13" x14ac:dyDescent="0.25">
      <c r="M9968" s="18"/>
    </row>
    <row r="9969" spans="13:13" x14ac:dyDescent="0.25">
      <c r="M9969" s="18"/>
    </row>
    <row r="9970" spans="13:13" x14ac:dyDescent="0.25">
      <c r="M9970" s="18"/>
    </row>
    <row r="9971" spans="13:13" x14ac:dyDescent="0.25">
      <c r="M9971" s="18"/>
    </row>
    <row r="9972" spans="13:13" x14ac:dyDescent="0.25">
      <c r="M9972" s="18"/>
    </row>
    <row r="9973" spans="13:13" x14ac:dyDescent="0.25">
      <c r="M9973" s="18"/>
    </row>
    <row r="9974" spans="13:13" x14ac:dyDescent="0.25">
      <c r="M9974" s="18"/>
    </row>
    <row r="9975" spans="13:13" x14ac:dyDescent="0.25">
      <c r="M9975" s="18"/>
    </row>
    <row r="9976" spans="13:13" x14ac:dyDescent="0.25">
      <c r="M9976" s="18"/>
    </row>
    <row r="9977" spans="13:13" x14ac:dyDescent="0.25">
      <c r="M9977" s="18"/>
    </row>
    <row r="9978" spans="13:13" x14ac:dyDescent="0.25">
      <c r="M9978" s="18"/>
    </row>
    <row r="9979" spans="13:13" x14ac:dyDescent="0.25">
      <c r="M9979" s="18"/>
    </row>
    <row r="9980" spans="13:13" x14ac:dyDescent="0.25">
      <c r="M9980" s="18"/>
    </row>
    <row r="9981" spans="13:13" x14ac:dyDescent="0.25">
      <c r="M9981" s="18"/>
    </row>
    <row r="9982" spans="13:13" x14ac:dyDescent="0.25">
      <c r="M9982" s="18"/>
    </row>
    <row r="9983" spans="13:13" x14ac:dyDescent="0.25">
      <c r="M9983" s="18"/>
    </row>
    <row r="9984" spans="13:13" x14ac:dyDescent="0.25">
      <c r="M9984" s="18"/>
    </row>
    <row r="9985" spans="13:13" x14ac:dyDescent="0.25">
      <c r="M9985" s="18"/>
    </row>
    <row r="9986" spans="13:13" x14ac:dyDescent="0.25">
      <c r="M9986" s="18"/>
    </row>
    <row r="9987" spans="13:13" x14ac:dyDescent="0.25">
      <c r="M9987" s="18"/>
    </row>
    <row r="9988" spans="13:13" x14ac:dyDescent="0.25">
      <c r="M9988" s="18"/>
    </row>
    <row r="9989" spans="13:13" x14ac:dyDescent="0.25">
      <c r="M9989" s="18"/>
    </row>
    <row r="9990" spans="13:13" x14ac:dyDescent="0.25">
      <c r="M9990" s="18"/>
    </row>
    <row r="9991" spans="13:13" x14ac:dyDescent="0.25">
      <c r="M9991" s="18"/>
    </row>
    <row r="9992" spans="13:13" x14ac:dyDescent="0.25">
      <c r="M9992" s="18"/>
    </row>
    <row r="9993" spans="13:13" x14ac:dyDescent="0.25">
      <c r="M9993" s="18"/>
    </row>
    <row r="9994" spans="13:13" x14ac:dyDescent="0.25">
      <c r="M9994" s="18"/>
    </row>
    <row r="9995" spans="13:13" x14ac:dyDescent="0.25">
      <c r="M9995" s="18"/>
    </row>
    <row r="9996" spans="13:13" x14ac:dyDescent="0.25">
      <c r="M9996" s="18"/>
    </row>
    <row r="9997" spans="13:13" x14ac:dyDescent="0.25">
      <c r="M9997" s="18"/>
    </row>
    <row r="9998" spans="13:13" x14ac:dyDescent="0.25">
      <c r="M9998" s="18"/>
    </row>
    <row r="9999" spans="13:13" x14ac:dyDescent="0.25">
      <c r="M9999" s="18"/>
    </row>
    <row r="10000" spans="13:13" x14ac:dyDescent="0.25">
      <c r="M10000" s="18"/>
    </row>
    <row r="10001" spans="13:13" x14ac:dyDescent="0.25">
      <c r="M10001" s="18"/>
    </row>
    <row r="10002" spans="13:13" x14ac:dyDescent="0.25">
      <c r="M10002" s="18"/>
    </row>
    <row r="10003" spans="13:13" x14ac:dyDescent="0.25">
      <c r="M10003" s="18"/>
    </row>
    <row r="10004" spans="13:13" x14ac:dyDescent="0.25">
      <c r="M10004" s="18"/>
    </row>
    <row r="10005" spans="13:13" x14ac:dyDescent="0.25">
      <c r="M10005" s="18"/>
    </row>
    <row r="10006" spans="13:13" x14ac:dyDescent="0.25">
      <c r="M10006" s="18"/>
    </row>
    <row r="10007" spans="13:13" x14ac:dyDescent="0.25">
      <c r="M10007" s="18"/>
    </row>
    <row r="10008" spans="13:13" x14ac:dyDescent="0.25">
      <c r="M10008" s="18"/>
    </row>
    <row r="10009" spans="13:13" x14ac:dyDescent="0.25">
      <c r="M10009" s="18"/>
    </row>
    <row r="10010" spans="13:13" x14ac:dyDescent="0.25">
      <c r="M10010" s="18"/>
    </row>
    <row r="10011" spans="13:13" x14ac:dyDescent="0.25">
      <c r="M10011" s="18"/>
    </row>
    <row r="10012" spans="13:13" x14ac:dyDescent="0.25">
      <c r="M10012" s="18"/>
    </row>
    <row r="10013" spans="13:13" x14ac:dyDescent="0.25">
      <c r="M10013" s="18"/>
    </row>
    <row r="10014" spans="13:13" x14ac:dyDescent="0.25">
      <c r="M10014" s="18"/>
    </row>
    <row r="10015" spans="13:13" x14ac:dyDescent="0.25">
      <c r="M10015" s="18"/>
    </row>
    <row r="10016" spans="13:13" x14ac:dyDescent="0.25">
      <c r="M10016" s="18"/>
    </row>
    <row r="10017" spans="13:13" x14ac:dyDescent="0.25">
      <c r="M10017" s="18"/>
    </row>
    <row r="10018" spans="13:13" x14ac:dyDescent="0.25">
      <c r="M10018" s="18"/>
    </row>
    <row r="10019" spans="13:13" x14ac:dyDescent="0.25">
      <c r="M10019" s="18"/>
    </row>
    <row r="10020" spans="13:13" x14ac:dyDescent="0.25">
      <c r="M10020" s="18"/>
    </row>
    <row r="10021" spans="13:13" x14ac:dyDescent="0.25">
      <c r="M10021" s="18"/>
    </row>
    <row r="10022" spans="13:13" x14ac:dyDescent="0.25">
      <c r="M10022" s="18"/>
    </row>
    <row r="10023" spans="13:13" x14ac:dyDescent="0.25">
      <c r="M10023" s="18"/>
    </row>
    <row r="10024" spans="13:13" x14ac:dyDescent="0.25">
      <c r="M10024" s="18"/>
    </row>
    <row r="10025" spans="13:13" x14ac:dyDescent="0.25">
      <c r="M10025" s="18"/>
    </row>
    <row r="10026" spans="13:13" x14ac:dyDescent="0.25">
      <c r="M10026" s="18"/>
    </row>
    <row r="10027" spans="13:13" x14ac:dyDescent="0.25">
      <c r="M10027" s="18"/>
    </row>
    <row r="10028" spans="13:13" x14ac:dyDescent="0.25">
      <c r="M10028" s="18"/>
    </row>
    <row r="10029" spans="13:13" x14ac:dyDescent="0.25">
      <c r="M10029" s="18"/>
    </row>
    <row r="10030" spans="13:13" x14ac:dyDescent="0.25">
      <c r="M10030" s="18"/>
    </row>
    <row r="10031" spans="13:13" x14ac:dyDescent="0.25">
      <c r="M10031" s="18"/>
    </row>
    <row r="10032" spans="13:13" x14ac:dyDescent="0.25">
      <c r="M10032" s="18"/>
    </row>
    <row r="10033" spans="13:13" x14ac:dyDescent="0.25">
      <c r="M10033" s="18"/>
    </row>
    <row r="10034" spans="13:13" x14ac:dyDescent="0.25">
      <c r="M10034" s="18"/>
    </row>
    <row r="10035" spans="13:13" x14ac:dyDescent="0.25">
      <c r="M10035" s="18"/>
    </row>
    <row r="10036" spans="13:13" x14ac:dyDescent="0.25">
      <c r="M10036" s="18"/>
    </row>
    <row r="10037" spans="13:13" x14ac:dyDescent="0.25">
      <c r="M10037" s="18"/>
    </row>
    <row r="10038" spans="13:13" x14ac:dyDescent="0.25">
      <c r="M10038" s="18"/>
    </row>
    <row r="10039" spans="13:13" x14ac:dyDescent="0.25">
      <c r="M10039" s="18"/>
    </row>
    <row r="10040" spans="13:13" x14ac:dyDescent="0.25">
      <c r="M10040" s="18"/>
    </row>
    <row r="10041" spans="13:13" x14ac:dyDescent="0.25">
      <c r="M10041" s="18"/>
    </row>
    <row r="10042" spans="13:13" x14ac:dyDescent="0.25">
      <c r="M10042" s="18"/>
    </row>
    <row r="10043" spans="13:13" x14ac:dyDescent="0.25">
      <c r="M10043" s="18"/>
    </row>
    <row r="10044" spans="13:13" x14ac:dyDescent="0.25">
      <c r="M10044" s="18"/>
    </row>
    <row r="10045" spans="13:13" x14ac:dyDescent="0.25">
      <c r="M10045" s="18"/>
    </row>
    <row r="10046" spans="13:13" x14ac:dyDescent="0.25">
      <c r="M10046" s="18"/>
    </row>
    <row r="10047" spans="13:13" x14ac:dyDescent="0.25">
      <c r="M10047" s="18"/>
    </row>
    <row r="10048" spans="13:13" x14ac:dyDescent="0.25">
      <c r="M10048" s="18"/>
    </row>
    <row r="10049" spans="13:13" x14ac:dyDescent="0.25">
      <c r="M10049" s="18"/>
    </row>
    <row r="10050" spans="13:13" x14ac:dyDescent="0.25">
      <c r="M10050" s="18"/>
    </row>
    <row r="10051" spans="13:13" x14ac:dyDescent="0.25">
      <c r="M10051" s="18"/>
    </row>
    <row r="10052" spans="13:13" x14ac:dyDescent="0.25">
      <c r="M10052" s="18"/>
    </row>
    <row r="10053" spans="13:13" x14ac:dyDescent="0.25">
      <c r="M10053" s="18"/>
    </row>
    <row r="10054" spans="13:13" x14ac:dyDescent="0.25">
      <c r="M10054" s="18"/>
    </row>
    <row r="10055" spans="13:13" x14ac:dyDescent="0.25">
      <c r="M10055" s="18"/>
    </row>
    <row r="10056" spans="13:13" x14ac:dyDescent="0.25">
      <c r="M10056" s="18"/>
    </row>
    <row r="10057" spans="13:13" x14ac:dyDescent="0.25">
      <c r="M10057" s="18"/>
    </row>
    <row r="10058" spans="13:13" x14ac:dyDescent="0.25">
      <c r="M10058" s="18"/>
    </row>
    <row r="10059" spans="13:13" x14ac:dyDescent="0.25">
      <c r="M10059" s="18"/>
    </row>
    <row r="10060" spans="13:13" x14ac:dyDescent="0.25">
      <c r="M10060" s="18"/>
    </row>
    <row r="10061" spans="13:13" x14ac:dyDescent="0.25">
      <c r="M10061" s="18"/>
    </row>
    <row r="10062" spans="13:13" x14ac:dyDescent="0.25">
      <c r="M10062" s="18"/>
    </row>
    <row r="10063" spans="13:13" x14ac:dyDescent="0.25">
      <c r="M10063" s="18"/>
    </row>
    <row r="10064" spans="13:13" x14ac:dyDescent="0.25">
      <c r="M10064" s="18"/>
    </row>
    <row r="10065" spans="13:13" x14ac:dyDescent="0.25">
      <c r="M10065" s="18"/>
    </row>
    <row r="10066" spans="13:13" x14ac:dyDescent="0.25">
      <c r="M10066" s="18"/>
    </row>
    <row r="10067" spans="13:13" x14ac:dyDescent="0.25">
      <c r="M10067" s="18"/>
    </row>
    <row r="10068" spans="13:13" x14ac:dyDescent="0.25">
      <c r="M10068" s="18"/>
    </row>
    <row r="10069" spans="13:13" x14ac:dyDescent="0.25">
      <c r="M10069" s="18"/>
    </row>
    <row r="10070" spans="13:13" x14ac:dyDescent="0.25">
      <c r="M10070" s="18"/>
    </row>
    <row r="10071" spans="13:13" x14ac:dyDescent="0.25">
      <c r="M10071" s="18"/>
    </row>
    <row r="10072" spans="13:13" x14ac:dyDescent="0.25">
      <c r="M10072" s="18"/>
    </row>
    <row r="10073" spans="13:13" x14ac:dyDescent="0.25">
      <c r="M10073" s="18"/>
    </row>
    <row r="10074" spans="13:13" x14ac:dyDescent="0.25">
      <c r="M10074" s="18"/>
    </row>
    <row r="10075" spans="13:13" x14ac:dyDescent="0.25">
      <c r="M10075" s="18"/>
    </row>
    <row r="10076" spans="13:13" x14ac:dyDescent="0.25">
      <c r="M10076" s="18"/>
    </row>
    <row r="10077" spans="13:13" x14ac:dyDescent="0.25">
      <c r="M10077" s="18"/>
    </row>
    <row r="10078" spans="13:13" x14ac:dyDescent="0.25">
      <c r="M10078" s="18"/>
    </row>
    <row r="10079" spans="13:13" x14ac:dyDescent="0.25">
      <c r="M10079" s="18"/>
    </row>
    <row r="10080" spans="13:13" x14ac:dyDescent="0.25">
      <c r="M10080" s="18"/>
    </row>
    <row r="10081" spans="13:13" x14ac:dyDescent="0.25">
      <c r="M10081" s="18"/>
    </row>
    <row r="10082" spans="13:13" x14ac:dyDescent="0.25">
      <c r="M10082" s="18"/>
    </row>
    <row r="10083" spans="13:13" x14ac:dyDescent="0.25">
      <c r="M10083" s="18"/>
    </row>
    <row r="10084" spans="13:13" x14ac:dyDescent="0.25">
      <c r="M10084" s="18"/>
    </row>
    <row r="10085" spans="13:13" x14ac:dyDescent="0.25">
      <c r="M10085" s="18"/>
    </row>
    <row r="10086" spans="13:13" x14ac:dyDescent="0.25">
      <c r="M10086" s="18"/>
    </row>
    <row r="10087" spans="13:13" x14ac:dyDescent="0.25">
      <c r="M10087" s="18"/>
    </row>
    <row r="10088" spans="13:13" x14ac:dyDescent="0.25">
      <c r="M10088" s="18"/>
    </row>
    <row r="10089" spans="13:13" x14ac:dyDescent="0.25">
      <c r="M10089" s="18"/>
    </row>
    <row r="10090" spans="13:13" x14ac:dyDescent="0.25">
      <c r="M10090" s="18"/>
    </row>
    <row r="10091" spans="13:13" x14ac:dyDescent="0.25">
      <c r="M10091" s="18"/>
    </row>
    <row r="10092" spans="13:13" x14ac:dyDescent="0.25">
      <c r="M10092" s="18"/>
    </row>
    <row r="10093" spans="13:13" x14ac:dyDescent="0.25">
      <c r="M10093" s="18"/>
    </row>
    <row r="10094" spans="13:13" x14ac:dyDescent="0.25">
      <c r="M10094" s="18"/>
    </row>
    <row r="10095" spans="13:13" x14ac:dyDescent="0.25">
      <c r="M10095" s="18"/>
    </row>
    <row r="10096" spans="13:13" x14ac:dyDescent="0.25">
      <c r="M10096" s="18"/>
    </row>
    <row r="10097" spans="13:13" x14ac:dyDescent="0.25">
      <c r="M10097" s="18"/>
    </row>
    <row r="10098" spans="13:13" x14ac:dyDescent="0.25">
      <c r="M10098" s="18"/>
    </row>
    <row r="10099" spans="13:13" x14ac:dyDescent="0.25">
      <c r="M10099" s="18"/>
    </row>
    <row r="10100" spans="13:13" x14ac:dyDescent="0.25">
      <c r="M10100" s="18"/>
    </row>
    <row r="10101" spans="13:13" x14ac:dyDescent="0.25">
      <c r="M10101" s="18"/>
    </row>
    <row r="10102" spans="13:13" x14ac:dyDescent="0.25">
      <c r="M10102" s="18"/>
    </row>
    <row r="10103" spans="13:13" x14ac:dyDescent="0.25">
      <c r="M10103" s="18"/>
    </row>
    <row r="10104" spans="13:13" x14ac:dyDescent="0.25">
      <c r="M10104" s="18"/>
    </row>
    <row r="10105" spans="13:13" x14ac:dyDescent="0.25">
      <c r="M10105" s="18"/>
    </row>
    <row r="10106" spans="13:13" x14ac:dyDescent="0.25">
      <c r="M10106" s="18"/>
    </row>
    <row r="10107" spans="13:13" x14ac:dyDescent="0.25">
      <c r="M10107" s="18"/>
    </row>
    <row r="10108" spans="13:13" x14ac:dyDescent="0.25">
      <c r="M10108" s="18"/>
    </row>
    <row r="10109" spans="13:13" x14ac:dyDescent="0.25">
      <c r="M10109" s="18"/>
    </row>
  </sheetData>
  <conditionalFormatting sqref="F1 F5055:F1048576">
    <cfRule type="top10" dxfId="0" priority="1" bottom="1" rank="10"/>
  </conditionalFormatting>
  <dataValidations count="1">
    <dataValidation type="textLength" allowBlank="1" showInputMessage="1" showErrorMessage="1" sqref="B1:E1048576">
      <formula1>4</formula1>
      <formula2>16</formula2>
    </dataValidation>
  </dataValidations>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J2"/>
  <sheetViews>
    <sheetView tabSelected="1" workbookViewId="0">
      <selection activeCell="O2" sqref="O2"/>
    </sheetView>
  </sheetViews>
  <sheetFormatPr defaultColWidth="8.85546875" defaultRowHeight="15" x14ac:dyDescent="0.25"/>
  <cols>
    <col min="1" max="1" width="11.28515625" style="21" customWidth="1"/>
    <col min="2" max="2" width="12" style="21" customWidth="1"/>
    <col min="3" max="3" width="16.7109375" style="21" bestFit="1" customWidth="1"/>
    <col min="4" max="7" width="8.85546875" style="21"/>
    <col min="8" max="8" width="15.7109375" style="21" bestFit="1" customWidth="1"/>
    <col min="9" max="10" width="19.7109375" style="21" bestFit="1" customWidth="1"/>
    <col min="11" max="16384" width="8.85546875" style="21"/>
  </cols>
  <sheetData>
    <row r="1" spans="4:10" x14ac:dyDescent="0.25">
      <c r="D1" s="39" t="s">
        <v>263</v>
      </c>
      <c r="E1" s="39"/>
      <c r="F1" s="39"/>
      <c r="G1" s="39"/>
      <c r="H1" s="39"/>
      <c r="I1" s="39"/>
      <c r="J1" s="39"/>
    </row>
    <row r="2" spans="4:10" x14ac:dyDescent="0.25">
      <c r="D2" s="39"/>
      <c r="E2" s="39"/>
      <c r="F2" s="39"/>
      <c r="G2" s="39"/>
      <c r="H2" s="39"/>
      <c r="I2" s="39"/>
      <c r="J2" s="39"/>
    </row>
  </sheetData>
  <mergeCells count="1">
    <mergeCell ref="D1: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workbookViewId="0">
      <selection activeCell="A67" sqref="A67"/>
    </sheetView>
  </sheetViews>
  <sheetFormatPr defaultColWidth="9.140625" defaultRowHeight="15" x14ac:dyDescent="0.25"/>
  <cols>
    <col min="1" max="1" width="10.7109375" style="21" bestFit="1" customWidth="1"/>
    <col min="2" max="2" width="19.7109375" style="21" bestFit="1" customWidth="1"/>
    <col min="3" max="3" width="25.140625" style="21" bestFit="1" customWidth="1"/>
    <col min="4" max="4" width="9.140625" style="21"/>
    <col min="5" max="5" width="11.42578125" style="21" customWidth="1"/>
    <col min="6" max="16384" width="9.140625" style="21"/>
  </cols>
  <sheetData>
    <row r="1" spans="1:8" ht="18.600000000000001" thickBot="1" x14ac:dyDescent="0.4">
      <c r="C1" s="35" t="s">
        <v>253</v>
      </c>
      <c r="D1" s="35"/>
      <c r="E1" s="35"/>
      <c r="F1" s="35"/>
      <c r="G1" s="35"/>
      <c r="H1" s="35"/>
    </row>
    <row r="7" spans="1:8" ht="14.45" x14ac:dyDescent="0.3">
      <c r="A7" s="22" t="s">
        <v>1</v>
      </c>
      <c r="B7" s="22" t="s">
        <v>252</v>
      </c>
      <c r="C7" s="22" t="s">
        <v>254</v>
      </c>
    </row>
    <row r="8" spans="1:8" ht="14.45" x14ac:dyDescent="0.3">
      <c r="A8" s="22" t="s">
        <v>245</v>
      </c>
      <c r="B8" s="23">
        <v>312842.81999999972</v>
      </c>
      <c r="C8" s="23">
        <v>201.18509324758824</v>
      </c>
    </row>
    <row r="9" spans="1:8" ht="14.45" x14ac:dyDescent="0.3">
      <c r="A9" s="22" t="s">
        <v>243</v>
      </c>
      <c r="B9" s="23">
        <v>309996.5499999997</v>
      </c>
      <c r="C9" s="23">
        <v>181.81615835777109</v>
      </c>
    </row>
    <row r="10" spans="1:8" ht="14.45" x14ac:dyDescent="0.3">
      <c r="A10" s="22" t="s">
        <v>244</v>
      </c>
      <c r="B10" s="23">
        <v>319705.48</v>
      </c>
      <c r="C10" s="23">
        <v>178.30757389849413</v>
      </c>
    </row>
    <row r="11" spans="1:8" ht="14.45" x14ac:dyDescent="0.3">
      <c r="A11" s="22" t="s">
        <v>251</v>
      </c>
      <c r="B11" s="23">
        <v>942544.85000000056</v>
      </c>
      <c r="C11" s="23">
        <v>186.53173362359007</v>
      </c>
    </row>
    <row r="25" spans="5:9" ht="15" customHeight="1" x14ac:dyDescent="0.25">
      <c r="F25" s="24"/>
      <c r="G25" s="24"/>
      <c r="H25" s="24"/>
      <c r="I25" s="24"/>
    </row>
    <row r="26" spans="5:9" ht="15" customHeight="1" x14ac:dyDescent="0.25">
      <c r="E26" s="24"/>
      <c r="F26" s="24"/>
      <c r="G26" s="24"/>
      <c r="H26" s="24"/>
      <c r="I26" s="24"/>
    </row>
    <row r="27" spans="5:9" ht="15" customHeight="1" x14ac:dyDescent="0.25">
      <c r="E27" s="24"/>
      <c r="F27" s="24"/>
      <c r="G27" s="24"/>
      <c r="H27" s="24"/>
      <c r="I27" s="24"/>
    </row>
    <row r="28" spans="5:9" ht="15" customHeight="1" x14ac:dyDescent="0.25">
      <c r="E28" s="24"/>
      <c r="F28" s="24"/>
      <c r="G28" s="24"/>
      <c r="H28" s="24"/>
      <c r="I28" s="24"/>
    </row>
    <row r="29" spans="5:9" ht="15" customHeight="1" x14ac:dyDescent="0.25">
      <c r="E29" s="24"/>
      <c r="F29" s="24"/>
      <c r="G29" s="24"/>
      <c r="H29" s="24"/>
      <c r="I29" s="24"/>
    </row>
    <row r="30" spans="5:9" ht="15" customHeight="1" x14ac:dyDescent="0.25">
      <c r="E30" s="24"/>
      <c r="F30" s="24"/>
      <c r="G30" s="24"/>
      <c r="H30" s="24"/>
      <c r="I30" s="24"/>
    </row>
    <row r="31" spans="5:9" ht="15" customHeight="1" x14ac:dyDescent="0.25">
      <c r="E31" s="24"/>
      <c r="F31" s="24"/>
      <c r="G31" s="24"/>
      <c r="H31" s="24"/>
      <c r="I31" s="24"/>
    </row>
    <row r="32" spans="5:9" ht="15" customHeight="1" x14ac:dyDescent="0.25">
      <c r="E32" s="24"/>
      <c r="F32" s="24"/>
      <c r="G32" s="24"/>
      <c r="H32" s="24"/>
      <c r="I32" s="24"/>
    </row>
    <row r="33" spans="1:10" ht="15" customHeight="1" x14ac:dyDescent="0.25">
      <c r="D33" s="25"/>
      <c r="E33" s="25"/>
      <c r="F33" s="25"/>
      <c r="G33" s="25"/>
      <c r="H33" s="25"/>
      <c r="I33" s="24"/>
    </row>
    <row r="34" spans="1:10" ht="19.5" thickBot="1" x14ac:dyDescent="0.3">
      <c r="C34" s="36" t="s">
        <v>255</v>
      </c>
      <c r="D34" s="36"/>
      <c r="E34" s="36"/>
      <c r="F34" s="36"/>
      <c r="G34" s="36"/>
      <c r="H34" s="36"/>
      <c r="I34" s="25"/>
      <c r="J34" s="25"/>
    </row>
    <row r="40" spans="1:10" x14ac:dyDescent="0.25">
      <c r="A40" s="22" t="s">
        <v>4</v>
      </c>
      <c r="B40" s="22" t="s">
        <v>252</v>
      </c>
    </row>
    <row r="41" spans="1:10" x14ac:dyDescent="0.25">
      <c r="A41" s="22" t="s">
        <v>14</v>
      </c>
      <c r="B41" s="23">
        <v>159259.09999999992</v>
      </c>
    </row>
    <row r="42" spans="1:10" x14ac:dyDescent="0.25">
      <c r="A42" s="22" t="s">
        <v>18</v>
      </c>
      <c r="B42" s="23">
        <v>101843.9099999999</v>
      </c>
    </row>
    <row r="43" spans="1:10" x14ac:dyDescent="0.25">
      <c r="A43" s="22" t="s">
        <v>11</v>
      </c>
      <c r="B43" s="23">
        <v>151357.72999999975</v>
      </c>
    </row>
    <row r="44" spans="1:10" x14ac:dyDescent="0.25">
      <c r="A44" s="22" t="s">
        <v>21</v>
      </c>
      <c r="B44" s="23">
        <v>168570.61000000007</v>
      </c>
    </row>
    <row r="45" spans="1:10" x14ac:dyDescent="0.25">
      <c r="A45" s="22" t="s">
        <v>20</v>
      </c>
      <c r="B45" s="23">
        <v>197260.56000000014</v>
      </c>
    </row>
    <row r="46" spans="1:10" x14ac:dyDescent="0.25">
      <c r="A46" s="22" t="s">
        <v>16</v>
      </c>
      <c r="B46" s="23">
        <v>164252.94</v>
      </c>
    </row>
    <row r="47" spans="1:10" x14ac:dyDescent="0.25">
      <c r="A47" s="22" t="s">
        <v>251</v>
      </c>
      <c r="B47" s="23">
        <v>942544.84999999986</v>
      </c>
    </row>
    <row r="59" spans="3:9" ht="19.5" thickBot="1" x14ac:dyDescent="0.35">
      <c r="C59" s="35" t="s">
        <v>256</v>
      </c>
      <c r="D59" s="35"/>
      <c r="E59" s="35"/>
      <c r="F59" s="35"/>
      <c r="G59" s="35"/>
      <c r="H59" s="35"/>
      <c r="I59" s="26"/>
    </row>
    <row r="67" spans="1:2" x14ac:dyDescent="0.25">
      <c r="A67" s="22" t="s">
        <v>7</v>
      </c>
      <c r="B67" s="22" t="s">
        <v>252</v>
      </c>
    </row>
    <row r="68" spans="1:2" x14ac:dyDescent="0.25">
      <c r="A68" s="22" t="s">
        <v>15</v>
      </c>
      <c r="B68" s="23">
        <v>304622.64999999997</v>
      </c>
    </row>
    <row r="69" spans="1:2" x14ac:dyDescent="0.25">
      <c r="A69" s="22" t="s">
        <v>12</v>
      </c>
      <c r="B69" s="23">
        <v>311230.89</v>
      </c>
    </row>
    <row r="70" spans="1:2" x14ac:dyDescent="0.25">
      <c r="A70" s="22" t="s">
        <v>17</v>
      </c>
      <c r="B70" s="23">
        <v>326691.30999999947</v>
      </c>
    </row>
    <row r="71" spans="1:2" x14ac:dyDescent="0.25">
      <c r="A71" s="22" t="s">
        <v>251</v>
      </c>
      <c r="B71" s="23">
        <v>942544.84999999951</v>
      </c>
    </row>
  </sheetData>
  <mergeCells count="3">
    <mergeCell ref="C59:H59"/>
    <mergeCell ref="C1:H1"/>
    <mergeCell ref="C34:H34"/>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Views>
    <sheetView workbookViewId="0">
      <selection activeCell="B56" sqref="B56"/>
    </sheetView>
  </sheetViews>
  <sheetFormatPr defaultColWidth="9.140625" defaultRowHeight="15" x14ac:dyDescent="0.25"/>
  <cols>
    <col min="1" max="1" width="16.42578125" style="21" customWidth="1"/>
    <col min="2" max="2" width="24.140625" style="21" bestFit="1" customWidth="1"/>
    <col min="3" max="16384" width="9.140625" style="21"/>
  </cols>
  <sheetData>
    <row r="1" spans="1:9" ht="18.600000000000001" thickBot="1" x14ac:dyDescent="0.4">
      <c r="D1" s="35" t="s">
        <v>257</v>
      </c>
      <c r="E1" s="35"/>
      <c r="F1" s="35"/>
      <c r="G1" s="35"/>
      <c r="H1" s="35"/>
      <c r="I1" s="35"/>
    </row>
    <row r="3" spans="1:9" thickBot="1" x14ac:dyDescent="0.35">
      <c r="D3" s="37" t="s">
        <v>259</v>
      </c>
      <c r="E3" s="37"/>
      <c r="F3" s="37"/>
      <c r="G3" s="37"/>
      <c r="H3" s="37"/>
      <c r="I3" s="37"/>
    </row>
    <row r="12" spans="1:9" ht="14.45" x14ac:dyDescent="0.3">
      <c r="A12" s="22" t="s">
        <v>2</v>
      </c>
      <c r="B12" s="22" t="s">
        <v>252</v>
      </c>
    </row>
    <row r="13" spans="1:9" ht="14.45" x14ac:dyDescent="0.3">
      <c r="A13" s="22" t="s">
        <v>9</v>
      </c>
      <c r="B13" s="23">
        <v>436368.17000000109</v>
      </c>
    </row>
    <row r="14" spans="1:9" ht="14.45" x14ac:dyDescent="0.3">
      <c r="A14" s="22" t="s">
        <v>13</v>
      </c>
      <c r="B14" s="23">
        <v>506176.67999999772</v>
      </c>
    </row>
    <row r="15" spans="1:9" ht="14.45" x14ac:dyDescent="0.3">
      <c r="A15" s="22" t="s">
        <v>251</v>
      </c>
      <c r="B15" s="23">
        <v>942544.84999999881</v>
      </c>
    </row>
    <row r="26" spans="4:9" thickBot="1" x14ac:dyDescent="0.35">
      <c r="D26" s="37" t="s">
        <v>258</v>
      </c>
      <c r="E26" s="37"/>
      <c r="F26" s="37"/>
      <c r="G26" s="37"/>
      <c r="H26" s="37"/>
      <c r="I26" s="37"/>
    </row>
    <row r="34" spans="1:2" ht="14.45" x14ac:dyDescent="0.3">
      <c r="A34" s="22" t="s">
        <v>2</v>
      </c>
      <c r="B34" s="22" t="s">
        <v>254</v>
      </c>
    </row>
    <row r="35" spans="1:2" ht="14.45" x14ac:dyDescent="0.3">
      <c r="A35" s="22" t="s">
        <v>9</v>
      </c>
      <c r="B35" s="27">
        <v>209.28929016786623</v>
      </c>
    </row>
    <row r="36" spans="1:2" ht="14.45" x14ac:dyDescent="0.3">
      <c r="A36" s="22" t="s">
        <v>13</v>
      </c>
      <c r="B36" s="27">
        <v>170.54470350404236</v>
      </c>
    </row>
    <row r="37" spans="1:2" ht="14.45" x14ac:dyDescent="0.3">
      <c r="A37" s="22" t="s">
        <v>251</v>
      </c>
      <c r="B37" s="27">
        <v>186.53173362359058</v>
      </c>
    </row>
    <row r="49" spans="4:9" x14ac:dyDescent="0.25">
      <c r="D49" s="34"/>
      <c r="E49" s="34"/>
      <c r="F49" s="34"/>
      <c r="G49" s="34"/>
      <c r="H49" s="34"/>
      <c r="I49" s="34"/>
    </row>
    <row r="50" spans="4:9" x14ac:dyDescent="0.25">
      <c r="D50" s="38"/>
      <c r="E50" s="38"/>
      <c r="F50" s="38"/>
      <c r="G50" s="38"/>
      <c r="H50" s="38"/>
      <c r="I50" s="34"/>
    </row>
    <row r="51" spans="4:9" x14ac:dyDescent="0.25">
      <c r="D51" s="34"/>
      <c r="E51" s="34"/>
      <c r="F51" s="34"/>
      <c r="G51" s="34"/>
      <c r="H51" s="34"/>
      <c r="I51" s="34"/>
    </row>
    <row r="52" spans="4:9" x14ac:dyDescent="0.25">
      <c r="D52" s="34"/>
      <c r="E52" s="34"/>
      <c r="F52" s="34"/>
      <c r="G52" s="34"/>
      <c r="H52" s="34"/>
      <c r="I52" s="34"/>
    </row>
    <row r="53" spans="4:9" x14ac:dyDescent="0.25">
      <c r="D53" s="34"/>
      <c r="E53" s="34"/>
      <c r="F53" s="34"/>
      <c r="G53" s="34"/>
      <c r="H53" s="34"/>
      <c r="I53" s="34"/>
    </row>
  </sheetData>
  <mergeCells count="4">
    <mergeCell ref="D1:I1"/>
    <mergeCell ref="D26:I26"/>
    <mergeCell ref="D3:I3"/>
    <mergeCell ref="D50:H50"/>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3"/>
  <sheetViews>
    <sheetView workbookViewId="0">
      <selection activeCell="N10" sqref="N10"/>
    </sheetView>
  </sheetViews>
  <sheetFormatPr defaultRowHeight="15" x14ac:dyDescent="0.25"/>
  <cols>
    <col min="1" max="1" width="12.5703125" bestFit="1" customWidth="1"/>
    <col min="2" max="2" width="19.7109375" bestFit="1" customWidth="1"/>
    <col min="6" max="6" width="17" bestFit="1" customWidth="1"/>
    <col min="7" max="7" width="20.5703125" bestFit="1" customWidth="1"/>
    <col min="10" max="10" width="17" bestFit="1" customWidth="1"/>
    <col min="11" max="11" width="16.7109375" bestFit="1" customWidth="1"/>
  </cols>
  <sheetData>
    <row r="2" spans="1:11" x14ac:dyDescent="0.3">
      <c r="A2" s="31" t="s">
        <v>250</v>
      </c>
      <c r="B2" t="s">
        <v>252</v>
      </c>
      <c r="F2" s="21" t="s">
        <v>4</v>
      </c>
      <c r="G2" s="21" t="s">
        <v>252</v>
      </c>
      <c r="J2" s="31" t="s">
        <v>4</v>
      </c>
      <c r="K2" t="s">
        <v>261</v>
      </c>
    </row>
    <row r="3" spans="1:11" x14ac:dyDescent="0.3">
      <c r="A3" t="s">
        <v>245</v>
      </c>
      <c r="B3" s="32">
        <v>0.3319129270081948</v>
      </c>
      <c r="F3" s="21" t="s">
        <v>14</v>
      </c>
      <c r="G3" s="33">
        <v>159259.09999999992</v>
      </c>
      <c r="J3" t="s">
        <v>14</v>
      </c>
      <c r="K3" s="7">
        <v>6.8225806451612865</v>
      </c>
    </row>
    <row r="4" spans="1:11" x14ac:dyDescent="0.3">
      <c r="A4" t="s">
        <v>243</v>
      </c>
      <c r="B4" s="32">
        <v>0.32889315558829896</v>
      </c>
      <c r="F4" s="21" t="s">
        <v>18</v>
      </c>
      <c r="G4" s="33">
        <v>101843.9099999999</v>
      </c>
      <c r="J4" t="s">
        <v>18</v>
      </c>
      <c r="K4" s="7">
        <v>6.6971893491124312</v>
      </c>
    </row>
    <row r="5" spans="1:11" x14ac:dyDescent="0.3">
      <c r="A5" t="s">
        <v>244</v>
      </c>
      <c r="B5" s="32">
        <v>0.33919391740350624</v>
      </c>
      <c r="F5" s="21" t="s">
        <v>11</v>
      </c>
      <c r="G5" s="33">
        <v>151357.72999999975</v>
      </c>
      <c r="J5" t="s">
        <v>11</v>
      </c>
      <c r="K5" s="7">
        <v>7.0841916167664687</v>
      </c>
    </row>
    <row r="6" spans="1:11" x14ac:dyDescent="0.3">
      <c r="A6" t="s">
        <v>251</v>
      </c>
      <c r="B6" s="32">
        <v>1</v>
      </c>
      <c r="F6" s="21" t="s">
        <v>21</v>
      </c>
      <c r="G6" s="33">
        <v>168570.61000000007</v>
      </c>
      <c r="J6" t="s">
        <v>21</v>
      </c>
      <c r="K6" s="7">
        <v>6.8673277661795353</v>
      </c>
    </row>
    <row r="7" spans="1:11" x14ac:dyDescent="0.3">
      <c r="F7" s="21" t="s">
        <v>20</v>
      </c>
      <c r="G7" s="33">
        <v>197260.56000000014</v>
      </c>
      <c r="J7" t="s">
        <v>20</v>
      </c>
      <c r="K7" s="7">
        <v>6.7793785310734496</v>
      </c>
    </row>
    <row r="8" spans="1:11" x14ac:dyDescent="0.3">
      <c r="F8" s="21" t="s">
        <v>16</v>
      </c>
      <c r="G8" s="33">
        <v>164252.94</v>
      </c>
      <c r="J8" t="s">
        <v>16</v>
      </c>
      <c r="K8" s="7">
        <v>6.7289930555555522</v>
      </c>
    </row>
    <row r="9" spans="1:11" x14ac:dyDescent="0.3">
      <c r="F9" s="21" t="s">
        <v>251</v>
      </c>
      <c r="G9" s="33">
        <v>942544.84999999986</v>
      </c>
      <c r="J9" t="s">
        <v>251</v>
      </c>
      <c r="K9" s="7">
        <v>6.8840292895309592</v>
      </c>
    </row>
    <row r="15" spans="1:11" x14ac:dyDescent="0.25">
      <c r="A15" s="31" t="s">
        <v>1</v>
      </c>
      <c r="B15" t="s">
        <v>261</v>
      </c>
      <c r="F15" s="21" t="s">
        <v>1</v>
      </c>
      <c r="G15" s="21" t="s">
        <v>262</v>
      </c>
    </row>
    <row r="16" spans="1:11" x14ac:dyDescent="0.25">
      <c r="A16" t="s">
        <v>245</v>
      </c>
      <c r="B16" s="7">
        <v>6.8711897106109321</v>
      </c>
      <c r="F16" s="21" t="s">
        <v>245</v>
      </c>
      <c r="G16" s="33">
        <v>1555</v>
      </c>
      <c r="J16" s="31" t="s">
        <v>4</v>
      </c>
      <c r="K16" t="s">
        <v>264</v>
      </c>
    </row>
    <row r="17" spans="1:11" x14ac:dyDescent="0.25">
      <c r="A17" t="s">
        <v>243</v>
      </c>
      <c r="B17" s="7">
        <v>6.9090909090909056</v>
      </c>
      <c r="F17" s="21" t="s">
        <v>243</v>
      </c>
      <c r="G17" s="33">
        <v>1705</v>
      </c>
      <c r="J17" t="s">
        <v>14</v>
      </c>
      <c r="K17" s="40">
        <v>465</v>
      </c>
    </row>
    <row r="18" spans="1:11" x14ac:dyDescent="0.25">
      <c r="A18" t="s">
        <v>244</v>
      </c>
      <c r="B18" s="7">
        <v>6.8713329615170151</v>
      </c>
      <c r="F18" s="21" t="s">
        <v>244</v>
      </c>
      <c r="G18" s="33">
        <v>1793</v>
      </c>
      <c r="J18" t="s">
        <v>18</v>
      </c>
      <c r="K18" s="40">
        <v>676</v>
      </c>
    </row>
    <row r="19" spans="1:11" x14ac:dyDescent="0.25">
      <c r="A19" t="s">
        <v>251</v>
      </c>
      <c r="B19" s="7">
        <v>6.8840292895309663</v>
      </c>
      <c r="F19" s="21" t="s">
        <v>251</v>
      </c>
      <c r="G19" s="33">
        <v>5053</v>
      </c>
      <c r="J19" t="s">
        <v>11</v>
      </c>
      <c r="K19" s="40">
        <v>1670</v>
      </c>
    </row>
    <row r="20" spans="1:11" x14ac:dyDescent="0.25">
      <c r="J20" t="s">
        <v>21</v>
      </c>
      <c r="K20" s="40">
        <v>958</v>
      </c>
    </row>
    <row r="21" spans="1:11" x14ac:dyDescent="0.25">
      <c r="J21" t="s">
        <v>20</v>
      </c>
      <c r="K21" s="40">
        <v>708</v>
      </c>
    </row>
    <row r="22" spans="1:11" x14ac:dyDescent="0.25">
      <c r="J22" t="s">
        <v>16</v>
      </c>
      <c r="K22" s="40">
        <v>576</v>
      </c>
    </row>
    <row r="23" spans="1:11" x14ac:dyDescent="0.25">
      <c r="J23" t="s">
        <v>251</v>
      </c>
      <c r="K23" s="40">
        <v>5053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Supermarket Sales</vt:lpstr>
      <vt:lpstr>Branch Performance Dashboard</vt:lpstr>
      <vt:lpstr>Sales Distribution by Dimension</vt:lpstr>
      <vt:lpstr>Customer Analysis</vt:lpstr>
      <vt:lpstr>Graph Pivot tables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Oteng boitshepo O</dc:creator>
  <cp:lastModifiedBy>Oteng boitshepo O</cp:lastModifiedBy>
  <dcterms:created xsi:type="dcterms:W3CDTF">2025-11-27T10:29:36Z</dcterms:created>
  <dcterms:modified xsi:type="dcterms:W3CDTF">2025-12-01T13:34:43Z</dcterms:modified>
</cp:coreProperties>
</file>